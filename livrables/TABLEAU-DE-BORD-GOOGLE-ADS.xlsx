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sie hebdo" sheetId="1" state="visible" r:id="rId1"/>
    <sheet xmlns:r="http://schemas.openxmlformats.org/officeDocument/2006/relationships" name="Synthèse mensuelle" sheetId="2" state="visible" r:id="rId2"/>
    <sheet xmlns:r="http://schemas.openxmlformats.org/officeDocument/2006/relationships" name="Règles" sheetId="3" state="visible" r:id="rId3"/>
    <sheet xmlns:r="http://schemas.openxmlformats.org/officeDocument/2006/relationships" name="Cibles" sheetId="4" state="visible" r:id="rId4"/>
    <sheet xmlns:r="http://schemas.openxmlformats.org/officeDocument/2006/relationships" name="Mode d'emploi" sheetId="5" state="visible" r:id="rId5"/>
  </sheets>
  <definedNames>
    <definedName name="Panier_ref">Cibles!$B$11</definedName>
    <definedName name="Marge_brute">Cibles!$B$14</definedName>
    <definedName name="Plafond_CPL">Cibles!$B$15</definedName>
    <definedName name="Plafond_contrat_pct">Cibles!$B$16</definedName>
    <definedName name="Plafond_contrat">Cibles!$B$17</definedName>
    <definedName name="ROAS_min">Cibles!$B$18</definedName>
    <definedName name="ROAS_point_mort">Cibles!$B$19</definedName>
    <definedName name="S_MaxConv">Cibles!$B$22</definedName>
    <definedName name="S_CPAcible">Cibles!$B$23</definedName>
    <definedName name="S_CPAmaj">Cibles!$B$24</definedName>
    <definedName name="S_Qualite">Cibles!$B$25</definedName>
    <definedName name="S_Valeur">Cibles!$B$26</definedName>
    <definedName name="S_CoupeCPLQ">Cibles!$B$27</definedName>
    <definedName name="S_CoupeCPC">Cibles!$B$28</definedName>
    <definedName name="S_PctQual">Cibles!$B$29</definedName>
    <definedName name="S_PerdueClass">Cibles!$B$30</definedName>
    <definedName name="S_HausseCPC">Cibles!$B$31</definedName>
    <definedName name="S_DG">Cibles!$B$32</definedName>
    <definedName name="S_MS">Cibles!$B$33</definedName>
    <definedName name="Liste_campagnes">Cibles!$A$36:$A$42</definedName>
    <definedName name="Sem_ref">'Règles'!$B$6</definedName>
    <definedName name="Debut4">'Règles'!$B$7</definedName>
    <definedName name="Debut2">'Règles'!$B$8</definedName>
    <definedName name="_xlnm._FilterDatabase" localSheetId="0" hidden="1">'Saisie hebdo'!$A$4:$Y$361</definedName>
    <definedName name="_xlnm._FilterDatabase" localSheetId="1" hidden="1">'Synthèse mensuelle'!$A$4:$W$100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0 &quot;$&quot;"/>
    <numFmt numFmtId="165" formatCode="0 %"/>
    <numFmt numFmtId="166" formatCode="0.0&quot;:1&quot;"/>
    <numFmt numFmtId="167" formatCode="#,##0.0"/>
    <numFmt numFmtId="168" formatCode="#,##0 &quot;$&quot;"/>
    <numFmt numFmtId="169" formatCode="yyyy-mm-dd"/>
    <numFmt numFmtId="170" formatCode="[$-C0C]mmmm yyyy"/>
    <numFmt numFmtId="171" formatCode="0.0 %"/>
  </numFmts>
  <fonts count="6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95959"/>
      <sz val="9"/>
    </font>
    <font>
      <b val="1"/>
      <color rgb="00FFFFFF"/>
    </font>
    <font>
      <b val="1"/>
    </font>
    <font>
      <b val="1"/>
      <color rgb="00C00000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6C7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808080"/>
      </bottom>
    </border>
    <border>
      <bottom style="medium">
        <color rgb="001F3A5F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169" fontId="0" fillId="0" borderId="0" pivotButton="0" quotePrefix="0" xfId="0"/>
    <xf numFmtId="170" fontId="0" fillId="0" borderId="0" pivotButton="0" quotePrefix="0" xfId="0"/>
    <xf numFmtId="0" fontId="5" fillId="6" borderId="0" pivotButton="0" quotePrefix="0" xfId="0"/>
    <xf numFmtId="164" fontId="0" fillId="3" borderId="0" pivotButton="0" quotePrefix="0" xfId="0"/>
    <xf numFmtId="3" fontId="0" fillId="3" borderId="0" pivotButton="0" quotePrefix="0" xfId="0"/>
    <xf numFmtId="167" fontId="0" fillId="3" borderId="0" pivotButton="0" quotePrefix="0" xfId="0"/>
    <xf numFmtId="171" fontId="0" fillId="3" borderId="0" pivotButton="0" quotePrefix="0" xfId="0"/>
    <xf numFmtId="171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66" fontId="0" fillId="4" borderId="0" pivotButton="0" quotePrefix="0" xfId="0"/>
    <xf numFmtId="169" fontId="0" fillId="0" borderId="2" pivotButton="0" quotePrefix="0" xfId="0"/>
    <xf numFmtId="170" fontId="0" fillId="0" borderId="2" pivotButton="0" quotePrefix="0" xfId="0"/>
    <xf numFmtId="0" fontId="0" fillId="0" borderId="2" pivotButton="0" quotePrefix="0" xfId="0"/>
    <xf numFmtId="164" fontId="0" fillId="3" borderId="2" pivotButton="0" quotePrefix="0" xfId="0"/>
    <xf numFmtId="3" fontId="0" fillId="3" borderId="2" pivotButton="0" quotePrefix="0" xfId="0"/>
    <xf numFmtId="167" fontId="0" fillId="3" borderId="2" pivotButton="0" quotePrefix="0" xfId="0"/>
    <xf numFmtId="171" fontId="0" fillId="3" borderId="2" pivotButton="0" quotePrefix="0" xfId="0"/>
    <xf numFmtId="171" fontId="0" fillId="4" borderId="2" pivotButton="0" quotePrefix="0" xfId="0"/>
    <xf numFmtId="164" fontId="0" fillId="4" borderId="2" pivotButton="0" quotePrefix="0" xfId="0"/>
    <xf numFmtId="165" fontId="0" fillId="4" borderId="2" pivotButton="0" quotePrefix="0" xfId="0"/>
    <xf numFmtId="166" fontId="0" fillId="4" borderId="2" pivotButton="0" quotePrefix="0" xfId="0"/>
    <xf numFmtId="164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17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70" fontId="4" fillId="5" borderId="3" pivotButton="0" quotePrefix="0" xfId="0"/>
    <xf numFmtId="0" fontId="4" fillId="5" borderId="3" pivotButton="0" quotePrefix="0" xfId="0"/>
    <xf numFmtId="164" fontId="4" fillId="5" borderId="3" pivotButton="0" quotePrefix="0" xfId="0"/>
    <xf numFmtId="3" fontId="4" fillId="5" borderId="3" pivotButton="0" quotePrefix="0" xfId="0"/>
    <xf numFmtId="167" fontId="4" fillId="5" borderId="3" pivotButton="0" quotePrefix="0" xfId="0"/>
    <xf numFmtId="171" fontId="4" fillId="5" borderId="3" pivotButton="0" quotePrefix="0" xfId="0"/>
    <xf numFmtId="165" fontId="4" fillId="5" borderId="3" pivotButton="0" quotePrefix="0" xfId="0"/>
    <xf numFmtId="166" fontId="4" fillId="5" borderId="3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169" fontId="0" fillId="0" borderId="1" pivotButton="0" quotePrefix="0" xfId="0"/>
    <xf numFmtId="0" fontId="5" fillId="0" borderId="0" pivotButton="0" quotePrefix="0" xfId="0"/>
    <xf numFmtId="0" fontId="4" fillId="7" borderId="1" pivotButton="0" quotePrefix="0" xfId="0"/>
    <xf numFmtId="0" fontId="0" fillId="7" borderId="1" pivotButton="0" quotePrefix="0" xfId="0"/>
    <xf numFmtId="169" fontId="0" fillId="3" borderId="1" pivotButton="0" quotePrefix="0" xfId="0"/>
    <xf numFmtId="0" fontId="4" fillId="8" borderId="1" pivotButton="0" quotePrefix="0" xfId="0"/>
    <xf numFmtId="0" fontId="0" fillId="8" borderId="1" pivotButton="0" quotePrefix="0" xfId="0"/>
    <xf numFmtId="0" fontId="4" fillId="9" borderId="1" pivotButton="0" quotePrefix="0" xfId="0"/>
    <xf numFmtId="0" fontId="0" fillId="9" borderId="1" pivotButton="0" quotePrefix="0" xfId="0"/>
    <xf numFmtId="0" fontId="0" fillId="0" borderId="1" pivotButton="0" quotePrefix="0" xfId="0"/>
    <xf numFmtId="164" fontId="0" fillId="0" borderId="1" pivotButton="0" quotePrefix="0" xfId="0"/>
    <xf numFmtId="167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71" fontId="0" fillId="0" borderId="1" pivotButton="0" quotePrefix="0" xfId="0"/>
    <xf numFmtId="166" fontId="0" fillId="0" borderId="1" pivotButton="0" quotePrefix="0" xfId="0"/>
    <xf numFmtId="0" fontId="4" fillId="5" borderId="1" pivotButton="0" quotePrefix="0" xfId="0"/>
    <xf numFmtId="164" fontId="4" fillId="5" borderId="1" pivotButton="0" quotePrefix="0" xfId="0"/>
    <xf numFmtId="167" fontId="4" fillId="5" borderId="1" pivotButton="0" quotePrefix="0" xfId="0"/>
    <xf numFmtId="3" fontId="4" fillId="5" borderId="1" pivotButton="0" quotePrefix="0" xfId="0"/>
    <xf numFmtId="165" fontId="4" fillId="5" borderId="1" pivotButton="0" quotePrefix="0" xfId="0"/>
    <xf numFmtId="171" fontId="4" fillId="5" borderId="1" pivotButton="0" quotePrefix="0" xfId="0"/>
    <xf numFmtId="166" fontId="4" fillId="5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164" fontId="0" fillId="3" borderId="1" pivotButton="0" quotePrefix="0" xfId="0"/>
    <xf numFmtId="0" fontId="2" fillId="0" borderId="1" applyAlignment="1" pivotButton="0" quotePrefix="0" xfId="0">
      <alignment vertical="center" wrapText="1"/>
    </xf>
    <xf numFmtId="0" fontId="4" fillId="0" borderId="1" pivotButton="0" quotePrefix="0" xfId="0"/>
    <xf numFmtId="164" fontId="4" fillId="3" borderId="1" pivotButton="0" quotePrefix="0" xfId="0"/>
    <xf numFmtId="0" fontId="0" fillId="0" borderId="0" applyAlignment="1" pivotButton="0" quotePrefix="0" xfId="0">
      <alignment vertical="center" wrapText="1"/>
    </xf>
    <xf numFmtId="165" fontId="0" fillId="3" borderId="1" pivotButton="0" quotePrefix="0" xfId="0"/>
    <xf numFmtId="164" fontId="0" fillId="4" borderId="1" pivotButton="0" quotePrefix="0" xfId="0"/>
    <xf numFmtId="166" fontId="0" fillId="3" borderId="1" pivotButton="0" quotePrefix="0" xfId="0"/>
    <xf numFmtId="166" fontId="0" fillId="4" borderId="1" pivotButton="0" quotePrefix="0" xfId="0"/>
    <xf numFmtId="3" fontId="0" fillId="3" borderId="1" pivotButton="0" quotePrefix="0" xfId="0"/>
    <xf numFmtId="167" fontId="0" fillId="3" borderId="1" pivotButton="0" quotePrefix="0" xfId="0"/>
    <xf numFmtId="168" fontId="0" fillId="3" borderId="1" pivotButton="0" quotePrefix="0" xfId="0"/>
    <xf numFmtId="164" fontId="0" fillId="3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7F60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808080"/>
      </font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1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7" customWidth="1" min="3" max="3"/>
    <col width="20" customWidth="1" min="4" max="4"/>
    <col width="12" customWidth="1" min="5" max="5"/>
    <col width="12" customWidth="1" min="6" max="6"/>
    <col width="9" customWidth="1" min="7" max="7"/>
    <col width="14" customWidth="1" min="8" max="8"/>
    <col width="12" customWidth="1" min="9" max="9"/>
    <col width="13" customWidth="1" min="10" max="10"/>
    <col width="11" customWidth="1" min="11" max="11"/>
    <col width="11" customWidth="1" min="12" max="12"/>
    <col width="12" customWidth="1" min="13" max="13"/>
    <col width="10" customWidth="1" min="14" max="14"/>
    <col width="13" customWidth="1" min="15" max="15"/>
    <col width="9" customWidth="1" min="16" max="16"/>
    <col width="10" customWidth="1" min="17" max="17"/>
    <col width="11" customWidth="1" min="18" max="18"/>
    <col width="12" customWidth="1" min="19" max="19"/>
    <col width="11" customWidth="1" min="20" max="20"/>
    <col width="12" customWidth="1" min="21" max="21"/>
    <col width="12" customWidth="1" min="22" max="22"/>
    <col width="10" customWidth="1" min="23" max="23"/>
    <col width="13" customWidth="1" min="24" max="24"/>
    <col width="10" customWidth="1" min="25" max="25"/>
  </cols>
  <sheetData>
    <row r="1">
      <c r="A1" s="1" t="inlineStr">
        <is>
          <t>Saisie hebdomadaire — Google Ads × Notion</t>
        </is>
      </c>
    </row>
    <row r="2">
      <c r="A2" s="2" t="inlineStr">
        <is>
          <t>Chaque lundi : remplir les cellules jaunes de la semaine précédente (lundi au dimanche). Colonnes grises = calcul automatique, ne pas modifier. Le mois est celui du lundi de la semaine.</t>
        </is>
      </c>
    </row>
    <row r="3">
      <c r="A3" s="3" t="inlineStr">
        <is>
          <t>REPÈRES</t>
        </is>
      </c>
      <c r="B3" s="4" t="n"/>
      <c r="C3" s="4" t="n"/>
      <c r="D3" s="4" t="n"/>
      <c r="E3" s="5" t="inlineStr">
        <is>
          <t>SAISIE (cellules jaunes) — Google Ads : Coût → Part perdue · Notion : Leads → Valeur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7" t="inlineStr">
        <is>
          <t>CALCULS AUTOMATIQUES</t>
        </is>
      </c>
      <c r="Q3" s="8" t="n"/>
      <c r="R3" s="8" t="n"/>
      <c r="S3" s="8" t="n"/>
      <c r="T3" s="8" t="n"/>
      <c r="U3" s="8" t="n"/>
      <c r="V3" s="8" t="n"/>
      <c r="W3" s="8" t="n"/>
      <c r="X3" s="8" t="n"/>
      <c r="Y3" s="8" t="n"/>
    </row>
    <row r="4" ht="60" customHeight="1">
      <c r="A4" s="9" t="inlineStr">
        <is>
          <t>Semaine (lundi)</t>
        </is>
      </c>
      <c r="B4" s="9" t="inlineStr">
        <is>
          <t>Mois</t>
        </is>
      </c>
      <c r="C4" s="9" t="inlineStr">
        <is>
          <t>Campagne</t>
        </is>
      </c>
      <c r="D4" s="9" t="inlineStr">
        <is>
          <t>Remarque</t>
        </is>
      </c>
      <c r="E4" s="9" t="inlineStr">
        <is>
          <t>Coût</t>
        </is>
      </c>
      <c r="F4" s="9" t="inlineStr">
        <is>
          <t>Impressions</t>
        </is>
      </c>
      <c r="G4" s="9" t="inlineStr">
        <is>
          <t>Clics</t>
        </is>
      </c>
      <c r="H4" s="9" t="inlineStr">
        <is>
          <t>Conversions Google (formulaire + appels)</t>
        </is>
      </c>
      <c r="I4" s="9" t="inlineStr">
        <is>
          <t>Part d'impr. perdue (budget) %</t>
        </is>
      </c>
      <c r="J4" s="9" t="inlineStr">
        <is>
          <t>Part d'impr. perdue (classement) %</t>
        </is>
      </c>
      <c r="K4" s="9" t="inlineStr">
        <is>
          <t>Leads reçus (Notion)</t>
        </is>
      </c>
      <c r="L4" s="9" t="inlineStr">
        <is>
          <t>Leads qualifiés A/B/C</t>
        </is>
      </c>
      <c r="M4" s="9" t="inlineStr">
        <is>
          <t>Soumissions envoyées</t>
        </is>
      </c>
      <c r="N4" s="9" t="inlineStr">
        <is>
          <t>Contrats gagnés</t>
        </is>
      </c>
      <c r="O4" s="9" t="inlineStr">
        <is>
          <t>Valeur des contrats $</t>
        </is>
      </c>
      <c r="P4" s="9" t="inlineStr">
        <is>
          <t>CTR</t>
        </is>
      </c>
      <c r="Q4" s="9" t="inlineStr">
        <is>
          <t>CPC moyen</t>
        </is>
      </c>
      <c r="R4" s="9" t="inlineStr">
        <is>
          <t>Taux de conversion</t>
        </is>
      </c>
      <c r="S4" s="9" t="inlineStr">
        <is>
          <t>CPA Google (coût ÷ conv.)</t>
        </is>
      </c>
      <c r="T4" s="9" t="inlineStr">
        <is>
          <t>Coût par lead</t>
        </is>
      </c>
      <c r="U4" s="9" t="inlineStr">
        <is>
          <t>Coût par lead qualifié</t>
        </is>
      </c>
      <c r="V4" s="9" t="inlineStr">
        <is>
          <t>Coût par contrat</t>
        </is>
      </c>
      <c r="W4" s="9" t="inlineStr">
        <is>
          <t>% qualifiés</t>
        </is>
      </c>
      <c r="X4" s="9" t="inlineStr">
        <is>
          <t>Taux de conclusion (contrats ÷ soumissions)</t>
        </is>
      </c>
      <c r="Y4" s="9" t="inlineStr">
        <is>
          <t>ROAS (valeur ÷ coût)</t>
        </is>
      </c>
    </row>
    <row r="5">
      <c r="A5" s="10" t="n">
        <v>46307</v>
      </c>
      <c r="B5" s="11">
        <f>DATE(YEAR(A5),MONTH(A5),1)</f>
        <v/>
      </c>
      <c r="C5" t="inlineStr">
        <is>
          <t>S-FR | Marque</t>
        </is>
      </c>
      <c r="D5" s="12" t="inlineStr">
        <is>
          <t>EXEMPLE — à effacer</t>
        </is>
      </c>
      <c r="E5" s="13" t="n">
        <v>45.3</v>
      </c>
      <c r="F5" s="14" t="n">
        <v>210</v>
      </c>
      <c r="G5" s="14" t="n">
        <v>38</v>
      </c>
      <c r="H5" s="15" t="n">
        <v>6</v>
      </c>
      <c r="I5" s="16" t="n">
        <v>0</v>
      </c>
      <c r="J5" s="16" t="n">
        <v>0.12</v>
      </c>
      <c r="K5" s="14" t="n">
        <v>5</v>
      </c>
      <c r="L5" s="14" t="n">
        <v>4</v>
      </c>
      <c r="M5" s="14" t="n">
        <v>3</v>
      </c>
      <c r="N5" s="14" t="n">
        <v>1</v>
      </c>
      <c r="O5" s="13" t="n">
        <v>1995</v>
      </c>
      <c r="P5" s="17">
        <f>IF(N(F5)=0,"",G5/F5)</f>
        <v/>
      </c>
      <c r="Q5" s="18">
        <f>IF(N(G5)=0,"",E5/G5)</f>
        <v/>
      </c>
      <c r="R5" s="17">
        <f>IF(N(G5)=0,"",H5/G5)</f>
        <v/>
      </c>
      <c r="S5" s="18">
        <f>IF(N(H5)=0,"",E5/H5)</f>
        <v/>
      </c>
      <c r="T5" s="18">
        <f>IF(N(K5)=0,"",E5/K5)</f>
        <v/>
      </c>
      <c r="U5" s="18">
        <f>IF(N(L5)=0,"",E5/L5)</f>
        <v/>
      </c>
      <c r="V5" s="18">
        <f>IF(N(N5)=0,"",E5/N5)</f>
        <v/>
      </c>
      <c r="W5" s="19">
        <f>IF(N(K5)=0,"",L5/K5)</f>
        <v/>
      </c>
      <c r="X5" s="19">
        <f>IF(N(M5)=0,"",N5/M5)</f>
        <v/>
      </c>
      <c r="Y5" s="20">
        <f>IF(N(E5)=0,"",O5/E5)</f>
        <v/>
      </c>
    </row>
    <row r="6">
      <c r="A6" s="10" t="n">
        <v>46307</v>
      </c>
      <c r="B6" s="11">
        <f>DATE(YEAR(A6),MONTH(A6),1)</f>
        <v/>
      </c>
      <c r="C6" t="inlineStr">
        <is>
          <t>S-FR | Corporatif &amp; Fêtes</t>
        </is>
      </c>
      <c r="D6" s="12" t="inlineStr">
        <is>
          <t>EXEMPLE — à effacer</t>
        </is>
      </c>
      <c r="E6" s="13" t="n">
        <v>612.4</v>
      </c>
      <c r="F6" s="14" t="n">
        <v>3150</v>
      </c>
      <c r="G6" s="14" t="n">
        <v>168</v>
      </c>
      <c r="H6" s="15" t="n">
        <v>9</v>
      </c>
      <c r="I6" s="16" t="n">
        <v>0.05</v>
      </c>
      <c r="J6" s="16" t="n">
        <v>0.38</v>
      </c>
      <c r="K6" s="14" t="n">
        <v>8</v>
      </c>
      <c r="L6" s="14" t="n">
        <v>5</v>
      </c>
      <c r="M6" s="14" t="n">
        <v>4</v>
      </c>
      <c r="N6" s="14" t="n">
        <v>1</v>
      </c>
      <c r="O6" s="13" t="n">
        <v>2495</v>
      </c>
      <c r="P6" s="17">
        <f>IF(N(F6)=0,"",G6/F6)</f>
        <v/>
      </c>
      <c r="Q6" s="18">
        <f>IF(N(G6)=0,"",E6/G6)</f>
        <v/>
      </c>
      <c r="R6" s="17">
        <f>IF(N(G6)=0,"",H6/G6)</f>
        <v/>
      </c>
      <c r="S6" s="18">
        <f>IF(N(H6)=0,"",E6/H6)</f>
        <v/>
      </c>
      <c r="T6" s="18">
        <f>IF(N(K6)=0,"",E6/K6)</f>
        <v/>
      </c>
      <c r="U6" s="18">
        <f>IF(N(L6)=0,"",E6/L6)</f>
        <v/>
      </c>
      <c r="V6" s="18">
        <f>IF(N(N6)=0,"",E6/N6)</f>
        <v/>
      </c>
      <c r="W6" s="19">
        <f>IF(N(K6)=0,"",L6/K6)</f>
        <v/>
      </c>
      <c r="X6" s="19">
        <f>IF(N(M6)=0,"",N6/M6)</f>
        <v/>
      </c>
      <c r="Y6" s="20">
        <f>IF(N(E6)=0,"",O6/E6)</f>
        <v/>
      </c>
    </row>
    <row r="7">
      <c r="A7" s="10" t="n">
        <v>46307</v>
      </c>
      <c r="B7" s="11">
        <f>DATE(YEAR(A7),MONTH(A7),1)</f>
        <v/>
      </c>
      <c r="C7" t="inlineStr">
        <is>
          <t>S-FR | Événements privés</t>
        </is>
      </c>
      <c r="E7" s="13" t="n"/>
      <c r="F7" s="14" t="n"/>
      <c r="G7" s="14" t="n"/>
      <c r="H7" s="15" t="n"/>
      <c r="I7" s="16" t="n"/>
      <c r="J7" s="16" t="n"/>
      <c r="K7" s="14" t="n"/>
      <c r="L7" s="14" t="n"/>
      <c r="M7" s="14" t="n"/>
      <c r="N7" s="14" t="n"/>
      <c r="O7" s="13" t="n"/>
      <c r="P7" s="17">
        <f>IF(N(F7)=0,"",G7/F7)</f>
        <v/>
      </c>
      <c r="Q7" s="18">
        <f>IF(N(G7)=0,"",E7/G7)</f>
        <v/>
      </c>
      <c r="R7" s="17">
        <f>IF(N(G7)=0,"",H7/G7)</f>
        <v/>
      </c>
      <c r="S7" s="18">
        <f>IF(N(H7)=0,"",E7/H7)</f>
        <v/>
      </c>
      <c r="T7" s="18">
        <f>IF(N(K7)=0,"",E7/K7)</f>
        <v/>
      </c>
      <c r="U7" s="18">
        <f>IF(N(L7)=0,"",E7/L7)</f>
        <v/>
      </c>
      <c r="V7" s="18">
        <f>IF(N(N7)=0,"",E7/N7)</f>
        <v/>
      </c>
      <c r="W7" s="19">
        <f>IF(N(K7)=0,"",L7/K7)</f>
        <v/>
      </c>
      <c r="X7" s="19">
        <f>IF(N(M7)=0,"",N7/M7)</f>
        <v/>
      </c>
      <c r="Y7" s="20">
        <f>IF(N(E7)=0,"",O7/E7)</f>
        <v/>
      </c>
    </row>
    <row r="8">
      <c r="A8" s="10" t="n">
        <v>46307</v>
      </c>
      <c r="B8" s="11">
        <f>DATE(YEAR(A8),MONTH(A8),1)</f>
        <v/>
      </c>
      <c r="C8" t="inlineStr">
        <is>
          <t>S-EN | Corporate Montréal</t>
        </is>
      </c>
      <c r="E8" s="13" t="n"/>
      <c r="F8" s="14" t="n"/>
      <c r="G8" s="14" t="n"/>
      <c r="H8" s="15" t="n"/>
      <c r="I8" s="16" t="n"/>
      <c r="J8" s="16" t="n"/>
      <c r="K8" s="14" t="n"/>
      <c r="L8" s="14" t="n"/>
      <c r="M8" s="14" t="n"/>
      <c r="N8" s="14" t="n"/>
      <c r="O8" s="13" t="n"/>
      <c r="P8" s="17">
        <f>IF(N(F8)=0,"",G8/F8)</f>
        <v/>
      </c>
      <c r="Q8" s="18">
        <f>IF(N(G8)=0,"",E8/G8)</f>
        <v/>
      </c>
      <c r="R8" s="17">
        <f>IF(N(G8)=0,"",H8/G8)</f>
        <v/>
      </c>
      <c r="S8" s="18">
        <f>IF(N(H8)=0,"",E8/H8)</f>
        <v/>
      </c>
      <c r="T8" s="18">
        <f>IF(N(K8)=0,"",E8/K8)</f>
        <v/>
      </c>
      <c r="U8" s="18">
        <f>IF(N(L8)=0,"",E8/L8)</f>
        <v/>
      </c>
      <c r="V8" s="18">
        <f>IF(N(N8)=0,"",E8/N8)</f>
        <v/>
      </c>
      <c r="W8" s="19">
        <f>IF(N(K8)=0,"",L8/K8)</f>
        <v/>
      </c>
      <c r="X8" s="19">
        <f>IF(N(M8)=0,"",N8/M8)</f>
        <v/>
      </c>
      <c r="Y8" s="20">
        <f>IF(N(E8)=0,"",O8/E8)</f>
        <v/>
      </c>
    </row>
    <row r="9">
      <c r="A9" s="10" t="n">
        <v>46307</v>
      </c>
      <c r="B9" s="11">
        <f>DATE(YEAR(A9),MONTH(A9),1)</f>
        <v/>
      </c>
      <c r="C9" t="inlineStr">
        <is>
          <t>S-FR | Québec-Lévis (test)</t>
        </is>
      </c>
      <c r="E9" s="13" t="n"/>
      <c r="F9" s="14" t="n"/>
      <c r="G9" s="14" t="n"/>
      <c r="H9" s="15" t="n"/>
      <c r="I9" s="16" t="n"/>
      <c r="J9" s="16" t="n"/>
      <c r="K9" s="14" t="n"/>
      <c r="L9" s="14" t="n"/>
      <c r="M9" s="14" t="n"/>
      <c r="N9" s="14" t="n"/>
      <c r="O9" s="13" t="n"/>
      <c r="P9" s="17">
        <f>IF(N(F9)=0,"",G9/F9)</f>
        <v/>
      </c>
      <c r="Q9" s="18">
        <f>IF(N(G9)=0,"",E9/G9)</f>
        <v/>
      </c>
      <c r="R9" s="17">
        <f>IF(N(G9)=0,"",H9/G9)</f>
        <v/>
      </c>
      <c r="S9" s="18">
        <f>IF(N(H9)=0,"",E9/H9)</f>
        <v/>
      </c>
      <c r="T9" s="18">
        <f>IF(N(K9)=0,"",E9/K9)</f>
        <v/>
      </c>
      <c r="U9" s="18">
        <f>IF(N(L9)=0,"",E9/L9)</f>
        <v/>
      </c>
      <c r="V9" s="18">
        <f>IF(N(N9)=0,"",E9/N9)</f>
        <v/>
      </c>
      <c r="W9" s="19">
        <f>IF(N(K9)=0,"",L9/K9)</f>
        <v/>
      </c>
      <c r="X9" s="19">
        <f>IF(N(M9)=0,"",N9/M9)</f>
        <v/>
      </c>
      <c r="Y9" s="20">
        <f>IF(N(E9)=0,"",O9/E9)</f>
        <v/>
      </c>
    </row>
    <row r="10">
      <c r="A10" s="10" t="n">
        <v>46307</v>
      </c>
      <c r="B10" s="11">
        <f>DATE(YEAR(A10),MONTH(A10),1)</f>
        <v/>
      </c>
      <c r="C10" t="inlineStr">
        <is>
          <t>Demand Gen</t>
        </is>
      </c>
      <c r="E10" s="13" t="n"/>
      <c r="F10" s="14" t="n"/>
      <c r="G10" s="14" t="n"/>
      <c r="H10" s="15" t="n"/>
      <c r="I10" s="16" t="n"/>
      <c r="J10" s="16" t="n"/>
      <c r="K10" s="14" t="n"/>
      <c r="L10" s="14" t="n"/>
      <c r="M10" s="14" t="n"/>
      <c r="N10" s="14" t="n"/>
      <c r="O10" s="13" t="n"/>
      <c r="P10" s="17">
        <f>IF(N(F10)=0,"",G10/F10)</f>
        <v/>
      </c>
      <c r="Q10" s="18">
        <f>IF(N(G10)=0,"",E10/G10)</f>
        <v/>
      </c>
      <c r="R10" s="17">
        <f>IF(N(G10)=0,"",H10/G10)</f>
        <v/>
      </c>
      <c r="S10" s="18">
        <f>IF(N(H10)=0,"",E10/H10)</f>
        <v/>
      </c>
      <c r="T10" s="18">
        <f>IF(N(K10)=0,"",E10/K10)</f>
        <v/>
      </c>
      <c r="U10" s="18">
        <f>IF(N(L10)=0,"",E10/L10)</f>
        <v/>
      </c>
      <c r="V10" s="18">
        <f>IF(N(N10)=0,"",E10/N10)</f>
        <v/>
      </c>
      <c r="W10" s="19">
        <f>IF(N(K10)=0,"",L10/K10)</f>
        <v/>
      </c>
      <c r="X10" s="19">
        <f>IF(N(M10)=0,"",N10/M10)</f>
        <v/>
      </c>
      <c r="Y10" s="20">
        <f>IF(N(E10)=0,"",O10/E10)</f>
        <v/>
      </c>
    </row>
    <row r="11">
      <c r="A11" s="21" t="n">
        <v>46307</v>
      </c>
      <c r="B11" s="22">
        <f>DATE(YEAR(A11),MONTH(A11),1)</f>
        <v/>
      </c>
      <c r="C11" s="23" t="inlineStr">
        <is>
          <t>Microsoft Ads</t>
        </is>
      </c>
      <c r="D11" s="23" t="n"/>
      <c r="E11" s="24" t="n"/>
      <c r="F11" s="25" t="n"/>
      <c r="G11" s="25" t="n"/>
      <c r="H11" s="26" t="n"/>
      <c r="I11" s="27" t="n"/>
      <c r="J11" s="27" t="n"/>
      <c r="K11" s="25" t="n"/>
      <c r="L11" s="25" t="n"/>
      <c r="M11" s="25" t="n"/>
      <c r="N11" s="25" t="n"/>
      <c r="O11" s="24" t="n"/>
      <c r="P11" s="28">
        <f>IF(N(F11)=0,"",G11/F11)</f>
        <v/>
      </c>
      <c r="Q11" s="29">
        <f>IF(N(G11)=0,"",E11/G11)</f>
        <v/>
      </c>
      <c r="R11" s="28">
        <f>IF(N(G11)=0,"",H11/G11)</f>
        <v/>
      </c>
      <c r="S11" s="29">
        <f>IF(N(H11)=0,"",E11/H11)</f>
        <v/>
      </c>
      <c r="T11" s="29">
        <f>IF(N(K11)=0,"",E11/K11)</f>
        <v/>
      </c>
      <c r="U11" s="29">
        <f>IF(N(L11)=0,"",E11/L11)</f>
        <v/>
      </c>
      <c r="V11" s="29">
        <f>IF(N(N11)=0,"",E11/N11)</f>
        <v/>
      </c>
      <c r="W11" s="30">
        <f>IF(N(K11)=0,"",L11/K11)</f>
        <v/>
      </c>
      <c r="X11" s="30">
        <f>IF(N(M11)=0,"",N11/M11)</f>
        <v/>
      </c>
      <c r="Y11" s="31">
        <f>IF(N(E11)=0,"",O11/E11)</f>
        <v/>
      </c>
    </row>
    <row r="12">
      <c r="A12" s="10" t="n">
        <v>46314</v>
      </c>
      <c r="B12" s="11">
        <f>DATE(YEAR(A12),MONTH(A12),1)</f>
        <v/>
      </c>
      <c r="C12" t="inlineStr">
        <is>
          <t>S-FR | Marque</t>
        </is>
      </c>
      <c r="E12" s="13" t="n"/>
      <c r="F12" s="14" t="n"/>
      <c r="G12" s="14" t="n"/>
      <c r="H12" s="15" t="n"/>
      <c r="I12" s="16" t="n"/>
      <c r="J12" s="16" t="n"/>
      <c r="K12" s="14" t="n"/>
      <c r="L12" s="14" t="n"/>
      <c r="M12" s="14" t="n"/>
      <c r="N12" s="14" t="n"/>
      <c r="O12" s="13" t="n"/>
      <c r="P12" s="17">
        <f>IF(N(F12)=0,"",G12/F12)</f>
        <v/>
      </c>
      <c r="Q12" s="18">
        <f>IF(N(G12)=0,"",E12/G12)</f>
        <v/>
      </c>
      <c r="R12" s="17">
        <f>IF(N(G12)=0,"",H12/G12)</f>
        <v/>
      </c>
      <c r="S12" s="18">
        <f>IF(N(H12)=0,"",E12/H12)</f>
        <v/>
      </c>
      <c r="T12" s="18">
        <f>IF(N(K12)=0,"",E12/K12)</f>
        <v/>
      </c>
      <c r="U12" s="18">
        <f>IF(N(L12)=0,"",E12/L12)</f>
        <v/>
      </c>
      <c r="V12" s="18">
        <f>IF(N(N12)=0,"",E12/N12)</f>
        <v/>
      </c>
      <c r="W12" s="19">
        <f>IF(N(K12)=0,"",L12/K12)</f>
        <v/>
      </c>
      <c r="X12" s="19">
        <f>IF(N(M12)=0,"",N12/M12)</f>
        <v/>
      </c>
      <c r="Y12" s="20">
        <f>IF(N(E12)=0,"",O12/E12)</f>
        <v/>
      </c>
    </row>
    <row r="13">
      <c r="A13" s="10" t="n">
        <v>46314</v>
      </c>
      <c r="B13" s="11">
        <f>DATE(YEAR(A13),MONTH(A13),1)</f>
        <v/>
      </c>
      <c r="C13" t="inlineStr">
        <is>
          <t>S-FR | Corporatif &amp; Fêtes</t>
        </is>
      </c>
      <c r="E13" s="13" t="n"/>
      <c r="F13" s="14" t="n"/>
      <c r="G13" s="14" t="n"/>
      <c r="H13" s="15" t="n"/>
      <c r="I13" s="16" t="n"/>
      <c r="J13" s="16" t="n"/>
      <c r="K13" s="14" t="n"/>
      <c r="L13" s="14" t="n"/>
      <c r="M13" s="14" t="n"/>
      <c r="N13" s="14" t="n"/>
      <c r="O13" s="13" t="n"/>
      <c r="P13" s="17">
        <f>IF(N(F13)=0,"",G13/F13)</f>
        <v/>
      </c>
      <c r="Q13" s="18">
        <f>IF(N(G13)=0,"",E13/G13)</f>
        <v/>
      </c>
      <c r="R13" s="17">
        <f>IF(N(G13)=0,"",H13/G13)</f>
        <v/>
      </c>
      <c r="S13" s="18">
        <f>IF(N(H13)=0,"",E13/H13)</f>
        <v/>
      </c>
      <c r="T13" s="18">
        <f>IF(N(K13)=0,"",E13/K13)</f>
        <v/>
      </c>
      <c r="U13" s="18">
        <f>IF(N(L13)=0,"",E13/L13)</f>
        <v/>
      </c>
      <c r="V13" s="18">
        <f>IF(N(N13)=0,"",E13/N13)</f>
        <v/>
      </c>
      <c r="W13" s="19">
        <f>IF(N(K13)=0,"",L13/K13)</f>
        <v/>
      </c>
      <c r="X13" s="19">
        <f>IF(N(M13)=0,"",N13/M13)</f>
        <v/>
      </c>
      <c r="Y13" s="20">
        <f>IF(N(E13)=0,"",O13/E13)</f>
        <v/>
      </c>
    </row>
    <row r="14">
      <c r="A14" s="10" t="n">
        <v>46314</v>
      </c>
      <c r="B14" s="11">
        <f>DATE(YEAR(A14),MONTH(A14),1)</f>
        <v/>
      </c>
      <c r="C14" t="inlineStr">
        <is>
          <t>S-FR | Événements privés</t>
        </is>
      </c>
      <c r="E14" s="13" t="n"/>
      <c r="F14" s="14" t="n"/>
      <c r="G14" s="14" t="n"/>
      <c r="H14" s="15" t="n"/>
      <c r="I14" s="16" t="n"/>
      <c r="J14" s="16" t="n"/>
      <c r="K14" s="14" t="n"/>
      <c r="L14" s="14" t="n"/>
      <c r="M14" s="14" t="n"/>
      <c r="N14" s="14" t="n"/>
      <c r="O14" s="13" t="n"/>
      <c r="P14" s="17">
        <f>IF(N(F14)=0,"",G14/F14)</f>
        <v/>
      </c>
      <c r="Q14" s="18">
        <f>IF(N(G14)=0,"",E14/G14)</f>
        <v/>
      </c>
      <c r="R14" s="17">
        <f>IF(N(G14)=0,"",H14/G14)</f>
        <v/>
      </c>
      <c r="S14" s="18">
        <f>IF(N(H14)=0,"",E14/H14)</f>
        <v/>
      </c>
      <c r="T14" s="18">
        <f>IF(N(K14)=0,"",E14/K14)</f>
        <v/>
      </c>
      <c r="U14" s="18">
        <f>IF(N(L14)=0,"",E14/L14)</f>
        <v/>
      </c>
      <c r="V14" s="18">
        <f>IF(N(N14)=0,"",E14/N14)</f>
        <v/>
      </c>
      <c r="W14" s="19">
        <f>IF(N(K14)=0,"",L14/K14)</f>
        <v/>
      </c>
      <c r="X14" s="19">
        <f>IF(N(M14)=0,"",N14/M14)</f>
        <v/>
      </c>
      <c r="Y14" s="20">
        <f>IF(N(E14)=0,"",O14/E14)</f>
        <v/>
      </c>
    </row>
    <row r="15">
      <c r="A15" s="10" t="n">
        <v>46314</v>
      </c>
      <c r="B15" s="11">
        <f>DATE(YEAR(A15),MONTH(A15),1)</f>
        <v/>
      </c>
      <c r="C15" t="inlineStr">
        <is>
          <t>S-EN | Corporate Montréal</t>
        </is>
      </c>
      <c r="E15" s="13" t="n"/>
      <c r="F15" s="14" t="n"/>
      <c r="G15" s="14" t="n"/>
      <c r="H15" s="15" t="n"/>
      <c r="I15" s="16" t="n"/>
      <c r="J15" s="16" t="n"/>
      <c r="K15" s="14" t="n"/>
      <c r="L15" s="14" t="n"/>
      <c r="M15" s="14" t="n"/>
      <c r="N15" s="14" t="n"/>
      <c r="O15" s="13" t="n"/>
      <c r="P15" s="17">
        <f>IF(N(F15)=0,"",G15/F15)</f>
        <v/>
      </c>
      <c r="Q15" s="18">
        <f>IF(N(G15)=0,"",E15/G15)</f>
        <v/>
      </c>
      <c r="R15" s="17">
        <f>IF(N(G15)=0,"",H15/G15)</f>
        <v/>
      </c>
      <c r="S15" s="18">
        <f>IF(N(H15)=0,"",E15/H15)</f>
        <v/>
      </c>
      <c r="T15" s="18">
        <f>IF(N(K15)=0,"",E15/K15)</f>
        <v/>
      </c>
      <c r="U15" s="18">
        <f>IF(N(L15)=0,"",E15/L15)</f>
        <v/>
      </c>
      <c r="V15" s="18">
        <f>IF(N(N15)=0,"",E15/N15)</f>
        <v/>
      </c>
      <c r="W15" s="19">
        <f>IF(N(K15)=0,"",L15/K15)</f>
        <v/>
      </c>
      <c r="X15" s="19">
        <f>IF(N(M15)=0,"",N15/M15)</f>
        <v/>
      </c>
      <c r="Y15" s="20">
        <f>IF(N(E15)=0,"",O15/E15)</f>
        <v/>
      </c>
    </row>
    <row r="16">
      <c r="A16" s="10" t="n">
        <v>46314</v>
      </c>
      <c r="B16" s="11">
        <f>DATE(YEAR(A16),MONTH(A16),1)</f>
        <v/>
      </c>
      <c r="C16" t="inlineStr">
        <is>
          <t>S-FR | Québec-Lévis (test)</t>
        </is>
      </c>
      <c r="E16" s="13" t="n"/>
      <c r="F16" s="14" t="n"/>
      <c r="G16" s="14" t="n"/>
      <c r="H16" s="15" t="n"/>
      <c r="I16" s="16" t="n"/>
      <c r="J16" s="16" t="n"/>
      <c r="K16" s="14" t="n"/>
      <c r="L16" s="14" t="n"/>
      <c r="M16" s="14" t="n"/>
      <c r="N16" s="14" t="n"/>
      <c r="O16" s="13" t="n"/>
      <c r="P16" s="17">
        <f>IF(N(F16)=0,"",G16/F16)</f>
        <v/>
      </c>
      <c r="Q16" s="18">
        <f>IF(N(G16)=0,"",E16/G16)</f>
        <v/>
      </c>
      <c r="R16" s="17">
        <f>IF(N(G16)=0,"",H16/G16)</f>
        <v/>
      </c>
      <c r="S16" s="18">
        <f>IF(N(H16)=0,"",E16/H16)</f>
        <v/>
      </c>
      <c r="T16" s="18">
        <f>IF(N(K16)=0,"",E16/K16)</f>
        <v/>
      </c>
      <c r="U16" s="18">
        <f>IF(N(L16)=0,"",E16/L16)</f>
        <v/>
      </c>
      <c r="V16" s="18">
        <f>IF(N(N16)=0,"",E16/N16)</f>
        <v/>
      </c>
      <c r="W16" s="19">
        <f>IF(N(K16)=0,"",L16/K16)</f>
        <v/>
      </c>
      <c r="X16" s="19">
        <f>IF(N(M16)=0,"",N16/M16)</f>
        <v/>
      </c>
      <c r="Y16" s="20">
        <f>IF(N(E16)=0,"",O16/E16)</f>
        <v/>
      </c>
    </row>
    <row r="17">
      <c r="A17" s="10" t="n">
        <v>46314</v>
      </c>
      <c r="B17" s="11">
        <f>DATE(YEAR(A17),MONTH(A17),1)</f>
        <v/>
      </c>
      <c r="C17" t="inlineStr">
        <is>
          <t>Demand Gen</t>
        </is>
      </c>
      <c r="E17" s="13" t="n"/>
      <c r="F17" s="14" t="n"/>
      <c r="G17" s="14" t="n"/>
      <c r="H17" s="15" t="n"/>
      <c r="I17" s="16" t="n"/>
      <c r="J17" s="16" t="n"/>
      <c r="K17" s="14" t="n"/>
      <c r="L17" s="14" t="n"/>
      <c r="M17" s="14" t="n"/>
      <c r="N17" s="14" t="n"/>
      <c r="O17" s="13" t="n"/>
      <c r="P17" s="17">
        <f>IF(N(F17)=0,"",G17/F17)</f>
        <v/>
      </c>
      <c r="Q17" s="18">
        <f>IF(N(G17)=0,"",E17/G17)</f>
        <v/>
      </c>
      <c r="R17" s="17">
        <f>IF(N(G17)=0,"",H17/G17)</f>
        <v/>
      </c>
      <c r="S17" s="18">
        <f>IF(N(H17)=0,"",E17/H17)</f>
        <v/>
      </c>
      <c r="T17" s="18">
        <f>IF(N(K17)=0,"",E17/K17)</f>
        <v/>
      </c>
      <c r="U17" s="18">
        <f>IF(N(L17)=0,"",E17/L17)</f>
        <v/>
      </c>
      <c r="V17" s="18">
        <f>IF(N(N17)=0,"",E17/N17)</f>
        <v/>
      </c>
      <c r="W17" s="19">
        <f>IF(N(K17)=0,"",L17/K17)</f>
        <v/>
      </c>
      <c r="X17" s="19">
        <f>IF(N(M17)=0,"",N17/M17)</f>
        <v/>
      </c>
      <c r="Y17" s="20">
        <f>IF(N(E17)=0,"",O17/E17)</f>
        <v/>
      </c>
    </row>
    <row r="18">
      <c r="A18" s="21" t="n">
        <v>46314</v>
      </c>
      <c r="B18" s="22">
        <f>DATE(YEAR(A18),MONTH(A18),1)</f>
        <v/>
      </c>
      <c r="C18" s="23" t="inlineStr">
        <is>
          <t>Microsoft Ads</t>
        </is>
      </c>
      <c r="D18" s="23" t="n"/>
      <c r="E18" s="24" t="n"/>
      <c r="F18" s="25" t="n"/>
      <c r="G18" s="25" t="n"/>
      <c r="H18" s="26" t="n"/>
      <c r="I18" s="27" t="n"/>
      <c r="J18" s="27" t="n"/>
      <c r="K18" s="25" t="n"/>
      <c r="L18" s="25" t="n"/>
      <c r="M18" s="25" t="n"/>
      <c r="N18" s="25" t="n"/>
      <c r="O18" s="24" t="n"/>
      <c r="P18" s="28">
        <f>IF(N(F18)=0,"",G18/F18)</f>
        <v/>
      </c>
      <c r="Q18" s="29">
        <f>IF(N(G18)=0,"",E18/G18)</f>
        <v/>
      </c>
      <c r="R18" s="28">
        <f>IF(N(G18)=0,"",H18/G18)</f>
        <v/>
      </c>
      <c r="S18" s="29">
        <f>IF(N(H18)=0,"",E18/H18)</f>
        <v/>
      </c>
      <c r="T18" s="29">
        <f>IF(N(K18)=0,"",E18/K18)</f>
        <v/>
      </c>
      <c r="U18" s="29">
        <f>IF(N(L18)=0,"",E18/L18)</f>
        <v/>
      </c>
      <c r="V18" s="29">
        <f>IF(N(N18)=0,"",E18/N18)</f>
        <v/>
      </c>
      <c r="W18" s="30">
        <f>IF(N(K18)=0,"",L18/K18)</f>
        <v/>
      </c>
      <c r="X18" s="30">
        <f>IF(N(M18)=0,"",N18/M18)</f>
        <v/>
      </c>
      <c r="Y18" s="31">
        <f>IF(N(E18)=0,"",O18/E18)</f>
        <v/>
      </c>
    </row>
    <row r="19">
      <c r="A19" s="10" t="n">
        <v>46321</v>
      </c>
      <c r="B19" s="11">
        <f>DATE(YEAR(A19),MONTH(A19),1)</f>
        <v/>
      </c>
      <c r="C19" t="inlineStr">
        <is>
          <t>S-FR | Marque</t>
        </is>
      </c>
      <c r="E19" s="13" t="n"/>
      <c r="F19" s="14" t="n"/>
      <c r="G19" s="14" t="n"/>
      <c r="H19" s="15" t="n"/>
      <c r="I19" s="16" t="n"/>
      <c r="J19" s="16" t="n"/>
      <c r="K19" s="14" t="n"/>
      <c r="L19" s="14" t="n"/>
      <c r="M19" s="14" t="n"/>
      <c r="N19" s="14" t="n"/>
      <c r="O19" s="13" t="n"/>
      <c r="P19" s="17">
        <f>IF(N(F19)=0,"",G19/F19)</f>
        <v/>
      </c>
      <c r="Q19" s="18">
        <f>IF(N(G19)=0,"",E19/G19)</f>
        <v/>
      </c>
      <c r="R19" s="17">
        <f>IF(N(G19)=0,"",H19/G19)</f>
        <v/>
      </c>
      <c r="S19" s="18">
        <f>IF(N(H19)=0,"",E19/H19)</f>
        <v/>
      </c>
      <c r="T19" s="18">
        <f>IF(N(K19)=0,"",E19/K19)</f>
        <v/>
      </c>
      <c r="U19" s="18">
        <f>IF(N(L19)=0,"",E19/L19)</f>
        <v/>
      </c>
      <c r="V19" s="18">
        <f>IF(N(N19)=0,"",E19/N19)</f>
        <v/>
      </c>
      <c r="W19" s="19">
        <f>IF(N(K19)=0,"",L19/K19)</f>
        <v/>
      </c>
      <c r="X19" s="19">
        <f>IF(N(M19)=0,"",N19/M19)</f>
        <v/>
      </c>
      <c r="Y19" s="20">
        <f>IF(N(E19)=0,"",O19/E19)</f>
        <v/>
      </c>
    </row>
    <row r="20">
      <c r="A20" s="10" t="n">
        <v>46321</v>
      </c>
      <c r="B20" s="11">
        <f>DATE(YEAR(A20),MONTH(A20),1)</f>
        <v/>
      </c>
      <c r="C20" t="inlineStr">
        <is>
          <t>S-FR | Corporatif &amp; Fêtes</t>
        </is>
      </c>
      <c r="E20" s="13" t="n"/>
      <c r="F20" s="14" t="n"/>
      <c r="G20" s="14" t="n"/>
      <c r="H20" s="15" t="n"/>
      <c r="I20" s="16" t="n"/>
      <c r="J20" s="16" t="n"/>
      <c r="K20" s="14" t="n"/>
      <c r="L20" s="14" t="n"/>
      <c r="M20" s="14" t="n"/>
      <c r="N20" s="14" t="n"/>
      <c r="O20" s="13" t="n"/>
      <c r="P20" s="17">
        <f>IF(N(F20)=0,"",G20/F20)</f>
        <v/>
      </c>
      <c r="Q20" s="18">
        <f>IF(N(G20)=0,"",E20/G20)</f>
        <v/>
      </c>
      <c r="R20" s="17">
        <f>IF(N(G20)=0,"",H20/G20)</f>
        <v/>
      </c>
      <c r="S20" s="18">
        <f>IF(N(H20)=0,"",E20/H20)</f>
        <v/>
      </c>
      <c r="T20" s="18">
        <f>IF(N(K20)=0,"",E20/K20)</f>
        <v/>
      </c>
      <c r="U20" s="18">
        <f>IF(N(L20)=0,"",E20/L20)</f>
        <v/>
      </c>
      <c r="V20" s="18">
        <f>IF(N(N20)=0,"",E20/N20)</f>
        <v/>
      </c>
      <c r="W20" s="19">
        <f>IF(N(K20)=0,"",L20/K20)</f>
        <v/>
      </c>
      <c r="X20" s="19">
        <f>IF(N(M20)=0,"",N20/M20)</f>
        <v/>
      </c>
      <c r="Y20" s="20">
        <f>IF(N(E20)=0,"",O20/E20)</f>
        <v/>
      </c>
    </row>
    <row r="21">
      <c r="A21" s="10" t="n">
        <v>46321</v>
      </c>
      <c r="B21" s="11">
        <f>DATE(YEAR(A21),MONTH(A21),1)</f>
        <v/>
      </c>
      <c r="C21" t="inlineStr">
        <is>
          <t>S-FR | Événements privés</t>
        </is>
      </c>
      <c r="E21" s="13" t="n"/>
      <c r="F21" s="14" t="n"/>
      <c r="G21" s="14" t="n"/>
      <c r="H21" s="15" t="n"/>
      <c r="I21" s="16" t="n"/>
      <c r="J21" s="16" t="n"/>
      <c r="K21" s="14" t="n"/>
      <c r="L21" s="14" t="n"/>
      <c r="M21" s="14" t="n"/>
      <c r="N21" s="14" t="n"/>
      <c r="O21" s="13" t="n"/>
      <c r="P21" s="17">
        <f>IF(N(F21)=0,"",G21/F21)</f>
        <v/>
      </c>
      <c r="Q21" s="18">
        <f>IF(N(G21)=0,"",E21/G21)</f>
        <v/>
      </c>
      <c r="R21" s="17">
        <f>IF(N(G21)=0,"",H21/G21)</f>
        <v/>
      </c>
      <c r="S21" s="18">
        <f>IF(N(H21)=0,"",E21/H21)</f>
        <v/>
      </c>
      <c r="T21" s="18">
        <f>IF(N(K21)=0,"",E21/K21)</f>
        <v/>
      </c>
      <c r="U21" s="18">
        <f>IF(N(L21)=0,"",E21/L21)</f>
        <v/>
      </c>
      <c r="V21" s="18">
        <f>IF(N(N21)=0,"",E21/N21)</f>
        <v/>
      </c>
      <c r="W21" s="19">
        <f>IF(N(K21)=0,"",L21/K21)</f>
        <v/>
      </c>
      <c r="X21" s="19">
        <f>IF(N(M21)=0,"",N21/M21)</f>
        <v/>
      </c>
      <c r="Y21" s="20">
        <f>IF(N(E21)=0,"",O21/E21)</f>
        <v/>
      </c>
    </row>
    <row r="22">
      <c r="A22" s="10" t="n">
        <v>46321</v>
      </c>
      <c r="B22" s="11">
        <f>DATE(YEAR(A22),MONTH(A22),1)</f>
        <v/>
      </c>
      <c r="C22" t="inlineStr">
        <is>
          <t>S-EN | Corporate Montréal</t>
        </is>
      </c>
      <c r="E22" s="13" t="n"/>
      <c r="F22" s="14" t="n"/>
      <c r="G22" s="14" t="n"/>
      <c r="H22" s="15" t="n"/>
      <c r="I22" s="16" t="n"/>
      <c r="J22" s="16" t="n"/>
      <c r="K22" s="14" t="n"/>
      <c r="L22" s="14" t="n"/>
      <c r="M22" s="14" t="n"/>
      <c r="N22" s="14" t="n"/>
      <c r="O22" s="13" t="n"/>
      <c r="P22" s="17">
        <f>IF(N(F22)=0,"",G22/F22)</f>
        <v/>
      </c>
      <c r="Q22" s="18">
        <f>IF(N(G22)=0,"",E22/G22)</f>
        <v/>
      </c>
      <c r="R22" s="17">
        <f>IF(N(G22)=0,"",H22/G22)</f>
        <v/>
      </c>
      <c r="S22" s="18">
        <f>IF(N(H22)=0,"",E22/H22)</f>
        <v/>
      </c>
      <c r="T22" s="18">
        <f>IF(N(K22)=0,"",E22/K22)</f>
        <v/>
      </c>
      <c r="U22" s="18">
        <f>IF(N(L22)=0,"",E22/L22)</f>
        <v/>
      </c>
      <c r="V22" s="18">
        <f>IF(N(N22)=0,"",E22/N22)</f>
        <v/>
      </c>
      <c r="W22" s="19">
        <f>IF(N(K22)=0,"",L22/K22)</f>
        <v/>
      </c>
      <c r="X22" s="19">
        <f>IF(N(M22)=0,"",N22/M22)</f>
        <v/>
      </c>
      <c r="Y22" s="20">
        <f>IF(N(E22)=0,"",O22/E22)</f>
        <v/>
      </c>
    </row>
    <row r="23">
      <c r="A23" s="10" t="n">
        <v>46321</v>
      </c>
      <c r="B23" s="11">
        <f>DATE(YEAR(A23),MONTH(A23),1)</f>
        <v/>
      </c>
      <c r="C23" t="inlineStr">
        <is>
          <t>S-FR | Québec-Lévis (test)</t>
        </is>
      </c>
      <c r="E23" s="13" t="n"/>
      <c r="F23" s="14" t="n"/>
      <c r="G23" s="14" t="n"/>
      <c r="H23" s="15" t="n"/>
      <c r="I23" s="16" t="n"/>
      <c r="J23" s="16" t="n"/>
      <c r="K23" s="14" t="n"/>
      <c r="L23" s="14" t="n"/>
      <c r="M23" s="14" t="n"/>
      <c r="N23" s="14" t="n"/>
      <c r="O23" s="13" t="n"/>
      <c r="P23" s="17">
        <f>IF(N(F23)=0,"",G23/F23)</f>
        <v/>
      </c>
      <c r="Q23" s="18">
        <f>IF(N(G23)=0,"",E23/G23)</f>
        <v/>
      </c>
      <c r="R23" s="17">
        <f>IF(N(G23)=0,"",H23/G23)</f>
        <v/>
      </c>
      <c r="S23" s="18">
        <f>IF(N(H23)=0,"",E23/H23)</f>
        <v/>
      </c>
      <c r="T23" s="18">
        <f>IF(N(K23)=0,"",E23/K23)</f>
        <v/>
      </c>
      <c r="U23" s="18">
        <f>IF(N(L23)=0,"",E23/L23)</f>
        <v/>
      </c>
      <c r="V23" s="18">
        <f>IF(N(N23)=0,"",E23/N23)</f>
        <v/>
      </c>
      <c r="W23" s="19">
        <f>IF(N(K23)=0,"",L23/K23)</f>
        <v/>
      </c>
      <c r="X23" s="19">
        <f>IF(N(M23)=0,"",N23/M23)</f>
        <v/>
      </c>
      <c r="Y23" s="20">
        <f>IF(N(E23)=0,"",O23/E23)</f>
        <v/>
      </c>
    </row>
    <row r="24">
      <c r="A24" s="10" t="n">
        <v>46321</v>
      </c>
      <c r="B24" s="11">
        <f>DATE(YEAR(A24),MONTH(A24),1)</f>
        <v/>
      </c>
      <c r="C24" t="inlineStr">
        <is>
          <t>Demand Gen</t>
        </is>
      </c>
      <c r="E24" s="13" t="n"/>
      <c r="F24" s="14" t="n"/>
      <c r="G24" s="14" t="n"/>
      <c r="H24" s="15" t="n"/>
      <c r="I24" s="16" t="n"/>
      <c r="J24" s="16" t="n"/>
      <c r="K24" s="14" t="n"/>
      <c r="L24" s="14" t="n"/>
      <c r="M24" s="14" t="n"/>
      <c r="N24" s="14" t="n"/>
      <c r="O24" s="13" t="n"/>
      <c r="P24" s="17">
        <f>IF(N(F24)=0,"",G24/F24)</f>
        <v/>
      </c>
      <c r="Q24" s="18">
        <f>IF(N(G24)=0,"",E24/G24)</f>
        <v/>
      </c>
      <c r="R24" s="17">
        <f>IF(N(G24)=0,"",H24/G24)</f>
        <v/>
      </c>
      <c r="S24" s="18">
        <f>IF(N(H24)=0,"",E24/H24)</f>
        <v/>
      </c>
      <c r="T24" s="18">
        <f>IF(N(K24)=0,"",E24/K24)</f>
        <v/>
      </c>
      <c r="U24" s="18">
        <f>IF(N(L24)=0,"",E24/L24)</f>
        <v/>
      </c>
      <c r="V24" s="18">
        <f>IF(N(N24)=0,"",E24/N24)</f>
        <v/>
      </c>
      <c r="W24" s="19">
        <f>IF(N(K24)=0,"",L24/K24)</f>
        <v/>
      </c>
      <c r="X24" s="19">
        <f>IF(N(M24)=0,"",N24/M24)</f>
        <v/>
      </c>
      <c r="Y24" s="20">
        <f>IF(N(E24)=0,"",O24/E24)</f>
        <v/>
      </c>
    </row>
    <row r="25">
      <c r="A25" s="21" t="n">
        <v>46321</v>
      </c>
      <c r="B25" s="22">
        <f>DATE(YEAR(A25),MONTH(A25),1)</f>
        <v/>
      </c>
      <c r="C25" s="23" t="inlineStr">
        <is>
          <t>Microsoft Ads</t>
        </is>
      </c>
      <c r="D25" s="23" t="n"/>
      <c r="E25" s="24" t="n"/>
      <c r="F25" s="25" t="n"/>
      <c r="G25" s="25" t="n"/>
      <c r="H25" s="26" t="n"/>
      <c r="I25" s="27" t="n"/>
      <c r="J25" s="27" t="n"/>
      <c r="K25" s="25" t="n"/>
      <c r="L25" s="25" t="n"/>
      <c r="M25" s="25" t="n"/>
      <c r="N25" s="25" t="n"/>
      <c r="O25" s="24" t="n"/>
      <c r="P25" s="28">
        <f>IF(N(F25)=0,"",G25/F25)</f>
        <v/>
      </c>
      <c r="Q25" s="29">
        <f>IF(N(G25)=0,"",E25/G25)</f>
        <v/>
      </c>
      <c r="R25" s="28">
        <f>IF(N(G25)=0,"",H25/G25)</f>
        <v/>
      </c>
      <c r="S25" s="29">
        <f>IF(N(H25)=0,"",E25/H25)</f>
        <v/>
      </c>
      <c r="T25" s="29">
        <f>IF(N(K25)=0,"",E25/K25)</f>
        <v/>
      </c>
      <c r="U25" s="29">
        <f>IF(N(L25)=0,"",E25/L25)</f>
        <v/>
      </c>
      <c r="V25" s="29">
        <f>IF(N(N25)=0,"",E25/N25)</f>
        <v/>
      </c>
      <c r="W25" s="30">
        <f>IF(N(K25)=0,"",L25/K25)</f>
        <v/>
      </c>
      <c r="X25" s="30">
        <f>IF(N(M25)=0,"",N25/M25)</f>
        <v/>
      </c>
      <c r="Y25" s="31">
        <f>IF(N(E25)=0,"",O25/E25)</f>
        <v/>
      </c>
    </row>
    <row r="26">
      <c r="A26" s="10" t="n">
        <v>46328</v>
      </c>
      <c r="B26" s="11">
        <f>DATE(YEAR(A26),MONTH(A26),1)</f>
        <v/>
      </c>
      <c r="C26" t="inlineStr">
        <is>
          <t>S-FR | Marque</t>
        </is>
      </c>
      <c r="E26" s="13" t="n"/>
      <c r="F26" s="14" t="n"/>
      <c r="G26" s="14" t="n"/>
      <c r="H26" s="15" t="n"/>
      <c r="I26" s="16" t="n"/>
      <c r="J26" s="16" t="n"/>
      <c r="K26" s="14" t="n"/>
      <c r="L26" s="14" t="n"/>
      <c r="M26" s="14" t="n"/>
      <c r="N26" s="14" t="n"/>
      <c r="O26" s="13" t="n"/>
      <c r="P26" s="17">
        <f>IF(N(F26)=0,"",G26/F26)</f>
        <v/>
      </c>
      <c r="Q26" s="18">
        <f>IF(N(G26)=0,"",E26/G26)</f>
        <v/>
      </c>
      <c r="R26" s="17">
        <f>IF(N(G26)=0,"",H26/G26)</f>
        <v/>
      </c>
      <c r="S26" s="18">
        <f>IF(N(H26)=0,"",E26/H26)</f>
        <v/>
      </c>
      <c r="T26" s="18">
        <f>IF(N(K26)=0,"",E26/K26)</f>
        <v/>
      </c>
      <c r="U26" s="18">
        <f>IF(N(L26)=0,"",E26/L26)</f>
        <v/>
      </c>
      <c r="V26" s="18">
        <f>IF(N(N26)=0,"",E26/N26)</f>
        <v/>
      </c>
      <c r="W26" s="19">
        <f>IF(N(K26)=0,"",L26/K26)</f>
        <v/>
      </c>
      <c r="X26" s="19">
        <f>IF(N(M26)=0,"",N26/M26)</f>
        <v/>
      </c>
      <c r="Y26" s="20">
        <f>IF(N(E26)=0,"",O26/E26)</f>
        <v/>
      </c>
    </row>
    <row r="27">
      <c r="A27" s="10" t="n">
        <v>46328</v>
      </c>
      <c r="B27" s="11">
        <f>DATE(YEAR(A27),MONTH(A27),1)</f>
        <v/>
      </c>
      <c r="C27" t="inlineStr">
        <is>
          <t>S-FR | Corporatif &amp; Fêtes</t>
        </is>
      </c>
      <c r="E27" s="13" t="n"/>
      <c r="F27" s="14" t="n"/>
      <c r="G27" s="14" t="n"/>
      <c r="H27" s="15" t="n"/>
      <c r="I27" s="16" t="n"/>
      <c r="J27" s="16" t="n"/>
      <c r="K27" s="14" t="n"/>
      <c r="L27" s="14" t="n"/>
      <c r="M27" s="14" t="n"/>
      <c r="N27" s="14" t="n"/>
      <c r="O27" s="13" t="n"/>
      <c r="P27" s="17">
        <f>IF(N(F27)=0,"",G27/F27)</f>
        <v/>
      </c>
      <c r="Q27" s="18">
        <f>IF(N(G27)=0,"",E27/G27)</f>
        <v/>
      </c>
      <c r="R27" s="17">
        <f>IF(N(G27)=0,"",H27/G27)</f>
        <v/>
      </c>
      <c r="S27" s="18">
        <f>IF(N(H27)=0,"",E27/H27)</f>
        <v/>
      </c>
      <c r="T27" s="18">
        <f>IF(N(K27)=0,"",E27/K27)</f>
        <v/>
      </c>
      <c r="U27" s="18">
        <f>IF(N(L27)=0,"",E27/L27)</f>
        <v/>
      </c>
      <c r="V27" s="18">
        <f>IF(N(N27)=0,"",E27/N27)</f>
        <v/>
      </c>
      <c r="W27" s="19">
        <f>IF(N(K27)=0,"",L27/K27)</f>
        <v/>
      </c>
      <c r="X27" s="19">
        <f>IF(N(M27)=0,"",N27/M27)</f>
        <v/>
      </c>
      <c r="Y27" s="20">
        <f>IF(N(E27)=0,"",O27/E27)</f>
        <v/>
      </c>
    </row>
    <row r="28">
      <c r="A28" s="10" t="n">
        <v>46328</v>
      </c>
      <c r="B28" s="11">
        <f>DATE(YEAR(A28),MONTH(A28),1)</f>
        <v/>
      </c>
      <c r="C28" t="inlineStr">
        <is>
          <t>S-FR | Événements privés</t>
        </is>
      </c>
      <c r="E28" s="13" t="n"/>
      <c r="F28" s="14" t="n"/>
      <c r="G28" s="14" t="n"/>
      <c r="H28" s="15" t="n"/>
      <c r="I28" s="16" t="n"/>
      <c r="J28" s="16" t="n"/>
      <c r="K28" s="14" t="n"/>
      <c r="L28" s="14" t="n"/>
      <c r="M28" s="14" t="n"/>
      <c r="N28" s="14" t="n"/>
      <c r="O28" s="13" t="n"/>
      <c r="P28" s="17">
        <f>IF(N(F28)=0,"",G28/F28)</f>
        <v/>
      </c>
      <c r="Q28" s="18">
        <f>IF(N(G28)=0,"",E28/G28)</f>
        <v/>
      </c>
      <c r="R28" s="17">
        <f>IF(N(G28)=0,"",H28/G28)</f>
        <v/>
      </c>
      <c r="S28" s="18">
        <f>IF(N(H28)=0,"",E28/H28)</f>
        <v/>
      </c>
      <c r="T28" s="18">
        <f>IF(N(K28)=0,"",E28/K28)</f>
        <v/>
      </c>
      <c r="U28" s="18">
        <f>IF(N(L28)=0,"",E28/L28)</f>
        <v/>
      </c>
      <c r="V28" s="18">
        <f>IF(N(N28)=0,"",E28/N28)</f>
        <v/>
      </c>
      <c r="W28" s="19">
        <f>IF(N(K28)=0,"",L28/K28)</f>
        <v/>
      </c>
      <c r="X28" s="19">
        <f>IF(N(M28)=0,"",N28/M28)</f>
        <v/>
      </c>
      <c r="Y28" s="20">
        <f>IF(N(E28)=0,"",O28/E28)</f>
        <v/>
      </c>
    </row>
    <row r="29">
      <c r="A29" s="10" t="n">
        <v>46328</v>
      </c>
      <c r="B29" s="11">
        <f>DATE(YEAR(A29),MONTH(A29),1)</f>
        <v/>
      </c>
      <c r="C29" t="inlineStr">
        <is>
          <t>S-EN | Corporate Montréal</t>
        </is>
      </c>
      <c r="E29" s="13" t="n"/>
      <c r="F29" s="14" t="n"/>
      <c r="G29" s="14" t="n"/>
      <c r="H29" s="15" t="n"/>
      <c r="I29" s="16" t="n"/>
      <c r="J29" s="16" t="n"/>
      <c r="K29" s="14" t="n"/>
      <c r="L29" s="14" t="n"/>
      <c r="M29" s="14" t="n"/>
      <c r="N29" s="14" t="n"/>
      <c r="O29" s="13" t="n"/>
      <c r="P29" s="17">
        <f>IF(N(F29)=0,"",G29/F29)</f>
        <v/>
      </c>
      <c r="Q29" s="18">
        <f>IF(N(G29)=0,"",E29/G29)</f>
        <v/>
      </c>
      <c r="R29" s="17">
        <f>IF(N(G29)=0,"",H29/G29)</f>
        <v/>
      </c>
      <c r="S29" s="18">
        <f>IF(N(H29)=0,"",E29/H29)</f>
        <v/>
      </c>
      <c r="T29" s="18">
        <f>IF(N(K29)=0,"",E29/K29)</f>
        <v/>
      </c>
      <c r="U29" s="18">
        <f>IF(N(L29)=0,"",E29/L29)</f>
        <v/>
      </c>
      <c r="V29" s="18">
        <f>IF(N(N29)=0,"",E29/N29)</f>
        <v/>
      </c>
      <c r="W29" s="19">
        <f>IF(N(K29)=0,"",L29/K29)</f>
        <v/>
      </c>
      <c r="X29" s="19">
        <f>IF(N(M29)=0,"",N29/M29)</f>
        <v/>
      </c>
      <c r="Y29" s="20">
        <f>IF(N(E29)=0,"",O29/E29)</f>
        <v/>
      </c>
    </row>
    <row r="30">
      <c r="A30" s="10" t="n">
        <v>46328</v>
      </c>
      <c r="B30" s="11">
        <f>DATE(YEAR(A30),MONTH(A30),1)</f>
        <v/>
      </c>
      <c r="C30" t="inlineStr">
        <is>
          <t>S-FR | Québec-Lévis (test)</t>
        </is>
      </c>
      <c r="E30" s="13" t="n"/>
      <c r="F30" s="14" t="n"/>
      <c r="G30" s="14" t="n"/>
      <c r="H30" s="15" t="n"/>
      <c r="I30" s="16" t="n"/>
      <c r="J30" s="16" t="n"/>
      <c r="K30" s="14" t="n"/>
      <c r="L30" s="14" t="n"/>
      <c r="M30" s="14" t="n"/>
      <c r="N30" s="14" t="n"/>
      <c r="O30" s="13" t="n"/>
      <c r="P30" s="17">
        <f>IF(N(F30)=0,"",G30/F30)</f>
        <v/>
      </c>
      <c r="Q30" s="18">
        <f>IF(N(G30)=0,"",E30/G30)</f>
        <v/>
      </c>
      <c r="R30" s="17">
        <f>IF(N(G30)=0,"",H30/G30)</f>
        <v/>
      </c>
      <c r="S30" s="18">
        <f>IF(N(H30)=0,"",E30/H30)</f>
        <v/>
      </c>
      <c r="T30" s="18">
        <f>IF(N(K30)=0,"",E30/K30)</f>
        <v/>
      </c>
      <c r="U30" s="18">
        <f>IF(N(L30)=0,"",E30/L30)</f>
        <v/>
      </c>
      <c r="V30" s="18">
        <f>IF(N(N30)=0,"",E30/N30)</f>
        <v/>
      </c>
      <c r="W30" s="19">
        <f>IF(N(K30)=0,"",L30/K30)</f>
        <v/>
      </c>
      <c r="X30" s="19">
        <f>IF(N(M30)=0,"",N30/M30)</f>
        <v/>
      </c>
      <c r="Y30" s="20">
        <f>IF(N(E30)=0,"",O30/E30)</f>
        <v/>
      </c>
    </row>
    <row r="31">
      <c r="A31" s="10" t="n">
        <v>46328</v>
      </c>
      <c r="B31" s="11">
        <f>DATE(YEAR(A31),MONTH(A31),1)</f>
        <v/>
      </c>
      <c r="C31" t="inlineStr">
        <is>
          <t>Demand Gen</t>
        </is>
      </c>
      <c r="E31" s="13" t="n"/>
      <c r="F31" s="14" t="n"/>
      <c r="G31" s="14" t="n"/>
      <c r="H31" s="15" t="n"/>
      <c r="I31" s="16" t="n"/>
      <c r="J31" s="16" t="n"/>
      <c r="K31" s="14" t="n"/>
      <c r="L31" s="14" t="n"/>
      <c r="M31" s="14" t="n"/>
      <c r="N31" s="14" t="n"/>
      <c r="O31" s="13" t="n"/>
      <c r="P31" s="17">
        <f>IF(N(F31)=0,"",G31/F31)</f>
        <v/>
      </c>
      <c r="Q31" s="18">
        <f>IF(N(G31)=0,"",E31/G31)</f>
        <v/>
      </c>
      <c r="R31" s="17">
        <f>IF(N(G31)=0,"",H31/G31)</f>
        <v/>
      </c>
      <c r="S31" s="18">
        <f>IF(N(H31)=0,"",E31/H31)</f>
        <v/>
      </c>
      <c r="T31" s="18">
        <f>IF(N(K31)=0,"",E31/K31)</f>
        <v/>
      </c>
      <c r="U31" s="18">
        <f>IF(N(L31)=0,"",E31/L31)</f>
        <v/>
      </c>
      <c r="V31" s="18">
        <f>IF(N(N31)=0,"",E31/N31)</f>
        <v/>
      </c>
      <c r="W31" s="19">
        <f>IF(N(K31)=0,"",L31/K31)</f>
        <v/>
      </c>
      <c r="X31" s="19">
        <f>IF(N(M31)=0,"",N31/M31)</f>
        <v/>
      </c>
      <c r="Y31" s="20">
        <f>IF(N(E31)=0,"",O31/E31)</f>
        <v/>
      </c>
    </row>
    <row r="32">
      <c r="A32" s="21" t="n">
        <v>46328</v>
      </c>
      <c r="B32" s="22">
        <f>DATE(YEAR(A32),MONTH(A32),1)</f>
        <v/>
      </c>
      <c r="C32" s="23" t="inlineStr">
        <is>
          <t>Microsoft Ads</t>
        </is>
      </c>
      <c r="D32" s="23" t="n"/>
      <c r="E32" s="24" t="n"/>
      <c r="F32" s="25" t="n"/>
      <c r="G32" s="25" t="n"/>
      <c r="H32" s="26" t="n"/>
      <c r="I32" s="27" t="n"/>
      <c r="J32" s="27" t="n"/>
      <c r="K32" s="25" t="n"/>
      <c r="L32" s="25" t="n"/>
      <c r="M32" s="25" t="n"/>
      <c r="N32" s="25" t="n"/>
      <c r="O32" s="24" t="n"/>
      <c r="P32" s="28">
        <f>IF(N(F32)=0,"",G32/F32)</f>
        <v/>
      </c>
      <c r="Q32" s="29">
        <f>IF(N(G32)=0,"",E32/G32)</f>
        <v/>
      </c>
      <c r="R32" s="28">
        <f>IF(N(G32)=0,"",H32/G32)</f>
        <v/>
      </c>
      <c r="S32" s="29">
        <f>IF(N(H32)=0,"",E32/H32)</f>
        <v/>
      </c>
      <c r="T32" s="29">
        <f>IF(N(K32)=0,"",E32/K32)</f>
        <v/>
      </c>
      <c r="U32" s="29">
        <f>IF(N(L32)=0,"",E32/L32)</f>
        <v/>
      </c>
      <c r="V32" s="29">
        <f>IF(N(N32)=0,"",E32/N32)</f>
        <v/>
      </c>
      <c r="W32" s="30">
        <f>IF(N(K32)=0,"",L32/K32)</f>
        <v/>
      </c>
      <c r="X32" s="30">
        <f>IF(N(M32)=0,"",N32/M32)</f>
        <v/>
      </c>
      <c r="Y32" s="31">
        <f>IF(N(E32)=0,"",O32/E32)</f>
        <v/>
      </c>
    </row>
    <row r="33">
      <c r="A33" s="10" t="n">
        <v>46335</v>
      </c>
      <c r="B33" s="11">
        <f>DATE(YEAR(A33),MONTH(A33),1)</f>
        <v/>
      </c>
      <c r="C33" t="inlineStr">
        <is>
          <t>S-FR | Marque</t>
        </is>
      </c>
      <c r="E33" s="13" t="n"/>
      <c r="F33" s="14" t="n"/>
      <c r="G33" s="14" t="n"/>
      <c r="H33" s="15" t="n"/>
      <c r="I33" s="16" t="n"/>
      <c r="J33" s="16" t="n"/>
      <c r="K33" s="14" t="n"/>
      <c r="L33" s="14" t="n"/>
      <c r="M33" s="14" t="n"/>
      <c r="N33" s="14" t="n"/>
      <c r="O33" s="13" t="n"/>
      <c r="P33" s="17">
        <f>IF(N(F33)=0,"",G33/F33)</f>
        <v/>
      </c>
      <c r="Q33" s="18">
        <f>IF(N(G33)=0,"",E33/G33)</f>
        <v/>
      </c>
      <c r="R33" s="17">
        <f>IF(N(G33)=0,"",H33/G33)</f>
        <v/>
      </c>
      <c r="S33" s="18">
        <f>IF(N(H33)=0,"",E33/H33)</f>
        <v/>
      </c>
      <c r="T33" s="18">
        <f>IF(N(K33)=0,"",E33/K33)</f>
        <v/>
      </c>
      <c r="U33" s="18">
        <f>IF(N(L33)=0,"",E33/L33)</f>
        <v/>
      </c>
      <c r="V33" s="18">
        <f>IF(N(N33)=0,"",E33/N33)</f>
        <v/>
      </c>
      <c r="W33" s="19">
        <f>IF(N(K33)=0,"",L33/K33)</f>
        <v/>
      </c>
      <c r="X33" s="19">
        <f>IF(N(M33)=0,"",N33/M33)</f>
        <v/>
      </c>
      <c r="Y33" s="20">
        <f>IF(N(E33)=0,"",O33/E33)</f>
        <v/>
      </c>
    </row>
    <row r="34">
      <c r="A34" s="10" t="n">
        <v>46335</v>
      </c>
      <c r="B34" s="11">
        <f>DATE(YEAR(A34),MONTH(A34),1)</f>
        <v/>
      </c>
      <c r="C34" t="inlineStr">
        <is>
          <t>S-FR | Corporatif &amp; Fêtes</t>
        </is>
      </c>
      <c r="E34" s="13" t="n"/>
      <c r="F34" s="14" t="n"/>
      <c r="G34" s="14" t="n"/>
      <c r="H34" s="15" t="n"/>
      <c r="I34" s="16" t="n"/>
      <c r="J34" s="16" t="n"/>
      <c r="K34" s="14" t="n"/>
      <c r="L34" s="14" t="n"/>
      <c r="M34" s="14" t="n"/>
      <c r="N34" s="14" t="n"/>
      <c r="O34" s="13" t="n"/>
      <c r="P34" s="17">
        <f>IF(N(F34)=0,"",G34/F34)</f>
        <v/>
      </c>
      <c r="Q34" s="18">
        <f>IF(N(G34)=0,"",E34/G34)</f>
        <v/>
      </c>
      <c r="R34" s="17">
        <f>IF(N(G34)=0,"",H34/G34)</f>
        <v/>
      </c>
      <c r="S34" s="18">
        <f>IF(N(H34)=0,"",E34/H34)</f>
        <v/>
      </c>
      <c r="T34" s="18">
        <f>IF(N(K34)=0,"",E34/K34)</f>
        <v/>
      </c>
      <c r="U34" s="18">
        <f>IF(N(L34)=0,"",E34/L34)</f>
        <v/>
      </c>
      <c r="V34" s="18">
        <f>IF(N(N34)=0,"",E34/N34)</f>
        <v/>
      </c>
      <c r="W34" s="19">
        <f>IF(N(K34)=0,"",L34/K34)</f>
        <v/>
      </c>
      <c r="X34" s="19">
        <f>IF(N(M34)=0,"",N34/M34)</f>
        <v/>
      </c>
      <c r="Y34" s="20">
        <f>IF(N(E34)=0,"",O34/E34)</f>
        <v/>
      </c>
    </row>
    <row r="35">
      <c r="A35" s="10" t="n">
        <v>46335</v>
      </c>
      <c r="B35" s="11">
        <f>DATE(YEAR(A35),MONTH(A35),1)</f>
        <v/>
      </c>
      <c r="C35" t="inlineStr">
        <is>
          <t>S-FR | Événements privés</t>
        </is>
      </c>
      <c r="E35" s="13" t="n"/>
      <c r="F35" s="14" t="n"/>
      <c r="G35" s="14" t="n"/>
      <c r="H35" s="15" t="n"/>
      <c r="I35" s="16" t="n"/>
      <c r="J35" s="16" t="n"/>
      <c r="K35" s="14" t="n"/>
      <c r="L35" s="14" t="n"/>
      <c r="M35" s="14" t="n"/>
      <c r="N35" s="14" t="n"/>
      <c r="O35" s="13" t="n"/>
      <c r="P35" s="17">
        <f>IF(N(F35)=0,"",G35/F35)</f>
        <v/>
      </c>
      <c r="Q35" s="18">
        <f>IF(N(G35)=0,"",E35/G35)</f>
        <v/>
      </c>
      <c r="R35" s="17">
        <f>IF(N(G35)=0,"",H35/G35)</f>
        <v/>
      </c>
      <c r="S35" s="18">
        <f>IF(N(H35)=0,"",E35/H35)</f>
        <v/>
      </c>
      <c r="T35" s="18">
        <f>IF(N(K35)=0,"",E35/K35)</f>
        <v/>
      </c>
      <c r="U35" s="18">
        <f>IF(N(L35)=0,"",E35/L35)</f>
        <v/>
      </c>
      <c r="V35" s="18">
        <f>IF(N(N35)=0,"",E35/N35)</f>
        <v/>
      </c>
      <c r="W35" s="19">
        <f>IF(N(K35)=0,"",L35/K35)</f>
        <v/>
      </c>
      <c r="X35" s="19">
        <f>IF(N(M35)=0,"",N35/M35)</f>
        <v/>
      </c>
      <c r="Y35" s="20">
        <f>IF(N(E35)=0,"",O35/E35)</f>
        <v/>
      </c>
    </row>
    <row r="36">
      <c r="A36" s="10" t="n">
        <v>46335</v>
      </c>
      <c r="B36" s="11">
        <f>DATE(YEAR(A36),MONTH(A36),1)</f>
        <v/>
      </c>
      <c r="C36" t="inlineStr">
        <is>
          <t>S-EN | Corporate Montréal</t>
        </is>
      </c>
      <c r="E36" s="13" t="n"/>
      <c r="F36" s="14" t="n"/>
      <c r="G36" s="14" t="n"/>
      <c r="H36" s="15" t="n"/>
      <c r="I36" s="16" t="n"/>
      <c r="J36" s="16" t="n"/>
      <c r="K36" s="14" t="n"/>
      <c r="L36" s="14" t="n"/>
      <c r="M36" s="14" t="n"/>
      <c r="N36" s="14" t="n"/>
      <c r="O36" s="13" t="n"/>
      <c r="P36" s="17">
        <f>IF(N(F36)=0,"",G36/F36)</f>
        <v/>
      </c>
      <c r="Q36" s="18">
        <f>IF(N(G36)=0,"",E36/G36)</f>
        <v/>
      </c>
      <c r="R36" s="17">
        <f>IF(N(G36)=0,"",H36/G36)</f>
        <v/>
      </c>
      <c r="S36" s="18">
        <f>IF(N(H36)=0,"",E36/H36)</f>
        <v/>
      </c>
      <c r="T36" s="18">
        <f>IF(N(K36)=0,"",E36/K36)</f>
        <v/>
      </c>
      <c r="U36" s="18">
        <f>IF(N(L36)=0,"",E36/L36)</f>
        <v/>
      </c>
      <c r="V36" s="18">
        <f>IF(N(N36)=0,"",E36/N36)</f>
        <v/>
      </c>
      <c r="W36" s="19">
        <f>IF(N(K36)=0,"",L36/K36)</f>
        <v/>
      </c>
      <c r="X36" s="19">
        <f>IF(N(M36)=0,"",N36/M36)</f>
        <v/>
      </c>
      <c r="Y36" s="20">
        <f>IF(N(E36)=0,"",O36/E36)</f>
        <v/>
      </c>
    </row>
    <row r="37">
      <c r="A37" s="10" t="n">
        <v>46335</v>
      </c>
      <c r="B37" s="11">
        <f>DATE(YEAR(A37),MONTH(A37),1)</f>
        <v/>
      </c>
      <c r="C37" t="inlineStr">
        <is>
          <t>S-FR | Québec-Lévis (test)</t>
        </is>
      </c>
      <c r="E37" s="13" t="n"/>
      <c r="F37" s="14" t="n"/>
      <c r="G37" s="14" t="n"/>
      <c r="H37" s="15" t="n"/>
      <c r="I37" s="16" t="n"/>
      <c r="J37" s="16" t="n"/>
      <c r="K37" s="14" t="n"/>
      <c r="L37" s="14" t="n"/>
      <c r="M37" s="14" t="n"/>
      <c r="N37" s="14" t="n"/>
      <c r="O37" s="13" t="n"/>
      <c r="P37" s="17">
        <f>IF(N(F37)=0,"",G37/F37)</f>
        <v/>
      </c>
      <c r="Q37" s="18">
        <f>IF(N(G37)=0,"",E37/G37)</f>
        <v/>
      </c>
      <c r="R37" s="17">
        <f>IF(N(G37)=0,"",H37/G37)</f>
        <v/>
      </c>
      <c r="S37" s="18">
        <f>IF(N(H37)=0,"",E37/H37)</f>
        <v/>
      </c>
      <c r="T37" s="18">
        <f>IF(N(K37)=0,"",E37/K37)</f>
        <v/>
      </c>
      <c r="U37" s="18">
        <f>IF(N(L37)=0,"",E37/L37)</f>
        <v/>
      </c>
      <c r="V37" s="18">
        <f>IF(N(N37)=0,"",E37/N37)</f>
        <v/>
      </c>
      <c r="W37" s="19">
        <f>IF(N(K37)=0,"",L37/K37)</f>
        <v/>
      </c>
      <c r="X37" s="19">
        <f>IF(N(M37)=0,"",N37/M37)</f>
        <v/>
      </c>
      <c r="Y37" s="20">
        <f>IF(N(E37)=0,"",O37/E37)</f>
        <v/>
      </c>
    </row>
    <row r="38">
      <c r="A38" s="10" t="n">
        <v>46335</v>
      </c>
      <c r="B38" s="11">
        <f>DATE(YEAR(A38),MONTH(A38),1)</f>
        <v/>
      </c>
      <c r="C38" t="inlineStr">
        <is>
          <t>Demand Gen</t>
        </is>
      </c>
      <c r="E38" s="13" t="n"/>
      <c r="F38" s="14" t="n"/>
      <c r="G38" s="14" t="n"/>
      <c r="H38" s="15" t="n"/>
      <c r="I38" s="16" t="n"/>
      <c r="J38" s="16" t="n"/>
      <c r="K38" s="14" t="n"/>
      <c r="L38" s="14" t="n"/>
      <c r="M38" s="14" t="n"/>
      <c r="N38" s="14" t="n"/>
      <c r="O38" s="13" t="n"/>
      <c r="P38" s="17">
        <f>IF(N(F38)=0,"",G38/F38)</f>
        <v/>
      </c>
      <c r="Q38" s="18">
        <f>IF(N(G38)=0,"",E38/G38)</f>
        <v/>
      </c>
      <c r="R38" s="17">
        <f>IF(N(G38)=0,"",H38/G38)</f>
        <v/>
      </c>
      <c r="S38" s="18">
        <f>IF(N(H38)=0,"",E38/H38)</f>
        <v/>
      </c>
      <c r="T38" s="18">
        <f>IF(N(K38)=0,"",E38/K38)</f>
        <v/>
      </c>
      <c r="U38" s="18">
        <f>IF(N(L38)=0,"",E38/L38)</f>
        <v/>
      </c>
      <c r="V38" s="18">
        <f>IF(N(N38)=0,"",E38/N38)</f>
        <v/>
      </c>
      <c r="W38" s="19">
        <f>IF(N(K38)=0,"",L38/K38)</f>
        <v/>
      </c>
      <c r="X38" s="19">
        <f>IF(N(M38)=0,"",N38/M38)</f>
        <v/>
      </c>
      <c r="Y38" s="20">
        <f>IF(N(E38)=0,"",O38/E38)</f>
        <v/>
      </c>
    </row>
    <row r="39">
      <c r="A39" s="21" t="n">
        <v>46335</v>
      </c>
      <c r="B39" s="22">
        <f>DATE(YEAR(A39),MONTH(A39),1)</f>
        <v/>
      </c>
      <c r="C39" s="23" t="inlineStr">
        <is>
          <t>Microsoft Ads</t>
        </is>
      </c>
      <c r="D39" s="23" t="n"/>
      <c r="E39" s="24" t="n"/>
      <c r="F39" s="25" t="n"/>
      <c r="G39" s="25" t="n"/>
      <c r="H39" s="26" t="n"/>
      <c r="I39" s="27" t="n"/>
      <c r="J39" s="27" t="n"/>
      <c r="K39" s="25" t="n"/>
      <c r="L39" s="25" t="n"/>
      <c r="M39" s="25" t="n"/>
      <c r="N39" s="25" t="n"/>
      <c r="O39" s="24" t="n"/>
      <c r="P39" s="28">
        <f>IF(N(F39)=0,"",G39/F39)</f>
        <v/>
      </c>
      <c r="Q39" s="29">
        <f>IF(N(G39)=0,"",E39/G39)</f>
        <v/>
      </c>
      <c r="R39" s="28">
        <f>IF(N(G39)=0,"",H39/G39)</f>
        <v/>
      </c>
      <c r="S39" s="29">
        <f>IF(N(H39)=0,"",E39/H39)</f>
        <v/>
      </c>
      <c r="T39" s="29">
        <f>IF(N(K39)=0,"",E39/K39)</f>
        <v/>
      </c>
      <c r="U39" s="29">
        <f>IF(N(L39)=0,"",E39/L39)</f>
        <v/>
      </c>
      <c r="V39" s="29">
        <f>IF(N(N39)=0,"",E39/N39)</f>
        <v/>
      </c>
      <c r="W39" s="30">
        <f>IF(N(K39)=0,"",L39/K39)</f>
        <v/>
      </c>
      <c r="X39" s="30">
        <f>IF(N(M39)=0,"",N39/M39)</f>
        <v/>
      </c>
      <c r="Y39" s="31">
        <f>IF(N(E39)=0,"",O39/E39)</f>
        <v/>
      </c>
    </row>
    <row r="40">
      <c r="A40" s="10" t="n">
        <v>46342</v>
      </c>
      <c r="B40" s="11">
        <f>DATE(YEAR(A40),MONTH(A40),1)</f>
        <v/>
      </c>
      <c r="C40" t="inlineStr">
        <is>
          <t>S-FR | Marque</t>
        </is>
      </c>
      <c r="E40" s="13" t="n"/>
      <c r="F40" s="14" t="n"/>
      <c r="G40" s="14" t="n"/>
      <c r="H40" s="15" t="n"/>
      <c r="I40" s="16" t="n"/>
      <c r="J40" s="16" t="n"/>
      <c r="K40" s="14" t="n"/>
      <c r="L40" s="14" t="n"/>
      <c r="M40" s="14" t="n"/>
      <c r="N40" s="14" t="n"/>
      <c r="O40" s="13" t="n"/>
      <c r="P40" s="17">
        <f>IF(N(F40)=0,"",G40/F40)</f>
        <v/>
      </c>
      <c r="Q40" s="18">
        <f>IF(N(G40)=0,"",E40/G40)</f>
        <v/>
      </c>
      <c r="R40" s="17">
        <f>IF(N(G40)=0,"",H40/G40)</f>
        <v/>
      </c>
      <c r="S40" s="18">
        <f>IF(N(H40)=0,"",E40/H40)</f>
        <v/>
      </c>
      <c r="T40" s="18">
        <f>IF(N(K40)=0,"",E40/K40)</f>
        <v/>
      </c>
      <c r="U40" s="18">
        <f>IF(N(L40)=0,"",E40/L40)</f>
        <v/>
      </c>
      <c r="V40" s="18">
        <f>IF(N(N40)=0,"",E40/N40)</f>
        <v/>
      </c>
      <c r="W40" s="19">
        <f>IF(N(K40)=0,"",L40/K40)</f>
        <v/>
      </c>
      <c r="X40" s="19">
        <f>IF(N(M40)=0,"",N40/M40)</f>
        <v/>
      </c>
      <c r="Y40" s="20">
        <f>IF(N(E40)=0,"",O40/E40)</f>
        <v/>
      </c>
    </row>
    <row r="41">
      <c r="A41" s="10" t="n">
        <v>46342</v>
      </c>
      <c r="B41" s="11">
        <f>DATE(YEAR(A41),MONTH(A41),1)</f>
        <v/>
      </c>
      <c r="C41" t="inlineStr">
        <is>
          <t>S-FR | Corporatif &amp; Fêtes</t>
        </is>
      </c>
      <c r="E41" s="13" t="n"/>
      <c r="F41" s="14" t="n"/>
      <c r="G41" s="14" t="n"/>
      <c r="H41" s="15" t="n"/>
      <c r="I41" s="16" t="n"/>
      <c r="J41" s="16" t="n"/>
      <c r="K41" s="14" t="n"/>
      <c r="L41" s="14" t="n"/>
      <c r="M41" s="14" t="n"/>
      <c r="N41" s="14" t="n"/>
      <c r="O41" s="13" t="n"/>
      <c r="P41" s="17">
        <f>IF(N(F41)=0,"",G41/F41)</f>
        <v/>
      </c>
      <c r="Q41" s="18">
        <f>IF(N(G41)=0,"",E41/G41)</f>
        <v/>
      </c>
      <c r="R41" s="17">
        <f>IF(N(G41)=0,"",H41/G41)</f>
        <v/>
      </c>
      <c r="S41" s="18">
        <f>IF(N(H41)=0,"",E41/H41)</f>
        <v/>
      </c>
      <c r="T41" s="18">
        <f>IF(N(K41)=0,"",E41/K41)</f>
        <v/>
      </c>
      <c r="U41" s="18">
        <f>IF(N(L41)=0,"",E41/L41)</f>
        <v/>
      </c>
      <c r="V41" s="18">
        <f>IF(N(N41)=0,"",E41/N41)</f>
        <v/>
      </c>
      <c r="W41" s="19">
        <f>IF(N(K41)=0,"",L41/K41)</f>
        <v/>
      </c>
      <c r="X41" s="19">
        <f>IF(N(M41)=0,"",N41/M41)</f>
        <v/>
      </c>
      <c r="Y41" s="20">
        <f>IF(N(E41)=0,"",O41/E41)</f>
        <v/>
      </c>
    </row>
    <row r="42">
      <c r="A42" s="10" t="n">
        <v>46342</v>
      </c>
      <c r="B42" s="11">
        <f>DATE(YEAR(A42),MONTH(A42),1)</f>
        <v/>
      </c>
      <c r="C42" t="inlineStr">
        <is>
          <t>S-FR | Événements privés</t>
        </is>
      </c>
      <c r="E42" s="13" t="n"/>
      <c r="F42" s="14" t="n"/>
      <c r="G42" s="14" t="n"/>
      <c r="H42" s="15" t="n"/>
      <c r="I42" s="16" t="n"/>
      <c r="J42" s="16" t="n"/>
      <c r="K42" s="14" t="n"/>
      <c r="L42" s="14" t="n"/>
      <c r="M42" s="14" t="n"/>
      <c r="N42" s="14" t="n"/>
      <c r="O42" s="13" t="n"/>
      <c r="P42" s="17">
        <f>IF(N(F42)=0,"",G42/F42)</f>
        <v/>
      </c>
      <c r="Q42" s="18">
        <f>IF(N(G42)=0,"",E42/G42)</f>
        <v/>
      </c>
      <c r="R42" s="17">
        <f>IF(N(G42)=0,"",H42/G42)</f>
        <v/>
      </c>
      <c r="S42" s="18">
        <f>IF(N(H42)=0,"",E42/H42)</f>
        <v/>
      </c>
      <c r="T42" s="18">
        <f>IF(N(K42)=0,"",E42/K42)</f>
        <v/>
      </c>
      <c r="U42" s="18">
        <f>IF(N(L42)=0,"",E42/L42)</f>
        <v/>
      </c>
      <c r="V42" s="18">
        <f>IF(N(N42)=0,"",E42/N42)</f>
        <v/>
      </c>
      <c r="W42" s="19">
        <f>IF(N(K42)=0,"",L42/K42)</f>
        <v/>
      </c>
      <c r="X42" s="19">
        <f>IF(N(M42)=0,"",N42/M42)</f>
        <v/>
      </c>
      <c r="Y42" s="20">
        <f>IF(N(E42)=0,"",O42/E42)</f>
        <v/>
      </c>
    </row>
    <row r="43">
      <c r="A43" s="10" t="n">
        <v>46342</v>
      </c>
      <c r="B43" s="11">
        <f>DATE(YEAR(A43),MONTH(A43),1)</f>
        <v/>
      </c>
      <c r="C43" t="inlineStr">
        <is>
          <t>S-EN | Corporate Montréal</t>
        </is>
      </c>
      <c r="E43" s="13" t="n"/>
      <c r="F43" s="14" t="n"/>
      <c r="G43" s="14" t="n"/>
      <c r="H43" s="15" t="n"/>
      <c r="I43" s="16" t="n"/>
      <c r="J43" s="16" t="n"/>
      <c r="K43" s="14" t="n"/>
      <c r="L43" s="14" t="n"/>
      <c r="M43" s="14" t="n"/>
      <c r="N43" s="14" t="n"/>
      <c r="O43" s="13" t="n"/>
      <c r="P43" s="17">
        <f>IF(N(F43)=0,"",G43/F43)</f>
        <v/>
      </c>
      <c r="Q43" s="18">
        <f>IF(N(G43)=0,"",E43/G43)</f>
        <v/>
      </c>
      <c r="R43" s="17">
        <f>IF(N(G43)=0,"",H43/G43)</f>
        <v/>
      </c>
      <c r="S43" s="18">
        <f>IF(N(H43)=0,"",E43/H43)</f>
        <v/>
      </c>
      <c r="T43" s="18">
        <f>IF(N(K43)=0,"",E43/K43)</f>
        <v/>
      </c>
      <c r="U43" s="18">
        <f>IF(N(L43)=0,"",E43/L43)</f>
        <v/>
      </c>
      <c r="V43" s="18">
        <f>IF(N(N43)=0,"",E43/N43)</f>
        <v/>
      </c>
      <c r="W43" s="19">
        <f>IF(N(K43)=0,"",L43/K43)</f>
        <v/>
      </c>
      <c r="X43" s="19">
        <f>IF(N(M43)=0,"",N43/M43)</f>
        <v/>
      </c>
      <c r="Y43" s="20">
        <f>IF(N(E43)=0,"",O43/E43)</f>
        <v/>
      </c>
    </row>
    <row r="44">
      <c r="A44" s="10" t="n">
        <v>46342</v>
      </c>
      <c r="B44" s="11">
        <f>DATE(YEAR(A44),MONTH(A44),1)</f>
        <v/>
      </c>
      <c r="C44" t="inlineStr">
        <is>
          <t>S-FR | Québec-Lévis (test)</t>
        </is>
      </c>
      <c r="E44" s="13" t="n"/>
      <c r="F44" s="14" t="n"/>
      <c r="G44" s="14" t="n"/>
      <c r="H44" s="15" t="n"/>
      <c r="I44" s="16" t="n"/>
      <c r="J44" s="16" t="n"/>
      <c r="K44" s="14" t="n"/>
      <c r="L44" s="14" t="n"/>
      <c r="M44" s="14" t="n"/>
      <c r="N44" s="14" t="n"/>
      <c r="O44" s="13" t="n"/>
      <c r="P44" s="17">
        <f>IF(N(F44)=0,"",G44/F44)</f>
        <v/>
      </c>
      <c r="Q44" s="18">
        <f>IF(N(G44)=0,"",E44/G44)</f>
        <v/>
      </c>
      <c r="R44" s="17">
        <f>IF(N(G44)=0,"",H44/G44)</f>
        <v/>
      </c>
      <c r="S44" s="18">
        <f>IF(N(H44)=0,"",E44/H44)</f>
        <v/>
      </c>
      <c r="T44" s="18">
        <f>IF(N(K44)=0,"",E44/K44)</f>
        <v/>
      </c>
      <c r="U44" s="18">
        <f>IF(N(L44)=0,"",E44/L44)</f>
        <v/>
      </c>
      <c r="V44" s="18">
        <f>IF(N(N44)=0,"",E44/N44)</f>
        <v/>
      </c>
      <c r="W44" s="19">
        <f>IF(N(K44)=0,"",L44/K44)</f>
        <v/>
      </c>
      <c r="X44" s="19">
        <f>IF(N(M44)=0,"",N44/M44)</f>
        <v/>
      </c>
      <c r="Y44" s="20">
        <f>IF(N(E44)=0,"",O44/E44)</f>
        <v/>
      </c>
    </row>
    <row r="45">
      <c r="A45" s="10" t="n">
        <v>46342</v>
      </c>
      <c r="B45" s="11">
        <f>DATE(YEAR(A45),MONTH(A45),1)</f>
        <v/>
      </c>
      <c r="C45" t="inlineStr">
        <is>
          <t>Demand Gen</t>
        </is>
      </c>
      <c r="E45" s="13" t="n"/>
      <c r="F45" s="14" t="n"/>
      <c r="G45" s="14" t="n"/>
      <c r="H45" s="15" t="n"/>
      <c r="I45" s="16" t="n"/>
      <c r="J45" s="16" t="n"/>
      <c r="K45" s="14" t="n"/>
      <c r="L45" s="14" t="n"/>
      <c r="M45" s="14" t="n"/>
      <c r="N45" s="14" t="n"/>
      <c r="O45" s="13" t="n"/>
      <c r="P45" s="17">
        <f>IF(N(F45)=0,"",G45/F45)</f>
        <v/>
      </c>
      <c r="Q45" s="18">
        <f>IF(N(G45)=0,"",E45/G45)</f>
        <v/>
      </c>
      <c r="R45" s="17">
        <f>IF(N(G45)=0,"",H45/G45)</f>
        <v/>
      </c>
      <c r="S45" s="18">
        <f>IF(N(H45)=0,"",E45/H45)</f>
        <v/>
      </c>
      <c r="T45" s="18">
        <f>IF(N(K45)=0,"",E45/K45)</f>
        <v/>
      </c>
      <c r="U45" s="18">
        <f>IF(N(L45)=0,"",E45/L45)</f>
        <v/>
      </c>
      <c r="V45" s="18">
        <f>IF(N(N45)=0,"",E45/N45)</f>
        <v/>
      </c>
      <c r="W45" s="19">
        <f>IF(N(K45)=0,"",L45/K45)</f>
        <v/>
      </c>
      <c r="X45" s="19">
        <f>IF(N(M45)=0,"",N45/M45)</f>
        <v/>
      </c>
      <c r="Y45" s="20">
        <f>IF(N(E45)=0,"",O45/E45)</f>
        <v/>
      </c>
    </row>
    <row r="46">
      <c r="A46" s="21" t="n">
        <v>46342</v>
      </c>
      <c r="B46" s="22">
        <f>DATE(YEAR(A46),MONTH(A46),1)</f>
        <v/>
      </c>
      <c r="C46" s="23" t="inlineStr">
        <is>
          <t>Microsoft Ads</t>
        </is>
      </c>
      <c r="D46" s="23" t="n"/>
      <c r="E46" s="24" t="n"/>
      <c r="F46" s="25" t="n"/>
      <c r="G46" s="25" t="n"/>
      <c r="H46" s="26" t="n"/>
      <c r="I46" s="27" t="n"/>
      <c r="J46" s="27" t="n"/>
      <c r="K46" s="25" t="n"/>
      <c r="L46" s="25" t="n"/>
      <c r="M46" s="25" t="n"/>
      <c r="N46" s="25" t="n"/>
      <c r="O46" s="24" t="n"/>
      <c r="P46" s="28">
        <f>IF(N(F46)=0,"",G46/F46)</f>
        <v/>
      </c>
      <c r="Q46" s="29">
        <f>IF(N(G46)=0,"",E46/G46)</f>
        <v/>
      </c>
      <c r="R46" s="28">
        <f>IF(N(G46)=0,"",H46/G46)</f>
        <v/>
      </c>
      <c r="S46" s="29">
        <f>IF(N(H46)=0,"",E46/H46)</f>
        <v/>
      </c>
      <c r="T46" s="29">
        <f>IF(N(K46)=0,"",E46/K46)</f>
        <v/>
      </c>
      <c r="U46" s="29">
        <f>IF(N(L46)=0,"",E46/L46)</f>
        <v/>
      </c>
      <c r="V46" s="29">
        <f>IF(N(N46)=0,"",E46/N46)</f>
        <v/>
      </c>
      <c r="W46" s="30">
        <f>IF(N(K46)=0,"",L46/K46)</f>
        <v/>
      </c>
      <c r="X46" s="30">
        <f>IF(N(M46)=0,"",N46/M46)</f>
        <v/>
      </c>
      <c r="Y46" s="31">
        <f>IF(N(E46)=0,"",O46/E46)</f>
        <v/>
      </c>
    </row>
    <row r="47">
      <c r="A47" s="10" t="n">
        <v>46349</v>
      </c>
      <c r="B47" s="11">
        <f>DATE(YEAR(A47),MONTH(A47),1)</f>
        <v/>
      </c>
      <c r="C47" t="inlineStr">
        <is>
          <t>S-FR | Marque</t>
        </is>
      </c>
      <c r="E47" s="13" t="n"/>
      <c r="F47" s="14" t="n"/>
      <c r="G47" s="14" t="n"/>
      <c r="H47" s="15" t="n"/>
      <c r="I47" s="16" t="n"/>
      <c r="J47" s="16" t="n"/>
      <c r="K47" s="14" t="n"/>
      <c r="L47" s="14" t="n"/>
      <c r="M47" s="14" t="n"/>
      <c r="N47" s="14" t="n"/>
      <c r="O47" s="13" t="n"/>
      <c r="P47" s="17">
        <f>IF(N(F47)=0,"",G47/F47)</f>
        <v/>
      </c>
      <c r="Q47" s="18">
        <f>IF(N(G47)=0,"",E47/G47)</f>
        <v/>
      </c>
      <c r="R47" s="17">
        <f>IF(N(G47)=0,"",H47/G47)</f>
        <v/>
      </c>
      <c r="S47" s="18">
        <f>IF(N(H47)=0,"",E47/H47)</f>
        <v/>
      </c>
      <c r="T47" s="18">
        <f>IF(N(K47)=0,"",E47/K47)</f>
        <v/>
      </c>
      <c r="U47" s="18">
        <f>IF(N(L47)=0,"",E47/L47)</f>
        <v/>
      </c>
      <c r="V47" s="18">
        <f>IF(N(N47)=0,"",E47/N47)</f>
        <v/>
      </c>
      <c r="W47" s="19">
        <f>IF(N(K47)=0,"",L47/K47)</f>
        <v/>
      </c>
      <c r="X47" s="19">
        <f>IF(N(M47)=0,"",N47/M47)</f>
        <v/>
      </c>
      <c r="Y47" s="20">
        <f>IF(N(E47)=0,"",O47/E47)</f>
        <v/>
      </c>
    </row>
    <row r="48">
      <c r="A48" s="10" t="n">
        <v>46349</v>
      </c>
      <c r="B48" s="11">
        <f>DATE(YEAR(A48),MONTH(A48),1)</f>
        <v/>
      </c>
      <c r="C48" t="inlineStr">
        <is>
          <t>S-FR | Corporatif &amp; Fêtes</t>
        </is>
      </c>
      <c r="E48" s="13" t="n"/>
      <c r="F48" s="14" t="n"/>
      <c r="G48" s="14" t="n"/>
      <c r="H48" s="15" t="n"/>
      <c r="I48" s="16" t="n"/>
      <c r="J48" s="16" t="n"/>
      <c r="K48" s="14" t="n"/>
      <c r="L48" s="14" t="n"/>
      <c r="M48" s="14" t="n"/>
      <c r="N48" s="14" t="n"/>
      <c r="O48" s="13" t="n"/>
      <c r="P48" s="17">
        <f>IF(N(F48)=0,"",G48/F48)</f>
        <v/>
      </c>
      <c r="Q48" s="18">
        <f>IF(N(G48)=0,"",E48/G48)</f>
        <v/>
      </c>
      <c r="R48" s="17">
        <f>IF(N(G48)=0,"",H48/G48)</f>
        <v/>
      </c>
      <c r="S48" s="18">
        <f>IF(N(H48)=0,"",E48/H48)</f>
        <v/>
      </c>
      <c r="T48" s="18">
        <f>IF(N(K48)=0,"",E48/K48)</f>
        <v/>
      </c>
      <c r="U48" s="18">
        <f>IF(N(L48)=0,"",E48/L48)</f>
        <v/>
      </c>
      <c r="V48" s="18">
        <f>IF(N(N48)=0,"",E48/N48)</f>
        <v/>
      </c>
      <c r="W48" s="19">
        <f>IF(N(K48)=0,"",L48/K48)</f>
        <v/>
      </c>
      <c r="X48" s="19">
        <f>IF(N(M48)=0,"",N48/M48)</f>
        <v/>
      </c>
      <c r="Y48" s="20">
        <f>IF(N(E48)=0,"",O48/E48)</f>
        <v/>
      </c>
    </row>
    <row r="49">
      <c r="A49" s="10" t="n">
        <v>46349</v>
      </c>
      <c r="B49" s="11">
        <f>DATE(YEAR(A49),MONTH(A49),1)</f>
        <v/>
      </c>
      <c r="C49" t="inlineStr">
        <is>
          <t>S-FR | Événements privés</t>
        </is>
      </c>
      <c r="E49" s="13" t="n"/>
      <c r="F49" s="14" t="n"/>
      <c r="G49" s="14" t="n"/>
      <c r="H49" s="15" t="n"/>
      <c r="I49" s="16" t="n"/>
      <c r="J49" s="16" t="n"/>
      <c r="K49" s="14" t="n"/>
      <c r="L49" s="14" t="n"/>
      <c r="M49" s="14" t="n"/>
      <c r="N49" s="14" t="n"/>
      <c r="O49" s="13" t="n"/>
      <c r="P49" s="17">
        <f>IF(N(F49)=0,"",G49/F49)</f>
        <v/>
      </c>
      <c r="Q49" s="18">
        <f>IF(N(G49)=0,"",E49/G49)</f>
        <v/>
      </c>
      <c r="R49" s="17">
        <f>IF(N(G49)=0,"",H49/G49)</f>
        <v/>
      </c>
      <c r="S49" s="18">
        <f>IF(N(H49)=0,"",E49/H49)</f>
        <v/>
      </c>
      <c r="T49" s="18">
        <f>IF(N(K49)=0,"",E49/K49)</f>
        <v/>
      </c>
      <c r="U49" s="18">
        <f>IF(N(L49)=0,"",E49/L49)</f>
        <v/>
      </c>
      <c r="V49" s="18">
        <f>IF(N(N49)=0,"",E49/N49)</f>
        <v/>
      </c>
      <c r="W49" s="19">
        <f>IF(N(K49)=0,"",L49/K49)</f>
        <v/>
      </c>
      <c r="X49" s="19">
        <f>IF(N(M49)=0,"",N49/M49)</f>
        <v/>
      </c>
      <c r="Y49" s="20">
        <f>IF(N(E49)=0,"",O49/E49)</f>
        <v/>
      </c>
    </row>
    <row r="50">
      <c r="A50" s="10" t="n">
        <v>46349</v>
      </c>
      <c r="B50" s="11">
        <f>DATE(YEAR(A50),MONTH(A50),1)</f>
        <v/>
      </c>
      <c r="C50" t="inlineStr">
        <is>
          <t>S-EN | Corporate Montréal</t>
        </is>
      </c>
      <c r="E50" s="13" t="n"/>
      <c r="F50" s="14" t="n"/>
      <c r="G50" s="14" t="n"/>
      <c r="H50" s="15" t="n"/>
      <c r="I50" s="16" t="n"/>
      <c r="J50" s="16" t="n"/>
      <c r="K50" s="14" t="n"/>
      <c r="L50" s="14" t="n"/>
      <c r="M50" s="14" t="n"/>
      <c r="N50" s="14" t="n"/>
      <c r="O50" s="13" t="n"/>
      <c r="P50" s="17">
        <f>IF(N(F50)=0,"",G50/F50)</f>
        <v/>
      </c>
      <c r="Q50" s="18">
        <f>IF(N(G50)=0,"",E50/G50)</f>
        <v/>
      </c>
      <c r="R50" s="17">
        <f>IF(N(G50)=0,"",H50/G50)</f>
        <v/>
      </c>
      <c r="S50" s="18">
        <f>IF(N(H50)=0,"",E50/H50)</f>
        <v/>
      </c>
      <c r="T50" s="18">
        <f>IF(N(K50)=0,"",E50/K50)</f>
        <v/>
      </c>
      <c r="U50" s="18">
        <f>IF(N(L50)=0,"",E50/L50)</f>
        <v/>
      </c>
      <c r="V50" s="18">
        <f>IF(N(N50)=0,"",E50/N50)</f>
        <v/>
      </c>
      <c r="W50" s="19">
        <f>IF(N(K50)=0,"",L50/K50)</f>
        <v/>
      </c>
      <c r="X50" s="19">
        <f>IF(N(M50)=0,"",N50/M50)</f>
        <v/>
      </c>
      <c r="Y50" s="20">
        <f>IF(N(E50)=0,"",O50/E50)</f>
        <v/>
      </c>
    </row>
    <row r="51">
      <c r="A51" s="10" t="n">
        <v>46349</v>
      </c>
      <c r="B51" s="11">
        <f>DATE(YEAR(A51),MONTH(A51),1)</f>
        <v/>
      </c>
      <c r="C51" t="inlineStr">
        <is>
          <t>S-FR | Québec-Lévis (test)</t>
        </is>
      </c>
      <c r="E51" s="13" t="n"/>
      <c r="F51" s="14" t="n"/>
      <c r="G51" s="14" t="n"/>
      <c r="H51" s="15" t="n"/>
      <c r="I51" s="16" t="n"/>
      <c r="J51" s="16" t="n"/>
      <c r="K51" s="14" t="n"/>
      <c r="L51" s="14" t="n"/>
      <c r="M51" s="14" t="n"/>
      <c r="N51" s="14" t="n"/>
      <c r="O51" s="13" t="n"/>
      <c r="P51" s="17">
        <f>IF(N(F51)=0,"",G51/F51)</f>
        <v/>
      </c>
      <c r="Q51" s="18">
        <f>IF(N(G51)=0,"",E51/G51)</f>
        <v/>
      </c>
      <c r="R51" s="17">
        <f>IF(N(G51)=0,"",H51/G51)</f>
        <v/>
      </c>
      <c r="S51" s="18">
        <f>IF(N(H51)=0,"",E51/H51)</f>
        <v/>
      </c>
      <c r="T51" s="18">
        <f>IF(N(K51)=0,"",E51/K51)</f>
        <v/>
      </c>
      <c r="U51" s="18">
        <f>IF(N(L51)=0,"",E51/L51)</f>
        <v/>
      </c>
      <c r="V51" s="18">
        <f>IF(N(N51)=0,"",E51/N51)</f>
        <v/>
      </c>
      <c r="W51" s="19">
        <f>IF(N(K51)=0,"",L51/K51)</f>
        <v/>
      </c>
      <c r="X51" s="19">
        <f>IF(N(M51)=0,"",N51/M51)</f>
        <v/>
      </c>
      <c r="Y51" s="20">
        <f>IF(N(E51)=0,"",O51/E51)</f>
        <v/>
      </c>
    </row>
    <row r="52">
      <c r="A52" s="10" t="n">
        <v>46349</v>
      </c>
      <c r="B52" s="11">
        <f>DATE(YEAR(A52),MONTH(A52),1)</f>
        <v/>
      </c>
      <c r="C52" t="inlineStr">
        <is>
          <t>Demand Gen</t>
        </is>
      </c>
      <c r="E52" s="13" t="n"/>
      <c r="F52" s="14" t="n"/>
      <c r="G52" s="14" t="n"/>
      <c r="H52" s="15" t="n"/>
      <c r="I52" s="16" t="n"/>
      <c r="J52" s="16" t="n"/>
      <c r="K52" s="14" t="n"/>
      <c r="L52" s="14" t="n"/>
      <c r="M52" s="14" t="n"/>
      <c r="N52" s="14" t="n"/>
      <c r="O52" s="13" t="n"/>
      <c r="P52" s="17">
        <f>IF(N(F52)=0,"",G52/F52)</f>
        <v/>
      </c>
      <c r="Q52" s="18">
        <f>IF(N(G52)=0,"",E52/G52)</f>
        <v/>
      </c>
      <c r="R52" s="17">
        <f>IF(N(G52)=0,"",H52/G52)</f>
        <v/>
      </c>
      <c r="S52" s="18">
        <f>IF(N(H52)=0,"",E52/H52)</f>
        <v/>
      </c>
      <c r="T52" s="18">
        <f>IF(N(K52)=0,"",E52/K52)</f>
        <v/>
      </c>
      <c r="U52" s="18">
        <f>IF(N(L52)=0,"",E52/L52)</f>
        <v/>
      </c>
      <c r="V52" s="18">
        <f>IF(N(N52)=0,"",E52/N52)</f>
        <v/>
      </c>
      <c r="W52" s="19">
        <f>IF(N(K52)=0,"",L52/K52)</f>
        <v/>
      </c>
      <c r="X52" s="19">
        <f>IF(N(M52)=0,"",N52/M52)</f>
        <v/>
      </c>
      <c r="Y52" s="20">
        <f>IF(N(E52)=0,"",O52/E52)</f>
        <v/>
      </c>
    </row>
    <row r="53">
      <c r="A53" s="21" t="n">
        <v>46349</v>
      </c>
      <c r="B53" s="22">
        <f>DATE(YEAR(A53),MONTH(A53),1)</f>
        <v/>
      </c>
      <c r="C53" s="23" t="inlineStr">
        <is>
          <t>Microsoft Ads</t>
        </is>
      </c>
      <c r="D53" s="23" t="n"/>
      <c r="E53" s="24" t="n"/>
      <c r="F53" s="25" t="n"/>
      <c r="G53" s="25" t="n"/>
      <c r="H53" s="26" t="n"/>
      <c r="I53" s="27" t="n"/>
      <c r="J53" s="27" t="n"/>
      <c r="K53" s="25" t="n"/>
      <c r="L53" s="25" t="n"/>
      <c r="M53" s="25" t="n"/>
      <c r="N53" s="25" t="n"/>
      <c r="O53" s="24" t="n"/>
      <c r="P53" s="28">
        <f>IF(N(F53)=0,"",G53/F53)</f>
        <v/>
      </c>
      <c r="Q53" s="29">
        <f>IF(N(G53)=0,"",E53/G53)</f>
        <v/>
      </c>
      <c r="R53" s="28">
        <f>IF(N(G53)=0,"",H53/G53)</f>
        <v/>
      </c>
      <c r="S53" s="29">
        <f>IF(N(H53)=0,"",E53/H53)</f>
        <v/>
      </c>
      <c r="T53" s="29">
        <f>IF(N(K53)=0,"",E53/K53)</f>
        <v/>
      </c>
      <c r="U53" s="29">
        <f>IF(N(L53)=0,"",E53/L53)</f>
        <v/>
      </c>
      <c r="V53" s="29">
        <f>IF(N(N53)=0,"",E53/N53)</f>
        <v/>
      </c>
      <c r="W53" s="30">
        <f>IF(N(K53)=0,"",L53/K53)</f>
        <v/>
      </c>
      <c r="X53" s="30">
        <f>IF(N(M53)=0,"",N53/M53)</f>
        <v/>
      </c>
      <c r="Y53" s="31">
        <f>IF(N(E53)=0,"",O53/E53)</f>
        <v/>
      </c>
    </row>
    <row r="54">
      <c r="A54" s="10" t="n">
        <v>46356</v>
      </c>
      <c r="B54" s="11">
        <f>DATE(YEAR(A54),MONTH(A54),1)</f>
        <v/>
      </c>
      <c r="C54" t="inlineStr">
        <is>
          <t>S-FR | Marque</t>
        </is>
      </c>
      <c r="E54" s="13" t="n"/>
      <c r="F54" s="14" t="n"/>
      <c r="G54" s="14" t="n"/>
      <c r="H54" s="15" t="n"/>
      <c r="I54" s="16" t="n"/>
      <c r="J54" s="16" t="n"/>
      <c r="K54" s="14" t="n"/>
      <c r="L54" s="14" t="n"/>
      <c r="M54" s="14" t="n"/>
      <c r="N54" s="14" t="n"/>
      <c r="O54" s="13" t="n"/>
      <c r="P54" s="17">
        <f>IF(N(F54)=0,"",G54/F54)</f>
        <v/>
      </c>
      <c r="Q54" s="18">
        <f>IF(N(G54)=0,"",E54/G54)</f>
        <v/>
      </c>
      <c r="R54" s="17">
        <f>IF(N(G54)=0,"",H54/G54)</f>
        <v/>
      </c>
      <c r="S54" s="18">
        <f>IF(N(H54)=0,"",E54/H54)</f>
        <v/>
      </c>
      <c r="T54" s="18">
        <f>IF(N(K54)=0,"",E54/K54)</f>
        <v/>
      </c>
      <c r="U54" s="18">
        <f>IF(N(L54)=0,"",E54/L54)</f>
        <v/>
      </c>
      <c r="V54" s="18">
        <f>IF(N(N54)=0,"",E54/N54)</f>
        <v/>
      </c>
      <c r="W54" s="19">
        <f>IF(N(K54)=0,"",L54/K54)</f>
        <v/>
      </c>
      <c r="X54" s="19">
        <f>IF(N(M54)=0,"",N54/M54)</f>
        <v/>
      </c>
      <c r="Y54" s="20">
        <f>IF(N(E54)=0,"",O54/E54)</f>
        <v/>
      </c>
    </row>
    <row r="55">
      <c r="A55" s="10" t="n">
        <v>46356</v>
      </c>
      <c r="B55" s="11">
        <f>DATE(YEAR(A55),MONTH(A55),1)</f>
        <v/>
      </c>
      <c r="C55" t="inlineStr">
        <is>
          <t>S-FR | Corporatif &amp; Fêtes</t>
        </is>
      </c>
      <c r="E55" s="13" t="n"/>
      <c r="F55" s="14" t="n"/>
      <c r="G55" s="14" t="n"/>
      <c r="H55" s="15" t="n"/>
      <c r="I55" s="16" t="n"/>
      <c r="J55" s="16" t="n"/>
      <c r="K55" s="14" t="n"/>
      <c r="L55" s="14" t="n"/>
      <c r="M55" s="14" t="n"/>
      <c r="N55" s="14" t="n"/>
      <c r="O55" s="13" t="n"/>
      <c r="P55" s="17">
        <f>IF(N(F55)=0,"",G55/F55)</f>
        <v/>
      </c>
      <c r="Q55" s="18">
        <f>IF(N(G55)=0,"",E55/G55)</f>
        <v/>
      </c>
      <c r="R55" s="17">
        <f>IF(N(G55)=0,"",H55/G55)</f>
        <v/>
      </c>
      <c r="S55" s="18">
        <f>IF(N(H55)=0,"",E55/H55)</f>
        <v/>
      </c>
      <c r="T55" s="18">
        <f>IF(N(K55)=0,"",E55/K55)</f>
        <v/>
      </c>
      <c r="U55" s="18">
        <f>IF(N(L55)=0,"",E55/L55)</f>
        <v/>
      </c>
      <c r="V55" s="18">
        <f>IF(N(N55)=0,"",E55/N55)</f>
        <v/>
      </c>
      <c r="W55" s="19">
        <f>IF(N(K55)=0,"",L55/K55)</f>
        <v/>
      </c>
      <c r="X55" s="19">
        <f>IF(N(M55)=0,"",N55/M55)</f>
        <v/>
      </c>
      <c r="Y55" s="20">
        <f>IF(N(E55)=0,"",O55/E55)</f>
        <v/>
      </c>
    </row>
    <row r="56">
      <c r="A56" s="10" t="n">
        <v>46356</v>
      </c>
      <c r="B56" s="11">
        <f>DATE(YEAR(A56),MONTH(A56),1)</f>
        <v/>
      </c>
      <c r="C56" t="inlineStr">
        <is>
          <t>S-FR | Événements privés</t>
        </is>
      </c>
      <c r="E56" s="13" t="n"/>
      <c r="F56" s="14" t="n"/>
      <c r="G56" s="14" t="n"/>
      <c r="H56" s="15" t="n"/>
      <c r="I56" s="16" t="n"/>
      <c r="J56" s="16" t="n"/>
      <c r="K56" s="14" t="n"/>
      <c r="L56" s="14" t="n"/>
      <c r="M56" s="14" t="n"/>
      <c r="N56" s="14" t="n"/>
      <c r="O56" s="13" t="n"/>
      <c r="P56" s="17">
        <f>IF(N(F56)=0,"",G56/F56)</f>
        <v/>
      </c>
      <c r="Q56" s="18">
        <f>IF(N(G56)=0,"",E56/G56)</f>
        <v/>
      </c>
      <c r="R56" s="17">
        <f>IF(N(G56)=0,"",H56/G56)</f>
        <v/>
      </c>
      <c r="S56" s="18">
        <f>IF(N(H56)=0,"",E56/H56)</f>
        <v/>
      </c>
      <c r="T56" s="18">
        <f>IF(N(K56)=0,"",E56/K56)</f>
        <v/>
      </c>
      <c r="U56" s="18">
        <f>IF(N(L56)=0,"",E56/L56)</f>
        <v/>
      </c>
      <c r="V56" s="18">
        <f>IF(N(N56)=0,"",E56/N56)</f>
        <v/>
      </c>
      <c r="W56" s="19">
        <f>IF(N(K56)=0,"",L56/K56)</f>
        <v/>
      </c>
      <c r="X56" s="19">
        <f>IF(N(M56)=0,"",N56/M56)</f>
        <v/>
      </c>
      <c r="Y56" s="20">
        <f>IF(N(E56)=0,"",O56/E56)</f>
        <v/>
      </c>
    </row>
    <row r="57">
      <c r="A57" s="10" t="n">
        <v>46356</v>
      </c>
      <c r="B57" s="11">
        <f>DATE(YEAR(A57),MONTH(A57),1)</f>
        <v/>
      </c>
      <c r="C57" t="inlineStr">
        <is>
          <t>S-EN | Corporate Montréal</t>
        </is>
      </c>
      <c r="E57" s="13" t="n"/>
      <c r="F57" s="14" t="n"/>
      <c r="G57" s="14" t="n"/>
      <c r="H57" s="15" t="n"/>
      <c r="I57" s="16" t="n"/>
      <c r="J57" s="16" t="n"/>
      <c r="K57" s="14" t="n"/>
      <c r="L57" s="14" t="n"/>
      <c r="M57" s="14" t="n"/>
      <c r="N57" s="14" t="n"/>
      <c r="O57" s="13" t="n"/>
      <c r="P57" s="17">
        <f>IF(N(F57)=0,"",G57/F57)</f>
        <v/>
      </c>
      <c r="Q57" s="18">
        <f>IF(N(G57)=0,"",E57/G57)</f>
        <v/>
      </c>
      <c r="R57" s="17">
        <f>IF(N(G57)=0,"",H57/G57)</f>
        <v/>
      </c>
      <c r="S57" s="18">
        <f>IF(N(H57)=0,"",E57/H57)</f>
        <v/>
      </c>
      <c r="T57" s="18">
        <f>IF(N(K57)=0,"",E57/K57)</f>
        <v/>
      </c>
      <c r="U57" s="18">
        <f>IF(N(L57)=0,"",E57/L57)</f>
        <v/>
      </c>
      <c r="V57" s="18">
        <f>IF(N(N57)=0,"",E57/N57)</f>
        <v/>
      </c>
      <c r="W57" s="19">
        <f>IF(N(K57)=0,"",L57/K57)</f>
        <v/>
      </c>
      <c r="X57" s="19">
        <f>IF(N(M57)=0,"",N57/M57)</f>
        <v/>
      </c>
      <c r="Y57" s="20">
        <f>IF(N(E57)=0,"",O57/E57)</f>
        <v/>
      </c>
    </row>
    <row r="58">
      <c r="A58" s="10" t="n">
        <v>46356</v>
      </c>
      <c r="B58" s="11">
        <f>DATE(YEAR(A58),MONTH(A58),1)</f>
        <v/>
      </c>
      <c r="C58" t="inlineStr">
        <is>
          <t>S-FR | Québec-Lévis (test)</t>
        </is>
      </c>
      <c r="E58" s="13" t="n"/>
      <c r="F58" s="14" t="n"/>
      <c r="G58" s="14" t="n"/>
      <c r="H58" s="15" t="n"/>
      <c r="I58" s="16" t="n"/>
      <c r="J58" s="16" t="n"/>
      <c r="K58" s="14" t="n"/>
      <c r="L58" s="14" t="n"/>
      <c r="M58" s="14" t="n"/>
      <c r="N58" s="14" t="n"/>
      <c r="O58" s="13" t="n"/>
      <c r="P58" s="17">
        <f>IF(N(F58)=0,"",G58/F58)</f>
        <v/>
      </c>
      <c r="Q58" s="18">
        <f>IF(N(G58)=0,"",E58/G58)</f>
        <v/>
      </c>
      <c r="R58" s="17">
        <f>IF(N(G58)=0,"",H58/G58)</f>
        <v/>
      </c>
      <c r="S58" s="18">
        <f>IF(N(H58)=0,"",E58/H58)</f>
        <v/>
      </c>
      <c r="T58" s="18">
        <f>IF(N(K58)=0,"",E58/K58)</f>
        <v/>
      </c>
      <c r="U58" s="18">
        <f>IF(N(L58)=0,"",E58/L58)</f>
        <v/>
      </c>
      <c r="V58" s="18">
        <f>IF(N(N58)=0,"",E58/N58)</f>
        <v/>
      </c>
      <c r="W58" s="19">
        <f>IF(N(K58)=0,"",L58/K58)</f>
        <v/>
      </c>
      <c r="X58" s="19">
        <f>IF(N(M58)=0,"",N58/M58)</f>
        <v/>
      </c>
      <c r="Y58" s="20">
        <f>IF(N(E58)=0,"",O58/E58)</f>
        <v/>
      </c>
    </row>
    <row r="59">
      <c r="A59" s="10" t="n">
        <v>46356</v>
      </c>
      <c r="B59" s="11">
        <f>DATE(YEAR(A59),MONTH(A59),1)</f>
        <v/>
      </c>
      <c r="C59" t="inlineStr">
        <is>
          <t>Demand Gen</t>
        </is>
      </c>
      <c r="E59" s="13" t="n"/>
      <c r="F59" s="14" t="n"/>
      <c r="G59" s="14" t="n"/>
      <c r="H59" s="15" t="n"/>
      <c r="I59" s="16" t="n"/>
      <c r="J59" s="16" t="n"/>
      <c r="K59" s="14" t="n"/>
      <c r="L59" s="14" t="n"/>
      <c r="M59" s="14" t="n"/>
      <c r="N59" s="14" t="n"/>
      <c r="O59" s="13" t="n"/>
      <c r="P59" s="17">
        <f>IF(N(F59)=0,"",G59/F59)</f>
        <v/>
      </c>
      <c r="Q59" s="18">
        <f>IF(N(G59)=0,"",E59/G59)</f>
        <v/>
      </c>
      <c r="R59" s="17">
        <f>IF(N(G59)=0,"",H59/G59)</f>
        <v/>
      </c>
      <c r="S59" s="18">
        <f>IF(N(H59)=0,"",E59/H59)</f>
        <v/>
      </c>
      <c r="T59" s="18">
        <f>IF(N(K59)=0,"",E59/K59)</f>
        <v/>
      </c>
      <c r="U59" s="18">
        <f>IF(N(L59)=0,"",E59/L59)</f>
        <v/>
      </c>
      <c r="V59" s="18">
        <f>IF(N(N59)=0,"",E59/N59)</f>
        <v/>
      </c>
      <c r="W59" s="19">
        <f>IF(N(K59)=0,"",L59/K59)</f>
        <v/>
      </c>
      <c r="X59" s="19">
        <f>IF(N(M59)=0,"",N59/M59)</f>
        <v/>
      </c>
      <c r="Y59" s="20">
        <f>IF(N(E59)=0,"",O59/E59)</f>
        <v/>
      </c>
    </row>
    <row r="60">
      <c r="A60" s="21" t="n">
        <v>46356</v>
      </c>
      <c r="B60" s="22">
        <f>DATE(YEAR(A60),MONTH(A60),1)</f>
        <v/>
      </c>
      <c r="C60" s="23" t="inlineStr">
        <is>
          <t>Microsoft Ads</t>
        </is>
      </c>
      <c r="D60" s="23" t="n"/>
      <c r="E60" s="24" t="n"/>
      <c r="F60" s="25" t="n"/>
      <c r="G60" s="25" t="n"/>
      <c r="H60" s="26" t="n"/>
      <c r="I60" s="27" t="n"/>
      <c r="J60" s="27" t="n"/>
      <c r="K60" s="25" t="n"/>
      <c r="L60" s="25" t="n"/>
      <c r="M60" s="25" t="n"/>
      <c r="N60" s="25" t="n"/>
      <c r="O60" s="24" t="n"/>
      <c r="P60" s="28">
        <f>IF(N(F60)=0,"",G60/F60)</f>
        <v/>
      </c>
      <c r="Q60" s="29">
        <f>IF(N(G60)=0,"",E60/G60)</f>
        <v/>
      </c>
      <c r="R60" s="28">
        <f>IF(N(G60)=0,"",H60/G60)</f>
        <v/>
      </c>
      <c r="S60" s="29">
        <f>IF(N(H60)=0,"",E60/H60)</f>
        <v/>
      </c>
      <c r="T60" s="29">
        <f>IF(N(K60)=0,"",E60/K60)</f>
        <v/>
      </c>
      <c r="U60" s="29">
        <f>IF(N(L60)=0,"",E60/L60)</f>
        <v/>
      </c>
      <c r="V60" s="29">
        <f>IF(N(N60)=0,"",E60/N60)</f>
        <v/>
      </c>
      <c r="W60" s="30">
        <f>IF(N(K60)=0,"",L60/K60)</f>
        <v/>
      </c>
      <c r="X60" s="30">
        <f>IF(N(M60)=0,"",N60/M60)</f>
        <v/>
      </c>
      <c r="Y60" s="31">
        <f>IF(N(E60)=0,"",O60/E60)</f>
        <v/>
      </c>
    </row>
    <row r="61">
      <c r="A61" s="10" t="n">
        <v>46363</v>
      </c>
      <c r="B61" s="11">
        <f>DATE(YEAR(A61),MONTH(A61),1)</f>
        <v/>
      </c>
      <c r="C61" t="inlineStr">
        <is>
          <t>S-FR | Marque</t>
        </is>
      </c>
      <c r="E61" s="13" t="n"/>
      <c r="F61" s="14" t="n"/>
      <c r="G61" s="14" t="n"/>
      <c r="H61" s="15" t="n"/>
      <c r="I61" s="16" t="n"/>
      <c r="J61" s="16" t="n"/>
      <c r="K61" s="14" t="n"/>
      <c r="L61" s="14" t="n"/>
      <c r="M61" s="14" t="n"/>
      <c r="N61" s="14" t="n"/>
      <c r="O61" s="13" t="n"/>
      <c r="P61" s="17">
        <f>IF(N(F61)=0,"",G61/F61)</f>
        <v/>
      </c>
      <c r="Q61" s="18">
        <f>IF(N(G61)=0,"",E61/G61)</f>
        <v/>
      </c>
      <c r="R61" s="17">
        <f>IF(N(G61)=0,"",H61/G61)</f>
        <v/>
      </c>
      <c r="S61" s="18">
        <f>IF(N(H61)=0,"",E61/H61)</f>
        <v/>
      </c>
      <c r="T61" s="18">
        <f>IF(N(K61)=0,"",E61/K61)</f>
        <v/>
      </c>
      <c r="U61" s="18">
        <f>IF(N(L61)=0,"",E61/L61)</f>
        <v/>
      </c>
      <c r="V61" s="18">
        <f>IF(N(N61)=0,"",E61/N61)</f>
        <v/>
      </c>
      <c r="W61" s="19">
        <f>IF(N(K61)=0,"",L61/K61)</f>
        <v/>
      </c>
      <c r="X61" s="19">
        <f>IF(N(M61)=0,"",N61/M61)</f>
        <v/>
      </c>
      <c r="Y61" s="20">
        <f>IF(N(E61)=0,"",O61/E61)</f>
        <v/>
      </c>
    </row>
    <row r="62">
      <c r="A62" s="10" t="n">
        <v>46363</v>
      </c>
      <c r="B62" s="11">
        <f>DATE(YEAR(A62),MONTH(A62),1)</f>
        <v/>
      </c>
      <c r="C62" t="inlineStr">
        <is>
          <t>S-FR | Corporatif &amp; Fêtes</t>
        </is>
      </c>
      <c r="E62" s="13" t="n"/>
      <c r="F62" s="14" t="n"/>
      <c r="G62" s="14" t="n"/>
      <c r="H62" s="15" t="n"/>
      <c r="I62" s="16" t="n"/>
      <c r="J62" s="16" t="n"/>
      <c r="K62" s="14" t="n"/>
      <c r="L62" s="14" t="n"/>
      <c r="M62" s="14" t="n"/>
      <c r="N62" s="14" t="n"/>
      <c r="O62" s="13" t="n"/>
      <c r="P62" s="17">
        <f>IF(N(F62)=0,"",G62/F62)</f>
        <v/>
      </c>
      <c r="Q62" s="18">
        <f>IF(N(G62)=0,"",E62/G62)</f>
        <v/>
      </c>
      <c r="R62" s="17">
        <f>IF(N(G62)=0,"",H62/G62)</f>
        <v/>
      </c>
      <c r="S62" s="18">
        <f>IF(N(H62)=0,"",E62/H62)</f>
        <v/>
      </c>
      <c r="T62" s="18">
        <f>IF(N(K62)=0,"",E62/K62)</f>
        <v/>
      </c>
      <c r="U62" s="18">
        <f>IF(N(L62)=0,"",E62/L62)</f>
        <v/>
      </c>
      <c r="V62" s="18">
        <f>IF(N(N62)=0,"",E62/N62)</f>
        <v/>
      </c>
      <c r="W62" s="19">
        <f>IF(N(K62)=0,"",L62/K62)</f>
        <v/>
      </c>
      <c r="X62" s="19">
        <f>IF(N(M62)=0,"",N62/M62)</f>
        <v/>
      </c>
      <c r="Y62" s="20">
        <f>IF(N(E62)=0,"",O62/E62)</f>
        <v/>
      </c>
    </row>
    <row r="63">
      <c r="A63" s="10" t="n">
        <v>46363</v>
      </c>
      <c r="B63" s="11">
        <f>DATE(YEAR(A63),MONTH(A63),1)</f>
        <v/>
      </c>
      <c r="C63" t="inlineStr">
        <is>
          <t>S-FR | Événements privés</t>
        </is>
      </c>
      <c r="E63" s="13" t="n"/>
      <c r="F63" s="14" t="n"/>
      <c r="G63" s="14" t="n"/>
      <c r="H63" s="15" t="n"/>
      <c r="I63" s="16" t="n"/>
      <c r="J63" s="16" t="n"/>
      <c r="K63" s="14" t="n"/>
      <c r="L63" s="14" t="n"/>
      <c r="M63" s="14" t="n"/>
      <c r="N63" s="14" t="n"/>
      <c r="O63" s="13" t="n"/>
      <c r="P63" s="17">
        <f>IF(N(F63)=0,"",G63/F63)</f>
        <v/>
      </c>
      <c r="Q63" s="18">
        <f>IF(N(G63)=0,"",E63/G63)</f>
        <v/>
      </c>
      <c r="R63" s="17">
        <f>IF(N(G63)=0,"",H63/G63)</f>
        <v/>
      </c>
      <c r="S63" s="18">
        <f>IF(N(H63)=0,"",E63/H63)</f>
        <v/>
      </c>
      <c r="T63" s="18">
        <f>IF(N(K63)=0,"",E63/K63)</f>
        <v/>
      </c>
      <c r="U63" s="18">
        <f>IF(N(L63)=0,"",E63/L63)</f>
        <v/>
      </c>
      <c r="V63" s="18">
        <f>IF(N(N63)=0,"",E63/N63)</f>
        <v/>
      </c>
      <c r="W63" s="19">
        <f>IF(N(K63)=0,"",L63/K63)</f>
        <v/>
      </c>
      <c r="X63" s="19">
        <f>IF(N(M63)=0,"",N63/M63)</f>
        <v/>
      </c>
      <c r="Y63" s="20">
        <f>IF(N(E63)=0,"",O63/E63)</f>
        <v/>
      </c>
    </row>
    <row r="64">
      <c r="A64" s="10" t="n">
        <v>46363</v>
      </c>
      <c r="B64" s="11">
        <f>DATE(YEAR(A64),MONTH(A64),1)</f>
        <v/>
      </c>
      <c r="C64" t="inlineStr">
        <is>
          <t>S-EN | Corporate Montréal</t>
        </is>
      </c>
      <c r="E64" s="13" t="n"/>
      <c r="F64" s="14" t="n"/>
      <c r="G64" s="14" t="n"/>
      <c r="H64" s="15" t="n"/>
      <c r="I64" s="16" t="n"/>
      <c r="J64" s="16" t="n"/>
      <c r="K64" s="14" t="n"/>
      <c r="L64" s="14" t="n"/>
      <c r="M64" s="14" t="n"/>
      <c r="N64" s="14" t="n"/>
      <c r="O64" s="13" t="n"/>
      <c r="P64" s="17">
        <f>IF(N(F64)=0,"",G64/F64)</f>
        <v/>
      </c>
      <c r="Q64" s="18">
        <f>IF(N(G64)=0,"",E64/G64)</f>
        <v/>
      </c>
      <c r="R64" s="17">
        <f>IF(N(G64)=0,"",H64/G64)</f>
        <v/>
      </c>
      <c r="S64" s="18">
        <f>IF(N(H64)=0,"",E64/H64)</f>
        <v/>
      </c>
      <c r="T64" s="18">
        <f>IF(N(K64)=0,"",E64/K64)</f>
        <v/>
      </c>
      <c r="U64" s="18">
        <f>IF(N(L64)=0,"",E64/L64)</f>
        <v/>
      </c>
      <c r="V64" s="18">
        <f>IF(N(N64)=0,"",E64/N64)</f>
        <v/>
      </c>
      <c r="W64" s="19">
        <f>IF(N(K64)=0,"",L64/K64)</f>
        <v/>
      </c>
      <c r="X64" s="19">
        <f>IF(N(M64)=0,"",N64/M64)</f>
        <v/>
      </c>
      <c r="Y64" s="20">
        <f>IF(N(E64)=0,"",O64/E64)</f>
        <v/>
      </c>
    </row>
    <row r="65">
      <c r="A65" s="10" t="n">
        <v>46363</v>
      </c>
      <c r="B65" s="11">
        <f>DATE(YEAR(A65),MONTH(A65),1)</f>
        <v/>
      </c>
      <c r="C65" t="inlineStr">
        <is>
          <t>S-FR | Québec-Lévis (test)</t>
        </is>
      </c>
      <c r="E65" s="13" t="n"/>
      <c r="F65" s="14" t="n"/>
      <c r="G65" s="14" t="n"/>
      <c r="H65" s="15" t="n"/>
      <c r="I65" s="16" t="n"/>
      <c r="J65" s="16" t="n"/>
      <c r="K65" s="14" t="n"/>
      <c r="L65" s="14" t="n"/>
      <c r="M65" s="14" t="n"/>
      <c r="N65" s="14" t="n"/>
      <c r="O65" s="13" t="n"/>
      <c r="P65" s="17">
        <f>IF(N(F65)=0,"",G65/F65)</f>
        <v/>
      </c>
      <c r="Q65" s="18">
        <f>IF(N(G65)=0,"",E65/G65)</f>
        <v/>
      </c>
      <c r="R65" s="17">
        <f>IF(N(G65)=0,"",H65/G65)</f>
        <v/>
      </c>
      <c r="S65" s="18">
        <f>IF(N(H65)=0,"",E65/H65)</f>
        <v/>
      </c>
      <c r="T65" s="18">
        <f>IF(N(K65)=0,"",E65/K65)</f>
        <v/>
      </c>
      <c r="U65" s="18">
        <f>IF(N(L65)=0,"",E65/L65)</f>
        <v/>
      </c>
      <c r="V65" s="18">
        <f>IF(N(N65)=0,"",E65/N65)</f>
        <v/>
      </c>
      <c r="W65" s="19">
        <f>IF(N(K65)=0,"",L65/K65)</f>
        <v/>
      </c>
      <c r="X65" s="19">
        <f>IF(N(M65)=0,"",N65/M65)</f>
        <v/>
      </c>
      <c r="Y65" s="20">
        <f>IF(N(E65)=0,"",O65/E65)</f>
        <v/>
      </c>
    </row>
    <row r="66">
      <c r="A66" s="10" t="n">
        <v>46363</v>
      </c>
      <c r="B66" s="11">
        <f>DATE(YEAR(A66),MONTH(A66),1)</f>
        <v/>
      </c>
      <c r="C66" t="inlineStr">
        <is>
          <t>Demand Gen</t>
        </is>
      </c>
      <c r="E66" s="13" t="n"/>
      <c r="F66" s="14" t="n"/>
      <c r="G66" s="14" t="n"/>
      <c r="H66" s="15" t="n"/>
      <c r="I66" s="16" t="n"/>
      <c r="J66" s="16" t="n"/>
      <c r="K66" s="14" t="n"/>
      <c r="L66" s="14" t="n"/>
      <c r="M66" s="14" t="n"/>
      <c r="N66" s="14" t="n"/>
      <c r="O66" s="13" t="n"/>
      <c r="P66" s="17">
        <f>IF(N(F66)=0,"",G66/F66)</f>
        <v/>
      </c>
      <c r="Q66" s="18">
        <f>IF(N(G66)=0,"",E66/G66)</f>
        <v/>
      </c>
      <c r="R66" s="17">
        <f>IF(N(G66)=0,"",H66/G66)</f>
        <v/>
      </c>
      <c r="S66" s="18">
        <f>IF(N(H66)=0,"",E66/H66)</f>
        <v/>
      </c>
      <c r="T66" s="18">
        <f>IF(N(K66)=0,"",E66/K66)</f>
        <v/>
      </c>
      <c r="U66" s="18">
        <f>IF(N(L66)=0,"",E66/L66)</f>
        <v/>
      </c>
      <c r="V66" s="18">
        <f>IF(N(N66)=0,"",E66/N66)</f>
        <v/>
      </c>
      <c r="W66" s="19">
        <f>IF(N(K66)=0,"",L66/K66)</f>
        <v/>
      </c>
      <c r="X66" s="19">
        <f>IF(N(M66)=0,"",N66/M66)</f>
        <v/>
      </c>
      <c r="Y66" s="20">
        <f>IF(N(E66)=0,"",O66/E66)</f>
        <v/>
      </c>
    </row>
    <row r="67">
      <c r="A67" s="21" t="n">
        <v>46363</v>
      </c>
      <c r="B67" s="22">
        <f>DATE(YEAR(A67),MONTH(A67),1)</f>
        <v/>
      </c>
      <c r="C67" s="23" t="inlineStr">
        <is>
          <t>Microsoft Ads</t>
        </is>
      </c>
      <c r="D67" s="23" t="n"/>
      <c r="E67" s="24" t="n"/>
      <c r="F67" s="25" t="n"/>
      <c r="G67" s="25" t="n"/>
      <c r="H67" s="26" t="n"/>
      <c r="I67" s="27" t="n"/>
      <c r="J67" s="27" t="n"/>
      <c r="K67" s="25" t="n"/>
      <c r="L67" s="25" t="n"/>
      <c r="M67" s="25" t="n"/>
      <c r="N67" s="25" t="n"/>
      <c r="O67" s="24" t="n"/>
      <c r="P67" s="28">
        <f>IF(N(F67)=0,"",G67/F67)</f>
        <v/>
      </c>
      <c r="Q67" s="29">
        <f>IF(N(G67)=0,"",E67/G67)</f>
        <v/>
      </c>
      <c r="R67" s="28">
        <f>IF(N(G67)=0,"",H67/G67)</f>
        <v/>
      </c>
      <c r="S67" s="29">
        <f>IF(N(H67)=0,"",E67/H67)</f>
        <v/>
      </c>
      <c r="T67" s="29">
        <f>IF(N(K67)=0,"",E67/K67)</f>
        <v/>
      </c>
      <c r="U67" s="29">
        <f>IF(N(L67)=0,"",E67/L67)</f>
        <v/>
      </c>
      <c r="V67" s="29">
        <f>IF(N(N67)=0,"",E67/N67)</f>
        <v/>
      </c>
      <c r="W67" s="30">
        <f>IF(N(K67)=0,"",L67/K67)</f>
        <v/>
      </c>
      <c r="X67" s="30">
        <f>IF(N(M67)=0,"",N67/M67)</f>
        <v/>
      </c>
      <c r="Y67" s="31">
        <f>IF(N(E67)=0,"",O67/E67)</f>
        <v/>
      </c>
    </row>
    <row r="68">
      <c r="A68" s="10" t="n">
        <v>46370</v>
      </c>
      <c r="B68" s="11">
        <f>DATE(YEAR(A68),MONTH(A68),1)</f>
        <v/>
      </c>
      <c r="C68" t="inlineStr">
        <is>
          <t>S-FR | Marque</t>
        </is>
      </c>
      <c r="E68" s="13" t="n"/>
      <c r="F68" s="14" t="n"/>
      <c r="G68" s="14" t="n"/>
      <c r="H68" s="15" t="n"/>
      <c r="I68" s="16" t="n"/>
      <c r="J68" s="16" t="n"/>
      <c r="K68" s="14" t="n"/>
      <c r="L68" s="14" t="n"/>
      <c r="M68" s="14" t="n"/>
      <c r="N68" s="14" t="n"/>
      <c r="O68" s="13" t="n"/>
      <c r="P68" s="17">
        <f>IF(N(F68)=0,"",G68/F68)</f>
        <v/>
      </c>
      <c r="Q68" s="18">
        <f>IF(N(G68)=0,"",E68/G68)</f>
        <v/>
      </c>
      <c r="R68" s="17">
        <f>IF(N(G68)=0,"",H68/G68)</f>
        <v/>
      </c>
      <c r="S68" s="18">
        <f>IF(N(H68)=0,"",E68/H68)</f>
        <v/>
      </c>
      <c r="T68" s="18">
        <f>IF(N(K68)=0,"",E68/K68)</f>
        <v/>
      </c>
      <c r="U68" s="18">
        <f>IF(N(L68)=0,"",E68/L68)</f>
        <v/>
      </c>
      <c r="V68" s="18">
        <f>IF(N(N68)=0,"",E68/N68)</f>
        <v/>
      </c>
      <c r="W68" s="19">
        <f>IF(N(K68)=0,"",L68/K68)</f>
        <v/>
      </c>
      <c r="X68" s="19">
        <f>IF(N(M68)=0,"",N68/M68)</f>
        <v/>
      </c>
      <c r="Y68" s="20">
        <f>IF(N(E68)=0,"",O68/E68)</f>
        <v/>
      </c>
    </row>
    <row r="69">
      <c r="A69" s="10" t="n">
        <v>46370</v>
      </c>
      <c r="B69" s="11">
        <f>DATE(YEAR(A69),MONTH(A69),1)</f>
        <v/>
      </c>
      <c r="C69" t="inlineStr">
        <is>
          <t>S-FR | Corporatif &amp; Fêtes</t>
        </is>
      </c>
      <c r="E69" s="13" t="n"/>
      <c r="F69" s="14" t="n"/>
      <c r="G69" s="14" t="n"/>
      <c r="H69" s="15" t="n"/>
      <c r="I69" s="16" t="n"/>
      <c r="J69" s="16" t="n"/>
      <c r="K69" s="14" t="n"/>
      <c r="L69" s="14" t="n"/>
      <c r="M69" s="14" t="n"/>
      <c r="N69" s="14" t="n"/>
      <c r="O69" s="13" t="n"/>
      <c r="P69" s="17">
        <f>IF(N(F69)=0,"",G69/F69)</f>
        <v/>
      </c>
      <c r="Q69" s="18">
        <f>IF(N(G69)=0,"",E69/G69)</f>
        <v/>
      </c>
      <c r="R69" s="17">
        <f>IF(N(G69)=0,"",H69/G69)</f>
        <v/>
      </c>
      <c r="S69" s="18">
        <f>IF(N(H69)=0,"",E69/H69)</f>
        <v/>
      </c>
      <c r="T69" s="18">
        <f>IF(N(K69)=0,"",E69/K69)</f>
        <v/>
      </c>
      <c r="U69" s="18">
        <f>IF(N(L69)=0,"",E69/L69)</f>
        <v/>
      </c>
      <c r="V69" s="18">
        <f>IF(N(N69)=0,"",E69/N69)</f>
        <v/>
      </c>
      <c r="W69" s="19">
        <f>IF(N(K69)=0,"",L69/K69)</f>
        <v/>
      </c>
      <c r="X69" s="19">
        <f>IF(N(M69)=0,"",N69/M69)</f>
        <v/>
      </c>
      <c r="Y69" s="20">
        <f>IF(N(E69)=0,"",O69/E69)</f>
        <v/>
      </c>
    </row>
    <row r="70">
      <c r="A70" s="10" t="n">
        <v>46370</v>
      </c>
      <c r="B70" s="11">
        <f>DATE(YEAR(A70),MONTH(A70),1)</f>
        <v/>
      </c>
      <c r="C70" t="inlineStr">
        <is>
          <t>S-FR | Événements privés</t>
        </is>
      </c>
      <c r="E70" s="13" t="n"/>
      <c r="F70" s="14" t="n"/>
      <c r="G70" s="14" t="n"/>
      <c r="H70" s="15" t="n"/>
      <c r="I70" s="16" t="n"/>
      <c r="J70" s="16" t="n"/>
      <c r="K70" s="14" t="n"/>
      <c r="L70" s="14" t="n"/>
      <c r="M70" s="14" t="n"/>
      <c r="N70" s="14" t="n"/>
      <c r="O70" s="13" t="n"/>
      <c r="P70" s="17">
        <f>IF(N(F70)=0,"",G70/F70)</f>
        <v/>
      </c>
      <c r="Q70" s="18">
        <f>IF(N(G70)=0,"",E70/G70)</f>
        <v/>
      </c>
      <c r="R70" s="17">
        <f>IF(N(G70)=0,"",H70/G70)</f>
        <v/>
      </c>
      <c r="S70" s="18">
        <f>IF(N(H70)=0,"",E70/H70)</f>
        <v/>
      </c>
      <c r="T70" s="18">
        <f>IF(N(K70)=0,"",E70/K70)</f>
        <v/>
      </c>
      <c r="U70" s="18">
        <f>IF(N(L70)=0,"",E70/L70)</f>
        <v/>
      </c>
      <c r="V70" s="18">
        <f>IF(N(N70)=0,"",E70/N70)</f>
        <v/>
      </c>
      <c r="W70" s="19">
        <f>IF(N(K70)=0,"",L70/K70)</f>
        <v/>
      </c>
      <c r="X70" s="19">
        <f>IF(N(M70)=0,"",N70/M70)</f>
        <v/>
      </c>
      <c r="Y70" s="20">
        <f>IF(N(E70)=0,"",O70/E70)</f>
        <v/>
      </c>
    </row>
    <row r="71">
      <c r="A71" s="10" t="n">
        <v>46370</v>
      </c>
      <c r="B71" s="11">
        <f>DATE(YEAR(A71),MONTH(A71),1)</f>
        <v/>
      </c>
      <c r="C71" t="inlineStr">
        <is>
          <t>S-EN | Corporate Montréal</t>
        </is>
      </c>
      <c r="E71" s="13" t="n"/>
      <c r="F71" s="14" t="n"/>
      <c r="G71" s="14" t="n"/>
      <c r="H71" s="15" t="n"/>
      <c r="I71" s="16" t="n"/>
      <c r="J71" s="16" t="n"/>
      <c r="K71" s="14" t="n"/>
      <c r="L71" s="14" t="n"/>
      <c r="M71" s="14" t="n"/>
      <c r="N71" s="14" t="n"/>
      <c r="O71" s="13" t="n"/>
      <c r="P71" s="17">
        <f>IF(N(F71)=0,"",G71/F71)</f>
        <v/>
      </c>
      <c r="Q71" s="18">
        <f>IF(N(G71)=0,"",E71/G71)</f>
        <v/>
      </c>
      <c r="R71" s="17">
        <f>IF(N(G71)=0,"",H71/G71)</f>
        <v/>
      </c>
      <c r="S71" s="18">
        <f>IF(N(H71)=0,"",E71/H71)</f>
        <v/>
      </c>
      <c r="T71" s="18">
        <f>IF(N(K71)=0,"",E71/K71)</f>
        <v/>
      </c>
      <c r="U71" s="18">
        <f>IF(N(L71)=0,"",E71/L71)</f>
        <v/>
      </c>
      <c r="V71" s="18">
        <f>IF(N(N71)=0,"",E71/N71)</f>
        <v/>
      </c>
      <c r="W71" s="19">
        <f>IF(N(K71)=0,"",L71/K71)</f>
        <v/>
      </c>
      <c r="X71" s="19">
        <f>IF(N(M71)=0,"",N71/M71)</f>
        <v/>
      </c>
      <c r="Y71" s="20">
        <f>IF(N(E71)=0,"",O71/E71)</f>
        <v/>
      </c>
    </row>
    <row r="72">
      <c r="A72" s="10" t="n">
        <v>46370</v>
      </c>
      <c r="B72" s="11">
        <f>DATE(YEAR(A72),MONTH(A72),1)</f>
        <v/>
      </c>
      <c r="C72" t="inlineStr">
        <is>
          <t>S-FR | Québec-Lévis (test)</t>
        </is>
      </c>
      <c r="E72" s="13" t="n"/>
      <c r="F72" s="14" t="n"/>
      <c r="G72" s="14" t="n"/>
      <c r="H72" s="15" t="n"/>
      <c r="I72" s="16" t="n"/>
      <c r="J72" s="16" t="n"/>
      <c r="K72" s="14" t="n"/>
      <c r="L72" s="14" t="n"/>
      <c r="M72" s="14" t="n"/>
      <c r="N72" s="14" t="n"/>
      <c r="O72" s="13" t="n"/>
      <c r="P72" s="17">
        <f>IF(N(F72)=0,"",G72/F72)</f>
        <v/>
      </c>
      <c r="Q72" s="18">
        <f>IF(N(G72)=0,"",E72/G72)</f>
        <v/>
      </c>
      <c r="R72" s="17">
        <f>IF(N(G72)=0,"",H72/G72)</f>
        <v/>
      </c>
      <c r="S72" s="18">
        <f>IF(N(H72)=0,"",E72/H72)</f>
        <v/>
      </c>
      <c r="T72" s="18">
        <f>IF(N(K72)=0,"",E72/K72)</f>
        <v/>
      </c>
      <c r="U72" s="18">
        <f>IF(N(L72)=0,"",E72/L72)</f>
        <v/>
      </c>
      <c r="V72" s="18">
        <f>IF(N(N72)=0,"",E72/N72)</f>
        <v/>
      </c>
      <c r="W72" s="19">
        <f>IF(N(K72)=0,"",L72/K72)</f>
        <v/>
      </c>
      <c r="X72" s="19">
        <f>IF(N(M72)=0,"",N72/M72)</f>
        <v/>
      </c>
      <c r="Y72" s="20">
        <f>IF(N(E72)=0,"",O72/E72)</f>
        <v/>
      </c>
    </row>
    <row r="73">
      <c r="A73" s="10" t="n">
        <v>46370</v>
      </c>
      <c r="B73" s="11">
        <f>DATE(YEAR(A73),MONTH(A73),1)</f>
        <v/>
      </c>
      <c r="C73" t="inlineStr">
        <is>
          <t>Demand Gen</t>
        </is>
      </c>
      <c r="E73" s="13" t="n"/>
      <c r="F73" s="14" t="n"/>
      <c r="G73" s="14" t="n"/>
      <c r="H73" s="15" t="n"/>
      <c r="I73" s="16" t="n"/>
      <c r="J73" s="16" t="n"/>
      <c r="K73" s="14" t="n"/>
      <c r="L73" s="14" t="n"/>
      <c r="M73" s="14" t="n"/>
      <c r="N73" s="14" t="n"/>
      <c r="O73" s="13" t="n"/>
      <c r="P73" s="17">
        <f>IF(N(F73)=0,"",G73/F73)</f>
        <v/>
      </c>
      <c r="Q73" s="18">
        <f>IF(N(G73)=0,"",E73/G73)</f>
        <v/>
      </c>
      <c r="R73" s="17">
        <f>IF(N(G73)=0,"",H73/G73)</f>
        <v/>
      </c>
      <c r="S73" s="18">
        <f>IF(N(H73)=0,"",E73/H73)</f>
        <v/>
      </c>
      <c r="T73" s="18">
        <f>IF(N(K73)=0,"",E73/K73)</f>
        <v/>
      </c>
      <c r="U73" s="18">
        <f>IF(N(L73)=0,"",E73/L73)</f>
        <v/>
      </c>
      <c r="V73" s="18">
        <f>IF(N(N73)=0,"",E73/N73)</f>
        <v/>
      </c>
      <c r="W73" s="19">
        <f>IF(N(K73)=0,"",L73/K73)</f>
        <v/>
      </c>
      <c r="X73" s="19">
        <f>IF(N(M73)=0,"",N73/M73)</f>
        <v/>
      </c>
      <c r="Y73" s="20">
        <f>IF(N(E73)=0,"",O73/E73)</f>
        <v/>
      </c>
    </row>
    <row r="74">
      <c r="A74" s="21" t="n">
        <v>46370</v>
      </c>
      <c r="B74" s="22">
        <f>DATE(YEAR(A74),MONTH(A74),1)</f>
        <v/>
      </c>
      <c r="C74" s="23" t="inlineStr">
        <is>
          <t>Microsoft Ads</t>
        </is>
      </c>
      <c r="D74" s="23" t="n"/>
      <c r="E74" s="24" t="n"/>
      <c r="F74" s="25" t="n"/>
      <c r="G74" s="25" t="n"/>
      <c r="H74" s="26" t="n"/>
      <c r="I74" s="27" t="n"/>
      <c r="J74" s="27" t="n"/>
      <c r="K74" s="25" t="n"/>
      <c r="L74" s="25" t="n"/>
      <c r="M74" s="25" t="n"/>
      <c r="N74" s="25" t="n"/>
      <c r="O74" s="24" t="n"/>
      <c r="P74" s="28">
        <f>IF(N(F74)=0,"",G74/F74)</f>
        <v/>
      </c>
      <c r="Q74" s="29">
        <f>IF(N(G74)=0,"",E74/G74)</f>
        <v/>
      </c>
      <c r="R74" s="28">
        <f>IF(N(G74)=0,"",H74/G74)</f>
        <v/>
      </c>
      <c r="S74" s="29">
        <f>IF(N(H74)=0,"",E74/H74)</f>
        <v/>
      </c>
      <c r="T74" s="29">
        <f>IF(N(K74)=0,"",E74/K74)</f>
        <v/>
      </c>
      <c r="U74" s="29">
        <f>IF(N(L74)=0,"",E74/L74)</f>
        <v/>
      </c>
      <c r="V74" s="29">
        <f>IF(N(N74)=0,"",E74/N74)</f>
        <v/>
      </c>
      <c r="W74" s="30">
        <f>IF(N(K74)=0,"",L74/K74)</f>
        <v/>
      </c>
      <c r="X74" s="30">
        <f>IF(N(M74)=0,"",N74/M74)</f>
        <v/>
      </c>
      <c r="Y74" s="31">
        <f>IF(N(E74)=0,"",O74/E74)</f>
        <v/>
      </c>
    </row>
    <row r="75">
      <c r="A75" s="10" t="n">
        <v>46377</v>
      </c>
      <c r="B75" s="11">
        <f>DATE(YEAR(A75),MONTH(A75),1)</f>
        <v/>
      </c>
      <c r="C75" t="inlineStr">
        <is>
          <t>S-FR | Marque</t>
        </is>
      </c>
      <c r="E75" s="13" t="n"/>
      <c r="F75" s="14" t="n"/>
      <c r="G75" s="14" t="n"/>
      <c r="H75" s="15" t="n"/>
      <c r="I75" s="16" t="n"/>
      <c r="J75" s="16" t="n"/>
      <c r="K75" s="14" t="n"/>
      <c r="L75" s="14" t="n"/>
      <c r="M75" s="14" t="n"/>
      <c r="N75" s="14" t="n"/>
      <c r="O75" s="13" t="n"/>
      <c r="P75" s="17">
        <f>IF(N(F75)=0,"",G75/F75)</f>
        <v/>
      </c>
      <c r="Q75" s="18">
        <f>IF(N(G75)=0,"",E75/G75)</f>
        <v/>
      </c>
      <c r="R75" s="17">
        <f>IF(N(G75)=0,"",H75/G75)</f>
        <v/>
      </c>
      <c r="S75" s="18">
        <f>IF(N(H75)=0,"",E75/H75)</f>
        <v/>
      </c>
      <c r="T75" s="18">
        <f>IF(N(K75)=0,"",E75/K75)</f>
        <v/>
      </c>
      <c r="U75" s="18">
        <f>IF(N(L75)=0,"",E75/L75)</f>
        <v/>
      </c>
      <c r="V75" s="18">
        <f>IF(N(N75)=0,"",E75/N75)</f>
        <v/>
      </c>
      <c r="W75" s="19">
        <f>IF(N(K75)=0,"",L75/K75)</f>
        <v/>
      </c>
      <c r="X75" s="19">
        <f>IF(N(M75)=0,"",N75/M75)</f>
        <v/>
      </c>
      <c r="Y75" s="20">
        <f>IF(N(E75)=0,"",O75/E75)</f>
        <v/>
      </c>
    </row>
    <row r="76">
      <c r="A76" s="10" t="n">
        <v>46377</v>
      </c>
      <c r="B76" s="11">
        <f>DATE(YEAR(A76),MONTH(A76),1)</f>
        <v/>
      </c>
      <c r="C76" t="inlineStr">
        <is>
          <t>S-FR | Corporatif &amp; Fêtes</t>
        </is>
      </c>
      <c r="E76" s="13" t="n"/>
      <c r="F76" s="14" t="n"/>
      <c r="G76" s="14" t="n"/>
      <c r="H76" s="15" t="n"/>
      <c r="I76" s="16" t="n"/>
      <c r="J76" s="16" t="n"/>
      <c r="K76" s="14" t="n"/>
      <c r="L76" s="14" t="n"/>
      <c r="M76" s="14" t="n"/>
      <c r="N76" s="14" t="n"/>
      <c r="O76" s="13" t="n"/>
      <c r="P76" s="17">
        <f>IF(N(F76)=0,"",G76/F76)</f>
        <v/>
      </c>
      <c r="Q76" s="18">
        <f>IF(N(G76)=0,"",E76/G76)</f>
        <v/>
      </c>
      <c r="R76" s="17">
        <f>IF(N(G76)=0,"",H76/G76)</f>
        <v/>
      </c>
      <c r="S76" s="18">
        <f>IF(N(H76)=0,"",E76/H76)</f>
        <v/>
      </c>
      <c r="T76" s="18">
        <f>IF(N(K76)=0,"",E76/K76)</f>
        <v/>
      </c>
      <c r="U76" s="18">
        <f>IF(N(L76)=0,"",E76/L76)</f>
        <v/>
      </c>
      <c r="V76" s="18">
        <f>IF(N(N76)=0,"",E76/N76)</f>
        <v/>
      </c>
      <c r="W76" s="19">
        <f>IF(N(K76)=0,"",L76/K76)</f>
        <v/>
      </c>
      <c r="X76" s="19">
        <f>IF(N(M76)=0,"",N76/M76)</f>
        <v/>
      </c>
      <c r="Y76" s="20">
        <f>IF(N(E76)=0,"",O76/E76)</f>
        <v/>
      </c>
    </row>
    <row r="77">
      <c r="A77" s="10" t="n">
        <v>46377</v>
      </c>
      <c r="B77" s="11">
        <f>DATE(YEAR(A77),MONTH(A77),1)</f>
        <v/>
      </c>
      <c r="C77" t="inlineStr">
        <is>
          <t>S-FR | Événements privés</t>
        </is>
      </c>
      <c r="E77" s="13" t="n"/>
      <c r="F77" s="14" t="n"/>
      <c r="G77" s="14" t="n"/>
      <c r="H77" s="15" t="n"/>
      <c r="I77" s="16" t="n"/>
      <c r="J77" s="16" t="n"/>
      <c r="K77" s="14" t="n"/>
      <c r="L77" s="14" t="n"/>
      <c r="M77" s="14" t="n"/>
      <c r="N77" s="14" t="n"/>
      <c r="O77" s="13" t="n"/>
      <c r="P77" s="17">
        <f>IF(N(F77)=0,"",G77/F77)</f>
        <v/>
      </c>
      <c r="Q77" s="18">
        <f>IF(N(G77)=0,"",E77/G77)</f>
        <v/>
      </c>
      <c r="R77" s="17">
        <f>IF(N(G77)=0,"",H77/G77)</f>
        <v/>
      </c>
      <c r="S77" s="18">
        <f>IF(N(H77)=0,"",E77/H77)</f>
        <v/>
      </c>
      <c r="T77" s="18">
        <f>IF(N(K77)=0,"",E77/K77)</f>
        <v/>
      </c>
      <c r="U77" s="18">
        <f>IF(N(L77)=0,"",E77/L77)</f>
        <v/>
      </c>
      <c r="V77" s="18">
        <f>IF(N(N77)=0,"",E77/N77)</f>
        <v/>
      </c>
      <c r="W77" s="19">
        <f>IF(N(K77)=0,"",L77/K77)</f>
        <v/>
      </c>
      <c r="X77" s="19">
        <f>IF(N(M77)=0,"",N77/M77)</f>
        <v/>
      </c>
      <c r="Y77" s="20">
        <f>IF(N(E77)=0,"",O77/E77)</f>
        <v/>
      </c>
    </row>
    <row r="78">
      <c r="A78" s="10" t="n">
        <v>46377</v>
      </c>
      <c r="B78" s="11">
        <f>DATE(YEAR(A78),MONTH(A78),1)</f>
        <v/>
      </c>
      <c r="C78" t="inlineStr">
        <is>
          <t>S-EN | Corporate Montréal</t>
        </is>
      </c>
      <c r="E78" s="13" t="n"/>
      <c r="F78" s="14" t="n"/>
      <c r="G78" s="14" t="n"/>
      <c r="H78" s="15" t="n"/>
      <c r="I78" s="16" t="n"/>
      <c r="J78" s="16" t="n"/>
      <c r="K78" s="14" t="n"/>
      <c r="L78" s="14" t="n"/>
      <c r="M78" s="14" t="n"/>
      <c r="N78" s="14" t="n"/>
      <c r="O78" s="13" t="n"/>
      <c r="P78" s="17">
        <f>IF(N(F78)=0,"",G78/F78)</f>
        <v/>
      </c>
      <c r="Q78" s="18">
        <f>IF(N(G78)=0,"",E78/G78)</f>
        <v/>
      </c>
      <c r="R78" s="17">
        <f>IF(N(G78)=0,"",H78/G78)</f>
        <v/>
      </c>
      <c r="S78" s="18">
        <f>IF(N(H78)=0,"",E78/H78)</f>
        <v/>
      </c>
      <c r="T78" s="18">
        <f>IF(N(K78)=0,"",E78/K78)</f>
        <v/>
      </c>
      <c r="U78" s="18">
        <f>IF(N(L78)=0,"",E78/L78)</f>
        <v/>
      </c>
      <c r="V78" s="18">
        <f>IF(N(N78)=0,"",E78/N78)</f>
        <v/>
      </c>
      <c r="W78" s="19">
        <f>IF(N(K78)=0,"",L78/K78)</f>
        <v/>
      </c>
      <c r="X78" s="19">
        <f>IF(N(M78)=0,"",N78/M78)</f>
        <v/>
      </c>
      <c r="Y78" s="20">
        <f>IF(N(E78)=0,"",O78/E78)</f>
        <v/>
      </c>
    </row>
    <row r="79">
      <c r="A79" s="10" t="n">
        <v>46377</v>
      </c>
      <c r="B79" s="11">
        <f>DATE(YEAR(A79),MONTH(A79),1)</f>
        <v/>
      </c>
      <c r="C79" t="inlineStr">
        <is>
          <t>S-FR | Québec-Lévis (test)</t>
        </is>
      </c>
      <c r="E79" s="13" t="n"/>
      <c r="F79" s="14" t="n"/>
      <c r="G79" s="14" t="n"/>
      <c r="H79" s="15" t="n"/>
      <c r="I79" s="16" t="n"/>
      <c r="J79" s="16" t="n"/>
      <c r="K79" s="14" t="n"/>
      <c r="L79" s="14" t="n"/>
      <c r="M79" s="14" t="n"/>
      <c r="N79" s="14" t="n"/>
      <c r="O79" s="13" t="n"/>
      <c r="P79" s="17">
        <f>IF(N(F79)=0,"",G79/F79)</f>
        <v/>
      </c>
      <c r="Q79" s="18">
        <f>IF(N(G79)=0,"",E79/G79)</f>
        <v/>
      </c>
      <c r="R79" s="17">
        <f>IF(N(G79)=0,"",H79/G79)</f>
        <v/>
      </c>
      <c r="S79" s="18">
        <f>IF(N(H79)=0,"",E79/H79)</f>
        <v/>
      </c>
      <c r="T79" s="18">
        <f>IF(N(K79)=0,"",E79/K79)</f>
        <v/>
      </c>
      <c r="U79" s="18">
        <f>IF(N(L79)=0,"",E79/L79)</f>
        <v/>
      </c>
      <c r="V79" s="18">
        <f>IF(N(N79)=0,"",E79/N79)</f>
        <v/>
      </c>
      <c r="W79" s="19">
        <f>IF(N(K79)=0,"",L79/K79)</f>
        <v/>
      </c>
      <c r="X79" s="19">
        <f>IF(N(M79)=0,"",N79/M79)</f>
        <v/>
      </c>
      <c r="Y79" s="20">
        <f>IF(N(E79)=0,"",O79/E79)</f>
        <v/>
      </c>
    </row>
    <row r="80">
      <c r="A80" s="10" t="n">
        <v>46377</v>
      </c>
      <c r="B80" s="11">
        <f>DATE(YEAR(A80),MONTH(A80),1)</f>
        <v/>
      </c>
      <c r="C80" t="inlineStr">
        <is>
          <t>Demand Gen</t>
        </is>
      </c>
      <c r="E80" s="13" t="n"/>
      <c r="F80" s="14" t="n"/>
      <c r="G80" s="14" t="n"/>
      <c r="H80" s="15" t="n"/>
      <c r="I80" s="16" t="n"/>
      <c r="J80" s="16" t="n"/>
      <c r="K80" s="14" t="n"/>
      <c r="L80" s="14" t="n"/>
      <c r="M80" s="14" t="n"/>
      <c r="N80" s="14" t="n"/>
      <c r="O80" s="13" t="n"/>
      <c r="P80" s="17">
        <f>IF(N(F80)=0,"",G80/F80)</f>
        <v/>
      </c>
      <c r="Q80" s="18">
        <f>IF(N(G80)=0,"",E80/G80)</f>
        <v/>
      </c>
      <c r="R80" s="17">
        <f>IF(N(G80)=0,"",H80/G80)</f>
        <v/>
      </c>
      <c r="S80" s="18">
        <f>IF(N(H80)=0,"",E80/H80)</f>
        <v/>
      </c>
      <c r="T80" s="18">
        <f>IF(N(K80)=0,"",E80/K80)</f>
        <v/>
      </c>
      <c r="U80" s="18">
        <f>IF(N(L80)=0,"",E80/L80)</f>
        <v/>
      </c>
      <c r="V80" s="18">
        <f>IF(N(N80)=0,"",E80/N80)</f>
        <v/>
      </c>
      <c r="W80" s="19">
        <f>IF(N(K80)=0,"",L80/K80)</f>
        <v/>
      </c>
      <c r="X80" s="19">
        <f>IF(N(M80)=0,"",N80/M80)</f>
        <v/>
      </c>
      <c r="Y80" s="20">
        <f>IF(N(E80)=0,"",O80/E80)</f>
        <v/>
      </c>
    </row>
    <row r="81">
      <c r="A81" s="21" t="n">
        <v>46377</v>
      </c>
      <c r="B81" s="22">
        <f>DATE(YEAR(A81),MONTH(A81),1)</f>
        <v/>
      </c>
      <c r="C81" s="23" t="inlineStr">
        <is>
          <t>Microsoft Ads</t>
        </is>
      </c>
      <c r="D81" s="23" t="n"/>
      <c r="E81" s="24" t="n"/>
      <c r="F81" s="25" t="n"/>
      <c r="G81" s="25" t="n"/>
      <c r="H81" s="26" t="n"/>
      <c r="I81" s="27" t="n"/>
      <c r="J81" s="27" t="n"/>
      <c r="K81" s="25" t="n"/>
      <c r="L81" s="25" t="n"/>
      <c r="M81" s="25" t="n"/>
      <c r="N81" s="25" t="n"/>
      <c r="O81" s="24" t="n"/>
      <c r="P81" s="28">
        <f>IF(N(F81)=0,"",G81/F81)</f>
        <v/>
      </c>
      <c r="Q81" s="29">
        <f>IF(N(G81)=0,"",E81/G81)</f>
        <v/>
      </c>
      <c r="R81" s="28">
        <f>IF(N(G81)=0,"",H81/G81)</f>
        <v/>
      </c>
      <c r="S81" s="29">
        <f>IF(N(H81)=0,"",E81/H81)</f>
        <v/>
      </c>
      <c r="T81" s="29">
        <f>IF(N(K81)=0,"",E81/K81)</f>
        <v/>
      </c>
      <c r="U81" s="29">
        <f>IF(N(L81)=0,"",E81/L81)</f>
        <v/>
      </c>
      <c r="V81" s="29">
        <f>IF(N(N81)=0,"",E81/N81)</f>
        <v/>
      </c>
      <c r="W81" s="30">
        <f>IF(N(K81)=0,"",L81/K81)</f>
        <v/>
      </c>
      <c r="X81" s="30">
        <f>IF(N(M81)=0,"",N81/M81)</f>
        <v/>
      </c>
      <c r="Y81" s="31">
        <f>IF(N(E81)=0,"",O81/E81)</f>
        <v/>
      </c>
    </row>
    <row r="82">
      <c r="A82" s="10" t="n">
        <v>46384</v>
      </c>
      <c r="B82" s="11">
        <f>DATE(YEAR(A82),MONTH(A82),1)</f>
        <v/>
      </c>
      <c r="C82" t="inlineStr">
        <is>
          <t>S-FR | Marque</t>
        </is>
      </c>
      <c r="E82" s="13" t="n"/>
      <c r="F82" s="14" t="n"/>
      <c r="G82" s="14" t="n"/>
      <c r="H82" s="15" t="n"/>
      <c r="I82" s="16" t="n"/>
      <c r="J82" s="16" t="n"/>
      <c r="K82" s="14" t="n"/>
      <c r="L82" s="14" t="n"/>
      <c r="M82" s="14" t="n"/>
      <c r="N82" s="14" t="n"/>
      <c r="O82" s="13" t="n"/>
      <c r="P82" s="17">
        <f>IF(N(F82)=0,"",G82/F82)</f>
        <v/>
      </c>
      <c r="Q82" s="18">
        <f>IF(N(G82)=0,"",E82/G82)</f>
        <v/>
      </c>
      <c r="R82" s="17">
        <f>IF(N(G82)=0,"",H82/G82)</f>
        <v/>
      </c>
      <c r="S82" s="18">
        <f>IF(N(H82)=0,"",E82/H82)</f>
        <v/>
      </c>
      <c r="T82" s="18">
        <f>IF(N(K82)=0,"",E82/K82)</f>
        <v/>
      </c>
      <c r="U82" s="18">
        <f>IF(N(L82)=0,"",E82/L82)</f>
        <v/>
      </c>
      <c r="V82" s="18">
        <f>IF(N(N82)=0,"",E82/N82)</f>
        <v/>
      </c>
      <c r="W82" s="19">
        <f>IF(N(K82)=0,"",L82/K82)</f>
        <v/>
      </c>
      <c r="X82" s="19">
        <f>IF(N(M82)=0,"",N82/M82)</f>
        <v/>
      </c>
      <c r="Y82" s="20">
        <f>IF(N(E82)=0,"",O82/E82)</f>
        <v/>
      </c>
    </row>
    <row r="83">
      <c r="A83" s="10" t="n">
        <v>46384</v>
      </c>
      <c r="B83" s="11">
        <f>DATE(YEAR(A83),MONTH(A83),1)</f>
        <v/>
      </c>
      <c r="C83" t="inlineStr">
        <is>
          <t>S-FR | Corporatif &amp; Fêtes</t>
        </is>
      </c>
      <c r="E83" s="13" t="n"/>
      <c r="F83" s="14" t="n"/>
      <c r="G83" s="14" t="n"/>
      <c r="H83" s="15" t="n"/>
      <c r="I83" s="16" t="n"/>
      <c r="J83" s="16" t="n"/>
      <c r="K83" s="14" t="n"/>
      <c r="L83" s="14" t="n"/>
      <c r="M83" s="14" t="n"/>
      <c r="N83" s="14" t="n"/>
      <c r="O83" s="13" t="n"/>
      <c r="P83" s="17">
        <f>IF(N(F83)=0,"",G83/F83)</f>
        <v/>
      </c>
      <c r="Q83" s="18">
        <f>IF(N(G83)=0,"",E83/G83)</f>
        <v/>
      </c>
      <c r="R83" s="17">
        <f>IF(N(G83)=0,"",H83/G83)</f>
        <v/>
      </c>
      <c r="S83" s="18">
        <f>IF(N(H83)=0,"",E83/H83)</f>
        <v/>
      </c>
      <c r="T83" s="18">
        <f>IF(N(K83)=0,"",E83/K83)</f>
        <v/>
      </c>
      <c r="U83" s="18">
        <f>IF(N(L83)=0,"",E83/L83)</f>
        <v/>
      </c>
      <c r="V83" s="18">
        <f>IF(N(N83)=0,"",E83/N83)</f>
        <v/>
      </c>
      <c r="W83" s="19">
        <f>IF(N(K83)=0,"",L83/K83)</f>
        <v/>
      </c>
      <c r="X83" s="19">
        <f>IF(N(M83)=0,"",N83/M83)</f>
        <v/>
      </c>
      <c r="Y83" s="20">
        <f>IF(N(E83)=0,"",O83/E83)</f>
        <v/>
      </c>
    </row>
    <row r="84">
      <c r="A84" s="10" t="n">
        <v>46384</v>
      </c>
      <c r="B84" s="11">
        <f>DATE(YEAR(A84),MONTH(A84),1)</f>
        <v/>
      </c>
      <c r="C84" t="inlineStr">
        <is>
          <t>S-FR | Événements privés</t>
        </is>
      </c>
      <c r="E84" s="13" t="n"/>
      <c r="F84" s="14" t="n"/>
      <c r="G84" s="14" t="n"/>
      <c r="H84" s="15" t="n"/>
      <c r="I84" s="16" t="n"/>
      <c r="J84" s="16" t="n"/>
      <c r="K84" s="14" t="n"/>
      <c r="L84" s="14" t="n"/>
      <c r="M84" s="14" t="n"/>
      <c r="N84" s="14" t="n"/>
      <c r="O84" s="13" t="n"/>
      <c r="P84" s="17">
        <f>IF(N(F84)=0,"",G84/F84)</f>
        <v/>
      </c>
      <c r="Q84" s="18">
        <f>IF(N(G84)=0,"",E84/G84)</f>
        <v/>
      </c>
      <c r="R84" s="17">
        <f>IF(N(G84)=0,"",H84/G84)</f>
        <v/>
      </c>
      <c r="S84" s="18">
        <f>IF(N(H84)=0,"",E84/H84)</f>
        <v/>
      </c>
      <c r="T84" s="18">
        <f>IF(N(K84)=0,"",E84/K84)</f>
        <v/>
      </c>
      <c r="U84" s="18">
        <f>IF(N(L84)=0,"",E84/L84)</f>
        <v/>
      </c>
      <c r="V84" s="18">
        <f>IF(N(N84)=0,"",E84/N84)</f>
        <v/>
      </c>
      <c r="W84" s="19">
        <f>IF(N(K84)=0,"",L84/K84)</f>
        <v/>
      </c>
      <c r="X84" s="19">
        <f>IF(N(M84)=0,"",N84/M84)</f>
        <v/>
      </c>
      <c r="Y84" s="20">
        <f>IF(N(E84)=0,"",O84/E84)</f>
        <v/>
      </c>
    </row>
    <row r="85">
      <c r="A85" s="10" t="n">
        <v>46384</v>
      </c>
      <c r="B85" s="11">
        <f>DATE(YEAR(A85),MONTH(A85),1)</f>
        <v/>
      </c>
      <c r="C85" t="inlineStr">
        <is>
          <t>S-EN | Corporate Montréal</t>
        </is>
      </c>
      <c r="E85" s="13" t="n"/>
      <c r="F85" s="14" t="n"/>
      <c r="G85" s="14" t="n"/>
      <c r="H85" s="15" t="n"/>
      <c r="I85" s="16" t="n"/>
      <c r="J85" s="16" t="n"/>
      <c r="K85" s="14" t="n"/>
      <c r="L85" s="14" t="n"/>
      <c r="M85" s="14" t="n"/>
      <c r="N85" s="14" t="n"/>
      <c r="O85" s="13" t="n"/>
      <c r="P85" s="17">
        <f>IF(N(F85)=0,"",G85/F85)</f>
        <v/>
      </c>
      <c r="Q85" s="18">
        <f>IF(N(G85)=0,"",E85/G85)</f>
        <v/>
      </c>
      <c r="R85" s="17">
        <f>IF(N(G85)=0,"",H85/G85)</f>
        <v/>
      </c>
      <c r="S85" s="18">
        <f>IF(N(H85)=0,"",E85/H85)</f>
        <v/>
      </c>
      <c r="T85" s="18">
        <f>IF(N(K85)=0,"",E85/K85)</f>
        <v/>
      </c>
      <c r="U85" s="18">
        <f>IF(N(L85)=0,"",E85/L85)</f>
        <v/>
      </c>
      <c r="V85" s="18">
        <f>IF(N(N85)=0,"",E85/N85)</f>
        <v/>
      </c>
      <c r="W85" s="19">
        <f>IF(N(K85)=0,"",L85/K85)</f>
        <v/>
      </c>
      <c r="X85" s="19">
        <f>IF(N(M85)=0,"",N85/M85)</f>
        <v/>
      </c>
      <c r="Y85" s="20">
        <f>IF(N(E85)=0,"",O85/E85)</f>
        <v/>
      </c>
    </row>
    <row r="86">
      <c r="A86" s="10" t="n">
        <v>46384</v>
      </c>
      <c r="B86" s="11">
        <f>DATE(YEAR(A86),MONTH(A86),1)</f>
        <v/>
      </c>
      <c r="C86" t="inlineStr">
        <is>
          <t>S-FR | Québec-Lévis (test)</t>
        </is>
      </c>
      <c r="E86" s="13" t="n"/>
      <c r="F86" s="14" t="n"/>
      <c r="G86" s="14" t="n"/>
      <c r="H86" s="15" t="n"/>
      <c r="I86" s="16" t="n"/>
      <c r="J86" s="16" t="n"/>
      <c r="K86" s="14" t="n"/>
      <c r="L86" s="14" t="n"/>
      <c r="M86" s="14" t="n"/>
      <c r="N86" s="14" t="n"/>
      <c r="O86" s="13" t="n"/>
      <c r="P86" s="17">
        <f>IF(N(F86)=0,"",G86/F86)</f>
        <v/>
      </c>
      <c r="Q86" s="18">
        <f>IF(N(G86)=0,"",E86/G86)</f>
        <v/>
      </c>
      <c r="R86" s="17">
        <f>IF(N(G86)=0,"",H86/G86)</f>
        <v/>
      </c>
      <c r="S86" s="18">
        <f>IF(N(H86)=0,"",E86/H86)</f>
        <v/>
      </c>
      <c r="T86" s="18">
        <f>IF(N(K86)=0,"",E86/K86)</f>
        <v/>
      </c>
      <c r="U86" s="18">
        <f>IF(N(L86)=0,"",E86/L86)</f>
        <v/>
      </c>
      <c r="V86" s="18">
        <f>IF(N(N86)=0,"",E86/N86)</f>
        <v/>
      </c>
      <c r="W86" s="19">
        <f>IF(N(K86)=0,"",L86/K86)</f>
        <v/>
      </c>
      <c r="X86" s="19">
        <f>IF(N(M86)=0,"",N86/M86)</f>
        <v/>
      </c>
      <c r="Y86" s="20">
        <f>IF(N(E86)=0,"",O86/E86)</f>
        <v/>
      </c>
    </row>
    <row r="87">
      <c r="A87" s="10" t="n">
        <v>46384</v>
      </c>
      <c r="B87" s="11">
        <f>DATE(YEAR(A87),MONTH(A87),1)</f>
        <v/>
      </c>
      <c r="C87" t="inlineStr">
        <is>
          <t>Demand Gen</t>
        </is>
      </c>
      <c r="E87" s="13" t="n"/>
      <c r="F87" s="14" t="n"/>
      <c r="G87" s="14" t="n"/>
      <c r="H87" s="15" t="n"/>
      <c r="I87" s="16" t="n"/>
      <c r="J87" s="16" t="n"/>
      <c r="K87" s="14" t="n"/>
      <c r="L87" s="14" t="n"/>
      <c r="M87" s="14" t="n"/>
      <c r="N87" s="14" t="n"/>
      <c r="O87" s="13" t="n"/>
      <c r="P87" s="17">
        <f>IF(N(F87)=0,"",G87/F87)</f>
        <v/>
      </c>
      <c r="Q87" s="18">
        <f>IF(N(G87)=0,"",E87/G87)</f>
        <v/>
      </c>
      <c r="R87" s="17">
        <f>IF(N(G87)=0,"",H87/G87)</f>
        <v/>
      </c>
      <c r="S87" s="18">
        <f>IF(N(H87)=0,"",E87/H87)</f>
        <v/>
      </c>
      <c r="T87" s="18">
        <f>IF(N(K87)=0,"",E87/K87)</f>
        <v/>
      </c>
      <c r="U87" s="18">
        <f>IF(N(L87)=0,"",E87/L87)</f>
        <v/>
      </c>
      <c r="V87" s="18">
        <f>IF(N(N87)=0,"",E87/N87)</f>
        <v/>
      </c>
      <c r="W87" s="19">
        <f>IF(N(K87)=0,"",L87/K87)</f>
        <v/>
      </c>
      <c r="X87" s="19">
        <f>IF(N(M87)=0,"",N87/M87)</f>
        <v/>
      </c>
      <c r="Y87" s="20">
        <f>IF(N(E87)=0,"",O87/E87)</f>
        <v/>
      </c>
    </row>
    <row r="88">
      <c r="A88" s="21" t="n">
        <v>46384</v>
      </c>
      <c r="B88" s="22">
        <f>DATE(YEAR(A88),MONTH(A88),1)</f>
        <v/>
      </c>
      <c r="C88" s="23" t="inlineStr">
        <is>
          <t>Microsoft Ads</t>
        </is>
      </c>
      <c r="D88" s="23" t="n"/>
      <c r="E88" s="24" t="n"/>
      <c r="F88" s="25" t="n"/>
      <c r="G88" s="25" t="n"/>
      <c r="H88" s="26" t="n"/>
      <c r="I88" s="27" t="n"/>
      <c r="J88" s="27" t="n"/>
      <c r="K88" s="25" t="n"/>
      <c r="L88" s="25" t="n"/>
      <c r="M88" s="25" t="n"/>
      <c r="N88" s="25" t="n"/>
      <c r="O88" s="24" t="n"/>
      <c r="P88" s="28">
        <f>IF(N(F88)=0,"",G88/F88)</f>
        <v/>
      </c>
      <c r="Q88" s="29">
        <f>IF(N(G88)=0,"",E88/G88)</f>
        <v/>
      </c>
      <c r="R88" s="28">
        <f>IF(N(G88)=0,"",H88/G88)</f>
        <v/>
      </c>
      <c r="S88" s="29">
        <f>IF(N(H88)=0,"",E88/H88)</f>
        <v/>
      </c>
      <c r="T88" s="29">
        <f>IF(N(K88)=0,"",E88/K88)</f>
        <v/>
      </c>
      <c r="U88" s="29">
        <f>IF(N(L88)=0,"",E88/L88)</f>
        <v/>
      </c>
      <c r="V88" s="29">
        <f>IF(N(N88)=0,"",E88/N88)</f>
        <v/>
      </c>
      <c r="W88" s="30">
        <f>IF(N(K88)=0,"",L88/K88)</f>
        <v/>
      </c>
      <c r="X88" s="30">
        <f>IF(N(M88)=0,"",N88/M88)</f>
        <v/>
      </c>
      <c r="Y88" s="31">
        <f>IF(N(E88)=0,"",O88/E88)</f>
        <v/>
      </c>
    </row>
    <row r="89">
      <c r="A89" s="10" t="n">
        <v>46391</v>
      </c>
      <c r="B89" s="11">
        <f>DATE(YEAR(A89),MONTH(A89),1)</f>
        <v/>
      </c>
      <c r="C89" t="inlineStr">
        <is>
          <t>S-FR | Marque</t>
        </is>
      </c>
      <c r="E89" s="13" t="n"/>
      <c r="F89" s="14" t="n"/>
      <c r="G89" s="14" t="n"/>
      <c r="H89" s="15" t="n"/>
      <c r="I89" s="16" t="n"/>
      <c r="J89" s="16" t="n"/>
      <c r="K89" s="14" t="n"/>
      <c r="L89" s="14" t="n"/>
      <c r="M89" s="14" t="n"/>
      <c r="N89" s="14" t="n"/>
      <c r="O89" s="13" t="n"/>
      <c r="P89" s="17">
        <f>IF(N(F89)=0,"",G89/F89)</f>
        <v/>
      </c>
      <c r="Q89" s="18">
        <f>IF(N(G89)=0,"",E89/G89)</f>
        <v/>
      </c>
      <c r="R89" s="17">
        <f>IF(N(G89)=0,"",H89/G89)</f>
        <v/>
      </c>
      <c r="S89" s="18">
        <f>IF(N(H89)=0,"",E89/H89)</f>
        <v/>
      </c>
      <c r="T89" s="18">
        <f>IF(N(K89)=0,"",E89/K89)</f>
        <v/>
      </c>
      <c r="U89" s="18">
        <f>IF(N(L89)=0,"",E89/L89)</f>
        <v/>
      </c>
      <c r="V89" s="18">
        <f>IF(N(N89)=0,"",E89/N89)</f>
        <v/>
      </c>
      <c r="W89" s="19">
        <f>IF(N(K89)=0,"",L89/K89)</f>
        <v/>
      </c>
      <c r="X89" s="19">
        <f>IF(N(M89)=0,"",N89/M89)</f>
        <v/>
      </c>
      <c r="Y89" s="20">
        <f>IF(N(E89)=0,"",O89/E89)</f>
        <v/>
      </c>
    </row>
    <row r="90">
      <c r="A90" s="10" t="n">
        <v>46391</v>
      </c>
      <c r="B90" s="11">
        <f>DATE(YEAR(A90),MONTH(A90),1)</f>
        <v/>
      </c>
      <c r="C90" t="inlineStr">
        <is>
          <t>S-FR | Corporatif &amp; Fêtes</t>
        </is>
      </c>
      <c r="E90" s="13" t="n"/>
      <c r="F90" s="14" t="n"/>
      <c r="G90" s="14" t="n"/>
      <c r="H90" s="15" t="n"/>
      <c r="I90" s="16" t="n"/>
      <c r="J90" s="16" t="n"/>
      <c r="K90" s="14" t="n"/>
      <c r="L90" s="14" t="n"/>
      <c r="M90" s="14" t="n"/>
      <c r="N90" s="14" t="n"/>
      <c r="O90" s="13" t="n"/>
      <c r="P90" s="17">
        <f>IF(N(F90)=0,"",G90/F90)</f>
        <v/>
      </c>
      <c r="Q90" s="18">
        <f>IF(N(G90)=0,"",E90/G90)</f>
        <v/>
      </c>
      <c r="R90" s="17">
        <f>IF(N(G90)=0,"",H90/G90)</f>
        <v/>
      </c>
      <c r="S90" s="18">
        <f>IF(N(H90)=0,"",E90/H90)</f>
        <v/>
      </c>
      <c r="T90" s="18">
        <f>IF(N(K90)=0,"",E90/K90)</f>
        <v/>
      </c>
      <c r="U90" s="18">
        <f>IF(N(L90)=0,"",E90/L90)</f>
        <v/>
      </c>
      <c r="V90" s="18">
        <f>IF(N(N90)=0,"",E90/N90)</f>
        <v/>
      </c>
      <c r="W90" s="19">
        <f>IF(N(K90)=0,"",L90/K90)</f>
        <v/>
      </c>
      <c r="X90" s="19">
        <f>IF(N(M90)=0,"",N90/M90)</f>
        <v/>
      </c>
      <c r="Y90" s="20">
        <f>IF(N(E90)=0,"",O90/E90)</f>
        <v/>
      </c>
    </row>
    <row r="91">
      <c r="A91" s="10" t="n">
        <v>46391</v>
      </c>
      <c r="B91" s="11">
        <f>DATE(YEAR(A91),MONTH(A91),1)</f>
        <v/>
      </c>
      <c r="C91" t="inlineStr">
        <is>
          <t>S-FR | Événements privés</t>
        </is>
      </c>
      <c r="E91" s="13" t="n"/>
      <c r="F91" s="14" t="n"/>
      <c r="G91" s="14" t="n"/>
      <c r="H91" s="15" t="n"/>
      <c r="I91" s="16" t="n"/>
      <c r="J91" s="16" t="n"/>
      <c r="K91" s="14" t="n"/>
      <c r="L91" s="14" t="n"/>
      <c r="M91" s="14" t="n"/>
      <c r="N91" s="14" t="n"/>
      <c r="O91" s="13" t="n"/>
      <c r="P91" s="17">
        <f>IF(N(F91)=0,"",G91/F91)</f>
        <v/>
      </c>
      <c r="Q91" s="18">
        <f>IF(N(G91)=0,"",E91/G91)</f>
        <v/>
      </c>
      <c r="R91" s="17">
        <f>IF(N(G91)=0,"",H91/G91)</f>
        <v/>
      </c>
      <c r="S91" s="18">
        <f>IF(N(H91)=0,"",E91/H91)</f>
        <v/>
      </c>
      <c r="T91" s="18">
        <f>IF(N(K91)=0,"",E91/K91)</f>
        <v/>
      </c>
      <c r="U91" s="18">
        <f>IF(N(L91)=0,"",E91/L91)</f>
        <v/>
      </c>
      <c r="V91" s="18">
        <f>IF(N(N91)=0,"",E91/N91)</f>
        <v/>
      </c>
      <c r="W91" s="19">
        <f>IF(N(K91)=0,"",L91/K91)</f>
        <v/>
      </c>
      <c r="X91" s="19">
        <f>IF(N(M91)=0,"",N91/M91)</f>
        <v/>
      </c>
      <c r="Y91" s="20">
        <f>IF(N(E91)=0,"",O91/E91)</f>
        <v/>
      </c>
    </row>
    <row r="92">
      <c r="A92" s="10" t="n">
        <v>46391</v>
      </c>
      <c r="B92" s="11">
        <f>DATE(YEAR(A92),MONTH(A92),1)</f>
        <v/>
      </c>
      <c r="C92" t="inlineStr">
        <is>
          <t>S-EN | Corporate Montréal</t>
        </is>
      </c>
      <c r="E92" s="13" t="n"/>
      <c r="F92" s="14" t="n"/>
      <c r="G92" s="14" t="n"/>
      <c r="H92" s="15" t="n"/>
      <c r="I92" s="16" t="n"/>
      <c r="J92" s="16" t="n"/>
      <c r="K92" s="14" t="n"/>
      <c r="L92" s="14" t="n"/>
      <c r="M92" s="14" t="n"/>
      <c r="N92" s="14" t="n"/>
      <c r="O92" s="13" t="n"/>
      <c r="P92" s="17">
        <f>IF(N(F92)=0,"",G92/F92)</f>
        <v/>
      </c>
      <c r="Q92" s="18">
        <f>IF(N(G92)=0,"",E92/G92)</f>
        <v/>
      </c>
      <c r="R92" s="17">
        <f>IF(N(G92)=0,"",H92/G92)</f>
        <v/>
      </c>
      <c r="S92" s="18">
        <f>IF(N(H92)=0,"",E92/H92)</f>
        <v/>
      </c>
      <c r="T92" s="18">
        <f>IF(N(K92)=0,"",E92/K92)</f>
        <v/>
      </c>
      <c r="U92" s="18">
        <f>IF(N(L92)=0,"",E92/L92)</f>
        <v/>
      </c>
      <c r="V92" s="18">
        <f>IF(N(N92)=0,"",E92/N92)</f>
        <v/>
      </c>
      <c r="W92" s="19">
        <f>IF(N(K92)=0,"",L92/K92)</f>
        <v/>
      </c>
      <c r="X92" s="19">
        <f>IF(N(M92)=0,"",N92/M92)</f>
        <v/>
      </c>
      <c r="Y92" s="20">
        <f>IF(N(E92)=0,"",O92/E92)</f>
        <v/>
      </c>
    </row>
    <row r="93">
      <c r="A93" s="10" t="n">
        <v>46391</v>
      </c>
      <c r="B93" s="11">
        <f>DATE(YEAR(A93),MONTH(A93),1)</f>
        <v/>
      </c>
      <c r="C93" t="inlineStr">
        <is>
          <t>S-FR | Québec-Lévis (test)</t>
        </is>
      </c>
      <c r="E93" s="13" t="n"/>
      <c r="F93" s="14" t="n"/>
      <c r="G93" s="14" t="n"/>
      <c r="H93" s="15" t="n"/>
      <c r="I93" s="16" t="n"/>
      <c r="J93" s="16" t="n"/>
      <c r="K93" s="14" t="n"/>
      <c r="L93" s="14" t="n"/>
      <c r="M93" s="14" t="n"/>
      <c r="N93" s="14" t="n"/>
      <c r="O93" s="13" t="n"/>
      <c r="P93" s="17">
        <f>IF(N(F93)=0,"",G93/F93)</f>
        <v/>
      </c>
      <c r="Q93" s="18">
        <f>IF(N(G93)=0,"",E93/G93)</f>
        <v/>
      </c>
      <c r="R93" s="17">
        <f>IF(N(G93)=0,"",H93/G93)</f>
        <v/>
      </c>
      <c r="S93" s="18">
        <f>IF(N(H93)=0,"",E93/H93)</f>
        <v/>
      </c>
      <c r="T93" s="18">
        <f>IF(N(K93)=0,"",E93/K93)</f>
        <v/>
      </c>
      <c r="U93" s="18">
        <f>IF(N(L93)=0,"",E93/L93)</f>
        <v/>
      </c>
      <c r="V93" s="18">
        <f>IF(N(N93)=0,"",E93/N93)</f>
        <v/>
      </c>
      <c r="W93" s="19">
        <f>IF(N(K93)=0,"",L93/K93)</f>
        <v/>
      </c>
      <c r="X93" s="19">
        <f>IF(N(M93)=0,"",N93/M93)</f>
        <v/>
      </c>
      <c r="Y93" s="20">
        <f>IF(N(E93)=0,"",O93/E93)</f>
        <v/>
      </c>
    </row>
    <row r="94">
      <c r="A94" s="10" t="n">
        <v>46391</v>
      </c>
      <c r="B94" s="11">
        <f>DATE(YEAR(A94),MONTH(A94),1)</f>
        <v/>
      </c>
      <c r="C94" t="inlineStr">
        <is>
          <t>Demand Gen</t>
        </is>
      </c>
      <c r="E94" s="13" t="n"/>
      <c r="F94" s="14" t="n"/>
      <c r="G94" s="14" t="n"/>
      <c r="H94" s="15" t="n"/>
      <c r="I94" s="16" t="n"/>
      <c r="J94" s="16" t="n"/>
      <c r="K94" s="14" t="n"/>
      <c r="L94" s="14" t="n"/>
      <c r="M94" s="14" t="n"/>
      <c r="N94" s="14" t="n"/>
      <c r="O94" s="13" t="n"/>
      <c r="P94" s="17">
        <f>IF(N(F94)=0,"",G94/F94)</f>
        <v/>
      </c>
      <c r="Q94" s="18">
        <f>IF(N(G94)=0,"",E94/G94)</f>
        <v/>
      </c>
      <c r="R94" s="17">
        <f>IF(N(G94)=0,"",H94/G94)</f>
        <v/>
      </c>
      <c r="S94" s="18">
        <f>IF(N(H94)=0,"",E94/H94)</f>
        <v/>
      </c>
      <c r="T94" s="18">
        <f>IF(N(K94)=0,"",E94/K94)</f>
        <v/>
      </c>
      <c r="U94" s="18">
        <f>IF(N(L94)=0,"",E94/L94)</f>
        <v/>
      </c>
      <c r="V94" s="18">
        <f>IF(N(N94)=0,"",E94/N94)</f>
        <v/>
      </c>
      <c r="W94" s="19">
        <f>IF(N(K94)=0,"",L94/K94)</f>
        <v/>
      </c>
      <c r="X94" s="19">
        <f>IF(N(M94)=0,"",N94/M94)</f>
        <v/>
      </c>
      <c r="Y94" s="20">
        <f>IF(N(E94)=0,"",O94/E94)</f>
        <v/>
      </c>
    </row>
    <row r="95">
      <c r="A95" s="21" t="n">
        <v>46391</v>
      </c>
      <c r="B95" s="22">
        <f>DATE(YEAR(A95),MONTH(A95),1)</f>
        <v/>
      </c>
      <c r="C95" s="23" t="inlineStr">
        <is>
          <t>Microsoft Ads</t>
        </is>
      </c>
      <c r="D95" s="23" t="n"/>
      <c r="E95" s="24" t="n"/>
      <c r="F95" s="25" t="n"/>
      <c r="G95" s="25" t="n"/>
      <c r="H95" s="26" t="n"/>
      <c r="I95" s="27" t="n"/>
      <c r="J95" s="27" t="n"/>
      <c r="K95" s="25" t="n"/>
      <c r="L95" s="25" t="n"/>
      <c r="M95" s="25" t="n"/>
      <c r="N95" s="25" t="n"/>
      <c r="O95" s="24" t="n"/>
      <c r="P95" s="28">
        <f>IF(N(F95)=0,"",G95/F95)</f>
        <v/>
      </c>
      <c r="Q95" s="29">
        <f>IF(N(G95)=0,"",E95/G95)</f>
        <v/>
      </c>
      <c r="R95" s="28">
        <f>IF(N(G95)=0,"",H95/G95)</f>
        <v/>
      </c>
      <c r="S95" s="29">
        <f>IF(N(H95)=0,"",E95/H95)</f>
        <v/>
      </c>
      <c r="T95" s="29">
        <f>IF(N(K95)=0,"",E95/K95)</f>
        <v/>
      </c>
      <c r="U95" s="29">
        <f>IF(N(L95)=0,"",E95/L95)</f>
        <v/>
      </c>
      <c r="V95" s="29">
        <f>IF(N(N95)=0,"",E95/N95)</f>
        <v/>
      </c>
      <c r="W95" s="30">
        <f>IF(N(K95)=0,"",L95/K95)</f>
        <v/>
      </c>
      <c r="X95" s="30">
        <f>IF(N(M95)=0,"",N95/M95)</f>
        <v/>
      </c>
      <c r="Y95" s="31">
        <f>IF(N(E95)=0,"",O95/E95)</f>
        <v/>
      </c>
    </row>
    <row r="96">
      <c r="A96" s="10" t="n">
        <v>46398</v>
      </c>
      <c r="B96" s="11">
        <f>DATE(YEAR(A96),MONTH(A96),1)</f>
        <v/>
      </c>
      <c r="C96" t="inlineStr">
        <is>
          <t>S-FR | Marque</t>
        </is>
      </c>
      <c r="E96" s="13" t="n"/>
      <c r="F96" s="14" t="n"/>
      <c r="G96" s="14" t="n"/>
      <c r="H96" s="15" t="n"/>
      <c r="I96" s="16" t="n"/>
      <c r="J96" s="16" t="n"/>
      <c r="K96" s="14" t="n"/>
      <c r="L96" s="14" t="n"/>
      <c r="M96" s="14" t="n"/>
      <c r="N96" s="14" t="n"/>
      <c r="O96" s="13" t="n"/>
      <c r="P96" s="17">
        <f>IF(N(F96)=0,"",G96/F96)</f>
        <v/>
      </c>
      <c r="Q96" s="18">
        <f>IF(N(G96)=0,"",E96/G96)</f>
        <v/>
      </c>
      <c r="R96" s="17">
        <f>IF(N(G96)=0,"",H96/G96)</f>
        <v/>
      </c>
      <c r="S96" s="18">
        <f>IF(N(H96)=0,"",E96/H96)</f>
        <v/>
      </c>
      <c r="T96" s="18">
        <f>IF(N(K96)=0,"",E96/K96)</f>
        <v/>
      </c>
      <c r="U96" s="18">
        <f>IF(N(L96)=0,"",E96/L96)</f>
        <v/>
      </c>
      <c r="V96" s="18">
        <f>IF(N(N96)=0,"",E96/N96)</f>
        <v/>
      </c>
      <c r="W96" s="19">
        <f>IF(N(K96)=0,"",L96/K96)</f>
        <v/>
      </c>
      <c r="X96" s="19">
        <f>IF(N(M96)=0,"",N96/M96)</f>
        <v/>
      </c>
      <c r="Y96" s="20">
        <f>IF(N(E96)=0,"",O96/E96)</f>
        <v/>
      </c>
    </row>
    <row r="97">
      <c r="A97" s="10" t="n">
        <v>46398</v>
      </c>
      <c r="B97" s="11">
        <f>DATE(YEAR(A97),MONTH(A97),1)</f>
        <v/>
      </c>
      <c r="C97" t="inlineStr">
        <is>
          <t>S-FR | Corporatif &amp; Fêtes</t>
        </is>
      </c>
      <c r="E97" s="13" t="n"/>
      <c r="F97" s="14" t="n"/>
      <c r="G97" s="14" t="n"/>
      <c r="H97" s="15" t="n"/>
      <c r="I97" s="16" t="n"/>
      <c r="J97" s="16" t="n"/>
      <c r="K97" s="14" t="n"/>
      <c r="L97" s="14" t="n"/>
      <c r="M97" s="14" t="n"/>
      <c r="N97" s="14" t="n"/>
      <c r="O97" s="13" t="n"/>
      <c r="P97" s="17">
        <f>IF(N(F97)=0,"",G97/F97)</f>
        <v/>
      </c>
      <c r="Q97" s="18">
        <f>IF(N(G97)=0,"",E97/G97)</f>
        <v/>
      </c>
      <c r="R97" s="17">
        <f>IF(N(G97)=0,"",H97/G97)</f>
        <v/>
      </c>
      <c r="S97" s="18">
        <f>IF(N(H97)=0,"",E97/H97)</f>
        <v/>
      </c>
      <c r="T97" s="18">
        <f>IF(N(K97)=0,"",E97/K97)</f>
        <v/>
      </c>
      <c r="U97" s="18">
        <f>IF(N(L97)=0,"",E97/L97)</f>
        <v/>
      </c>
      <c r="V97" s="18">
        <f>IF(N(N97)=0,"",E97/N97)</f>
        <v/>
      </c>
      <c r="W97" s="19">
        <f>IF(N(K97)=0,"",L97/K97)</f>
        <v/>
      </c>
      <c r="X97" s="19">
        <f>IF(N(M97)=0,"",N97/M97)</f>
        <v/>
      </c>
      <c r="Y97" s="20">
        <f>IF(N(E97)=0,"",O97/E97)</f>
        <v/>
      </c>
    </row>
    <row r="98">
      <c r="A98" s="10" t="n">
        <v>46398</v>
      </c>
      <c r="B98" s="11">
        <f>DATE(YEAR(A98),MONTH(A98),1)</f>
        <v/>
      </c>
      <c r="C98" t="inlineStr">
        <is>
          <t>S-FR | Événements privés</t>
        </is>
      </c>
      <c r="E98" s="13" t="n"/>
      <c r="F98" s="14" t="n"/>
      <c r="G98" s="14" t="n"/>
      <c r="H98" s="15" t="n"/>
      <c r="I98" s="16" t="n"/>
      <c r="J98" s="16" t="n"/>
      <c r="K98" s="14" t="n"/>
      <c r="L98" s="14" t="n"/>
      <c r="M98" s="14" t="n"/>
      <c r="N98" s="14" t="n"/>
      <c r="O98" s="13" t="n"/>
      <c r="P98" s="17">
        <f>IF(N(F98)=0,"",G98/F98)</f>
        <v/>
      </c>
      <c r="Q98" s="18">
        <f>IF(N(G98)=0,"",E98/G98)</f>
        <v/>
      </c>
      <c r="R98" s="17">
        <f>IF(N(G98)=0,"",H98/G98)</f>
        <v/>
      </c>
      <c r="S98" s="18">
        <f>IF(N(H98)=0,"",E98/H98)</f>
        <v/>
      </c>
      <c r="T98" s="18">
        <f>IF(N(K98)=0,"",E98/K98)</f>
        <v/>
      </c>
      <c r="U98" s="18">
        <f>IF(N(L98)=0,"",E98/L98)</f>
        <v/>
      </c>
      <c r="V98" s="18">
        <f>IF(N(N98)=0,"",E98/N98)</f>
        <v/>
      </c>
      <c r="W98" s="19">
        <f>IF(N(K98)=0,"",L98/K98)</f>
        <v/>
      </c>
      <c r="X98" s="19">
        <f>IF(N(M98)=0,"",N98/M98)</f>
        <v/>
      </c>
      <c r="Y98" s="20">
        <f>IF(N(E98)=0,"",O98/E98)</f>
        <v/>
      </c>
    </row>
    <row r="99">
      <c r="A99" s="10" t="n">
        <v>46398</v>
      </c>
      <c r="B99" s="11">
        <f>DATE(YEAR(A99),MONTH(A99),1)</f>
        <v/>
      </c>
      <c r="C99" t="inlineStr">
        <is>
          <t>S-EN | Corporate Montréal</t>
        </is>
      </c>
      <c r="E99" s="13" t="n"/>
      <c r="F99" s="14" t="n"/>
      <c r="G99" s="14" t="n"/>
      <c r="H99" s="15" t="n"/>
      <c r="I99" s="16" t="n"/>
      <c r="J99" s="16" t="n"/>
      <c r="K99" s="14" t="n"/>
      <c r="L99" s="14" t="n"/>
      <c r="M99" s="14" t="n"/>
      <c r="N99" s="14" t="n"/>
      <c r="O99" s="13" t="n"/>
      <c r="P99" s="17">
        <f>IF(N(F99)=0,"",G99/F99)</f>
        <v/>
      </c>
      <c r="Q99" s="18">
        <f>IF(N(G99)=0,"",E99/G99)</f>
        <v/>
      </c>
      <c r="R99" s="17">
        <f>IF(N(G99)=0,"",H99/G99)</f>
        <v/>
      </c>
      <c r="S99" s="18">
        <f>IF(N(H99)=0,"",E99/H99)</f>
        <v/>
      </c>
      <c r="T99" s="18">
        <f>IF(N(K99)=0,"",E99/K99)</f>
        <v/>
      </c>
      <c r="U99" s="18">
        <f>IF(N(L99)=0,"",E99/L99)</f>
        <v/>
      </c>
      <c r="V99" s="18">
        <f>IF(N(N99)=0,"",E99/N99)</f>
        <v/>
      </c>
      <c r="W99" s="19">
        <f>IF(N(K99)=0,"",L99/K99)</f>
        <v/>
      </c>
      <c r="X99" s="19">
        <f>IF(N(M99)=0,"",N99/M99)</f>
        <v/>
      </c>
      <c r="Y99" s="20">
        <f>IF(N(E99)=0,"",O99/E99)</f>
        <v/>
      </c>
    </row>
    <row r="100">
      <c r="A100" s="10" t="n">
        <v>46398</v>
      </c>
      <c r="B100" s="11">
        <f>DATE(YEAR(A100),MONTH(A100),1)</f>
        <v/>
      </c>
      <c r="C100" t="inlineStr">
        <is>
          <t>S-FR | Québec-Lévis (test)</t>
        </is>
      </c>
      <c r="E100" s="13" t="n"/>
      <c r="F100" s="14" t="n"/>
      <c r="G100" s="14" t="n"/>
      <c r="H100" s="15" t="n"/>
      <c r="I100" s="16" t="n"/>
      <c r="J100" s="16" t="n"/>
      <c r="K100" s="14" t="n"/>
      <c r="L100" s="14" t="n"/>
      <c r="M100" s="14" t="n"/>
      <c r="N100" s="14" t="n"/>
      <c r="O100" s="13" t="n"/>
      <c r="P100" s="17">
        <f>IF(N(F100)=0,"",G100/F100)</f>
        <v/>
      </c>
      <c r="Q100" s="18">
        <f>IF(N(G100)=0,"",E100/G100)</f>
        <v/>
      </c>
      <c r="R100" s="17">
        <f>IF(N(G100)=0,"",H100/G100)</f>
        <v/>
      </c>
      <c r="S100" s="18">
        <f>IF(N(H100)=0,"",E100/H100)</f>
        <v/>
      </c>
      <c r="T100" s="18">
        <f>IF(N(K100)=0,"",E100/K100)</f>
        <v/>
      </c>
      <c r="U100" s="18">
        <f>IF(N(L100)=0,"",E100/L100)</f>
        <v/>
      </c>
      <c r="V100" s="18">
        <f>IF(N(N100)=0,"",E100/N100)</f>
        <v/>
      </c>
      <c r="W100" s="19">
        <f>IF(N(K100)=0,"",L100/K100)</f>
        <v/>
      </c>
      <c r="X100" s="19">
        <f>IF(N(M100)=0,"",N100/M100)</f>
        <v/>
      </c>
      <c r="Y100" s="20">
        <f>IF(N(E100)=0,"",O100/E100)</f>
        <v/>
      </c>
    </row>
    <row r="101">
      <c r="A101" s="10" t="n">
        <v>46398</v>
      </c>
      <c r="B101" s="11">
        <f>DATE(YEAR(A101),MONTH(A101),1)</f>
        <v/>
      </c>
      <c r="C101" t="inlineStr">
        <is>
          <t>Demand Gen</t>
        </is>
      </c>
      <c r="E101" s="13" t="n"/>
      <c r="F101" s="14" t="n"/>
      <c r="G101" s="14" t="n"/>
      <c r="H101" s="15" t="n"/>
      <c r="I101" s="16" t="n"/>
      <c r="J101" s="16" t="n"/>
      <c r="K101" s="14" t="n"/>
      <c r="L101" s="14" t="n"/>
      <c r="M101" s="14" t="n"/>
      <c r="N101" s="14" t="n"/>
      <c r="O101" s="13" t="n"/>
      <c r="P101" s="17">
        <f>IF(N(F101)=0,"",G101/F101)</f>
        <v/>
      </c>
      <c r="Q101" s="18">
        <f>IF(N(G101)=0,"",E101/G101)</f>
        <v/>
      </c>
      <c r="R101" s="17">
        <f>IF(N(G101)=0,"",H101/G101)</f>
        <v/>
      </c>
      <c r="S101" s="18">
        <f>IF(N(H101)=0,"",E101/H101)</f>
        <v/>
      </c>
      <c r="T101" s="18">
        <f>IF(N(K101)=0,"",E101/K101)</f>
        <v/>
      </c>
      <c r="U101" s="18">
        <f>IF(N(L101)=0,"",E101/L101)</f>
        <v/>
      </c>
      <c r="V101" s="18">
        <f>IF(N(N101)=0,"",E101/N101)</f>
        <v/>
      </c>
      <c r="W101" s="19">
        <f>IF(N(K101)=0,"",L101/K101)</f>
        <v/>
      </c>
      <c r="X101" s="19">
        <f>IF(N(M101)=0,"",N101/M101)</f>
        <v/>
      </c>
      <c r="Y101" s="20">
        <f>IF(N(E101)=0,"",O101/E101)</f>
        <v/>
      </c>
    </row>
    <row r="102">
      <c r="A102" s="21" t="n">
        <v>46398</v>
      </c>
      <c r="B102" s="22">
        <f>DATE(YEAR(A102),MONTH(A102),1)</f>
        <v/>
      </c>
      <c r="C102" s="23" t="inlineStr">
        <is>
          <t>Microsoft Ads</t>
        </is>
      </c>
      <c r="D102" s="23" t="n"/>
      <c r="E102" s="24" t="n"/>
      <c r="F102" s="25" t="n"/>
      <c r="G102" s="25" t="n"/>
      <c r="H102" s="26" t="n"/>
      <c r="I102" s="27" t="n"/>
      <c r="J102" s="27" t="n"/>
      <c r="K102" s="25" t="n"/>
      <c r="L102" s="25" t="n"/>
      <c r="M102" s="25" t="n"/>
      <c r="N102" s="25" t="n"/>
      <c r="O102" s="24" t="n"/>
      <c r="P102" s="28">
        <f>IF(N(F102)=0,"",G102/F102)</f>
        <v/>
      </c>
      <c r="Q102" s="29">
        <f>IF(N(G102)=0,"",E102/G102)</f>
        <v/>
      </c>
      <c r="R102" s="28">
        <f>IF(N(G102)=0,"",H102/G102)</f>
        <v/>
      </c>
      <c r="S102" s="29">
        <f>IF(N(H102)=0,"",E102/H102)</f>
        <v/>
      </c>
      <c r="T102" s="29">
        <f>IF(N(K102)=0,"",E102/K102)</f>
        <v/>
      </c>
      <c r="U102" s="29">
        <f>IF(N(L102)=0,"",E102/L102)</f>
        <v/>
      </c>
      <c r="V102" s="29">
        <f>IF(N(N102)=0,"",E102/N102)</f>
        <v/>
      </c>
      <c r="W102" s="30">
        <f>IF(N(K102)=0,"",L102/K102)</f>
        <v/>
      </c>
      <c r="X102" s="30">
        <f>IF(N(M102)=0,"",N102/M102)</f>
        <v/>
      </c>
      <c r="Y102" s="31">
        <f>IF(N(E102)=0,"",O102/E102)</f>
        <v/>
      </c>
    </row>
    <row r="103">
      <c r="A103" s="10" t="n">
        <v>46405</v>
      </c>
      <c r="B103" s="11">
        <f>DATE(YEAR(A103),MONTH(A103),1)</f>
        <v/>
      </c>
      <c r="C103" t="inlineStr">
        <is>
          <t>S-FR | Marque</t>
        </is>
      </c>
      <c r="E103" s="13" t="n"/>
      <c r="F103" s="14" t="n"/>
      <c r="G103" s="14" t="n"/>
      <c r="H103" s="15" t="n"/>
      <c r="I103" s="16" t="n"/>
      <c r="J103" s="16" t="n"/>
      <c r="K103" s="14" t="n"/>
      <c r="L103" s="14" t="n"/>
      <c r="M103" s="14" t="n"/>
      <c r="N103" s="14" t="n"/>
      <c r="O103" s="13" t="n"/>
      <c r="P103" s="17">
        <f>IF(N(F103)=0,"",G103/F103)</f>
        <v/>
      </c>
      <c r="Q103" s="18">
        <f>IF(N(G103)=0,"",E103/G103)</f>
        <v/>
      </c>
      <c r="R103" s="17">
        <f>IF(N(G103)=0,"",H103/G103)</f>
        <v/>
      </c>
      <c r="S103" s="18">
        <f>IF(N(H103)=0,"",E103/H103)</f>
        <v/>
      </c>
      <c r="T103" s="18">
        <f>IF(N(K103)=0,"",E103/K103)</f>
        <v/>
      </c>
      <c r="U103" s="18">
        <f>IF(N(L103)=0,"",E103/L103)</f>
        <v/>
      </c>
      <c r="V103" s="18">
        <f>IF(N(N103)=0,"",E103/N103)</f>
        <v/>
      </c>
      <c r="W103" s="19">
        <f>IF(N(K103)=0,"",L103/K103)</f>
        <v/>
      </c>
      <c r="X103" s="19">
        <f>IF(N(M103)=0,"",N103/M103)</f>
        <v/>
      </c>
      <c r="Y103" s="20">
        <f>IF(N(E103)=0,"",O103/E103)</f>
        <v/>
      </c>
    </row>
    <row r="104">
      <c r="A104" s="10" t="n">
        <v>46405</v>
      </c>
      <c r="B104" s="11">
        <f>DATE(YEAR(A104),MONTH(A104),1)</f>
        <v/>
      </c>
      <c r="C104" t="inlineStr">
        <is>
          <t>S-FR | Corporatif &amp; Fêtes</t>
        </is>
      </c>
      <c r="E104" s="13" t="n"/>
      <c r="F104" s="14" t="n"/>
      <c r="G104" s="14" t="n"/>
      <c r="H104" s="15" t="n"/>
      <c r="I104" s="16" t="n"/>
      <c r="J104" s="16" t="n"/>
      <c r="K104" s="14" t="n"/>
      <c r="L104" s="14" t="n"/>
      <c r="M104" s="14" t="n"/>
      <c r="N104" s="14" t="n"/>
      <c r="O104" s="13" t="n"/>
      <c r="P104" s="17">
        <f>IF(N(F104)=0,"",G104/F104)</f>
        <v/>
      </c>
      <c r="Q104" s="18">
        <f>IF(N(G104)=0,"",E104/G104)</f>
        <v/>
      </c>
      <c r="R104" s="17">
        <f>IF(N(G104)=0,"",H104/G104)</f>
        <v/>
      </c>
      <c r="S104" s="18">
        <f>IF(N(H104)=0,"",E104/H104)</f>
        <v/>
      </c>
      <c r="T104" s="18">
        <f>IF(N(K104)=0,"",E104/K104)</f>
        <v/>
      </c>
      <c r="U104" s="18">
        <f>IF(N(L104)=0,"",E104/L104)</f>
        <v/>
      </c>
      <c r="V104" s="18">
        <f>IF(N(N104)=0,"",E104/N104)</f>
        <v/>
      </c>
      <c r="W104" s="19">
        <f>IF(N(K104)=0,"",L104/K104)</f>
        <v/>
      </c>
      <c r="X104" s="19">
        <f>IF(N(M104)=0,"",N104/M104)</f>
        <v/>
      </c>
      <c r="Y104" s="20">
        <f>IF(N(E104)=0,"",O104/E104)</f>
        <v/>
      </c>
    </row>
    <row r="105">
      <c r="A105" s="10" t="n">
        <v>46405</v>
      </c>
      <c r="B105" s="11">
        <f>DATE(YEAR(A105),MONTH(A105),1)</f>
        <v/>
      </c>
      <c r="C105" t="inlineStr">
        <is>
          <t>S-FR | Événements privés</t>
        </is>
      </c>
      <c r="E105" s="13" t="n"/>
      <c r="F105" s="14" t="n"/>
      <c r="G105" s="14" t="n"/>
      <c r="H105" s="15" t="n"/>
      <c r="I105" s="16" t="n"/>
      <c r="J105" s="16" t="n"/>
      <c r="K105" s="14" t="n"/>
      <c r="L105" s="14" t="n"/>
      <c r="M105" s="14" t="n"/>
      <c r="N105" s="14" t="n"/>
      <c r="O105" s="13" t="n"/>
      <c r="P105" s="17">
        <f>IF(N(F105)=0,"",G105/F105)</f>
        <v/>
      </c>
      <c r="Q105" s="18">
        <f>IF(N(G105)=0,"",E105/G105)</f>
        <v/>
      </c>
      <c r="R105" s="17">
        <f>IF(N(G105)=0,"",H105/G105)</f>
        <v/>
      </c>
      <c r="S105" s="18">
        <f>IF(N(H105)=0,"",E105/H105)</f>
        <v/>
      </c>
      <c r="T105" s="18">
        <f>IF(N(K105)=0,"",E105/K105)</f>
        <v/>
      </c>
      <c r="U105" s="18">
        <f>IF(N(L105)=0,"",E105/L105)</f>
        <v/>
      </c>
      <c r="V105" s="18">
        <f>IF(N(N105)=0,"",E105/N105)</f>
        <v/>
      </c>
      <c r="W105" s="19">
        <f>IF(N(K105)=0,"",L105/K105)</f>
        <v/>
      </c>
      <c r="X105" s="19">
        <f>IF(N(M105)=0,"",N105/M105)</f>
        <v/>
      </c>
      <c r="Y105" s="20">
        <f>IF(N(E105)=0,"",O105/E105)</f>
        <v/>
      </c>
    </row>
    <row r="106">
      <c r="A106" s="10" t="n">
        <v>46405</v>
      </c>
      <c r="B106" s="11">
        <f>DATE(YEAR(A106),MONTH(A106),1)</f>
        <v/>
      </c>
      <c r="C106" t="inlineStr">
        <is>
          <t>S-EN | Corporate Montréal</t>
        </is>
      </c>
      <c r="E106" s="13" t="n"/>
      <c r="F106" s="14" t="n"/>
      <c r="G106" s="14" t="n"/>
      <c r="H106" s="15" t="n"/>
      <c r="I106" s="16" t="n"/>
      <c r="J106" s="16" t="n"/>
      <c r="K106" s="14" t="n"/>
      <c r="L106" s="14" t="n"/>
      <c r="M106" s="14" t="n"/>
      <c r="N106" s="14" t="n"/>
      <c r="O106" s="13" t="n"/>
      <c r="P106" s="17">
        <f>IF(N(F106)=0,"",G106/F106)</f>
        <v/>
      </c>
      <c r="Q106" s="18">
        <f>IF(N(G106)=0,"",E106/G106)</f>
        <v/>
      </c>
      <c r="R106" s="17">
        <f>IF(N(G106)=0,"",H106/G106)</f>
        <v/>
      </c>
      <c r="S106" s="18">
        <f>IF(N(H106)=0,"",E106/H106)</f>
        <v/>
      </c>
      <c r="T106" s="18">
        <f>IF(N(K106)=0,"",E106/K106)</f>
        <v/>
      </c>
      <c r="U106" s="18">
        <f>IF(N(L106)=0,"",E106/L106)</f>
        <v/>
      </c>
      <c r="V106" s="18">
        <f>IF(N(N106)=0,"",E106/N106)</f>
        <v/>
      </c>
      <c r="W106" s="19">
        <f>IF(N(K106)=0,"",L106/K106)</f>
        <v/>
      </c>
      <c r="X106" s="19">
        <f>IF(N(M106)=0,"",N106/M106)</f>
        <v/>
      </c>
      <c r="Y106" s="20">
        <f>IF(N(E106)=0,"",O106/E106)</f>
        <v/>
      </c>
    </row>
    <row r="107">
      <c r="A107" s="10" t="n">
        <v>46405</v>
      </c>
      <c r="B107" s="11">
        <f>DATE(YEAR(A107),MONTH(A107),1)</f>
        <v/>
      </c>
      <c r="C107" t="inlineStr">
        <is>
          <t>S-FR | Québec-Lévis (test)</t>
        </is>
      </c>
      <c r="E107" s="13" t="n"/>
      <c r="F107" s="14" t="n"/>
      <c r="G107" s="14" t="n"/>
      <c r="H107" s="15" t="n"/>
      <c r="I107" s="16" t="n"/>
      <c r="J107" s="16" t="n"/>
      <c r="K107" s="14" t="n"/>
      <c r="L107" s="14" t="n"/>
      <c r="M107" s="14" t="n"/>
      <c r="N107" s="14" t="n"/>
      <c r="O107" s="13" t="n"/>
      <c r="P107" s="17">
        <f>IF(N(F107)=0,"",G107/F107)</f>
        <v/>
      </c>
      <c r="Q107" s="18">
        <f>IF(N(G107)=0,"",E107/G107)</f>
        <v/>
      </c>
      <c r="R107" s="17">
        <f>IF(N(G107)=0,"",H107/G107)</f>
        <v/>
      </c>
      <c r="S107" s="18">
        <f>IF(N(H107)=0,"",E107/H107)</f>
        <v/>
      </c>
      <c r="T107" s="18">
        <f>IF(N(K107)=0,"",E107/K107)</f>
        <v/>
      </c>
      <c r="U107" s="18">
        <f>IF(N(L107)=0,"",E107/L107)</f>
        <v/>
      </c>
      <c r="V107" s="18">
        <f>IF(N(N107)=0,"",E107/N107)</f>
        <v/>
      </c>
      <c r="W107" s="19">
        <f>IF(N(K107)=0,"",L107/K107)</f>
        <v/>
      </c>
      <c r="X107" s="19">
        <f>IF(N(M107)=0,"",N107/M107)</f>
        <v/>
      </c>
      <c r="Y107" s="20">
        <f>IF(N(E107)=0,"",O107/E107)</f>
        <v/>
      </c>
    </row>
    <row r="108">
      <c r="A108" s="10" t="n">
        <v>46405</v>
      </c>
      <c r="B108" s="11">
        <f>DATE(YEAR(A108),MONTH(A108),1)</f>
        <v/>
      </c>
      <c r="C108" t="inlineStr">
        <is>
          <t>Demand Gen</t>
        </is>
      </c>
      <c r="E108" s="13" t="n"/>
      <c r="F108" s="14" t="n"/>
      <c r="G108" s="14" t="n"/>
      <c r="H108" s="15" t="n"/>
      <c r="I108" s="16" t="n"/>
      <c r="J108" s="16" t="n"/>
      <c r="K108" s="14" t="n"/>
      <c r="L108" s="14" t="n"/>
      <c r="M108" s="14" t="n"/>
      <c r="N108" s="14" t="n"/>
      <c r="O108" s="13" t="n"/>
      <c r="P108" s="17">
        <f>IF(N(F108)=0,"",G108/F108)</f>
        <v/>
      </c>
      <c r="Q108" s="18">
        <f>IF(N(G108)=0,"",E108/G108)</f>
        <v/>
      </c>
      <c r="R108" s="17">
        <f>IF(N(G108)=0,"",H108/G108)</f>
        <v/>
      </c>
      <c r="S108" s="18">
        <f>IF(N(H108)=0,"",E108/H108)</f>
        <v/>
      </c>
      <c r="T108" s="18">
        <f>IF(N(K108)=0,"",E108/K108)</f>
        <v/>
      </c>
      <c r="U108" s="18">
        <f>IF(N(L108)=0,"",E108/L108)</f>
        <v/>
      </c>
      <c r="V108" s="18">
        <f>IF(N(N108)=0,"",E108/N108)</f>
        <v/>
      </c>
      <c r="W108" s="19">
        <f>IF(N(K108)=0,"",L108/K108)</f>
        <v/>
      </c>
      <c r="X108" s="19">
        <f>IF(N(M108)=0,"",N108/M108)</f>
        <v/>
      </c>
      <c r="Y108" s="20">
        <f>IF(N(E108)=0,"",O108/E108)</f>
        <v/>
      </c>
    </row>
    <row r="109">
      <c r="A109" s="21" t="n">
        <v>46405</v>
      </c>
      <c r="B109" s="22">
        <f>DATE(YEAR(A109),MONTH(A109),1)</f>
        <v/>
      </c>
      <c r="C109" s="23" t="inlineStr">
        <is>
          <t>Microsoft Ads</t>
        </is>
      </c>
      <c r="D109" s="23" t="n"/>
      <c r="E109" s="24" t="n"/>
      <c r="F109" s="25" t="n"/>
      <c r="G109" s="25" t="n"/>
      <c r="H109" s="26" t="n"/>
      <c r="I109" s="27" t="n"/>
      <c r="J109" s="27" t="n"/>
      <c r="K109" s="25" t="n"/>
      <c r="L109" s="25" t="n"/>
      <c r="M109" s="25" t="n"/>
      <c r="N109" s="25" t="n"/>
      <c r="O109" s="24" t="n"/>
      <c r="P109" s="28">
        <f>IF(N(F109)=0,"",G109/F109)</f>
        <v/>
      </c>
      <c r="Q109" s="29">
        <f>IF(N(G109)=0,"",E109/G109)</f>
        <v/>
      </c>
      <c r="R109" s="28">
        <f>IF(N(G109)=0,"",H109/G109)</f>
        <v/>
      </c>
      <c r="S109" s="29">
        <f>IF(N(H109)=0,"",E109/H109)</f>
        <v/>
      </c>
      <c r="T109" s="29">
        <f>IF(N(K109)=0,"",E109/K109)</f>
        <v/>
      </c>
      <c r="U109" s="29">
        <f>IF(N(L109)=0,"",E109/L109)</f>
        <v/>
      </c>
      <c r="V109" s="29">
        <f>IF(N(N109)=0,"",E109/N109)</f>
        <v/>
      </c>
      <c r="W109" s="30">
        <f>IF(N(K109)=0,"",L109/K109)</f>
        <v/>
      </c>
      <c r="X109" s="30">
        <f>IF(N(M109)=0,"",N109/M109)</f>
        <v/>
      </c>
      <c r="Y109" s="31">
        <f>IF(N(E109)=0,"",O109/E109)</f>
        <v/>
      </c>
    </row>
    <row r="110">
      <c r="A110" s="10" t="n">
        <v>46412</v>
      </c>
      <c r="B110" s="11">
        <f>DATE(YEAR(A110),MONTH(A110),1)</f>
        <v/>
      </c>
      <c r="C110" t="inlineStr">
        <is>
          <t>S-FR | Marque</t>
        </is>
      </c>
      <c r="E110" s="13" t="n"/>
      <c r="F110" s="14" t="n"/>
      <c r="G110" s="14" t="n"/>
      <c r="H110" s="15" t="n"/>
      <c r="I110" s="16" t="n"/>
      <c r="J110" s="16" t="n"/>
      <c r="K110" s="14" t="n"/>
      <c r="L110" s="14" t="n"/>
      <c r="M110" s="14" t="n"/>
      <c r="N110" s="14" t="n"/>
      <c r="O110" s="13" t="n"/>
      <c r="P110" s="17">
        <f>IF(N(F110)=0,"",G110/F110)</f>
        <v/>
      </c>
      <c r="Q110" s="18">
        <f>IF(N(G110)=0,"",E110/G110)</f>
        <v/>
      </c>
      <c r="R110" s="17">
        <f>IF(N(G110)=0,"",H110/G110)</f>
        <v/>
      </c>
      <c r="S110" s="18">
        <f>IF(N(H110)=0,"",E110/H110)</f>
        <v/>
      </c>
      <c r="T110" s="18">
        <f>IF(N(K110)=0,"",E110/K110)</f>
        <v/>
      </c>
      <c r="U110" s="18">
        <f>IF(N(L110)=0,"",E110/L110)</f>
        <v/>
      </c>
      <c r="V110" s="18">
        <f>IF(N(N110)=0,"",E110/N110)</f>
        <v/>
      </c>
      <c r="W110" s="19">
        <f>IF(N(K110)=0,"",L110/K110)</f>
        <v/>
      </c>
      <c r="X110" s="19">
        <f>IF(N(M110)=0,"",N110/M110)</f>
        <v/>
      </c>
      <c r="Y110" s="20">
        <f>IF(N(E110)=0,"",O110/E110)</f>
        <v/>
      </c>
    </row>
    <row r="111">
      <c r="A111" s="10" t="n">
        <v>46412</v>
      </c>
      <c r="B111" s="11">
        <f>DATE(YEAR(A111),MONTH(A111),1)</f>
        <v/>
      </c>
      <c r="C111" t="inlineStr">
        <is>
          <t>S-FR | Corporatif &amp; Fêtes</t>
        </is>
      </c>
      <c r="E111" s="13" t="n"/>
      <c r="F111" s="14" t="n"/>
      <c r="G111" s="14" t="n"/>
      <c r="H111" s="15" t="n"/>
      <c r="I111" s="16" t="n"/>
      <c r="J111" s="16" t="n"/>
      <c r="K111" s="14" t="n"/>
      <c r="L111" s="14" t="n"/>
      <c r="M111" s="14" t="n"/>
      <c r="N111" s="14" t="n"/>
      <c r="O111" s="13" t="n"/>
      <c r="P111" s="17">
        <f>IF(N(F111)=0,"",G111/F111)</f>
        <v/>
      </c>
      <c r="Q111" s="18">
        <f>IF(N(G111)=0,"",E111/G111)</f>
        <v/>
      </c>
      <c r="R111" s="17">
        <f>IF(N(G111)=0,"",H111/G111)</f>
        <v/>
      </c>
      <c r="S111" s="18">
        <f>IF(N(H111)=0,"",E111/H111)</f>
        <v/>
      </c>
      <c r="T111" s="18">
        <f>IF(N(K111)=0,"",E111/K111)</f>
        <v/>
      </c>
      <c r="U111" s="18">
        <f>IF(N(L111)=0,"",E111/L111)</f>
        <v/>
      </c>
      <c r="V111" s="18">
        <f>IF(N(N111)=0,"",E111/N111)</f>
        <v/>
      </c>
      <c r="W111" s="19">
        <f>IF(N(K111)=0,"",L111/K111)</f>
        <v/>
      </c>
      <c r="X111" s="19">
        <f>IF(N(M111)=0,"",N111/M111)</f>
        <v/>
      </c>
      <c r="Y111" s="20">
        <f>IF(N(E111)=0,"",O111/E111)</f>
        <v/>
      </c>
    </row>
    <row r="112">
      <c r="A112" s="10" t="n">
        <v>46412</v>
      </c>
      <c r="B112" s="11">
        <f>DATE(YEAR(A112),MONTH(A112),1)</f>
        <v/>
      </c>
      <c r="C112" t="inlineStr">
        <is>
          <t>S-FR | Événements privés</t>
        </is>
      </c>
      <c r="E112" s="13" t="n"/>
      <c r="F112" s="14" t="n"/>
      <c r="G112" s="14" t="n"/>
      <c r="H112" s="15" t="n"/>
      <c r="I112" s="16" t="n"/>
      <c r="J112" s="16" t="n"/>
      <c r="K112" s="14" t="n"/>
      <c r="L112" s="14" t="n"/>
      <c r="M112" s="14" t="n"/>
      <c r="N112" s="14" t="n"/>
      <c r="O112" s="13" t="n"/>
      <c r="P112" s="17">
        <f>IF(N(F112)=0,"",G112/F112)</f>
        <v/>
      </c>
      <c r="Q112" s="18">
        <f>IF(N(G112)=0,"",E112/G112)</f>
        <v/>
      </c>
      <c r="R112" s="17">
        <f>IF(N(G112)=0,"",H112/G112)</f>
        <v/>
      </c>
      <c r="S112" s="18">
        <f>IF(N(H112)=0,"",E112/H112)</f>
        <v/>
      </c>
      <c r="T112" s="18">
        <f>IF(N(K112)=0,"",E112/K112)</f>
        <v/>
      </c>
      <c r="U112" s="18">
        <f>IF(N(L112)=0,"",E112/L112)</f>
        <v/>
      </c>
      <c r="V112" s="18">
        <f>IF(N(N112)=0,"",E112/N112)</f>
        <v/>
      </c>
      <c r="W112" s="19">
        <f>IF(N(K112)=0,"",L112/K112)</f>
        <v/>
      </c>
      <c r="X112" s="19">
        <f>IF(N(M112)=0,"",N112/M112)</f>
        <v/>
      </c>
      <c r="Y112" s="20">
        <f>IF(N(E112)=0,"",O112/E112)</f>
        <v/>
      </c>
    </row>
    <row r="113">
      <c r="A113" s="10" t="n">
        <v>46412</v>
      </c>
      <c r="B113" s="11">
        <f>DATE(YEAR(A113),MONTH(A113),1)</f>
        <v/>
      </c>
      <c r="C113" t="inlineStr">
        <is>
          <t>S-EN | Corporate Montréal</t>
        </is>
      </c>
      <c r="E113" s="13" t="n"/>
      <c r="F113" s="14" t="n"/>
      <c r="G113" s="14" t="n"/>
      <c r="H113" s="15" t="n"/>
      <c r="I113" s="16" t="n"/>
      <c r="J113" s="16" t="n"/>
      <c r="K113" s="14" t="n"/>
      <c r="L113" s="14" t="n"/>
      <c r="M113" s="14" t="n"/>
      <c r="N113" s="14" t="n"/>
      <c r="O113" s="13" t="n"/>
      <c r="P113" s="17">
        <f>IF(N(F113)=0,"",G113/F113)</f>
        <v/>
      </c>
      <c r="Q113" s="18">
        <f>IF(N(G113)=0,"",E113/G113)</f>
        <v/>
      </c>
      <c r="R113" s="17">
        <f>IF(N(G113)=0,"",H113/G113)</f>
        <v/>
      </c>
      <c r="S113" s="18">
        <f>IF(N(H113)=0,"",E113/H113)</f>
        <v/>
      </c>
      <c r="T113" s="18">
        <f>IF(N(K113)=0,"",E113/K113)</f>
        <v/>
      </c>
      <c r="U113" s="18">
        <f>IF(N(L113)=0,"",E113/L113)</f>
        <v/>
      </c>
      <c r="V113" s="18">
        <f>IF(N(N113)=0,"",E113/N113)</f>
        <v/>
      </c>
      <c r="W113" s="19">
        <f>IF(N(K113)=0,"",L113/K113)</f>
        <v/>
      </c>
      <c r="X113" s="19">
        <f>IF(N(M113)=0,"",N113/M113)</f>
        <v/>
      </c>
      <c r="Y113" s="20">
        <f>IF(N(E113)=0,"",O113/E113)</f>
        <v/>
      </c>
    </row>
    <row r="114">
      <c r="A114" s="10" t="n">
        <v>46412</v>
      </c>
      <c r="B114" s="11">
        <f>DATE(YEAR(A114),MONTH(A114),1)</f>
        <v/>
      </c>
      <c r="C114" t="inlineStr">
        <is>
          <t>S-FR | Québec-Lévis (test)</t>
        </is>
      </c>
      <c r="E114" s="13" t="n"/>
      <c r="F114" s="14" t="n"/>
      <c r="G114" s="14" t="n"/>
      <c r="H114" s="15" t="n"/>
      <c r="I114" s="16" t="n"/>
      <c r="J114" s="16" t="n"/>
      <c r="K114" s="14" t="n"/>
      <c r="L114" s="14" t="n"/>
      <c r="M114" s="14" t="n"/>
      <c r="N114" s="14" t="n"/>
      <c r="O114" s="13" t="n"/>
      <c r="P114" s="17">
        <f>IF(N(F114)=0,"",G114/F114)</f>
        <v/>
      </c>
      <c r="Q114" s="18">
        <f>IF(N(G114)=0,"",E114/G114)</f>
        <v/>
      </c>
      <c r="R114" s="17">
        <f>IF(N(G114)=0,"",H114/G114)</f>
        <v/>
      </c>
      <c r="S114" s="18">
        <f>IF(N(H114)=0,"",E114/H114)</f>
        <v/>
      </c>
      <c r="T114" s="18">
        <f>IF(N(K114)=0,"",E114/K114)</f>
        <v/>
      </c>
      <c r="U114" s="18">
        <f>IF(N(L114)=0,"",E114/L114)</f>
        <v/>
      </c>
      <c r="V114" s="18">
        <f>IF(N(N114)=0,"",E114/N114)</f>
        <v/>
      </c>
      <c r="W114" s="19">
        <f>IF(N(K114)=0,"",L114/K114)</f>
        <v/>
      </c>
      <c r="X114" s="19">
        <f>IF(N(M114)=0,"",N114/M114)</f>
        <v/>
      </c>
      <c r="Y114" s="20">
        <f>IF(N(E114)=0,"",O114/E114)</f>
        <v/>
      </c>
    </row>
    <row r="115">
      <c r="A115" s="10" t="n">
        <v>46412</v>
      </c>
      <c r="B115" s="11">
        <f>DATE(YEAR(A115),MONTH(A115),1)</f>
        <v/>
      </c>
      <c r="C115" t="inlineStr">
        <is>
          <t>Demand Gen</t>
        </is>
      </c>
      <c r="E115" s="13" t="n"/>
      <c r="F115" s="14" t="n"/>
      <c r="G115" s="14" t="n"/>
      <c r="H115" s="15" t="n"/>
      <c r="I115" s="16" t="n"/>
      <c r="J115" s="16" t="n"/>
      <c r="K115" s="14" t="n"/>
      <c r="L115" s="14" t="n"/>
      <c r="M115" s="14" t="n"/>
      <c r="N115" s="14" t="n"/>
      <c r="O115" s="13" t="n"/>
      <c r="P115" s="17">
        <f>IF(N(F115)=0,"",G115/F115)</f>
        <v/>
      </c>
      <c r="Q115" s="18">
        <f>IF(N(G115)=0,"",E115/G115)</f>
        <v/>
      </c>
      <c r="R115" s="17">
        <f>IF(N(G115)=0,"",H115/G115)</f>
        <v/>
      </c>
      <c r="S115" s="18">
        <f>IF(N(H115)=0,"",E115/H115)</f>
        <v/>
      </c>
      <c r="T115" s="18">
        <f>IF(N(K115)=0,"",E115/K115)</f>
        <v/>
      </c>
      <c r="U115" s="18">
        <f>IF(N(L115)=0,"",E115/L115)</f>
        <v/>
      </c>
      <c r="V115" s="18">
        <f>IF(N(N115)=0,"",E115/N115)</f>
        <v/>
      </c>
      <c r="W115" s="19">
        <f>IF(N(K115)=0,"",L115/K115)</f>
        <v/>
      </c>
      <c r="X115" s="19">
        <f>IF(N(M115)=0,"",N115/M115)</f>
        <v/>
      </c>
      <c r="Y115" s="20">
        <f>IF(N(E115)=0,"",O115/E115)</f>
        <v/>
      </c>
    </row>
    <row r="116">
      <c r="A116" s="21" t="n">
        <v>46412</v>
      </c>
      <c r="B116" s="22">
        <f>DATE(YEAR(A116),MONTH(A116),1)</f>
        <v/>
      </c>
      <c r="C116" s="23" t="inlineStr">
        <is>
          <t>Microsoft Ads</t>
        </is>
      </c>
      <c r="D116" s="23" t="n"/>
      <c r="E116" s="24" t="n"/>
      <c r="F116" s="25" t="n"/>
      <c r="G116" s="25" t="n"/>
      <c r="H116" s="26" t="n"/>
      <c r="I116" s="27" t="n"/>
      <c r="J116" s="27" t="n"/>
      <c r="K116" s="25" t="n"/>
      <c r="L116" s="25" t="n"/>
      <c r="M116" s="25" t="n"/>
      <c r="N116" s="25" t="n"/>
      <c r="O116" s="24" t="n"/>
      <c r="P116" s="28">
        <f>IF(N(F116)=0,"",G116/F116)</f>
        <v/>
      </c>
      <c r="Q116" s="29">
        <f>IF(N(G116)=0,"",E116/G116)</f>
        <v/>
      </c>
      <c r="R116" s="28">
        <f>IF(N(G116)=0,"",H116/G116)</f>
        <v/>
      </c>
      <c r="S116" s="29">
        <f>IF(N(H116)=0,"",E116/H116)</f>
        <v/>
      </c>
      <c r="T116" s="29">
        <f>IF(N(K116)=0,"",E116/K116)</f>
        <v/>
      </c>
      <c r="U116" s="29">
        <f>IF(N(L116)=0,"",E116/L116)</f>
        <v/>
      </c>
      <c r="V116" s="29">
        <f>IF(N(N116)=0,"",E116/N116)</f>
        <v/>
      </c>
      <c r="W116" s="30">
        <f>IF(N(K116)=0,"",L116/K116)</f>
        <v/>
      </c>
      <c r="X116" s="30">
        <f>IF(N(M116)=0,"",N116/M116)</f>
        <v/>
      </c>
      <c r="Y116" s="31">
        <f>IF(N(E116)=0,"",O116/E116)</f>
        <v/>
      </c>
    </row>
    <row r="117">
      <c r="A117" s="10" t="n">
        <v>46419</v>
      </c>
      <c r="B117" s="11">
        <f>DATE(YEAR(A117),MONTH(A117),1)</f>
        <v/>
      </c>
      <c r="C117" t="inlineStr">
        <is>
          <t>S-FR | Marque</t>
        </is>
      </c>
      <c r="E117" s="13" t="n"/>
      <c r="F117" s="14" t="n"/>
      <c r="G117" s="14" t="n"/>
      <c r="H117" s="15" t="n"/>
      <c r="I117" s="16" t="n"/>
      <c r="J117" s="16" t="n"/>
      <c r="K117" s="14" t="n"/>
      <c r="L117" s="14" t="n"/>
      <c r="M117" s="14" t="n"/>
      <c r="N117" s="14" t="n"/>
      <c r="O117" s="13" t="n"/>
      <c r="P117" s="17">
        <f>IF(N(F117)=0,"",G117/F117)</f>
        <v/>
      </c>
      <c r="Q117" s="18">
        <f>IF(N(G117)=0,"",E117/G117)</f>
        <v/>
      </c>
      <c r="R117" s="17">
        <f>IF(N(G117)=0,"",H117/G117)</f>
        <v/>
      </c>
      <c r="S117" s="18">
        <f>IF(N(H117)=0,"",E117/H117)</f>
        <v/>
      </c>
      <c r="T117" s="18">
        <f>IF(N(K117)=0,"",E117/K117)</f>
        <v/>
      </c>
      <c r="U117" s="18">
        <f>IF(N(L117)=0,"",E117/L117)</f>
        <v/>
      </c>
      <c r="V117" s="18">
        <f>IF(N(N117)=0,"",E117/N117)</f>
        <v/>
      </c>
      <c r="W117" s="19">
        <f>IF(N(K117)=0,"",L117/K117)</f>
        <v/>
      </c>
      <c r="X117" s="19">
        <f>IF(N(M117)=0,"",N117/M117)</f>
        <v/>
      </c>
      <c r="Y117" s="20">
        <f>IF(N(E117)=0,"",O117/E117)</f>
        <v/>
      </c>
    </row>
    <row r="118">
      <c r="A118" s="10" t="n">
        <v>46419</v>
      </c>
      <c r="B118" s="11">
        <f>DATE(YEAR(A118),MONTH(A118),1)</f>
        <v/>
      </c>
      <c r="C118" t="inlineStr">
        <is>
          <t>S-FR | Corporatif &amp; Fêtes</t>
        </is>
      </c>
      <c r="E118" s="13" t="n"/>
      <c r="F118" s="14" t="n"/>
      <c r="G118" s="14" t="n"/>
      <c r="H118" s="15" t="n"/>
      <c r="I118" s="16" t="n"/>
      <c r="J118" s="16" t="n"/>
      <c r="K118" s="14" t="n"/>
      <c r="L118" s="14" t="n"/>
      <c r="M118" s="14" t="n"/>
      <c r="N118" s="14" t="n"/>
      <c r="O118" s="13" t="n"/>
      <c r="P118" s="17">
        <f>IF(N(F118)=0,"",G118/F118)</f>
        <v/>
      </c>
      <c r="Q118" s="18">
        <f>IF(N(G118)=0,"",E118/G118)</f>
        <v/>
      </c>
      <c r="R118" s="17">
        <f>IF(N(G118)=0,"",H118/G118)</f>
        <v/>
      </c>
      <c r="S118" s="18">
        <f>IF(N(H118)=0,"",E118/H118)</f>
        <v/>
      </c>
      <c r="T118" s="18">
        <f>IF(N(K118)=0,"",E118/K118)</f>
        <v/>
      </c>
      <c r="U118" s="18">
        <f>IF(N(L118)=0,"",E118/L118)</f>
        <v/>
      </c>
      <c r="V118" s="18">
        <f>IF(N(N118)=0,"",E118/N118)</f>
        <v/>
      </c>
      <c r="W118" s="19">
        <f>IF(N(K118)=0,"",L118/K118)</f>
        <v/>
      </c>
      <c r="X118" s="19">
        <f>IF(N(M118)=0,"",N118/M118)</f>
        <v/>
      </c>
      <c r="Y118" s="20">
        <f>IF(N(E118)=0,"",O118/E118)</f>
        <v/>
      </c>
    </row>
    <row r="119">
      <c r="A119" s="10" t="n">
        <v>46419</v>
      </c>
      <c r="B119" s="11">
        <f>DATE(YEAR(A119),MONTH(A119),1)</f>
        <v/>
      </c>
      <c r="C119" t="inlineStr">
        <is>
          <t>S-FR | Événements privés</t>
        </is>
      </c>
      <c r="E119" s="13" t="n"/>
      <c r="F119" s="14" t="n"/>
      <c r="G119" s="14" t="n"/>
      <c r="H119" s="15" t="n"/>
      <c r="I119" s="16" t="n"/>
      <c r="J119" s="16" t="n"/>
      <c r="K119" s="14" t="n"/>
      <c r="L119" s="14" t="n"/>
      <c r="M119" s="14" t="n"/>
      <c r="N119" s="14" t="n"/>
      <c r="O119" s="13" t="n"/>
      <c r="P119" s="17">
        <f>IF(N(F119)=0,"",G119/F119)</f>
        <v/>
      </c>
      <c r="Q119" s="18">
        <f>IF(N(G119)=0,"",E119/G119)</f>
        <v/>
      </c>
      <c r="R119" s="17">
        <f>IF(N(G119)=0,"",H119/G119)</f>
        <v/>
      </c>
      <c r="S119" s="18">
        <f>IF(N(H119)=0,"",E119/H119)</f>
        <v/>
      </c>
      <c r="T119" s="18">
        <f>IF(N(K119)=0,"",E119/K119)</f>
        <v/>
      </c>
      <c r="U119" s="18">
        <f>IF(N(L119)=0,"",E119/L119)</f>
        <v/>
      </c>
      <c r="V119" s="18">
        <f>IF(N(N119)=0,"",E119/N119)</f>
        <v/>
      </c>
      <c r="W119" s="19">
        <f>IF(N(K119)=0,"",L119/K119)</f>
        <v/>
      </c>
      <c r="X119" s="19">
        <f>IF(N(M119)=0,"",N119/M119)</f>
        <v/>
      </c>
      <c r="Y119" s="20">
        <f>IF(N(E119)=0,"",O119/E119)</f>
        <v/>
      </c>
    </row>
    <row r="120">
      <c r="A120" s="10" t="n">
        <v>46419</v>
      </c>
      <c r="B120" s="11">
        <f>DATE(YEAR(A120),MONTH(A120),1)</f>
        <v/>
      </c>
      <c r="C120" t="inlineStr">
        <is>
          <t>S-EN | Corporate Montréal</t>
        </is>
      </c>
      <c r="E120" s="13" t="n"/>
      <c r="F120" s="14" t="n"/>
      <c r="G120" s="14" t="n"/>
      <c r="H120" s="15" t="n"/>
      <c r="I120" s="16" t="n"/>
      <c r="J120" s="16" t="n"/>
      <c r="K120" s="14" t="n"/>
      <c r="L120" s="14" t="n"/>
      <c r="M120" s="14" t="n"/>
      <c r="N120" s="14" t="n"/>
      <c r="O120" s="13" t="n"/>
      <c r="P120" s="17">
        <f>IF(N(F120)=0,"",G120/F120)</f>
        <v/>
      </c>
      <c r="Q120" s="18">
        <f>IF(N(G120)=0,"",E120/G120)</f>
        <v/>
      </c>
      <c r="R120" s="17">
        <f>IF(N(G120)=0,"",H120/G120)</f>
        <v/>
      </c>
      <c r="S120" s="18">
        <f>IF(N(H120)=0,"",E120/H120)</f>
        <v/>
      </c>
      <c r="T120" s="18">
        <f>IF(N(K120)=0,"",E120/K120)</f>
        <v/>
      </c>
      <c r="U120" s="18">
        <f>IF(N(L120)=0,"",E120/L120)</f>
        <v/>
      </c>
      <c r="V120" s="18">
        <f>IF(N(N120)=0,"",E120/N120)</f>
        <v/>
      </c>
      <c r="W120" s="19">
        <f>IF(N(K120)=0,"",L120/K120)</f>
        <v/>
      </c>
      <c r="X120" s="19">
        <f>IF(N(M120)=0,"",N120/M120)</f>
        <v/>
      </c>
      <c r="Y120" s="20">
        <f>IF(N(E120)=0,"",O120/E120)</f>
        <v/>
      </c>
    </row>
    <row r="121">
      <c r="A121" s="10" t="n">
        <v>46419</v>
      </c>
      <c r="B121" s="11">
        <f>DATE(YEAR(A121),MONTH(A121),1)</f>
        <v/>
      </c>
      <c r="C121" t="inlineStr">
        <is>
          <t>S-FR | Québec-Lévis (test)</t>
        </is>
      </c>
      <c r="E121" s="13" t="n"/>
      <c r="F121" s="14" t="n"/>
      <c r="G121" s="14" t="n"/>
      <c r="H121" s="15" t="n"/>
      <c r="I121" s="16" t="n"/>
      <c r="J121" s="16" t="n"/>
      <c r="K121" s="14" t="n"/>
      <c r="L121" s="14" t="n"/>
      <c r="M121" s="14" t="n"/>
      <c r="N121" s="14" t="n"/>
      <c r="O121" s="13" t="n"/>
      <c r="P121" s="17">
        <f>IF(N(F121)=0,"",G121/F121)</f>
        <v/>
      </c>
      <c r="Q121" s="18">
        <f>IF(N(G121)=0,"",E121/G121)</f>
        <v/>
      </c>
      <c r="R121" s="17">
        <f>IF(N(G121)=0,"",H121/G121)</f>
        <v/>
      </c>
      <c r="S121" s="18">
        <f>IF(N(H121)=0,"",E121/H121)</f>
        <v/>
      </c>
      <c r="T121" s="18">
        <f>IF(N(K121)=0,"",E121/K121)</f>
        <v/>
      </c>
      <c r="U121" s="18">
        <f>IF(N(L121)=0,"",E121/L121)</f>
        <v/>
      </c>
      <c r="V121" s="18">
        <f>IF(N(N121)=0,"",E121/N121)</f>
        <v/>
      </c>
      <c r="W121" s="19">
        <f>IF(N(K121)=0,"",L121/K121)</f>
        <v/>
      </c>
      <c r="X121" s="19">
        <f>IF(N(M121)=0,"",N121/M121)</f>
        <v/>
      </c>
      <c r="Y121" s="20">
        <f>IF(N(E121)=0,"",O121/E121)</f>
        <v/>
      </c>
    </row>
    <row r="122">
      <c r="A122" s="10" t="n">
        <v>46419</v>
      </c>
      <c r="B122" s="11">
        <f>DATE(YEAR(A122),MONTH(A122),1)</f>
        <v/>
      </c>
      <c r="C122" t="inlineStr">
        <is>
          <t>Demand Gen</t>
        </is>
      </c>
      <c r="E122" s="13" t="n"/>
      <c r="F122" s="14" t="n"/>
      <c r="G122" s="14" t="n"/>
      <c r="H122" s="15" t="n"/>
      <c r="I122" s="16" t="n"/>
      <c r="J122" s="16" t="n"/>
      <c r="K122" s="14" t="n"/>
      <c r="L122" s="14" t="n"/>
      <c r="M122" s="14" t="n"/>
      <c r="N122" s="14" t="n"/>
      <c r="O122" s="13" t="n"/>
      <c r="P122" s="17">
        <f>IF(N(F122)=0,"",G122/F122)</f>
        <v/>
      </c>
      <c r="Q122" s="18">
        <f>IF(N(G122)=0,"",E122/G122)</f>
        <v/>
      </c>
      <c r="R122" s="17">
        <f>IF(N(G122)=0,"",H122/G122)</f>
        <v/>
      </c>
      <c r="S122" s="18">
        <f>IF(N(H122)=0,"",E122/H122)</f>
        <v/>
      </c>
      <c r="T122" s="18">
        <f>IF(N(K122)=0,"",E122/K122)</f>
        <v/>
      </c>
      <c r="U122" s="18">
        <f>IF(N(L122)=0,"",E122/L122)</f>
        <v/>
      </c>
      <c r="V122" s="18">
        <f>IF(N(N122)=0,"",E122/N122)</f>
        <v/>
      </c>
      <c r="W122" s="19">
        <f>IF(N(K122)=0,"",L122/K122)</f>
        <v/>
      </c>
      <c r="X122" s="19">
        <f>IF(N(M122)=0,"",N122/M122)</f>
        <v/>
      </c>
      <c r="Y122" s="20">
        <f>IF(N(E122)=0,"",O122/E122)</f>
        <v/>
      </c>
    </row>
    <row r="123">
      <c r="A123" s="21" t="n">
        <v>46419</v>
      </c>
      <c r="B123" s="22">
        <f>DATE(YEAR(A123),MONTH(A123),1)</f>
        <v/>
      </c>
      <c r="C123" s="23" t="inlineStr">
        <is>
          <t>Microsoft Ads</t>
        </is>
      </c>
      <c r="D123" s="23" t="n"/>
      <c r="E123" s="24" t="n"/>
      <c r="F123" s="25" t="n"/>
      <c r="G123" s="25" t="n"/>
      <c r="H123" s="26" t="n"/>
      <c r="I123" s="27" t="n"/>
      <c r="J123" s="27" t="n"/>
      <c r="K123" s="25" t="n"/>
      <c r="L123" s="25" t="n"/>
      <c r="M123" s="25" t="n"/>
      <c r="N123" s="25" t="n"/>
      <c r="O123" s="24" t="n"/>
      <c r="P123" s="28">
        <f>IF(N(F123)=0,"",G123/F123)</f>
        <v/>
      </c>
      <c r="Q123" s="29">
        <f>IF(N(G123)=0,"",E123/G123)</f>
        <v/>
      </c>
      <c r="R123" s="28">
        <f>IF(N(G123)=0,"",H123/G123)</f>
        <v/>
      </c>
      <c r="S123" s="29">
        <f>IF(N(H123)=0,"",E123/H123)</f>
        <v/>
      </c>
      <c r="T123" s="29">
        <f>IF(N(K123)=0,"",E123/K123)</f>
        <v/>
      </c>
      <c r="U123" s="29">
        <f>IF(N(L123)=0,"",E123/L123)</f>
        <v/>
      </c>
      <c r="V123" s="29">
        <f>IF(N(N123)=0,"",E123/N123)</f>
        <v/>
      </c>
      <c r="W123" s="30">
        <f>IF(N(K123)=0,"",L123/K123)</f>
        <v/>
      </c>
      <c r="X123" s="30">
        <f>IF(N(M123)=0,"",N123/M123)</f>
        <v/>
      </c>
      <c r="Y123" s="31">
        <f>IF(N(E123)=0,"",O123/E123)</f>
        <v/>
      </c>
    </row>
    <row r="124">
      <c r="A124" s="10" t="n">
        <v>46426</v>
      </c>
      <c r="B124" s="11">
        <f>DATE(YEAR(A124),MONTH(A124),1)</f>
        <v/>
      </c>
      <c r="C124" t="inlineStr">
        <is>
          <t>S-FR | Marque</t>
        </is>
      </c>
      <c r="E124" s="13" t="n"/>
      <c r="F124" s="14" t="n"/>
      <c r="G124" s="14" t="n"/>
      <c r="H124" s="15" t="n"/>
      <c r="I124" s="16" t="n"/>
      <c r="J124" s="16" t="n"/>
      <c r="K124" s="14" t="n"/>
      <c r="L124" s="14" t="n"/>
      <c r="M124" s="14" t="n"/>
      <c r="N124" s="14" t="n"/>
      <c r="O124" s="13" t="n"/>
      <c r="P124" s="17">
        <f>IF(N(F124)=0,"",G124/F124)</f>
        <v/>
      </c>
      <c r="Q124" s="18">
        <f>IF(N(G124)=0,"",E124/G124)</f>
        <v/>
      </c>
      <c r="R124" s="17">
        <f>IF(N(G124)=0,"",H124/G124)</f>
        <v/>
      </c>
      <c r="S124" s="18">
        <f>IF(N(H124)=0,"",E124/H124)</f>
        <v/>
      </c>
      <c r="T124" s="18">
        <f>IF(N(K124)=0,"",E124/K124)</f>
        <v/>
      </c>
      <c r="U124" s="18">
        <f>IF(N(L124)=0,"",E124/L124)</f>
        <v/>
      </c>
      <c r="V124" s="18">
        <f>IF(N(N124)=0,"",E124/N124)</f>
        <v/>
      </c>
      <c r="W124" s="19">
        <f>IF(N(K124)=0,"",L124/K124)</f>
        <v/>
      </c>
      <c r="X124" s="19">
        <f>IF(N(M124)=0,"",N124/M124)</f>
        <v/>
      </c>
      <c r="Y124" s="20">
        <f>IF(N(E124)=0,"",O124/E124)</f>
        <v/>
      </c>
    </row>
    <row r="125">
      <c r="A125" s="10" t="n">
        <v>46426</v>
      </c>
      <c r="B125" s="11">
        <f>DATE(YEAR(A125),MONTH(A125),1)</f>
        <v/>
      </c>
      <c r="C125" t="inlineStr">
        <is>
          <t>S-FR | Corporatif &amp; Fêtes</t>
        </is>
      </c>
      <c r="E125" s="13" t="n"/>
      <c r="F125" s="14" t="n"/>
      <c r="G125" s="14" t="n"/>
      <c r="H125" s="15" t="n"/>
      <c r="I125" s="16" t="n"/>
      <c r="J125" s="16" t="n"/>
      <c r="K125" s="14" t="n"/>
      <c r="L125" s="14" t="n"/>
      <c r="M125" s="14" t="n"/>
      <c r="N125" s="14" t="n"/>
      <c r="O125" s="13" t="n"/>
      <c r="P125" s="17">
        <f>IF(N(F125)=0,"",G125/F125)</f>
        <v/>
      </c>
      <c r="Q125" s="18">
        <f>IF(N(G125)=0,"",E125/G125)</f>
        <v/>
      </c>
      <c r="R125" s="17">
        <f>IF(N(G125)=0,"",H125/G125)</f>
        <v/>
      </c>
      <c r="S125" s="18">
        <f>IF(N(H125)=0,"",E125/H125)</f>
        <v/>
      </c>
      <c r="T125" s="18">
        <f>IF(N(K125)=0,"",E125/K125)</f>
        <v/>
      </c>
      <c r="U125" s="18">
        <f>IF(N(L125)=0,"",E125/L125)</f>
        <v/>
      </c>
      <c r="V125" s="18">
        <f>IF(N(N125)=0,"",E125/N125)</f>
        <v/>
      </c>
      <c r="W125" s="19">
        <f>IF(N(K125)=0,"",L125/K125)</f>
        <v/>
      </c>
      <c r="X125" s="19">
        <f>IF(N(M125)=0,"",N125/M125)</f>
        <v/>
      </c>
      <c r="Y125" s="20">
        <f>IF(N(E125)=0,"",O125/E125)</f>
        <v/>
      </c>
    </row>
    <row r="126">
      <c r="A126" s="10" t="n">
        <v>46426</v>
      </c>
      <c r="B126" s="11">
        <f>DATE(YEAR(A126),MONTH(A126),1)</f>
        <v/>
      </c>
      <c r="C126" t="inlineStr">
        <is>
          <t>S-FR | Événements privés</t>
        </is>
      </c>
      <c r="E126" s="13" t="n"/>
      <c r="F126" s="14" t="n"/>
      <c r="G126" s="14" t="n"/>
      <c r="H126" s="15" t="n"/>
      <c r="I126" s="16" t="n"/>
      <c r="J126" s="16" t="n"/>
      <c r="K126" s="14" t="n"/>
      <c r="L126" s="14" t="n"/>
      <c r="M126" s="14" t="n"/>
      <c r="N126" s="14" t="n"/>
      <c r="O126" s="13" t="n"/>
      <c r="P126" s="17">
        <f>IF(N(F126)=0,"",G126/F126)</f>
        <v/>
      </c>
      <c r="Q126" s="18">
        <f>IF(N(G126)=0,"",E126/G126)</f>
        <v/>
      </c>
      <c r="R126" s="17">
        <f>IF(N(G126)=0,"",H126/G126)</f>
        <v/>
      </c>
      <c r="S126" s="18">
        <f>IF(N(H126)=0,"",E126/H126)</f>
        <v/>
      </c>
      <c r="T126" s="18">
        <f>IF(N(K126)=0,"",E126/K126)</f>
        <v/>
      </c>
      <c r="U126" s="18">
        <f>IF(N(L126)=0,"",E126/L126)</f>
        <v/>
      </c>
      <c r="V126" s="18">
        <f>IF(N(N126)=0,"",E126/N126)</f>
        <v/>
      </c>
      <c r="W126" s="19">
        <f>IF(N(K126)=0,"",L126/K126)</f>
        <v/>
      </c>
      <c r="X126" s="19">
        <f>IF(N(M126)=0,"",N126/M126)</f>
        <v/>
      </c>
      <c r="Y126" s="20">
        <f>IF(N(E126)=0,"",O126/E126)</f>
        <v/>
      </c>
    </row>
    <row r="127">
      <c r="A127" s="10" t="n">
        <v>46426</v>
      </c>
      <c r="B127" s="11">
        <f>DATE(YEAR(A127),MONTH(A127),1)</f>
        <v/>
      </c>
      <c r="C127" t="inlineStr">
        <is>
          <t>S-EN | Corporate Montréal</t>
        </is>
      </c>
      <c r="E127" s="13" t="n"/>
      <c r="F127" s="14" t="n"/>
      <c r="G127" s="14" t="n"/>
      <c r="H127" s="15" t="n"/>
      <c r="I127" s="16" t="n"/>
      <c r="J127" s="16" t="n"/>
      <c r="K127" s="14" t="n"/>
      <c r="L127" s="14" t="n"/>
      <c r="M127" s="14" t="n"/>
      <c r="N127" s="14" t="n"/>
      <c r="O127" s="13" t="n"/>
      <c r="P127" s="17">
        <f>IF(N(F127)=0,"",G127/F127)</f>
        <v/>
      </c>
      <c r="Q127" s="18">
        <f>IF(N(G127)=0,"",E127/G127)</f>
        <v/>
      </c>
      <c r="R127" s="17">
        <f>IF(N(G127)=0,"",H127/G127)</f>
        <v/>
      </c>
      <c r="S127" s="18">
        <f>IF(N(H127)=0,"",E127/H127)</f>
        <v/>
      </c>
      <c r="T127" s="18">
        <f>IF(N(K127)=0,"",E127/K127)</f>
        <v/>
      </c>
      <c r="U127" s="18">
        <f>IF(N(L127)=0,"",E127/L127)</f>
        <v/>
      </c>
      <c r="V127" s="18">
        <f>IF(N(N127)=0,"",E127/N127)</f>
        <v/>
      </c>
      <c r="W127" s="19">
        <f>IF(N(K127)=0,"",L127/K127)</f>
        <v/>
      </c>
      <c r="X127" s="19">
        <f>IF(N(M127)=0,"",N127/M127)</f>
        <v/>
      </c>
      <c r="Y127" s="20">
        <f>IF(N(E127)=0,"",O127/E127)</f>
        <v/>
      </c>
    </row>
    <row r="128">
      <c r="A128" s="10" t="n">
        <v>46426</v>
      </c>
      <c r="B128" s="11">
        <f>DATE(YEAR(A128),MONTH(A128),1)</f>
        <v/>
      </c>
      <c r="C128" t="inlineStr">
        <is>
          <t>S-FR | Québec-Lévis (test)</t>
        </is>
      </c>
      <c r="E128" s="13" t="n"/>
      <c r="F128" s="14" t="n"/>
      <c r="G128" s="14" t="n"/>
      <c r="H128" s="15" t="n"/>
      <c r="I128" s="16" t="n"/>
      <c r="J128" s="16" t="n"/>
      <c r="K128" s="14" t="n"/>
      <c r="L128" s="14" t="n"/>
      <c r="M128" s="14" t="n"/>
      <c r="N128" s="14" t="n"/>
      <c r="O128" s="13" t="n"/>
      <c r="P128" s="17">
        <f>IF(N(F128)=0,"",G128/F128)</f>
        <v/>
      </c>
      <c r="Q128" s="18">
        <f>IF(N(G128)=0,"",E128/G128)</f>
        <v/>
      </c>
      <c r="R128" s="17">
        <f>IF(N(G128)=0,"",H128/G128)</f>
        <v/>
      </c>
      <c r="S128" s="18">
        <f>IF(N(H128)=0,"",E128/H128)</f>
        <v/>
      </c>
      <c r="T128" s="18">
        <f>IF(N(K128)=0,"",E128/K128)</f>
        <v/>
      </c>
      <c r="U128" s="18">
        <f>IF(N(L128)=0,"",E128/L128)</f>
        <v/>
      </c>
      <c r="V128" s="18">
        <f>IF(N(N128)=0,"",E128/N128)</f>
        <v/>
      </c>
      <c r="W128" s="19">
        <f>IF(N(K128)=0,"",L128/K128)</f>
        <v/>
      </c>
      <c r="X128" s="19">
        <f>IF(N(M128)=0,"",N128/M128)</f>
        <v/>
      </c>
      <c r="Y128" s="20">
        <f>IF(N(E128)=0,"",O128/E128)</f>
        <v/>
      </c>
    </row>
    <row r="129">
      <c r="A129" s="10" t="n">
        <v>46426</v>
      </c>
      <c r="B129" s="11">
        <f>DATE(YEAR(A129),MONTH(A129),1)</f>
        <v/>
      </c>
      <c r="C129" t="inlineStr">
        <is>
          <t>Demand Gen</t>
        </is>
      </c>
      <c r="E129" s="13" t="n"/>
      <c r="F129" s="14" t="n"/>
      <c r="G129" s="14" t="n"/>
      <c r="H129" s="15" t="n"/>
      <c r="I129" s="16" t="n"/>
      <c r="J129" s="16" t="n"/>
      <c r="K129" s="14" t="n"/>
      <c r="L129" s="14" t="n"/>
      <c r="M129" s="14" t="n"/>
      <c r="N129" s="14" t="n"/>
      <c r="O129" s="13" t="n"/>
      <c r="P129" s="17">
        <f>IF(N(F129)=0,"",G129/F129)</f>
        <v/>
      </c>
      <c r="Q129" s="18">
        <f>IF(N(G129)=0,"",E129/G129)</f>
        <v/>
      </c>
      <c r="R129" s="17">
        <f>IF(N(G129)=0,"",H129/G129)</f>
        <v/>
      </c>
      <c r="S129" s="18">
        <f>IF(N(H129)=0,"",E129/H129)</f>
        <v/>
      </c>
      <c r="T129" s="18">
        <f>IF(N(K129)=0,"",E129/K129)</f>
        <v/>
      </c>
      <c r="U129" s="18">
        <f>IF(N(L129)=0,"",E129/L129)</f>
        <v/>
      </c>
      <c r="V129" s="18">
        <f>IF(N(N129)=0,"",E129/N129)</f>
        <v/>
      </c>
      <c r="W129" s="19">
        <f>IF(N(K129)=0,"",L129/K129)</f>
        <v/>
      </c>
      <c r="X129" s="19">
        <f>IF(N(M129)=0,"",N129/M129)</f>
        <v/>
      </c>
      <c r="Y129" s="20">
        <f>IF(N(E129)=0,"",O129/E129)</f>
        <v/>
      </c>
    </row>
    <row r="130">
      <c r="A130" s="21" t="n">
        <v>46426</v>
      </c>
      <c r="B130" s="22">
        <f>DATE(YEAR(A130),MONTH(A130),1)</f>
        <v/>
      </c>
      <c r="C130" s="23" t="inlineStr">
        <is>
          <t>Microsoft Ads</t>
        </is>
      </c>
      <c r="D130" s="23" t="n"/>
      <c r="E130" s="24" t="n"/>
      <c r="F130" s="25" t="n"/>
      <c r="G130" s="25" t="n"/>
      <c r="H130" s="26" t="n"/>
      <c r="I130" s="27" t="n"/>
      <c r="J130" s="27" t="n"/>
      <c r="K130" s="25" t="n"/>
      <c r="L130" s="25" t="n"/>
      <c r="M130" s="25" t="n"/>
      <c r="N130" s="25" t="n"/>
      <c r="O130" s="24" t="n"/>
      <c r="P130" s="28">
        <f>IF(N(F130)=0,"",G130/F130)</f>
        <v/>
      </c>
      <c r="Q130" s="29">
        <f>IF(N(G130)=0,"",E130/G130)</f>
        <v/>
      </c>
      <c r="R130" s="28">
        <f>IF(N(G130)=0,"",H130/G130)</f>
        <v/>
      </c>
      <c r="S130" s="29">
        <f>IF(N(H130)=0,"",E130/H130)</f>
        <v/>
      </c>
      <c r="T130" s="29">
        <f>IF(N(K130)=0,"",E130/K130)</f>
        <v/>
      </c>
      <c r="U130" s="29">
        <f>IF(N(L130)=0,"",E130/L130)</f>
        <v/>
      </c>
      <c r="V130" s="29">
        <f>IF(N(N130)=0,"",E130/N130)</f>
        <v/>
      </c>
      <c r="W130" s="30">
        <f>IF(N(K130)=0,"",L130/K130)</f>
        <v/>
      </c>
      <c r="X130" s="30">
        <f>IF(N(M130)=0,"",N130/M130)</f>
        <v/>
      </c>
      <c r="Y130" s="31">
        <f>IF(N(E130)=0,"",O130/E130)</f>
        <v/>
      </c>
    </row>
    <row r="131">
      <c r="A131" s="10" t="n">
        <v>46433</v>
      </c>
      <c r="B131" s="11">
        <f>DATE(YEAR(A131),MONTH(A131),1)</f>
        <v/>
      </c>
      <c r="C131" t="inlineStr">
        <is>
          <t>S-FR | Marque</t>
        </is>
      </c>
      <c r="E131" s="13" t="n"/>
      <c r="F131" s="14" t="n"/>
      <c r="G131" s="14" t="n"/>
      <c r="H131" s="15" t="n"/>
      <c r="I131" s="16" t="n"/>
      <c r="J131" s="16" t="n"/>
      <c r="K131" s="14" t="n"/>
      <c r="L131" s="14" t="n"/>
      <c r="M131" s="14" t="n"/>
      <c r="N131" s="14" t="n"/>
      <c r="O131" s="13" t="n"/>
      <c r="P131" s="17">
        <f>IF(N(F131)=0,"",G131/F131)</f>
        <v/>
      </c>
      <c r="Q131" s="18">
        <f>IF(N(G131)=0,"",E131/G131)</f>
        <v/>
      </c>
      <c r="R131" s="17">
        <f>IF(N(G131)=0,"",H131/G131)</f>
        <v/>
      </c>
      <c r="S131" s="18">
        <f>IF(N(H131)=0,"",E131/H131)</f>
        <v/>
      </c>
      <c r="T131" s="18">
        <f>IF(N(K131)=0,"",E131/K131)</f>
        <v/>
      </c>
      <c r="U131" s="18">
        <f>IF(N(L131)=0,"",E131/L131)</f>
        <v/>
      </c>
      <c r="V131" s="18">
        <f>IF(N(N131)=0,"",E131/N131)</f>
        <v/>
      </c>
      <c r="W131" s="19">
        <f>IF(N(K131)=0,"",L131/K131)</f>
        <v/>
      </c>
      <c r="X131" s="19">
        <f>IF(N(M131)=0,"",N131/M131)</f>
        <v/>
      </c>
      <c r="Y131" s="20">
        <f>IF(N(E131)=0,"",O131/E131)</f>
        <v/>
      </c>
    </row>
    <row r="132">
      <c r="A132" s="10" t="n">
        <v>46433</v>
      </c>
      <c r="B132" s="11">
        <f>DATE(YEAR(A132),MONTH(A132),1)</f>
        <v/>
      </c>
      <c r="C132" t="inlineStr">
        <is>
          <t>S-FR | Corporatif &amp; Fêtes</t>
        </is>
      </c>
      <c r="E132" s="13" t="n"/>
      <c r="F132" s="14" t="n"/>
      <c r="G132" s="14" t="n"/>
      <c r="H132" s="15" t="n"/>
      <c r="I132" s="16" t="n"/>
      <c r="J132" s="16" t="n"/>
      <c r="K132" s="14" t="n"/>
      <c r="L132" s="14" t="n"/>
      <c r="M132" s="14" t="n"/>
      <c r="N132" s="14" t="n"/>
      <c r="O132" s="13" t="n"/>
      <c r="P132" s="17">
        <f>IF(N(F132)=0,"",G132/F132)</f>
        <v/>
      </c>
      <c r="Q132" s="18">
        <f>IF(N(G132)=0,"",E132/G132)</f>
        <v/>
      </c>
      <c r="R132" s="17">
        <f>IF(N(G132)=0,"",H132/G132)</f>
        <v/>
      </c>
      <c r="S132" s="18">
        <f>IF(N(H132)=0,"",E132/H132)</f>
        <v/>
      </c>
      <c r="T132" s="18">
        <f>IF(N(K132)=0,"",E132/K132)</f>
        <v/>
      </c>
      <c r="U132" s="18">
        <f>IF(N(L132)=0,"",E132/L132)</f>
        <v/>
      </c>
      <c r="V132" s="18">
        <f>IF(N(N132)=0,"",E132/N132)</f>
        <v/>
      </c>
      <c r="W132" s="19">
        <f>IF(N(K132)=0,"",L132/K132)</f>
        <v/>
      </c>
      <c r="X132" s="19">
        <f>IF(N(M132)=0,"",N132/M132)</f>
        <v/>
      </c>
      <c r="Y132" s="20">
        <f>IF(N(E132)=0,"",O132/E132)</f>
        <v/>
      </c>
    </row>
    <row r="133">
      <c r="A133" s="10" t="n">
        <v>46433</v>
      </c>
      <c r="B133" s="11">
        <f>DATE(YEAR(A133),MONTH(A133),1)</f>
        <v/>
      </c>
      <c r="C133" t="inlineStr">
        <is>
          <t>S-FR | Événements privés</t>
        </is>
      </c>
      <c r="E133" s="13" t="n"/>
      <c r="F133" s="14" t="n"/>
      <c r="G133" s="14" t="n"/>
      <c r="H133" s="15" t="n"/>
      <c r="I133" s="16" t="n"/>
      <c r="J133" s="16" t="n"/>
      <c r="K133" s="14" t="n"/>
      <c r="L133" s="14" t="n"/>
      <c r="M133" s="14" t="n"/>
      <c r="N133" s="14" t="n"/>
      <c r="O133" s="13" t="n"/>
      <c r="P133" s="17">
        <f>IF(N(F133)=0,"",G133/F133)</f>
        <v/>
      </c>
      <c r="Q133" s="18">
        <f>IF(N(G133)=0,"",E133/G133)</f>
        <v/>
      </c>
      <c r="R133" s="17">
        <f>IF(N(G133)=0,"",H133/G133)</f>
        <v/>
      </c>
      <c r="S133" s="18">
        <f>IF(N(H133)=0,"",E133/H133)</f>
        <v/>
      </c>
      <c r="T133" s="18">
        <f>IF(N(K133)=0,"",E133/K133)</f>
        <v/>
      </c>
      <c r="U133" s="18">
        <f>IF(N(L133)=0,"",E133/L133)</f>
        <v/>
      </c>
      <c r="V133" s="18">
        <f>IF(N(N133)=0,"",E133/N133)</f>
        <v/>
      </c>
      <c r="W133" s="19">
        <f>IF(N(K133)=0,"",L133/K133)</f>
        <v/>
      </c>
      <c r="X133" s="19">
        <f>IF(N(M133)=0,"",N133/M133)</f>
        <v/>
      </c>
      <c r="Y133" s="20">
        <f>IF(N(E133)=0,"",O133/E133)</f>
        <v/>
      </c>
    </row>
    <row r="134">
      <c r="A134" s="10" t="n">
        <v>46433</v>
      </c>
      <c r="B134" s="11">
        <f>DATE(YEAR(A134),MONTH(A134),1)</f>
        <v/>
      </c>
      <c r="C134" t="inlineStr">
        <is>
          <t>S-EN | Corporate Montréal</t>
        </is>
      </c>
      <c r="E134" s="13" t="n"/>
      <c r="F134" s="14" t="n"/>
      <c r="G134" s="14" t="n"/>
      <c r="H134" s="15" t="n"/>
      <c r="I134" s="16" t="n"/>
      <c r="J134" s="16" t="n"/>
      <c r="K134" s="14" t="n"/>
      <c r="L134" s="14" t="n"/>
      <c r="M134" s="14" t="n"/>
      <c r="N134" s="14" t="n"/>
      <c r="O134" s="13" t="n"/>
      <c r="P134" s="17">
        <f>IF(N(F134)=0,"",G134/F134)</f>
        <v/>
      </c>
      <c r="Q134" s="18">
        <f>IF(N(G134)=0,"",E134/G134)</f>
        <v/>
      </c>
      <c r="R134" s="17">
        <f>IF(N(G134)=0,"",H134/G134)</f>
        <v/>
      </c>
      <c r="S134" s="18">
        <f>IF(N(H134)=0,"",E134/H134)</f>
        <v/>
      </c>
      <c r="T134" s="18">
        <f>IF(N(K134)=0,"",E134/K134)</f>
        <v/>
      </c>
      <c r="U134" s="18">
        <f>IF(N(L134)=0,"",E134/L134)</f>
        <v/>
      </c>
      <c r="V134" s="18">
        <f>IF(N(N134)=0,"",E134/N134)</f>
        <v/>
      </c>
      <c r="W134" s="19">
        <f>IF(N(K134)=0,"",L134/K134)</f>
        <v/>
      </c>
      <c r="X134" s="19">
        <f>IF(N(M134)=0,"",N134/M134)</f>
        <v/>
      </c>
      <c r="Y134" s="20">
        <f>IF(N(E134)=0,"",O134/E134)</f>
        <v/>
      </c>
    </row>
    <row r="135">
      <c r="A135" s="10" t="n">
        <v>46433</v>
      </c>
      <c r="B135" s="11">
        <f>DATE(YEAR(A135),MONTH(A135),1)</f>
        <v/>
      </c>
      <c r="C135" t="inlineStr">
        <is>
          <t>S-FR | Québec-Lévis (test)</t>
        </is>
      </c>
      <c r="E135" s="13" t="n"/>
      <c r="F135" s="14" t="n"/>
      <c r="G135" s="14" t="n"/>
      <c r="H135" s="15" t="n"/>
      <c r="I135" s="16" t="n"/>
      <c r="J135" s="16" t="n"/>
      <c r="K135" s="14" t="n"/>
      <c r="L135" s="14" t="n"/>
      <c r="M135" s="14" t="n"/>
      <c r="N135" s="14" t="n"/>
      <c r="O135" s="13" t="n"/>
      <c r="P135" s="17">
        <f>IF(N(F135)=0,"",G135/F135)</f>
        <v/>
      </c>
      <c r="Q135" s="18">
        <f>IF(N(G135)=0,"",E135/G135)</f>
        <v/>
      </c>
      <c r="R135" s="17">
        <f>IF(N(G135)=0,"",H135/G135)</f>
        <v/>
      </c>
      <c r="S135" s="18">
        <f>IF(N(H135)=0,"",E135/H135)</f>
        <v/>
      </c>
      <c r="T135" s="18">
        <f>IF(N(K135)=0,"",E135/K135)</f>
        <v/>
      </c>
      <c r="U135" s="18">
        <f>IF(N(L135)=0,"",E135/L135)</f>
        <v/>
      </c>
      <c r="V135" s="18">
        <f>IF(N(N135)=0,"",E135/N135)</f>
        <v/>
      </c>
      <c r="W135" s="19">
        <f>IF(N(K135)=0,"",L135/K135)</f>
        <v/>
      </c>
      <c r="X135" s="19">
        <f>IF(N(M135)=0,"",N135/M135)</f>
        <v/>
      </c>
      <c r="Y135" s="20">
        <f>IF(N(E135)=0,"",O135/E135)</f>
        <v/>
      </c>
    </row>
    <row r="136">
      <c r="A136" s="10" t="n">
        <v>46433</v>
      </c>
      <c r="B136" s="11">
        <f>DATE(YEAR(A136),MONTH(A136),1)</f>
        <v/>
      </c>
      <c r="C136" t="inlineStr">
        <is>
          <t>Demand Gen</t>
        </is>
      </c>
      <c r="E136" s="13" t="n"/>
      <c r="F136" s="14" t="n"/>
      <c r="G136" s="14" t="n"/>
      <c r="H136" s="15" t="n"/>
      <c r="I136" s="16" t="n"/>
      <c r="J136" s="16" t="n"/>
      <c r="K136" s="14" t="n"/>
      <c r="L136" s="14" t="n"/>
      <c r="M136" s="14" t="n"/>
      <c r="N136" s="14" t="n"/>
      <c r="O136" s="13" t="n"/>
      <c r="P136" s="17">
        <f>IF(N(F136)=0,"",G136/F136)</f>
        <v/>
      </c>
      <c r="Q136" s="18">
        <f>IF(N(G136)=0,"",E136/G136)</f>
        <v/>
      </c>
      <c r="R136" s="17">
        <f>IF(N(G136)=0,"",H136/G136)</f>
        <v/>
      </c>
      <c r="S136" s="18">
        <f>IF(N(H136)=0,"",E136/H136)</f>
        <v/>
      </c>
      <c r="T136" s="18">
        <f>IF(N(K136)=0,"",E136/K136)</f>
        <v/>
      </c>
      <c r="U136" s="18">
        <f>IF(N(L136)=0,"",E136/L136)</f>
        <v/>
      </c>
      <c r="V136" s="18">
        <f>IF(N(N136)=0,"",E136/N136)</f>
        <v/>
      </c>
      <c r="W136" s="19">
        <f>IF(N(K136)=0,"",L136/K136)</f>
        <v/>
      </c>
      <c r="X136" s="19">
        <f>IF(N(M136)=0,"",N136/M136)</f>
        <v/>
      </c>
      <c r="Y136" s="20">
        <f>IF(N(E136)=0,"",O136/E136)</f>
        <v/>
      </c>
    </row>
    <row r="137">
      <c r="A137" s="21" t="n">
        <v>46433</v>
      </c>
      <c r="B137" s="22">
        <f>DATE(YEAR(A137),MONTH(A137),1)</f>
        <v/>
      </c>
      <c r="C137" s="23" t="inlineStr">
        <is>
          <t>Microsoft Ads</t>
        </is>
      </c>
      <c r="D137" s="23" t="n"/>
      <c r="E137" s="24" t="n"/>
      <c r="F137" s="25" t="n"/>
      <c r="G137" s="25" t="n"/>
      <c r="H137" s="26" t="n"/>
      <c r="I137" s="27" t="n"/>
      <c r="J137" s="27" t="n"/>
      <c r="K137" s="25" t="n"/>
      <c r="L137" s="25" t="n"/>
      <c r="M137" s="25" t="n"/>
      <c r="N137" s="25" t="n"/>
      <c r="O137" s="24" t="n"/>
      <c r="P137" s="28">
        <f>IF(N(F137)=0,"",G137/F137)</f>
        <v/>
      </c>
      <c r="Q137" s="29">
        <f>IF(N(G137)=0,"",E137/G137)</f>
        <v/>
      </c>
      <c r="R137" s="28">
        <f>IF(N(G137)=0,"",H137/G137)</f>
        <v/>
      </c>
      <c r="S137" s="29">
        <f>IF(N(H137)=0,"",E137/H137)</f>
        <v/>
      </c>
      <c r="T137" s="29">
        <f>IF(N(K137)=0,"",E137/K137)</f>
        <v/>
      </c>
      <c r="U137" s="29">
        <f>IF(N(L137)=0,"",E137/L137)</f>
        <v/>
      </c>
      <c r="V137" s="29">
        <f>IF(N(N137)=0,"",E137/N137)</f>
        <v/>
      </c>
      <c r="W137" s="30">
        <f>IF(N(K137)=0,"",L137/K137)</f>
        <v/>
      </c>
      <c r="X137" s="30">
        <f>IF(N(M137)=0,"",N137/M137)</f>
        <v/>
      </c>
      <c r="Y137" s="31">
        <f>IF(N(E137)=0,"",O137/E137)</f>
        <v/>
      </c>
    </row>
    <row r="138">
      <c r="A138" s="10" t="n">
        <v>46440</v>
      </c>
      <c r="B138" s="11">
        <f>DATE(YEAR(A138),MONTH(A138),1)</f>
        <v/>
      </c>
      <c r="C138" t="inlineStr">
        <is>
          <t>S-FR | Marque</t>
        </is>
      </c>
      <c r="E138" s="13" t="n"/>
      <c r="F138" s="14" t="n"/>
      <c r="G138" s="14" t="n"/>
      <c r="H138" s="15" t="n"/>
      <c r="I138" s="16" t="n"/>
      <c r="J138" s="16" t="n"/>
      <c r="K138" s="14" t="n"/>
      <c r="L138" s="14" t="n"/>
      <c r="M138" s="14" t="n"/>
      <c r="N138" s="14" t="n"/>
      <c r="O138" s="13" t="n"/>
      <c r="P138" s="17">
        <f>IF(N(F138)=0,"",G138/F138)</f>
        <v/>
      </c>
      <c r="Q138" s="18">
        <f>IF(N(G138)=0,"",E138/G138)</f>
        <v/>
      </c>
      <c r="R138" s="17">
        <f>IF(N(G138)=0,"",H138/G138)</f>
        <v/>
      </c>
      <c r="S138" s="18">
        <f>IF(N(H138)=0,"",E138/H138)</f>
        <v/>
      </c>
      <c r="T138" s="18">
        <f>IF(N(K138)=0,"",E138/K138)</f>
        <v/>
      </c>
      <c r="U138" s="18">
        <f>IF(N(L138)=0,"",E138/L138)</f>
        <v/>
      </c>
      <c r="V138" s="18">
        <f>IF(N(N138)=0,"",E138/N138)</f>
        <v/>
      </c>
      <c r="W138" s="19">
        <f>IF(N(K138)=0,"",L138/K138)</f>
        <v/>
      </c>
      <c r="X138" s="19">
        <f>IF(N(M138)=0,"",N138/M138)</f>
        <v/>
      </c>
      <c r="Y138" s="20">
        <f>IF(N(E138)=0,"",O138/E138)</f>
        <v/>
      </c>
    </row>
    <row r="139">
      <c r="A139" s="10" t="n">
        <v>46440</v>
      </c>
      <c r="B139" s="11">
        <f>DATE(YEAR(A139),MONTH(A139),1)</f>
        <v/>
      </c>
      <c r="C139" t="inlineStr">
        <is>
          <t>S-FR | Corporatif &amp; Fêtes</t>
        </is>
      </c>
      <c r="E139" s="13" t="n"/>
      <c r="F139" s="14" t="n"/>
      <c r="G139" s="14" t="n"/>
      <c r="H139" s="15" t="n"/>
      <c r="I139" s="16" t="n"/>
      <c r="J139" s="16" t="n"/>
      <c r="K139" s="14" t="n"/>
      <c r="L139" s="14" t="n"/>
      <c r="M139" s="14" t="n"/>
      <c r="N139" s="14" t="n"/>
      <c r="O139" s="13" t="n"/>
      <c r="P139" s="17">
        <f>IF(N(F139)=0,"",G139/F139)</f>
        <v/>
      </c>
      <c r="Q139" s="18">
        <f>IF(N(G139)=0,"",E139/G139)</f>
        <v/>
      </c>
      <c r="R139" s="17">
        <f>IF(N(G139)=0,"",H139/G139)</f>
        <v/>
      </c>
      <c r="S139" s="18">
        <f>IF(N(H139)=0,"",E139/H139)</f>
        <v/>
      </c>
      <c r="T139" s="18">
        <f>IF(N(K139)=0,"",E139/K139)</f>
        <v/>
      </c>
      <c r="U139" s="18">
        <f>IF(N(L139)=0,"",E139/L139)</f>
        <v/>
      </c>
      <c r="V139" s="18">
        <f>IF(N(N139)=0,"",E139/N139)</f>
        <v/>
      </c>
      <c r="W139" s="19">
        <f>IF(N(K139)=0,"",L139/K139)</f>
        <v/>
      </c>
      <c r="X139" s="19">
        <f>IF(N(M139)=0,"",N139/M139)</f>
        <v/>
      </c>
      <c r="Y139" s="20">
        <f>IF(N(E139)=0,"",O139/E139)</f>
        <v/>
      </c>
    </row>
    <row r="140">
      <c r="A140" s="10" t="n">
        <v>46440</v>
      </c>
      <c r="B140" s="11">
        <f>DATE(YEAR(A140),MONTH(A140),1)</f>
        <v/>
      </c>
      <c r="C140" t="inlineStr">
        <is>
          <t>S-FR | Événements privés</t>
        </is>
      </c>
      <c r="E140" s="13" t="n"/>
      <c r="F140" s="14" t="n"/>
      <c r="G140" s="14" t="n"/>
      <c r="H140" s="15" t="n"/>
      <c r="I140" s="16" t="n"/>
      <c r="J140" s="16" t="n"/>
      <c r="K140" s="14" t="n"/>
      <c r="L140" s="14" t="n"/>
      <c r="M140" s="14" t="n"/>
      <c r="N140" s="14" t="n"/>
      <c r="O140" s="13" t="n"/>
      <c r="P140" s="17">
        <f>IF(N(F140)=0,"",G140/F140)</f>
        <v/>
      </c>
      <c r="Q140" s="18">
        <f>IF(N(G140)=0,"",E140/G140)</f>
        <v/>
      </c>
      <c r="R140" s="17">
        <f>IF(N(G140)=0,"",H140/G140)</f>
        <v/>
      </c>
      <c r="S140" s="18">
        <f>IF(N(H140)=0,"",E140/H140)</f>
        <v/>
      </c>
      <c r="T140" s="18">
        <f>IF(N(K140)=0,"",E140/K140)</f>
        <v/>
      </c>
      <c r="U140" s="18">
        <f>IF(N(L140)=0,"",E140/L140)</f>
        <v/>
      </c>
      <c r="V140" s="18">
        <f>IF(N(N140)=0,"",E140/N140)</f>
        <v/>
      </c>
      <c r="W140" s="19">
        <f>IF(N(K140)=0,"",L140/K140)</f>
        <v/>
      </c>
      <c r="X140" s="19">
        <f>IF(N(M140)=0,"",N140/M140)</f>
        <v/>
      </c>
      <c r="Y140" s="20">
        <f>IF(N(E140)=0,"",O140/E140)</f>
        <v/>
      </c>
    </row>
    <row r="141">
      <c r="A141" s="10" t="n">
        <v>46440</v>
      </c>
      <c r="B141" s="11">
        <f>DATE(YEAR(A141),MONTH(A141),1)</f>
        <v/>
      </c>
      <c r="C141" t="inlineStr">
        <is>
          <t>S-EN | Corporate Montréal</t>
        </is>
      </c>
      <c r="E141" s="13" t="n"/>
      <c r="F141" s="14" t="n"/>
      <c r="G141" s="14" t="n"/>
      <c r="H141" s="15" t="n"/>
      <c r="I141" s="16" t="n"/>
      <c r="J141" s="16" t="n"/>
      <c r="K141" s="14" t="n"/>
      <c r="L141" s="14" t="n"/>
      <c r="M141" s="14" t="n"/>
      <c r="N141" s="14" t="n"/>
      <c r="O141" s="13" t="n"/>
      <c r="P141" s="17">
        <f>IF(N(F141)=0,"",G141/F141)</f>
        <v/>
      </c>
      <c r="Q141" s="18">
        <f>IF(N(G141)=0,"",E141/G141)</f>
        <v/>
      </c>
      <c r="R141" s="17">
        <f>IF(N(G141)=0,"",H141/G141)</f>
        <v/>
      </c>
      <c r="S141" s="18">
        <f>IF(N(H141)=0,"",E141/H141)</f>
        <v/>
      </c>
      <c r="T141" s="18">
        <f>IF(N(K141)=0,"",E141/K141)</f>
        <v/>
      </c>
      <c r="U141" s="18">
        <f>IF(N(L141)=0,"",E141/L141)</f>
        <v/>
      </c>
      <c r="V141" s="18">
        <f>IF(N(N141)=0,"",E141/N141)</f>
        <v/>
      </c>
      <c r="W141" s="19">
        <f>IF(N(K141)=0,"",L141/K141)</f>
        <v/>
      </c>
      <c r="X141" s="19">
        <f>IF(N(M141)=0,"",N141/M141)</f>
        <v/>
      </c>
      <c r="Y141" s="20">
        <f>IF(N(E141)=0,"",O141/E141)</f>
        <v/>
      </c>
    </row>
    <row r="142">
      <c r="A142" s="10" t="n">
        <v>46440</v>
      </c>
      <c r="B142" s="11">
        <f>DATE(YEAR(A142),MONTH(A142),1)</f>
        <v/>
      </c>
      <c r="C142" t="inlineStr">
        <is>
          <t>S-FR | Québec-Lévis (test)</t>
        </is>
      </c>
      <c r="E142" s="13" t="n"/>
      <c r="F142" s="14" t="n"/>
      <c r="G142" s="14" t="n"/>
      <c r="H142" s="15" t="n"/>
      <c r="I142" s="16" t="n"/>
      <c r="J142" s="16" t="n"/>
      <c r="K142" s="14" t="n"/>
      <c r="L142" s="14" t="n"/>
      <c r="M142" s="14" t="n"/>
      <c r="N142" s="14" t="n"/>
      <c r="O142" s="13" t="n"/>
      <c r="P142" s="17">
        <f>IF(N(F142)=0,"",G142/F142)</f>
        <v/>
      </c>
      <c r="Q142" s="18">
        <f>IF(N(G142)=0,"",E142/G142)</f>
        <v/>
      </c>
      <c r="R142" s="17">
        <f>IF(N(G142)=0,"",H142/G142)</f>
        <v/>
      </c>
      <c r="S142" s="18">
        <f>IF(N(H142)=0,"",E142/H142)</f>
        <v/>
      </c>
      <c r="T142" s="18">
        <f>IF(N(K142)=0,"",E142/K142)</f>
        <v/>
      </c>
      <c r="U142" s="18">
        <f>IF(N(L142)=0,"",E142/L142)</f>
        <v/>
      </c>
      <c r="V142" s="18">
        <f>IF(N(N142)=0,"",E142/N142)</f>
        <v/>
      </c>
      <c r="W142" s="19">
        <f>IF(N(K142)=0,"",L142/K142)</f>
        <v/>
      </c>
      <c r="X142" s="19">
        <f>IF(N(M142)=0,"",N142/M142)</f>
        <v/>
      </c>
      <c r="Y142" s="20">
        <f>IF(N(E142)=0,"",O142/E142)</f>
        <v/>
      </c>
    </row>
    <row r="143">
      <c r="A143" s="10" t="n">
        <v>46440</v>
      </c>
      <c r="B143" s="11">
        <f>DATE(YEAR(A143),MONTH(A143),1)</f>
        <v/>
      </c>
      <c r="C143" t="inlineStr">
        <is>
          <t>Demand Gen</t>
        </is>
      </c>
      <c r="E143" s="13" t="n"/>
      <c r="F143" s="14" t="n"/>
      <c r="G143" s="14" t="n"/>
      <c r="H143" s="15" t="n"/>
      <c r="I143" s="16" t="n"/>
      <c r="J143" s="16" t="n"/>
      <c r="K143" s="14" t="n"/>
      <c r="L143" s="14" t="n"/>
      <c r="M143" s="14" t="n"/>
      <c r="N143" s="14" t="n"/>
      <c r="O143" s="13" t="n"/>
      <c r="P143" s="17">
        <f>IF(N(F143)=0,"",G143/F143)</f>
        <v/>
      </c>
      <c r="Q143" s="18">
        <f>IF(N(G143)=0,"",E143/G143)</f>
        <v/>
      </c>
      <c r="R143" s="17">
        <f>IF(N(G143)=0,"",H143/G143)</f>
        <v/>
      </c>
      <c r="S143" s="18">
        <f>IF(N(H143)=0,"",E143/H143)</f>
        <v/>
      </c>
      <c r="T143" s="18">
        <f>IF(N(K143)=0,"",E143/K143)</f>
        <v/>
      </c>
      <c r="U143" s="18">
        <f>IF(N(L143)=0,"",E143/L143)</f>
        <v/>
      </c>
      <c r="V143" s="18">
        <f>IF(N(N143)=0,"",E143/N143)</f>
        <v/>
      </c>
      <c r="W143" s="19">
        <f>IF(N(K143)=0,"",L143/K143)</f>
        <v/>
      </c>
      <c r="X143" s="19">
        <f>IF(N(M143)=0,"",N143/M143)</f>
        <v/>
      </c>
      <c r="Y143" s="20">
        <f>IF(N(E143)=0,"",O143/E143)</f>
        <v/>
      </c>
    </row>
    <row r="144">
      <c r="A144" s="21" t="n">
        <v>46440</v>
      </c>
      <c r="B144" s="22">
        <f>DATE(YEAR(A144),MONTH(A144),1)</f>
        <v/>
      </c>
      <c r="C144" s="23" t="inlineStr">
        <is>
          <t>Microsoft Ads</t>
        </is>
      </c>
      <c r="D144" s="23" t="n"/>
      <c r="E144" s="24" t="n"/>
      <c r="F144" s="25" t="n"/>
      <c r="G144" s="25" t="n"/>
      <c r="H144" s="26" t="n"/>
      <c r="I144" s="27" t="n"/>
      <c r="J144" s="27" t="n"/>
      <c r="K144" s="25" t="n"/>
      <c r="L144" s="25" t="n"/>
      <c r="M144" s="25" t="n"/>
      <c r="N144" s="25" t="n"/>
      <c r="O144" s="24" t="n"/>
      <c r="P144" s="28">
        <f>IF(N(F144)=0,"",G144/F144)</f>
        <v/>
      </c>
      <c r="Q144" s="29">
        <f>IF(N(G144)=0,"",E144/G144)</f>
        <v/>
      </c>
      <c r="R144" s="28">
        <f>IF(N(G144)=0,"",H144/G144)</f>
        <v/>
      </c>
      <c r="S144" s="29">
        <f>IF(N(H144)=0,"",E144/H144)</f>
        <v/>
      </c>
      <c r="T144" s="29">
        <f>IF(N(K144)=0,"",E144/K144)</f>
        <v/>
      </c>
      <c r="U144" s="29">
        <f>IF(N(L144)=0,"",E144/L144)</f>
        <v/>
      </c>
      <c r="V144" s="29">
        <f>IF(N(N144)=0,"",E144/N144)</f>
        <v/>
      </c>
      <c r="W144" s="30">
        <f>IF(N(K144)=0,"",L144/K144)</f>
        <v/>
      </c>
      <c r="X144" s="30">
        <f>IF(N(M144)=0,"",N144/M144)</f>
        <v/>
      </c>
      <c r="Y144" s="31">
        <f>IF(N(E144)=0,"",O144/E144)</f>
        <v/>
      </c>
    </row>
    <row r="145">
      <c r="A145" s="10" t="n">
        <v>46447</v>
      </c>
      <c r="B145" s="11">
        <f>DATE(YEAR(A145),MONTH(A145),1)</f>
        <v/>
      </c>
      <c r="C145" t="inlineStr">
        <is>
          <t>S-FR | Marque</t>
        </is>
      </c>
      <c r="E145" s="13" t="n"/>
      <c r="F145" s="14" t="n"/>
      <c r="G145" s="14" t="n"/>
      <c r="H145" s="15" t="n"/>
      <c r="I145" s="16" t="n"/>
      <c r="J145" s="16" t="n"/>
      <c r="K145" s="14" t="n"/>
      <c r="L145" s="14" t="n"/>
      <c r="M145" s="14" t="n"/>
      <c r="N145" s="14" t="n"/>
      <c r="O145" s="13" t="n"/>
      <c r="P145" s="17">
        <f>IF(N(F145)=0,"",G145/F145)</f>
        <v/>
      </c>
      <c r="Q145" s="18">
        <f>IF(N(G145)=0,"",E145/G145)</f>
        <v/>
      </c>
      <c r="R145" s="17">
        <f>IF(N(G145)=0,"",H145/G145)</f>
        <v/>
      </c>
      <c r="S145" s="18">
        <f>IF(N(H145)=0,"",E145/H145)</f>
        <v/>
      </c>
      <c r="T145" s="18">
        <f>IF(N(K145)=0,"",E145/K145)</f>
        <v/>
      </c>
      <c r="U145" s="18">
        <f>IF(N(L145)=0,"",E145/L145)</f>
        <v/>
      </c>
      <c r="V145" s="18">
        <f>IF(N(N145)=0,"",E145/N145)</f>
        <v/>
      </c>
      <c r="W145" s="19">
        <f>IF(N(K145)=0,"",L145/K145)</f>
        <v/>
      </c>
      <c r="X145" s="19">
        <f>IF(N(M145)=0,"",N145/M145)</f>
        <v/>
      </c>
      <c r="Y145" s="20">
        <f>IF(N(E145)=0,"",O145/E145)</f>
        <v/>
      </c>
    </row>
    <row r="146">
      <c r="A146" s="10" t="n">
        <v>46447</v>
      </c>
      <c r="B146" s="11">
        <f>DATE(YEAR(A146),MONTH(A146),1)</f>
        <v/>
      </c>
      <c r="C146" t="inlineStr">
        <is>
          <t>S-FR | Corporatif &amp; Fêtes</t>
        </is>
      </c>
      <c r="E146" s="13" t="n"/>
      <c r="F146" s="14" t="n"/>
      <c r="G146" s="14" t="n"/>
      <c r="H146" s="15" t="n"/>
      <c r="I146" s="16" t="n"/>
      <c r="J146" s="16" t="n"/>
      <c r="K146" s="14" t="n"/>
      <c r="L146" s="14" t="n"/>
      <c r="M146" s="14" t="n"/>
      <c r="N146" s="14" t="n"/>
      <c r="O146" s="13" t="n"/>
      <c r="P146" s="17">
        <f>IF(N(F146)=0,"",G146/F146)</f>
        <v/>
      </c>
      <c r="Q146" s="18">
        <f>IF(N(G146)=0,"",E146/G146)</f>
        <v/>
      </c>
      <c r="R146" s="17">
        <f>IF(N(G146)=0,"",H146/G146)</f>
        <v/>
      </c>
      <c r="S146" s="18">
        <f>IF(N(H146)=0,"",E146/H146)</f>
        <v/>
      </c>
      <c r="T146" s="18">
        <f>IF(N(K146)=0,"",E146/K146)</f>
        <v/>
      </c>
      <c r="U146" s="18">
        <f>IF(N(L146)=0,"",E146/L146)</f>
        <v/>
      </c>
      <c r="V146" s="18">
        <f>IF(N(N146)=0,"",E146/N146)</f>
        <v/>
      </c>
      <c r="W146" s="19">
        <f>IF(N(K146)=0,"",L146/K146)</f>
        <v/>
      </c>
      <c r="X146" s="19">
        <f>IF(N(M146)=0,"",N146/M146)</f>
        <v/>
      </c>
      <c r="Y146" s="20">
        <f>IF(N(E146)=0,"",O146/E146)</f>
        <v/>
      </c>
    </row>
    <row r="147">
      <c r="A147" s="10" t="n">
        <v>46447</v>
      </c>
      <c r="B147" s="11">
        <f>DATE(YEAR(A147),MONTH(A147),1)</f>
        <v/>
      </c>
      <c r="C147" t="inlineStr">
        <is>
          <t>S-FR | Événements privés</t>
        </is>
      </c>
      <c r="E147" s="13" t="n"/>
      <c r="F147" s="14" t="n"/>
      <c r="G147" s="14" t="n"/>
      <c r="H147" s="15" t="n"/>
      <c r="I147" s="16" t="n"/>
      <c r="J147" s="16" t="n"/>
      <c r="K147" s="14" t="n"/>
      <c r="L147" s="14" t="n"/>
      <c r="M147" s="14" t="n"/>
      <c r="N147" s="14" t="n"/>
      <c r="O147" s="13" t="n"/>
      <c r="P147" s="17">
        <f>IF(N(F147)=0,"",G147/F147)</f>
        <v/>
      </c>
      <c r="Q147" s="18">
        <f>IF(N(G147)=0,"",E147/G147)</f>
        <v/>
      </c>
      <c r="R147" s="17">
        <f>IF(N(G147)=0,"",H147/G147)</f>
        <v/>
      </c>
      <c r="S147" s="18">
        <f>IF(N(H147)=0,"",E147/H147)</f>
        <v/>
      </c>
      <c r="T147" s="18">
        <f>IF(N(K147)=0,"",E147/K147)</f>
        <v/>
      </c>
      <c r="U147" s="18">
        <f>IF(N(L147)=0,"",E147/L147)</f>
        <v/>
      </c>
      <c r="V147" s="18">
        <f>IF(N(N147)=0,"",E147/N147)</f>
        <v/>
      </c>
      <c r="W147" s="19">
        <f>IF(N(K147)=0,"",L147/K147)</f>
        <v/>
      </c>
      <c r="X147" s="19">
        <f>IF(N(M147)=0,"",N147/M147)</f>
        <v/>
      </c>
      <c r="Y147" s="20">
        <f>IF(N(E147)=0,"",O147/E147)</f>
        <v/>
      </c>
    </row>
    <row r="148">
      <c r="A148" s="10" t="n">
        <v>46447</v>
      </c>
      <c r="B148" s="11">
        <f>DATE(YEAR(A148),MONTH(A148),1)</f>
        <v/>
      </c>
      <c r="C148" t="inlineStr">
        <is>
          <t>S-EN | Corporate Montréal</t>
        </is>
      </c>
      <c r="E148" s="13" t="n"/>
      <c r="F148" s="14" t="n"/>
      <c r="G148" s="14" t="n"/>
      <c r="H148" s="15" t="n"/>
      <c r="I148" s="16" t="n"/>
      <c r="J148" s="16" t="n"/>
      <c r="K148" s="14" t="n"/>
      <c r="L148" s="14" t="n"/>
      <c r="M148" s="14" t="n"/>
      <c r="N148" s="14" t="n"/>
      <c r="O148" s="13" t="n"/>
      <c r="P148" s="17">
        <f>IF(N(F148)=0,"",G148/F148)</f>
        <v/>
      </c>
      <c r="Q148" s="18">
        <f>IF(N(G148)=0,"",E148/G148)</f>
        <v/>
      </c>
      <c r="R148" s="17">
        <f>IF(N(G148)=0,"",H148/G148)</f>
        <v/>
      </c>
      <c r="S148" s="18">
        <f>IF(N(H148)=0,"",E148/H148)</f>
        <v/>
      </c>
      <c r="T148" s="18">
        <f>IF(N(K148)=0,"",E148/K148)</f>
        <v/>
      </c>
      <c r="U148" s="18">
        <f>IF(N(L148)=0,"",E148/L148)</f>
        <v/>
      </c>
      <c r="V148" s="18">
        <f>IF(N(N148)=0,"",E148/N148)</f>
        <v/>
      </c>
      <c r="W148" s="19">
        <f>IF(N(K148)=0,"",L148/K148)</f>
        <v/>
      </c>
      <c r="X148" s="19">
        <f>IF(N(M148)=0,"",N148/M148)</f>
        <v/>
      </c>
      <c r="Y148" s="20">
        <f>IF(N(E148)=0,"",O148/E148)</f>
        <v/>
      </c>
    </row>
    <row r="149">
      <c r="A149" s="10" t="n">
        <v>46447</v>
      </c>
      <c r="B149" s="11">
        <f>DATE(YEAR(A149),MONTH(A149),1)</f>
        <v/>
      </c>
      <c r="C149" t="inlineStr">
        <is>
          <t>S-FR | Québec-Lévis (test)</t>
        </is>
      </c>
      <c r="E149" s="13" t="n"/>
      <c r="F149" s="14" t="n"/>
      <c r="G149" s="14" t="n"/>
      <c r="H149" s="15" t="n"/>
      <c r="I149" s="16" t="n"/>
      <c r="J149" s="16" t="n"/>
      <c r="K149" s="14" t="n"/>
      <c r="L149" s="14" t="n"/>
      <c r="M149" s="14" t="n"/>
      <c r="N149" s="14" t="n"/>
      <c r="O149" s="13" t="n"/>
      <c r="P149" s="17">
        <f>IF(N(F149)=0,"",G149/F149)</f>
        <v/>
      </c>
      <c r="Q149" s="18">
        <f>IF(N(G149)=0,"",E149/G149)</f>
        <v/>
      </c>
      <c r="R149" s="17">
        <f>IF(N(G149)=0,"",H149/G149)</f>
        <v/>
      </c>
      <c r="S149" s="18">
        <f>IF(N(H149)=0,"",E149/H149)</f>
        <v/>
      </c>
      <c r="T149" s="18">
        <f>IF(N(K149)=0,"",E149/K149)</f>
        <v/>
      </c>
      <c r="U149" s="18">
        <f>IF(N(L149)=0,"",E149/L149)</f>
        <v/>
      </c>
      <c r="V149" s="18">
        <f>IF(N(N149)=0,"",E149/N149)</f>
        <v/>
      </c>
      <c r="W149" s="19">
        <f>IF(N(K149)=0,"",L149/K149)</f>
        <v/>
      </c>
      <c r="X149" s="19">
        <f>IF(N(M149)=0,"",N149/M149)</f>
        <v/>
      </c>
      <c r="Y149" s="20">
        <f>IF(N(E149)=0,"",O149/E149)</f>
        <v/>
      </c>
    </row>
    <row r="150">
      <c r="A150" s="10" t="n">
        <v>46447</v>
      </c>
      <c r="B150" s="11">
        <f>DATE(YEAR(A150),MONTH(A150),1)</f>
        <v/>
      </c>
      <c r="C150" t="inlineStr">
        <is>
          <t>Demand Gen</t>
        </is>
      </c>
      <c r="E150" s="13" t="n"/>
      <c r="F150" s="14" t="n"/>
      <c r="G150" s="14" t="n"/>
      <c r="H150" s="15" t="n"/>
      <c r="I150" s="16" t="n"/>
      <c r="J150" s="16" t="n"/>
      <c r="K150" s="14" t="n"/>
      <c r="L150" s="14" t="n"/>
      <c r="M150" s="14" t="n"/>
      <c r="N150" s="14" t="n"/>
      <c r="O150" s="13" t="n"/>
      <c r="P150" s="17">
        <f>IF(N(F150)=0,"",G150/F150)</f>
        <v/>
      </c>
      <c r="Q150" s="18">
        <f>IF(N(G150)=0,"",E150/G150)</f>
        <v/>
      </c>
      <c r="R150" s="17">
        <f>IF(N(G150)=0,"",H150/G150)</f>
        <v/>
      </c>
      <c r="S150" s="18">
        <f>IF(N(H150)=0,"",E150/H150)</f>
        <v/>
      </c>
      <c r="T150" s="18">
        <f>IF(N(K150)=0,"",E150/K150)</f>
        <v/>
      </c>
      <c r="U150" s="18">
        <f>IF(N(L150)=0,"",E150/L150)</f>
        <v/>
      </c>
      <c r="V150" s="18">
        <f>IF(N(N150)=0,"",E150/N150)</f>
        <v/>
      </c>
      <c r="W150" s="19">
        <f>IF(N(K150)=0,"",L150/K150)</f>
        <v/>
      </c>
      <c r="X150" s="19">
        <f>IF(N(M150)=0,"",N150/M150)</f>
        <v/>
      </c>
      <c r="Y150" s="20">
        <f>IF(N(E150)=0,"",O150/E150)</f>
        <v/>
      </c>
    </row>
    <row r="151">
      <c r="A151" s="21" t="n">
        <v>46447</v>
      </c>
      <c r="B151" s="22">
        <f>DATE(YEAR(A151),MONTH(A151),1)</f>
        <v/>
      </c>
      <c r="C151" s="23" t="inlineStr">
        <is>
          <t>Microsoft Ads</t>
        </is>
      </c>
      <c r="D151" s="23" t="n"/>
      <c r="E151" s="24" t="n"/>
      <c r="F151" s="25" t="n"/>
      <c r="G151" s="25" t="n"/>
      <c r="H151" s="26" t="n"/>
      <c r="I151" s="27" t="n"/>
      <c r="J151" s="27" t="n"/>
      <c r="K151" s="25" t="n"/>
      <c r="L151" s="25" t="n"/>
      <c r="M151" s="25" t="n"/>
      <c r="N151" s="25" t="n"/>
      <c r="O151" s="24" t="n"/>
      <c r="P151" s="28">
        <f>IF(N(F151)=0,"",G151/F151)</f>
        <v/>
      </c>
      <c r="Q151" s="29">
        <f>IF(N(G151)=0,"",E151/G151)</f>
        <v/>
      </c>
      <c r="R151" s="28">
        <f>IF(N(G151)=0,"",H151/G151)</f>
        <v/>
      </c>
      <c r="S151" s="29">
        <f>IF(N(H151)=0,"",E151/H151)</f>
        <v/>
      </c>
      <c r="T151" s="29">
        <f>IF(N(K151)=0,"",E151/K151)</f>
        <v/>
      </c>
      <c r="U151" s="29">
        <f>IF(N(L151)=0,"",E151/L151)</f>
        <v/>
      </c>
      <c r="V151" s="29">
        <f>IF(N(N151)=0,"",E151/N151)</f>
        <v/>
      </c>
      <c r="W151" s="30">
        <f>IF(N(K151)=0,"",L151/K151)</f>
        <v/>
      </c>
      <c r="X151" s="30">
        <f>IF(N(M151)=0,"",N151/M151)</f>
        <v/>
      </c>
      <c r="Y151" s="31">
        <f>IF(N(E151)=0,"",O151/E151)</f>
        <v/>
      </c>
    </row>
    <row r="152">
      <c r="A152" s="10" t="n">
        <v>46454</v>
      </c>
      <c r="B152" s="11">
        <f>DATE(YEAR(A152),MONTH(A152),1)</f>
        <v/>
      </c>
      <c r="C152" t="inlineStr">
        <is>
          <t>S-FR | Marque</t>
        </is>
      </c>
      <c r="E152" s="13" t="n"/>
      <c r="F152" s="14" t="n"/>
      <c r="G152" s="14" t="n"/>
      <c r="H152" s="15" t="n"/>
      <c r="I152" s="16" t="n"/>
      <c r="J152" s="16" t="n"/>
      <c r="K152" s="14" t="n"/>
      <c r="L152" s="14" t="n"/>
      <c r="M152" s="14" t="n"/>
      <c r="N152" s="14" t="n"/>
      <c r="O152" s="13" t="n"/>
      <c r="P152" s="17">
        <f>IF(N(F152)=0,"",G152/F152)</f>
        <v/>
      </c>
      <c r="Q152" s="18">
        <f>IF(N(G152)=0,"",E152/G152)</f>
        <v/>
      </c>
      <c r="R152" s="17">
        <f>IF(N(G152)=0,"",H152/G152)</f>
        <v/>
      </c>
      <c r="S152" s="18">
        <f>IF(N(H152)=0,"",E152/H152)</f>
        <v/>
      </c>
      <c r="T152" s="18">
        <f>IF(N(K152)=0,"",E152/K152)</f>
        <v/>
      </c>
      <c r="U152" s="18">
        <f>IF(N(L152)=0,"",E152/L152)</f>
        <v/>
      </c>
      <c r="V152" s="18">
        <f>IF(N(N152)=0,"",E152/N152)</f>
        <v/>
      </c>
      <c r="W152" s="19">
        <f>IF(N(K152)=0,"",L152/K152)</f>
        <v/>
      </c>
      <c r="X152" s="19">
        <f>IF(N(M152)=0,"",N152/M152)</f>
        <v/>
      </c>
      <c r="Y152" s="20">
        <f>IF(N(E152)=0,"",O152/E152)</f>
        <v/>
      </c>
    </row>
    <row r="153">
      <c r="A153" s="10" t="n">
        <v>46454</v>
      </c>
      <c r="B153" s="11">
        <f>DATE(YEAR(A153),MONTH(A153),1)</f>
        <v/>
      </c>
      <c r="C153" t="inlineStr">
        <is>
          <t>S-FR | Corporatif &amp; Fêtes</t>
        </is>
      </c>
      <c r="E153" s="13" t="n"/>
      <c r="F153" s="14" t="n"/>
      <c r="G153" s="14" t="n"/>
      <c r="H153" s="15" t="n"/>
      <c r="I153" s="16" t="n"/>
      <c r="J153" s="16" t="n"/>
      <c r="K153" s="14" t="n"/>
      <c r="L153" s="14" t="n"/>
      <c r="M153" s="14" t="n"/>
      <c r="N153" s="14" t="n"/>
      <c r="O153" s="13" t="n"/>
      <c r="P153" s="17">
        <f>IF(N(F153)=0,"",G153/F153)</f>
        <v/>
      </c>
      <c r="Q153" s="18">
        <f>IF(N(G153)=0,"",E153/G153)</f>
        <v/>
      </c>
      <c r="R153" s="17">
        <f>IF(N(G153)=0,"",H153/G153)</f>
        <v/>
      </c>
      <c r="S153" s="18">
        <f>IF(N(H153)=0,"",E153/H153)</f>
        <v/>
      </c>
      <c r="T153" s="18">
        <f>IF(N(K153)=0,"",E153/K153)</f>
        <v/>
      </c>
      <c r="U153" s="18">
        <f>IF(N(L153)=0,"",E153/L153)</f>
        <v/>
      </c>
      <c r="V153" s="18">
        <f>IF(N(N153)=0,"",E153/N153)</f>
        <v/>
      </c>
      <c r="W153" s="19">
        <f>IF(N(K153)=0,"",L153/K153)</f>
        <v/>
      </c>
      <c r="X153" s="19">
        <f>IF(N(M153)=0,"",N153/M153)</f>
        <v/>
      </c>
      <c r="Y153" s="20">
        <f>IF(N(E153)=0,"",O153/E153)</f>
        <v/>
      </c>
    </row>
    <row r="154">
      <c r="A154" s="10" t="n">
        <v>46454</v>
      </c>
      <c r="B154" s="11">
        <f>DATE(YEAR(A154),MONTH(A154),1)</f>
        <v/>
      </c>
      <c r="C154" t="inlineStr">
        <is>
          <t>S-FR | Événements privés</t>
        </is>
      </c>
      <c r="E154" s="13" t="n"/>
      <c r="F154" s="14" t="n"/>
      <c r="G154" s="14" t="n"/>
      <c r="H154" s="15" t="n"/>
      <c r="I154" s="16" t="n"/>
      <c r="J154" s="16" t="n"/>
      <c r="K154" s="14" t="n"/>
      <c r="L154" s="14" t="n"/>
      <c r="M154" s="14" t="n"/>
      <c r="N154" s="14" t="n"/>
      <c r="O154" s="13" t="n"/>
      <c r="P154" s="17">
        <f>IF(N(F154)=0,"",G154/F154)</f>
        <v/>
      </c>
      <c r="Q154" s="18">
        <f>IF(N(G154)=0,"",E154/G154)</f>
        <v/>
      </c>
      <c r="R154" s="17">
        <f>IF(N(G154)=0,"",H154/G154)</f>
        <v/>
      </c>
      <c r="S154" s="18">
        <f>IF(N(H154)=0,"",E154/H154)</f>
        <v/>
      </c>
      <c r="T154" s="18">
        <f>IF(N(K154)=0,"",E154/K154)</f>
        <v/>
      </c>
      <c r="U154" s="18">
        <f>IF(N(L154)=0,"",E154/L154)</f>
        <v/>
      </c>
      <c r="V154" s="18">
        <f>IF(N(N154)=0,"",E154/N154)</f>
        <v/>
      </c>
      <c r="W154" s="19">
        <f>IF(N(K154)=0,"",L154/K154)</f>
        <v/>
      </c>
      <c r="X154" s="19">
        <f>IF(N(M154)=0,"",N154/M154)</f>
        <v/>
      </c>
      <c r="Y154" s="20">
        <f>IF(N(E154)=0,"",O154/E154)</f>
        <v/>
      </c>
    </row>
    <row r="155">
      <c r="A155" s="10" t="n">
        <v>46454</v>
      </c>
      <c r="B155" s="11">
        <f>DATE(YEAR(A155),MONTH(A155),1)</f>
        <v/>
      </c>
      <c r="C155" t="inlineStr">
        <is>
          <t>S-EN | Corporate Montréal</t>
        </is>
      </c>
      <c r="E155" s="13" t="n"/>
      <c r="F155" s="14" t="n"/>
      <c r="G155" s="14" t="n"/>
      <c r="H155" s="15" t="n"/>
      <c r="I155" s="16" t="n"/>
      <c r="J155" s="16" t="n"/>
      <c r="K155" s="14" t="n"/>
      <c r="L155" s="14" t="n"/>
      <c r="M155" s="14" t="n"/>
      <c r="N155" s="14" t="n"/>
      <c r="O155" s="13" t="n"/>
      <c r="P155" s="17">
        <f>IF(N(F155)=0,"",G155/F155)</f>
        <v/>
      </c>
      <c r="Q155" s="18">
        <f>IF(N(G155)=0,"",E155/G155)</f>
        <v/>
      </c>
      <c r="R155" s="17">
        <f>IF(N(G155)=0,"",H155/G155)</f>
        <v/>
      </c>
      <c r="S155" s="18">
        <f>IF(N(H155)=0,"",E155/H155)</f>
        <v/>
      </c>
      <c r="T155" s="18">
        <f>IF(N(K155)=0,"",E155/K155)</f>
        <v/>
      </c>
      <c r="U155" s="18">
        <f>IF(N(L155)=0,"",E155/L155)</f>
        <v/>
      </c>
      <c r="V155" s="18">
        <f>IF(N(N155)=0,"",E155/N155)</f>
        <v/>
      </c>
      <c r="W155" s="19">
        <f>IF(N(K155)=0,"",L155/K155)</f>
        <v/>
      </c>
      <c r="X155" s="19">
        <f>IF(N(M155)=0,"",N155/M155)</f>
        <v/>
      </c>
      <c r="Y155" s="20">
        <f>IF(N(E155)=0,"",O155/E155)</f>
        <v/>
      </c>
    </row>
    <row r="156">
      <c r="A156" s="10" t="n">
        <v>46454</v>
      </c>
      <c r="B156" s="11">
        <f>DATE(YEAR(A156),MONTH(A156),1)</f>
        <v/>
      </c>
      <c r="C156" t="inlineStr">
        <is>
          <t>S-FR | Québec-Lévis (test)</t>
        </is>
      </c>
      <c r="E156" s="13" t="n"/>
      <c r="F156" s="14" t="n"/>
      <c r="G156" s="14" t="n"/>
      <c r="H156" s="15" t="n"/>
      <c r="I156" s="16" t="n"/>
      <c r="J156" s="16" t="n"/>
      <c r="K156" s="14" t="n"/>
      <c r="L156" s="14" t="n"/>
      <c r="M156" s="14" t="n"/>
      <c r="N156" s="14" t="n"/>
      <c r="O156" s="13" t="n"/>
      <c r="P156" s="17">
        <f>IF(N(F156)=0,"",G156/F156)</f>
        <v/>
      </c>
      <c r="Q156" s="18">
        <f>IF(N(G156)=0,"",E156/G156)</f>
        <v/>
      </c>
      <c r="R156" s="17">
        <f>IF(N(G156)=0,"",H156/G156)</f>
        <v/>
      </c>
      <c r="S156" s="18">
        <f>IF(N(H156)=0,"",E156/H156)</f>
        <v/>
      </c>
      <c r="T156" s="18">
        <f>IF(N(K156)=0,"",E156/K156)</f>
        <v/>
      </c>
      <c r="U156" s="18">
        <f>IF(N(L156)=0,"",E156/L156)</f>
        <v/>
      </c>
      <c r="V156" s="18">
        <f>IF(N(N156)=0,"",E156/N156)</f>
        <v/>
      </c>
      <c r="W156" s="19">
        <f>IF(N(K156)=0,"",L156/K156)</f>
        <v/>
      </c>
      <c r="X156" s="19">
        <f>IF(N(M156)=0,"",N156/M156)</f>
        <v/>
      </c>
      <c r="Y156" s="20">
        <f>IF(N(E156)=0,"",O156/E156)</f>
        <v/>
      </c>
    </row>
    <row r="157">
      <c r="A157" s="10" t="n">
        <v>46454</v>
      </c>
      <c r="B157" s="11">
        <f>DATE(YEAR(A157),MONTH(A157),1)</f>
        <v/>
      </c>
      <c r="C157" t="inlineStr">
        <is>
          <t>Demand Gen</t>
        </is>
      </c>
      <c r="E157" s="13" t="n"/>
      <c r="F157" s="14" t="n"/>
      <c r="G157" s="14" t="n"/>
      <c r="H157" s="15" t="n"/>
      <c r="I157" s="16" t="n"/>
      <c r="J157" s="16" t="n"/>
      <c r="K157" s="14" t="n"/>
      <c r="L157" s="14" t="n"/>
      <c r="M157" s="14" t="n"/>
      <c r="N157" s="14" t="n"/>
      <c r="O157" s="13" t="n"/>
      <c r="P157" s="17">
        <f>IF(N(F157)=0,"",G157/F157)</f>
        <v/>
      </c>
      <c r="Q157" s="18">
        <f>IF(N(G157)=0,"",E157/G157)</f>
        <v/>
      </c>
      <c r="R157" s="17">
        <f>IF(N(G157)=0,"",H157/G157)</f>
        <v/>
      </c>
      <c r="S157" s="18">
        <f>IF(N(H157)=0,"",E157/H157)</f>
        <v/>
      </c>
      <c r="T157" s="18">
        <f>IF(N(K157)=0,"",E157/K157)</f>
        <v/>
      </c>
      <c r="U157" s="18">
        <f>IF(N(L157)=0,"",E157/L157)</f>
        <v/>
      </c>
      <c r="V157" s="18">
        <f>IF(N(N157)=0,"",E157/N157)</f>
        <v/>
      </c>
      <c r="W157" s="19">
        <f>IF(N(K157)=0,"",L157/K157)</f>
        <v/>
      </c>
      <c r="X157" s="19">
        <f>IF(N(M157)=0,"",N157/M157)</f>
        <v/>
      </c>
      <c r="Y157" s="20">
        <f>IF(N(E157)=0,"",O157/E157)</f>
        <v/>
      </c>
    </row>
    <row r="158">
      <c r="A158" s="21" t="n">
        <v>46454</v>
      </c>
      <c r="B158" s="22">
        <f>DATE(YEAR(A158),MONTH(A158),1)</f>
        <v/>
      </c>
      <c r="C158" s="23" t="inlineStr">
        <is>
          <t>Microsoft Ads</t>
        </is>
      </c>
      <c r="D158" s="23" t="n"/>
      <c r="E158" s="24" t="n"/>
      <c r="F158" s="25" t="n"/>
      <c r="G158" s="25" t="n"/>
      <c r="H158" s="26" t="n"/>
      <c r="I158" s="27" t="n"/>
      <c r="J158" s="27" t="n"/>
      <c r="K158" s="25" t="n"/>
      <c r="L158" s="25" t="n"/>
      <c r="M158" s="25" t="n"/>
      <c r="N158" s="25" t="n"/>
      <c r="O158" s="24" t="n"/>
      <c r="P158" s="28">
        <f>IF(N(F158)=0,"",G158/F158)</f>
        <v/>
      </c>
      <c r="Q158" s="29">
        <f>IF(N(G158)=0,"",E158/G158)</f>
        <v/>
      </c>
      <c r="R158" s="28">
        <f>IF(N(G158)=0,"",H158/G158)</f>
        <v/>
      </c>
      <c r="S158" s="29">
        <f>IF(N(H158)=0,"",E158/H158)</f>
        <v/>
      </c>
      <c r="T158" s="29">
        <f>IF(N(K158)=0,"",E158/K158)</f>
        <v/>
      </c>
      <c r="U158" s="29">
        <f>IF(N(L158)=0,"",E158/L158)</f>
        <v/>
      </c>
      <c r="V158" s="29">
        <f>IF(N(N158)=0,"",E158/N158)</f>
        <v/>
      </c>
      <c r="W158" s="30">
        <f>IF(N(K158)=0,"",L158/K158)</f>
        <v/>
      </c>
      <c r="X158" s="30">
        <f>IF(N(M158)=0,"",N158/M158)</f>
        <v/>
      </c>
      <c r="Y158" s="31">
        <f>IF(N(E158)=0,"",O158/E158)</f>
        <v/>
      </c>
    </row>
    <row r="159">
      <c r="A159" s="10" t="n">
        <v>46461</v>
      </c>
      <c r="B159" s="11">
        <f>DATE(YEAR(A159),MONTH(A159),1)</f>
        <v/>
      </c>
      <c r="C159" t="inlineStr">
        <is>
          <t>S-FR | Marque</t>
        </is>
      </c>
      <c r="E159" s="13" t="n"/>
      <c r="F159" s="14" t="n"/>
      <c r="G159" s="14" t="n"/>
      <c r="H159" s="15" t="n"/>
      <c r="I159" s="16" t="n"/>
      <c r="J159" s="16" t="n"/>
      <c r="K159" s="14" t="n"/>
      <c r="L159" s="14" t="n"/>
      <c r="M159" s="14" t="n"/>
      <c r="N159" s="14" t="n"/>
      <c r="O159" s="13" t="n"/>
      <c r="P159" s="17">
        <f>IF(N(F159)=0,"",G159/F159)</f>
        <v/>
      </c>
      <c r="Q159" s="18">
        <f>IF(N(G159)=0,"",E159/G159)</f>
        <v/>
      </c>
      <c r="R159" s="17">
        <f>IF(N(G159)=0,"",H159/G159)</f>
        <v/>
      </c>
      <c r="S159" s="18">
        <f>IF(N(H159)=0,"",E159/H159)</f>
        <v/>
      </c>
      <c r="T159" s="18">
        <f>IF(N(K159)=0,"",E159/K159)</f>
        <v/>
      </c>
      <c r="U159" s="18">
        <f>IF(N(L159)=0,"",E159/L159)</f>
        <v/>
      </c>
      <c r="V159" s="18">
        <f>IF(N(N159)=0,"",E159/N159)</f>
        <v/>
      </c>
      <c r="W159" s="19">
        <f>IF(N(K159)=0,"",L159/K159)</f>
        <v/>
      </c>
      <c r="X159" s="19">
        <f>IF(N(M159)=0,"",N159/M159)</f>
        <v/>
      </c>
      <c r="Y159" s="20">
        <f>IF(N(E159)=0,"",O159/E159)</f>
        <v/>
      </c>
    </row>
    <row r="160">
      <c r="A160" s="10" t="n">
        <v>46461</v>
      </c>
      <c r="B160" s="11">
        <f>DATE(YEAR(A160),MONTH(A160),1)</f>
        <v/>
      </c>
      <c r="C160" t="inlineStr">
        <is>
          <t>S-FR | Corporatif &amp; Fêtes</t>
        </is>
      </c>
      <c r="E160" s="13" t="n"/>
      <c r="F160" s="14" t="n"/>
      <c r="G160" s="14" t="n"/>
      <c r="H160" s="15" t="n"/>
      <c r="I160" s="16" t="n"/>
      <c r="J160" s="16" t="n"/>
      <c r="K160" s="14" t="n"/>
      <c r="L160" s="14" t="n"/>
      <c r="M160" s="14" t="n"/>
      <c r="N160" s="14" t="n"/>
      <c r="O160" s="13" t="n"/>
      <c r="P160" s="17">
        <f>IF(N(F160)=0,"",G160/F160)</f>
        <v/>
      </c>
      <c r="Q160" s="18">
        <f>IF(N(G160)=0,"",E160/G160)</f>
        <v/>
      </c>
      <c r="R160" s="17">
        <f>IF(N(G160)=0,"",H160/G160)</f>
        <v/>
      </c>
      <c r="S160" s="18">
        <f>IF(N(H160)=0,"",E160/H160)</f>
        <v/>
      </c>
      <c r="T160" s="18">
        <f>IF(N(K160)=0,"",E160/K160)</f>
        <v/>
      </c>
      <c r="U160" s="18">
        <f>IF(N(L160)=0,"",E160/L160)</f>
        <v/>
      </c>
      <c r="V160" s="18">
        <f>IF(N(N160)=0,"",E160/N160)</f>
        <v/>
      </c>
      <c r="W160" s="19">
        <f>IF(N(K160)=0,"",L160/K160)</f>
        <v/>
      </c>
      <c r="X160" s="19">
        <f>IF(N(M160)=0,"",N160/M160)</f>
        <v/>
      </c>
      <c r="Y160" s="20">
        <f>IF(N(E160)=0,"",O160/E160)</f>
        <v/>
      </c>
    </row>
    <row r="161">
      <c r="A161" s="10" t="n">
        <v>46461</v>
      </c>
      <c r="B161" s="11">
        <f>DATE(YEAR(A161),MONTH(A161),1)</f>
        <v/>
      </c>
      <c r="C161" t="inlineStr">
        <is>
          <t>S-FR | Événements privés</t>
        </is>
      </c>
      <c r="E161" s="13" t="n"/>
      <c r="F161" s="14" t="n"/>
      <c r="G161" s="14" t="n"/>
      <c r="H161" s="15" t="n"/>
      <c r="I161" s="16" t="n"/>
      <c r="J161" s="16" t="n"/>
      <c r="K161" s="14" t="n"/>
      <c r="L161" s="14" t="n"/>
      <c r="M161" s="14" t="n"/>
      <c r="N161" s="14" t="n"/>
      <c r="O161" s="13" t="n"/>
      <c r="P161" s="17">
        <f>IF(N(F161)=0,"",G161/F161)</f>
        <v/>
      </c>
      <c r="Q161" s="18">
        <f>IF(N(G161)=0,"",E161/G161)</f>
        <v/>
      </c>
      <c r="R161" s="17">
        <f>IF(N(G161)=0,"",H161/G161)</f>
        <v/>
      </c>
      <c r="S161" s="18">
        <f>IF(N(H161)=0,"",E161/H161)</f>
        <v/>
      </c>
      <c r="T161" s="18">
        <f>IF(N(K161)=0,"",E161/K161)</f>
        <v/>
      </c>
      <c r="U161" s="18">
        <f>IF(N(L161)=0,"",E161/L161)</f>
        <v/>
      </c>
      <c r="V161" s="18">
        <f>IF(N(N161)=0,"",E161/N161)</f>
        <v/>
      </c>
      <c r="W161" s="19">
        <f>IF(N(K161)=0,"",L161/K161)</f>
        <v/>
      </c>
      <c r="X161" s="19">
        <f>IF(N(M161)=0,"",N161/M161)</f>
        <v/>
      </c>
      <c r="Y161" s="20">
        <f>IF(N(E161)=0,"",O161/E161)</f>
        <v/>
      </c>
    </row>
    <row r="162">
      <c r="A162" s="10" t="n">
        <v>46461</v>
      </c>
      <c r="B162" s="11">
        <f>DATE(YEAR(A162),MONTH(A162),1)</f>
        <v/>
      </c>
      <c r="C162" t="inlineStr">
        <is>
          <t>S-EN | Corporate Montréal</t>
        </is>
      </c>
      <c r="E162" s="13" t="n"/>
      <c r="F162" s="14" t="n"/>
      <c r="G162" s="14" t="n"/>
      <c r="H162" s="15" t="n"/>
      <c r="I162" s="16" t="n"/>
      <c r="J162" s="16" t="n"/>
      <c r="K162" s="14" t="n"/>
      <c r="L162" s="14" t="n"/>
      <c r="M162" s="14" t="n"/>
      <c r="N162" s="14" t="n"/>
      <c r="O162" s="13" t="n"/>
      <c r="P162" s="17">
        <f>IF(N(F162)=0,"",G162/F162)</f>
        <v/>
      </c>
      <c r="Q162" s="18">
        <f>IF(N(G162)=0,"",E162/G162)</f>
        <v/>
      </c>
      <c r="R162" s="17">
        <f>IF(N(G162)=0,"",H162/G162)</f>
        <v/>
      </c>
      <c r="S162" s="18">
        <f>IF(N(H162)=0,"",E162/H162)</f>
        <v/>
      </c>
      <c r="T162" s="18">
        <f>IF(N(K162)=0,"",E162/K162)</f>
        <v/>
      </c>
      <c r="U162" s="18">
        <f>IF(N(L162)=0,"",E162/L162)</f>
        <v/>
      </c>
      <c r="V162" s="18">
        <f>IF(N(N162)=0,"",E162/N162)</f>
        <v/>
      </c>
      <c r="W162" s="19">
        <f>IF(N(K162)=0,"",L162/K162)</f>
        <v/>
      </c>
      <c r="X162" s="19">
        <f>IF(N(M162)=0,"",N162/M162)</f>
        <v/>
      </c>
      <c r="Y162" s="20">
        <f>IF(N(E162)=0,"",O162/E162)</f>
        <v/>
      </c>
    </row>
    <row r="163">
      <c r="A163" s="10" t="n">
        <v>46461</v>
      </c>
      <c r="B163" s="11">
        <f>DATE(YEAR(A163),MONTH(A163),1)</f>
        <v/>
      </c>
      <c r="C163" t="inlineStr">
        <is>
          <t>S-FR | Québec-Lévis (test)</t>
        </is>
      </c>
      <c r="E163" s="13" t="n"/>
      <c r="F163" s="14" t="n"/>
      <c r="G163" s="14" t="n"/>
      <c r="H163" s="15" t="n"/>
      <c r="I163" s="16" t="n"/>
      <c r="J163" s="16" t="n"/>
      <c r="K163" s="14" t="n"/>
      <c r="L163" s="14" t="n"/>
      <c r="M163" s="14" t="n"/>
      <c r="N163" s="14" t="n"/>
      <c r="O163" s="13" t="n"/>
      <c r="P163" s="17">
        <f>IF(N(F163)=0,"",G163/F163)</f>
        <v/>
      </c>
      <c r="Q163" s="18">
        <f>IF(N(G163)=0,"",E163/G163)</f>
        <v/>
      </c>
      <c r="R163" s="17">
        <f>IF(N(G163)=0,"",H163/G163)</f>
        <v/>
      </c>
      <c r="S163" s="18">
        <f>IF(N(H163)=0,"",E163/H163)</f>
        <v/>
      </c>
      <c r="T163" s="18">
        <f>IF(N(K163)=0,"",E163/K163)</f>
        <v/>
      </c>
      <c r="U163" s="18">
        <f>IF(N(L163)=0,"",E163/L163)</f>
        <v/>
      </c>
      <c r="V163" s="18">
        <f>IF(N(N163)=0,"",E163/N163)</f>
        <v/>
      </c>
      <c r="W163" s="19">
        <f>IF(N(K163)=0,"",L163/K163)</f>
        <v/>
      </c>
      <c r="X163" s="19">
        <f>IF(N(M163)=0,"",N163/M163)</f>
        <v/>
      </c>
      <c r="Y163" s="20">
        <f>IF(N(E163)=0,"",O163/E163)</f>
        <v/>
      </c>
    </row>
    <row r="164">
      <c r="A164" s="10" t="n">
        <v>46461</v>
      </c>
      <c r="B164" s="11">
        <f>DATE(YEAR(A164),MONTH(A164),1)</f>
        <v/>
      </c>
      <c r="C164" t="inlineStr">
        <is>
          <t>Demand Gen</t>
        </is>
      </c>
      <c r="E164" s="13" t="n"/>
      <c r="F164" s="14" t="n"/>
      <c r="G164" s="14" t="n"/>
      <c r="H164" s="15" t="n"/>
      <c r="I164" s="16" t="n"/>
      <c r="J164" s="16" t="n"/>
      <c r="K164" s="14" t="n"/>
      <c r="L164" s="14" t="n"/>
      <c r="M164" s="14" t="n"/>
      <c r="N164" s="14" t="n"/>
      <c r="O164" s="13" t="n"/>
      <c r="P164" s="17">
        <f>IF(N(F164)=0,"",G164/F164)</f>
        <v/>
      </c>
      <c r="Q164" s="18">
        <f>IF(N(G164)=0,"",E164/G164)</f>
        <v/>
      </c>
      <c r="R164" s="17">
        <f>IF(N(G164)=0,"",H164/G164)</f>
        <v/>
      </c>
      <c r="S164" s="18">
        <f>IF(N(H164)=0,"",E164/H164)</f>
        <v/>
      </c>
      <c r="T164" s="18">
        <f>IF(N(K164)=0,"",E164/K164)</f>
        <v/>
      </c>
      <c r="U164" s="18">
        <f>IF(N(L164)=0,"",E164/L164)</f>
        <v/>
      </c>
      <c r="V164" s="18">
        <f>IF(N(N164)=0,"",E164/N164)</f>
        <v/>
      </c>
      <c r="W164" s="19">
        <f>IF(N(K164)=0,"",L164/K164)</f>
        <v/>
      </c>
      <c r="X164" s="19">
        <f>IF(N(M164)=0,"",N164/M164)</f>
        <v/>
      </c>
      <c r="Y164" s="20">
        <f>IF(N(E164)=0,"",O164/E164)</f>
        <v/>
      </c>
    </row>
    <row r="165">
      <c r="A165" s="21" t="n">
        <v>46461</v>
      </c>
      <c r="B165" s="22">
        <f>DATE(YEAR(A165),MONTH(A165),1)</f>
        <v/>
      </c>
      <c r="C165" s="23" t="inlineStr">
        <is>
          <t>Microsoft Ads</t>
        </is>
      </c>
      <c r="D165" s="23" t="n"/>
      <c r="E165" s="24" t="n"/>
      <c r="F165" s="25" t="n"/>
      <c r="G165" s="25" t="n"/>
      <c r="H165" s="26" t="n"/>
      <c r="I165" s="27" t="n"/>
      <c r="J165" s="27" t="n"/>
      <c r="K165" s="25" t="n"/>
      <c r="L165" s="25" t="n"/>
      <c r="M165" s="25" t="n"/>
      <c r="N165" s="25" t="n"/>
      <c r="O165" s="24" t="n"/>
      <c r="P165" s="28">
        <f>IF(N(F165)=0,"",G165/F165)</f>
        <v/>
      </c>
      <c r="Q165" s="29">
        <f>IF(N(G165)=0,"",E165/G165)</f>
        <v/>
      </c>
      <c r="R165" s="28">
        <f>IF(N(G165)=0,"",H165/G165)</f>
        <v/>
      </c>
      <c r="S165" s="29">
        <f>IF(N(H165)=0,"",E165/H165)</f>
        <v/>
      </c>
      <c r="T165" s="29">
        <f>IF(N(K165)=0,"",E165/K165)</f>
        <v/>
      </c>
      <c r="U165" s="29">
        <f>IF(N(L165)=0,"",E165/L165)</f>
        <v/>
      </c>
      <c r="V165" s="29">
        <f>IF(N(N165)=0,"",E165/N165)</f>
        <v/>
      </c>
      <c r="W165" s="30">
        <f>IF(N(K165)=0,"",L165/K165)</f>
        <v/>
      </c>
      <c r="X165" s="30">
        <f>IF(N(M165)=0,"",N165/M165)</f>
        <v/>
      </c>
      <c r="Y165" s="31">
        <f>IF(N(E165)=0,"",O165/E165)</f>
        <v/>
      </c>
    </row>
    <row r="166">
      <c r="A166" s="10" t="n">
        <v>46468</v>
      </c>
      <c r="B166" s="11">
        <f>DATE(YEAR(A166),MONTH(A166),1)</f>
        <v/>
      </c>
      <c r="C166" t="inlineStr">
        <is>
          <t>S-FR | Marque</t>
        </is>
      </c>
      <c r="E166" s="13" t="n"/>
      <c r="F166" s="14" t="n"/>
      <c r="G166" s="14" t="n"/>
      <c r="H166" s="15" t="n"/>
      <c r="I166" s="16" t="n"/>
      <c r="J166" s="16" t="n"/>
      <c r="K166" s="14" t="n"/>
      <c r="L166" s="14" t="n"/>
      <c r="M166" s="14" t="n"/>
      <c r="N166" s="14" t="n"/>
      <c r="O166" s="13" t="n"/>
      <c r="P166" s="17">
        <f>IF(N(F166)=0,"",G166/F166)</f>
        <v/>
      </c>
      <c r="Q166" s="18">
        <f>IF(N(G166)=0,"",E166/G166)</f>
        <v/>
      </c>
      <c r="R166" s="17">
        <f>IF(N(G166)=0,"",H166/G166)</f>
        <v/>
      </c>
      <c r="S166" s="18">
        <f>IF(N(H166)=0,"",E166/H166)</f>
        <v/>
      </c>
      <c r="T166" s="18">
        <f>IF(N(K166)=0,"",E166/K166)</f>
        <v/>
      </c>
      <c r="U166" s="18">
        <f>IF(N(L166)=0,"",E166/L166)</f>
        <v/>
      </c>
      <c r="V166" s="18">
        <f>IF(N(N166)=0,"",E166/N166)</f>
        <v/>
      </c>
      <c r="W166" s="19">
        <f>IF(N(K166)=0,"",L166/K166)</f>
        <v/>
      </c>
      <c r="X166" s="19">
        <f>IF(N(M166)=0,"",N166/M166)</f>
        <v/>
      </c>
      <c r="Y166" s="20">
        <f>IF(N(E166)=0,"",O166/E166)</f>
        <v/>
      </c>
    </row>
    <row r="167">
      <c r="A167" s="10" t="n">
        <v>46468</v>
      </c>
      <c r="B167" s="11">
        <f>DATE(YEAR(A167),MONTH(A167),1)</f>
        <v/>
      </c>
      <c r="C167" t="inlineStr">
        <is>
          <t>S-FR | Corporatif &amp; Fêtes</t>
        </is>
      </c>
      <c r="E167" s="13" t="n"/>
      <c r="F167" s="14" t="n"/>
      <c r="G167" s="14" t="n"/>
      <c r="H167" s="15" t="n"/>
      <c r="I167" s="16" t="n"/>
      <c r="J167" s="16" t="n"/>
      <c r="K167" s="14" t="n"/>
      <c r="L167" s="14" t="n"/>
      <c r="M167" s="14" t="n"/>
      <c r="N167" s="14" t="n"/>
      <c r="O167" s="13" t="n"/>
      <c r="P167" s="17">
        <f>IF(N(F167)=0,"",G167/F167)</f>
        <v/>
      </c>
      <c r="Q167" s="18">
        <f>IF(N(G167)=0,"",E167/G167)</f>
        <v/>
      </c>
      <c r="R167" s="17">
        <f>IF(N(G167)=0,"",H167/G167)</f>
        <v/>
      </c>
      <c r="S167" s="18">
        <f>IF(N(H167)=0,"",E167/H167)</f>
        <v/>
      </c>
      <c r="T167" s="18">
        <f>IF(N(K167)=0,"",E167/K167)</f>
        <v/>
      </c>
      <c r="U167" s="18">
        <f>IF(N(L167)=0,"",E167/L167)</f>
        <v/>
      </c>
      <c r="V167" s="18">
        <f>IF(N(N167)=0,"",E167/N167)</f>
        <v/>
      </c>
      <c r="W167" s="19">
        <f>IF(N(K167)=0,"",L167/K167)</f>
        <v/>
      </c>
      <c r="X167" s="19">
        <f>IF(N(M167)=0,"",N167/M167)</f>
        <v/>
      </c>
      <c r="Y167" s="20">
        <f>IF(N(E167)=0,"",O167/E167)</f>
        <v/>
      </c>
    </row>
    <row r="168">
      <c r="A168" s="10" t="n">
        <v>46468</v>
      </c>
      <c r="B168" s="11">
        <f>DATE(YEAR(A168),MONTH(A168),1)</f>
        <v/>
      </c>
      <c r="C168" t="inlineStr">
        <is>
          <t>S-FR | Événements privés</t>
        </is>
      </c>
      <c r="E168" s="13" t="n"/>
      <c r="F168" s="14" t="n"/>
      <c r="G168" s="14" t="n"/>
      <c r="H168" s="15" t="n"/>
      <c r="I168" s="16" t="n"/>
      <c r="J168" s="16" t="n"/>
      <c r="K168" s="14" t="n"/>
      <c r="L168" s="14" t="n"/>
      <c r="M168" s="14" t="n"/>
      <c r="N168" s="14" t="n"/>
      <c r="O168" s="13" t="n"/>
      <c r="P168" s="17">
        <f>IF(N(F168)=0,"",G168/F168)</f>
        <v/>
      </c>
      <c r="Q168" s="18">
        <f>IF(N(G168)=0,"",E168/G168)</f>
        <v/>
      </c>
      <c r="R168" s="17">
        <f>IF(N(G168)=0,"",H168/G168)</f>
        <v/>
      </c>
      <c r="S168" s="18">
        <f>IF(N(H168)=0,"",E168/H168)</f>
        <v/>
      </c>
      <c r="T168" s="18">
        <f>IF(N(K168)=0,"",E168/K168)</f>
        <v/>
      </c>
      <c r="U168" s="18">
        <f>IF(N(L168)=0,"",E168/L168)</f>
        <v/>
      </c>
      <c r="V168" s="18">
        <f>IF(N(N168)=0,"",E168/N168)</f>
        <v/>
      </c>
      <c r="W168" s="19">
        <f>IF(N(K168)=0,"",L168/K168)</f>
        <v/>
      </c>
      <c r="X168" s="19">
        <f>IF(N(M168)=0,"",N168/M168)</f>
        <v/>
      </c>
      <c r="Y168" s="20">
        <f>IF(N(E168)=0,"",O168/E168)</f>
        <v/>
      </c>
    </row>
    <row r="169">
      <c r="A169" s="10" t="n">
        <v>46468</v>
      </c>
      <c r="B169" s="11">
        <f>DATE(YEAR(A169),MONTH(A169),1)</f>
        <v/>
      </c>
      <c r="C169" t="inlineStr">
        <is>
          <t>S-EN | Corporate Montréal</t>
        </is>
      </c>
      <c r="E169" s="13" t="n"/>
      <c r="F169" s="14" t="n"/>
      <c r="G169" s="14" t="n"/>
      <c r="H169" s="15" t="n"/>
      <c r="I169" s="16" t="n"/>
      <c r="J169" s="16" t="n"/>
      <c r="K169" s="14" t="n"/>
      <c r="L169" s="14" t="n"/>
      <c r="M169" s="14" t="n"/>
      <c r="N169" s="14" t="n"/>
      <c r="O169" s="13" t="n"/>
      <c r="P169" s="17">
        <f>IF(N(F169)=0,"",G169/F169)</f>
        <v/>
      </c>
      <c r="Q169" s="18">
        <f>IF(N(G169)=0,"",E169/G169)</f>
        <v/>
      </c>
      <c r="R169" s="17">
        <f>IF(N(G169)=0,"",H169/G169)</f>
        <v/>
      </c>
      <c r="S169" s="18">
        <f>IF(N(H169)=0,"",E169/H169)</f>
        <v/>
      </c>
      <c r="T169" s="18">
        <f>IF(N(K169)=0,"",E169/K169)</f>
        <v/>
      </c>
      <c r="U169" s="18">
        <f>IF(N(L169)=0,"",E169/L169)</f>
        <v/>
      </c>
      <c r="V169" s="18">
        <f>IF(N(N169)=0,"",E169/N169)</f>
        <v/>
      </c>
      <c r="W169" s="19">
        <f>IF(N(K169)=0,"",L169/K169)</f>
        <v/>
      </c>
      <c r="X169" s="19">
        <f>IF(N(M169)=0,"",N169/M169)</f>
        <v/>
      </c>
      <c r="Y169" s="20">
        <f>IF(N(E169)=0,"",O169/E169)</f>
        <v/>
      </c>
    </row>
    <row r="170">
      <c r="A170" s="10" t="n">
        <v>46468</v>
      </c>
      <c r="B170" s="11">
        <f>DATE(YEAR(A170),MONTH(A170),1)</f>
        <v/>
      </c>
      <c r="C170" t="inlineStr">
        <is>
          <t>S-FR | Québec-Lévis (test)</t>
        </is>
      </c>
      <c r="E170" s="13" t="n"/>
      <c r="F170" s="14" t="n"/>
      <c r="G170" s="14" t="n"/>
      <c r="H170" s="15" t="n"/>
      <c r="I170" s="16" t="n"/>
      <c r="J170" s="16" t="n"/>
      <c r="K170" s="14" t="n"/>
      <c r="L170" s="14" t="n"/>
      <c r="M170" s="14" t="n"/>
      <c r="N170" s="14" t="n"/>
      <c r="O170" s="13" t="n"/>
      <c r="P170" s="17">
        <f>IF(N(F170)=0,"",G170/F170)</f>
        <v/>
      </c>
      <c r="Q170" s="18">
        <f>IF(N(G170)=0,"",E170/G170)</f>
        <v/>
      </c>
      <c r="R170" s="17">
        <f>IF(N(G170)=0,"",H170/G170)</f>
        <v/>
      </c>
      <c r="S170" s="18">
        <f>IF(N(H170)=0,"",E170/H170)</f>
        <v/>
      </c>
      <c r="T170" s="18">
        <f>IF(N(K170)=0,"",E170/K170)</f>
        <v/>
      </c>
      <c r="U170" s="18">
        <f>IF(N(L170)=0,"",E170/L170)</f>
        <v/>
      </c>
      <c r="V170" s="18">
        <f>IF(N(N170)=0,"",E170/N170)</f>
        <v/>
      </c>
      <c r="W170" s="19">
        <f>IF(N(K170)=0,"",L170/K170)</f>
        <v/>
      </c>
      <c r="X170" s="19">
        <f>IF(N(M170)=0,"",N170/M170)</f>
        <v/>
      </c>
      <c r="Y170" s="20">
        <f>IF(N(E170)=0,"",O170/E170)</f>
        <v/>
      </c>
    </row>
    <row r="171">
      <c r="A171" s="10" t="n">
        <v>46468</v>
      </c>
      <c r="B171" s="11">
        <f>DATE(YEAR(A171),MONTH(A171),1)</f>
        <v/>
      </c>
      <c r="C171" t="inlineStr">
        <is>
          <t>Demand Gen</t>
        </is>
      </c>
      <c r="E171" s="13" t="n"/>
      <c r="F171" s="14" t="n"/>
      <c r="G171" s="14" t="n"/>
      <c r="H171" s="15" t="n"/>
      <c r="I171" s="16" t="n"/>
      <c r="J171" s="16" t="n"/>
      <c r="K171" s="14" t="n"/>
      <c r="L171" s="14" t="n"/>
      <c r="M171" s="14" t="n"/>
      <c r="N171" s="14" t="n"/>
      <c r="O171" s="13" t="n"/>
      <c r="P171" s="17">
        <f>IF(N(F171)=0,"",G171/F171)</f>
        <v/>
      </c>
      <c r="Q171" s="18">
        <f>IF(N(G171)=0,"",E171/G171)</f>
        <v/>
      </c>
      <c r="R171" s="17">
        <f>IF(N(G171)=0,"",H171/G171)</f>
        <v/>
      </c>
      <c r="S171" s="18">
        <f>IF(N(H171)=0,"",E171/H171)</f>
        <v/>
      </c>
      <c r="T171" s="18">
        <f>IF(N(K171)=0,"",E171/K171)</f>
        <v/>
      </c>
      <c r="U171" s="18">
        <f>IF(N(L171)=0,"",E171/L171)</f>
        <v/>
      </c>
      <c r="V171" s="18">
        <f>IF(N(N171)=0,"",E171/N171)</f>
        <v/>
      </c>
      <c r="W171" s="19">
        <f>IF(N(K171)=0,"",L171/K171)</f>
        <v/>
      </c>
      <c r="X171" s="19">
        <f>IF(N(M171)=0,"",N171/M171)</f>
        <v/>
      </c>
      <c r="Y171" s="20">
        <f>IF(N(E171)=0,"",O171/E171)</f>
        <v/>
      </c>
    </row>
    <row r="172">
      <c r="A172" s="21" t="n">
        <v>46468</v>
      </c>
      <c r="B172" s="22">
        <f>DATE(YEAR(A172),MONTH(A172),1)</f>
        <v/>
      </c>
      <c r="C172" s="23" t="inlineStr">
        <is>
          <t>Microsoft Ads</t>
        </is>
      </c>
      <c r="D172" s="23" t="n"/>
      <c r="E172" s="24" t="n"/>
      <c r="F172" s="25" t="n"/>
      <c r="G172" s="25" t="n"/>
      <c r="H172" s="26" t="n"/>
      <c r="I172" s="27" t="n"/>
      <c r="J172" s="27" t="n"/>
      <c r="K172" s="25" t="n"/>
      <c r="L172" s="25" t="n"/>
      <c r="M172" s="25" t="n"/>
      <c r="N172" s="25" t="n"/>
      <c r="O172" s="24" t="n"/>
      <c r="P172" s="28">
        <f>IF(N(F172)=0,"",G172/F172)</f>
        <v/>
      </c>
      <c r="Q172" s="29">
        <f>IF(N(G172)=0,"",E172/G172)</f>
        <v/>
      </c>
      <c r="R172" s="28">
        <f>IF(N(G172)=0,"",H172/G172)</f>
        <v/>
      </c>
      <c r="S172" s="29">
        <f>IF(N(H172)=0,"",E172/H172)</f>
        <v/>
      </c>
      <c r="T172" s="29">
        <f>IF(N(K172)=0,"",E172/K172)</f>
        <v/>
      </c>
      <c r="U172" s="29">
        <f>IF(N(L172)=0,"",E172/L172)</f>
        <v/>
      </c>
      <c r="V172" s="29">
        <f>IF(N(N172)=0,"",E172/N172)</f>
        <v/>
      </c>
      <c r="W172" s="30">
        <f>IF(N(K172)=0,"",L172/K172)</f>
        <v/>
      </c>
      <c r="X172" s="30">
        <f>IF(N(M172)=0,"",N172/M172)</f>
        <v/>
      </c>
      <c r="Y172" s="31">
        <f>IF(N(E172)=0,"",O172/E172)</f>
        <v/>
      </c>
    </row>
    <row r="173">
      <c r="A173" s="10" t="n">
        <v>46475</v>
      </c>
      <c r="B173" s="11">
        <f>DATE(YEAR(A173),MONTH(A173),1)</f>
        <v/>
      </c>
      <c r="C173" t="inlineStr">
        <is>
          <t>S-FR | Marque</t>
        </is>
      </c>
      <c r="E173" s="13" t="n"/>
      <c r="F173" s="14" t="n"/>
      <c r="G173" s="14" t="n"/>
      <c r="H173" s="15" t="n"/>
      <c r="I173" s="16" t="n"/>
      <c r="J173" s="16" t="n"/>
      <c r="K173" s="14" t="n"/>
      <c r="L173" s="14" t="n"/>
      <c r="M173" s="14" t="n"/>
      <c r="N173" s="14" t="n"/>
      <c r="O173" s="13" t="n"/>
      <c r="P173" s="17">
        <f>IF(N(F173)=0,"",G173/F173)</f>
        <v/>
      </c>
      <c r="Q173" s="18">
        <f>IF(N(G173)=0,"",E173/G173)</f>
        <v/>
      </c>
      <c r="R173" s="17">
        <f>IF(N(G173)=0,"",H173/G173)</f>
        <v/>
      </c>
      <c r="S173" s="18">
        <f>IF(N(H173)=0,"",E173/H173)</f>
        <v/>
      </c>
      <c r="T173" s="18">
        <f>IF(N(K173)=0,"",E173/K173)</f>
        <v/>
      </c>
      <c r="U173" s="18">
        <f>IF(N(L173)=0,"",E173/L173)</f>
        <v/>
      </c>
      <c r="V173" s="18">
        <f>IF(N(N173)=0,"",E173/N173)</f>
        <v/>
      </c>
      <c r="W173" s="19">
        <f>IF(N(K173)=0,"",L173/K173)</f>
        <v/>
      </c>
      <c r="X173" s="19">
        <f>IF(N(M173)=0,"",N173/M173)</f>
        <v/>
      </c>
      <c r="Y173" s="20">
        <f>IF(N(E173)=0,"",O173/E173)</f>
        <v/>
      </c>
    </row>
    <row r="174">
      <c r="A174" s="10" t="n">
        <v>46475</v>
      </c>
      <c r="B174" s="11">
        <f>DATE(YEAR(A174),MONTH(A174),1)</f>
        <v/>
      </c>
      <c r="C174" t="inlineStr">
        <is>
          <t>S-FR | Corporatif &amp; Fêtes</t>
        </is>
      </c>
      <c r="E174" s="13" t="n"/>
      <c r="F174" s="14" t="n"/>
      <c r="G174" s="14" t="n"/>
      <c r="H174" s="15" t="n"/>
      <c r="I174" s="16" t="n"/>
      <c r="J174" s="16" t="n"/>
      <c r="K174" s="14" t="n"/>
      <c r="L174" s="14" t="n"/>
      <c r="M174" s="14" t="n"/>
      <c r="N174" s="14" t="n"/>
      <c r="O174" s="13" t="n"/>
      <c r="P174" s="17">
        <f>IF(N(F174)=0,"",G174/F174)</f>
        <v/>
      </c>
      <c r="Q174" s="18">
        <f>IF(N(G174)=0,"",E174/G174)</f>
        <v/>
      </c>
      <c r="R174" s="17">
        <f>IF(N(G174)=0,"",H174/G174)</f>
        <v/>
      </c>
      <c r="S174" s="18">
        <f>IF(N(H174)=0,"",E174/H174)</f>
        <v/>
      </c>
      <c r="T174" s="18">
        <f>IF(N(K174)=0,"",E174/K174)</f>
        <v/>
      </c>
      <c r="U174" s="18">
        <f>IF(N(L174)=0,"",E174/L174)</f>
        <v/>
      </c>
      <c r="V174" s="18">
        <f>IF(N(N174)=0,"",E174/N174)</f>
        <v/>
      </c>
      <c r="W174" s="19">
        <f>IF(N(K174)=0,"",L174/K174)</f>
        <v/>
      </c>
      <c r="X174" s="19">
        <f>IF(N(M174)=0,"",N174/M174)</f>
        <v/>
      </c>
      <c r="Y174" s="20">
        <f>IF(N(E174)=0,"",O174/E174)</f>
        <v/>
      </c>
    </row>
    <row r="175">
      <c r="A175" s="10" t="n">
        <v>46475</v>
      </c>
      <c r="B175" s="11">
        <f>DATE(YEAR(A175),MONTH(A175),1)</f>
        <v/>
      </c>
      <c r="C175" t="inlineStr">
        <is>
          <t>S-FR | Événements privés</t>
        </is>
      </c>
      <c r="E175" s="13" t="n"/>
      <c r="F175" s="14" t="n"/>
      <c r="G175" s="14" t="n"/>
      <c r="H175" s="15" t="n"/>
      <c r="I175" s="16" t="n"/>
      <c r="J175" s="16" t="n"/>
      <c r="K175" s="14" t="n"/>
      <c r="L175" s="14" t="n"/>
      <c r="M175" s="14" t="n"/>
      <c r="N175" s="14" t="n"/>
      <c r="O175" s="13" t="n"/>
      <c r="P175" s="17">
        <f>IF(N(F175)=0,"",G175/F175)</f>
        <v/>
      </c>
      <c r="Q175" s="18">
        <f>IF(N(G175)=0,"",E175/G175)</f>
        <v/>
      </c>
      <c r="R175" s="17">
        <f>IF(N(G175)=0,"",H175/G175)</f>
        <v/>
      </c>
      <c r="S175" s="18">
        <f>IF(N(H175)=0,"",E175/H175)</f>
        <v/>
      </c>
      <c r="T175" s="18">
        <f>IF(N(K175)=0,"",E175/K175)</f>
        <v/>
      </c>
      <c r="U175" s="18">
        <f>IF(N(L175)=0,"",E175/L175)</f>
        <v/>
      </c>
      <c r="V175" s="18">
        <f>IF(N(N175)=0,"",E175/N175)</f>
        <v/>
      </c>
      <c r="W175" s="19">
        <f>IF(N(K175)=0,"",L175/K175)</f>
        <v/>
      </c>
      <c r="X175" s="19">
        <f>IF(N(M175)=0,"",N175/M175)</f>
        <v/>
      </c>
      <c r="Y175" s="20">
        <f>IF(N(E175)=0,"",O175/E175)</f>
        <v/>
      </c>
    </row>
    <row r="176">
      <c r="A176" s="10" t="n">
        <v>46475</v>
      </c>
      <c r="B176" s="11">
        <f>DATE(YEAR(A176),MONTH(A176),1)</f>
        <v/>
      </c>
      <c r="C176" t="inlineStr">
        <is>
          <t>S-EN | Corporate Montréal</t>
        </is>
      </c>
      <c r="E176" s="13" t="n"/>
      <c r="F176" s="14" t="n"/>
      <c r="G176" s="14" t="n"/>
      <c r="H176" s="15" t="n"/>
      <c r="I176" s="16" t="n"/>
      <c r="J176" s="16" t="n"/>
      <c r="K176" s="14" t="n"/>
      <c r="L176" s="14" t="n"/>
      <c r="M176" s="14" t="n"/>
      <c r="N176" s="14" t="n"/>
      <c r="O176" s="13" t="n"/>
      <c r="P176" s="17">
        <f>IF(N(F176)=0,"",G176/F176)</f>
        <v/>
      </c>
      <c r="Q176" s="18">
        <f>IF(N(G176)=0,"",E176/G176)</f>
        <v/>
      </c>
      <c r="R176" s="17">
        <f>IF(N(G176)=0,"",H176/G176)</f>
        <v/>
      </c>
      <c r="S176" s="18">
        <f>IF(N(H176)=0,"",E176/H176)</f>
        <v/>
      </c>
      <c r="T176" s="18">
        <f>IF(N(K176)=0,"",E176/K176)</f>
        <v/>
      </c>
      <c r="U176" s="18">
        <f>IF(N(L176)=0,"",E176/L176)</f>
        <v/>
      </c>
      <c r="V176" s="18">
        <f>IF(N(N176)=0,"",E176/N176)</f>
        <v/>
      </c>
      <c r="W176" s="19">
        <f>IF(N(K176)=0,"",L176/K176)</f>
        <v/>
      </c>
      <c r="X176" s="19">
        <f>IF(N(M176)=0,"",N176/M176)</f>
        <v/>
      </c>
      <c r="Y176" s="20">
        <f>IF(N(E176)=0,"",O176/E176)</f>
        <v/>
      </c>
    </row>
    <row r="177">
      <c r="A177" s="10" t="n">
        <v>46475</v>
      </c>
      <c r="B177" s="11">
        <f>DATE(YEAR(A177),MONTH(A177),1)</f>
        <v/>
      </c>
      <c r="C177" t="inlineStr">
        <is>
          <t>S-FR | Québec-Lévis (test)</t>
        </is>
      </c>
      <c r="E177" s="13" t="n"/>
      <c r="F177" s="14" t="n"/>
      <c r="G177" s="14" t="n"/>
      <c r="H177" s="15" t="n"/>
      <c r="I177" s="16" t="n"/>
      <c r="J177" s="16" t="n"/>
      <c r="K177" s="14" t="n"/>
      <c r="L177" s="14" t="n"/>
      <c r="M177" s="14" t="n"/>
      <c r="N177" s="14" t="n"/>
      <c r="O177" s="13" t="n"/>
      <c r="P177" s="17">
        <f>IF(N(F177)=0,"",G177/F177)</f>
        <v/>
      </c>
      <c r="Q177" s="18">
        <f>IF(N(G177)=0,"",E177/G177)</f>
        <v/>
      </c>
      <c r="R177" s="17">
        <f>IF(N(G177)=0,"",H177/G177)</f>
        <v/>
      </c>
      <c r="S177" s="18">
        <f>IF(N(H177)=0,"",E177/H177)</f>
        <v/>
      </c>
      <c r="T177" s="18">
        <f>IF(N(K177)=0,"",E177/K177)</f>
        <v/>
      </c>
      <c r="U177" s="18">
        <f>IF(N(L177)=0,"",E177/L177)</f>
        <v/>
      </c>
      <c r="V177" s="18">
        <f>IF(N(N177)=0,"",E177/N177)</f>
        <v/>
      </c>
      <c r="W177" s="19">
        <f>IF(N(K177)=0,"",L177/K177)</f>
        <v/>
      </c>
      <c r="X177" s="19">
        <f>IF(N(M177)=0,"",N177/M177)</f>
        <v/>
      </c>
      <c r="Y177" s="20">
        <f>IF(N(E177)=0,"",O177/E177)</f>
        <v/>
      </c>
    </row>
    <row r="178">
      <c r="A178" s="10" t="n">
        <v>46475</v>
      </c>
      <c r="B178" s="11">
        <f>DATE(YEAR(A178),MONTH(A178),1)</f>
        <v/>
      </c>
      <c r="C178" t="inlineStr">
        <is>
          <t>Demand Gen</t>
        </is>
      </c>
      <c r="E178" s="13" t="n"/>
      <c r="F178" s="14" t="n"/>
      <c r="G178" s="14" t="n"/>
      <c r="H178" s="15" t="n"/>
      <c r="I178" s="16" t="n"/>
      <c r="J178" s="16" t="n"/>
      <c r="K178" s="14" t="n"/>
      <c r="L178" s="14" t="n"/>
      <c r="M178" s="14" t="n"/>
      <c r="N178" s="14" t="n"/>
      <c r="O178" s="13" t="n"/>
      <c r="P178" s="17">
        <f>IF(N(F178)=0,"",G178/F178)</f>
        <v/>
      </c>
      <c r="Q178" s="18">
        <f>IF(N(G178)=0,"",E178/G178)</f>
        <v/>
      </c>
      <c r="R178" s="17">
        <f>IF(N(G178)=0,"",H178/G178)</f>
        <v/>
      </c>
      <c r="S178" s="18">
        <f>IF(N(H178)=0,"",E178/H178)</f>
        <v/>
      </c>
      <c r="T178" s="18">
        <f>IF(N(K178)=0,"",E178/K178)</f>
        <v/>
      </c>
      <c r="U178" s="18">
        <f>IF(N(L178)=0,"",E178/L178)</f>
        <v/>
      </c>
      <c r="V178" s="18">
        <f>IF(N(N178)=0,"",E178/N178)</f>
        <v/>
      </c>
      <c r="W178" s="19">
        <f>IF(N(K178)=0,"",L178/K178)</f>
        <v/>
      </c>
      <c r="X178" s="19">
        <f>IF(N(M178)=0,"",N178/M178)</f>
        <v/>
      </c>
      <c r="Y178" s="20">
        <f>IF(N(E178)=0,"",O178/E178)</f>
        <v/>
      </c>
    </row>
    <row r="179">
      <c r="A179" s="21" t="n">
        <v>46475</v>
      </c>
      <c r="B179" s="22">
        <f>DATE(YEAR(A179),MONTH(A179),1)</f>
        <v/>
      </c>
      <c r="C179" s="23" t="inlineStr">
        <is>
          <t>Microsoft Ads</t>
        </is>
      </c>
      <c r="D179" s="23" t="n"/>
      <c r="E179" s="24" t="n"/>
      <c r="F179" s="25" t="n"/>
      <c r="G179" s="25" t="n"/>
      <c r="H179" s="26" t="n"/>
      <c r="I179" s="27" t="n"/>
      <c r="J179" s="27" t="n"/>
      <c r="K179" s="25" t="n"/>
      <c r="L179" s="25" t="n"/>
      <c r="M179" s="25" t="n"/>
      <c r="N179" s="25" t="n"/>
      <c r="O179" s="24" t="n"/>
      <c r="P179" s="28">
        <f>IF(N(F179)=0,"",G179/F179)</f>
        <v/>
      </c>
      <c r="Q179" s="29">
        <f>IF(N(G179)=0,"",E179/G179)</f>
        <v/>
      </c>
      <c r="R179" s="28">
        <f>IF(N(G179)=0,"",H179/G179)</f>
        <v/>
      </c>
      <c r="S179" s="29">
        <f>IF(N(H179)=0,"",E179/H179)</f>
        <v/>
      </c>
      <c r="T179" s="29">
        <f>IF(N(K179)=0,"",E179/K179)</f>
        <v/>
      </c>
      <c r="U179" s="29">
        <f>IF(N(L179)=0,"",E179/L179)</f>
        <v/>
      </c>
      <c r="V179" s="29">
        <f>IF(N(N179)=0,"",E179/N179)</f>
        <v/>
      </c>
      <c r="W179" s="30">
        <f>IF(N(K179)=0,"",L179/K179)</f>
        <v/>
      </c>
      <c r="X179" s="30">
        <f>IF(N(M179)=0,"",N179/M179)</f>
        <v/>
      </c>
      <c r="Y179" s="31">
        <f>IF(N(E179)=0,"",O179/E179)</f>
        <v/>
      </c>
    </row>
    <row r="180">
      <c r="A180" s="10" t="n">
        <v>46482</v>
      </c>
      <c r="B180" s="11">
        <f>DATE(YEAR(A180),MONTH(A180),1)</f>
        <v/>
      </c>
      <c r="C180" t="inlineStr">
        <is>
          <t>S-FR | Marque</t>
        </is>
      </c>
      <c r="E180" s="13" t="n"/>
      <c r="F180" s="14" t="n"/>
      <c r="G180" s="14" t="n"/>
      <c r="H180" s="15" t="n"/>
      <c r="I180" s="16" t="n"/>
      <c r="J180" s="16" t="n"/>
      <c r="K180" s="14" t="n"/>
      <c r="L180" s="14" t="n"/>
      <c r="M180" s="14" t="n"/>
      <c r="N180" s="14" t="n"/>
      <c r="O180" s="13" t="n"/>
      <c r="P180" s="17">
        <f>IF(N(F180)=0,"",G180/F180)</f>
        <v/>
      </c>
      <c r="Q180" s="18">
        <f>IF(N(G180)=0,"",E180/G180)</f>
        <v/>
      </c>
      <c r="R180" s="17">
        <f>IF(N(G180)=0,"",H180/G180)</f>
        <v/>
      </c>
      <c r="S180" s="18">
        <f>IF(N(H180)=0,"",E180/H180)</f>
        <v/>
      </c>
      <c r="T180" s="18">
        <f>IF(N(K180)=0,"",E180/K180)</f>
        <v/>
      </c>
      <c r="U180" s="18">
        <f>IF(N(L180)=0,"",E180/L180)</f>
        <v/>
      </c>
      <c r="V180" s="18">
        <f>IF(N(N180)=0,"",E180/N180)</f>
        <v/>
      </c>
      <c r="W180" s="19">
        <f>IF(N(K180)=0,"",L180/K180)</f>
        <v/>
      </c>
      <c r="X180" s="19">
        <f>IF(N(M180)=0,"",N180/M180)</f>
        <v/>
      </c>
      <c r="Y180" s="20">
        <f>IF(N(E180)=0,"",O180/E180)</f>
        <v/>
      </c>
    </row>
    <row r="181">
      <c r="A181" s="10" t="n">
        <v>46482</v>
      </c>
      <c r="B181" s="11">
        <f>DATE(YEAR(A181),MONTH(A181),1)</f>
        <v/>
      </c>
      <c r="C181" t="inlineStr">
        <is>
          <t>S-FR | Corporatif &amp; Fêtes</t>
        </is>
      </c>
      <c r="E181" s="13" t="n"/>
      <c r="F181" s="14" t="n"/>
      <c r="G181" s="14" t="n"/>
      <c r="H181" s="15" t="n"/>
      <c r="I181" s="16" t="n"/>
      <c r="J181" s="16" t="n"/>
      <c r="K181" s="14" t="n"/>
      <c r="L181" s="14" t="n"/>
      <c r="M181" s="14" t="n"/>
      <c r="N181" s="14" t="n"/>
      <c r="O181" s="13" t="n"/>
      <c r="P181" s="17">
        <f>IF(N(F181)=0,"",G181/F181)</f>
        <v/>
      </c>
      <c r="Q181" s="18">
        <f>IF(N(G181)=0,"",E181/G181)</f>
        <v/>
      </c>
      <c r="R181" s="17">
        <f>IF(N(G181)=0,"",H181/G181)</f>
        <v/>
      </c>
      <c r="S181" s="18">
        <f>IF(N(H181)=0,"",E181/H181)</f>
        <v/>
      </c>
      <c r="T181" s="18">
        <f>IF(N(K181)=0,"",E181/K181)</f>
        <v/>
      </c>
      <c r="U181" s="18">
        <f>IF(N(L181)=0,"",E181/L181)</f>
        <v/>
      </c>
      <c r="V181" s="18">
        <f>IF(N(N181)=0,"",E181/N181)</f>
        <v/>
      </c>
      <c r="W181" s="19">
        <f>IF(N(K181)=0,"",L181/K181)</f>
        <v/>
      </c>
      <c r="X181" s="19">
        <f>IF(N(M181)=0,"",N181/M181)</f>
        <v/>
      </c>
      <c r="Y181" s="20">
        <f>IF(N(E181)=0,"",O181/E181)</f>
        <v/>
      </c>
    </row>
    <row r="182">
      <c r="A182" s="10" t="n">
        <v>46482</v>
      </c>
      <c r="B182" s="11">
        <f>DATE(YEAR(A182),MONTH(A182),1)</f>
        <v/>
      </c>
      <c r="C182" t="inlineStr">
        <is>
          <t>S-FR | Événements privés</t>
        </is>
      </c>
      <c r="E182" s="13" t="n"/>
      <c r="F182" s="14" t="n"/>
      <c r="G182" s="14" t="n"/>
      <c r="H182" s="15" t="n"/>
      <c r="I182" s="16" t="n"/>
      <c r="J182" s="16" t="n"/>
      <c r="K182" s="14" t="n"/>
      <c r="L182" s="14" t="n"/>
      <c r="M182" s="14" t="n"/>
      <c r="N182" s="14" t="n"/>
      <c r="O182" s="13" t="n"/>
      <c r="P182" s="17">
        <f>IF(N(F182)=0,"",G182/F182)</f>
        <v/>
      </c>
      <c r="Q182" s="18">
        <f>IF(N(G182)=0,"",E182/G182)</f>
        <v/>
      </c>
      <c r="R182" s="17">
        <f>IF(N(G182)=0,"",H182/G182)</f>
        <v/>
      </c>
      <c r="S182" s="18">
        <f>IF(N(H182)=0,"",E182/H182)</f>
        <v/>
      </c>
      <c r="T182" s="18">
        <f>IF(N(K182)=0,"",E182/K182)</f>
        <v/>
      </c>
      <c r="U182" s="18">
        <f>IF(N(L182)=0,"",E182/L182)</f>
        <v/>
      </c>
      <c r="V182" s="18">
        <f>IF(N(N182)=0,"",E182/N182)</f>
        <v/>
      </c>
      <c r="W182" s="19">
        <f>IF(N(K182)=0,"",L182/K182)</f>
        <v/>
      </c>
      <c r="X182" s="19">
        <f>IF(N(M182)=0,"",N182/M182)</f>
        <v/>
      </c>
      <c r="Y182" s="20">
        <f>IF(N(E182)=0,"",O182/E182)</f>
        <v/>
      </c>
    </row>
    <row r="183">
      <c r="A183" s="10" t="n">
        <v>46482</v>
      </c>
      <c r="B183" s="11">
        <f>DATE(YEAR(A183),MONTH(A183),1)</f>
        <v/>
      </c>
      <c r="C183" t="inlineStr">
        <is>
          <t>S-EN | Corporate Montréal</t>
        </is>
      </c>
      <c r="E183" s="13" t="n"/>
      <c r="F183" s="14" t="n"/>
      <c r="G183" s="14" t="n"/>
      <c r="H183" s="15" t="n"/>
      <c r="I183" s="16" t="n"/>
      <c r="J183" s="16" t="n"/>
      <c r="K183" s="14" t="n"/>
      <c r="L183" s="14" t="n"/>
      <c r="M183" s="14" t="n"/>
      <c r="N183" s="14" t="n"/>
      <c r="O183" s="13" t="n"/>
      <c r="P183" s="17">
        <f>IF(N(F183)=0,"",G183/F183)</f>
        <v/>
      </c>
      <c r="Q183" s="18">
        <f>IF(N(G183)=0,"",E183/G183)</f>
        <v/>
      </c>
      <c r="R183" s="17">
        <f>IF(N(G183)=0,"",H183/G183)</f>
        <v/>
      </c>
      <c r="S183" s="18">
        <f>IF(N(H183)=0,"",E183/H183)</f>
        <v/>
      </c>
      <c r="T183" s="18">
        <f>IF(N(K183)=0,"",E183/K183)</f>
        <v/>
      </c>
      <c r="U183" s="18">
        <f>IF(N(L183)=0,"",E183/L183)</f>
        <v/>
      </c>
      <c r="V183" s="18">
        <f>IF(N(N183)=0,"",E183/N183)</f>
        <v/>
      </c>
      <c r="W183" s="19">
        <f>IF(N(K183)=0,"",L183/K183)</f>
        <v/>
      </c>
      <c r="X183" s="19">
        <f>IF(N(M183)=0,"",N183/M183)</f>
        <v/>
      </c>
      <c r="Y183" s="20">
        <f>IF(N(E183)=0,"",O183/E183)</f>
        <v/>
      </c>
    </row>
    <row r="184">
      <c r="A184" s="10" t="n">
        <v>46482</v>
      </c>
      <c r="B184" s="11">
        <f>DATE(YEAR(A184),MONTH(A184),1)</f>
        <v/>
      </c>
      <c r="C184" t="inlineStr">
        <is>
          <t>S-FR | Québec-Lévis (test)</t>
        </is>
      </c>
      <c r="E184" s="13" t="n"/>
      <c r="F184" s="14" t="n"/>
      <c r="G184" s="14" t="n"/>
      <c r="H184" s="15" t="n"/>
      <c r="I184" s="16" t="n"/>
      <c r="J184" s="16" t="n"/>
      <c r="K184" s="14" t="n"/>
      <c r="L184" s="14" t="n"/>
      <c r="M184" s="14" t="n"/>
      <c r="N184" s="14" t="n"/>
      <c r="O184" s="13" t="n"/>
      <c r="P184" s="17">
        <f>IF(N(F184)=0,"",G184/F184)</f>
        <v/>
      </c>
      <c r="Q184" s="18">
        <f>IF(N(G184)=0,"",E184/G184)</f>
        <v/>
      </c>
      <c r="R184" s="17">
        <f>IF(N(G184)=0,"",H184/G184)</f>
        <v/>
      </c>
      <c r="S184" s="18">
        <f>IF(N(H184)=0,"",E184/H184)</f>
        <v/>
      </c>
      <c r="T184" s="18">
        <f>IF(N(K184)=0,"",E184/K184)</f>
        <v/>
      </c>
      <c r="U184" s="18">
        <f>IF(N(L184)=0,"",E184/L184)</f>
        <v/>
      </c>
      <c r="V184" s="18">
        <f>IF(N(N184)=0,"",E184/N184)</f>
        <v/>
      </c>
      <c r="W184" s="19">
        <f>IF(N(K184)=0,"",L184/K184)</f>
        <v/>
      </c>
      <c r="X184" s="19">
        <f>IF(N(M184)=0,"",N184/M184)</f>
        <v/>
      </c>
      <c r="Y184" s="20">
        <f>IF(N(E184)=0,"",O184/E184)</f>
        <v/>
      </c>
    </row>
    <row r="185">
      <c r="A185" s="10" t="n">
        <v>46482</v>
      </c>
      <c r="B185" s="11">
        <f>DATE(YEAR(A185),MONTH(A185),1)</f>
        <v/>
      </c>
      <c r="C185" t="inlineStr">
        <is>
          <t>Demand Gen</t>
        </is>
      </c>
      <c r="E185" s="13" t="n"/>
      <c r="F185" s="14" t="n"/>
      <c r="G185" s="14" t="n"/>
      <c r="H185" s="15" t="n"/>
      <c r="I185" s="16" t="n"/>
      <c r="J185" s="16" t="n"/>
      <c r="K185" s="14" t="n"/>
      <c r="L185" s="14" t="n"/>
      <c r="M185" s="14" t="n"/>
      <c r="N185" s="14" t="n"/>
      <c r="O185" s="13" t="n"/>
      <c r="P185" s="17">
        <f>IF(N(F185)=0,"",G185/F185)</f>
        <v/>
      </c>
      <c r="Q185" s="18">
        <f>IF(N(G185)=0,"",E185/G185)</f>
        <v/>
      </c>
      <c r="R185" s="17">
        <f>IF(N(G185)=0,"",H185/G185)</f>
        <v/>
      </c>
      <c r="S185" s="18">
        <f>IF(N(H185)=0,"",E185/H185)</f>
        <v/>
      </c>
      <c r="T185" s="18">
        <f>IF(N(K185)=0,"",E185/K185)</f>
        <v/>
      </c>
      <c r="U185" s="18">
        <f>IF(N(L185)=0,"",E185/L185)</f>
        <v/>
      </c>
      <c r="V185" s="18">
        <f>IF(N(N185)=0,"",E185/N185)</f>
        <v/>
      </c>
      <c r="W185" s="19">
        <f>IF(N(K185)=0,"",L185/K185)</f>
        <v/>
      </c>
      <c r="X185" s="19">
        <f>IF(N(M185)=0,"",N185/M185)</f>
        <v/>
      </c>
      <c r="Y185" s="20">
        <f>IF(N(E185)=0,"",O185/E185)</f>
        <v/>
      </c>
    </row>
    <row r="186">
      <c r="A186" s="21" t="n">
        <v>46482</v>
      </c>
      <c r="B186" s="22">
        <f>DATE(YEAR(A186),MONTH(A186),1)</f>
        <v/>
      </c>
      <c r="C186" s="23" t="inlineStr">
        <is>
          <t>Microsoft Ads</t>
        </is>
      </c>
      <c r="D186" s="23" t="n"/>
      <c r="E186" s="24" t="n"/>
      <c r="F186" s="25" t="n"/>
      <c r="G186" s="25" t="n"/>
      <c r="H186" s="26" t="n"/>
      <c r="I186" s="27" t="n"/>
      <c r="J186" s="27" t="n"/>
      <c r="K186" s="25" t="n"/>
      <c r="L186" s="25" t="n"/>
      <c r="M186" s="25" t="n"/>
      <c r="N186" s="25" t="n"/>
      <c r="O186" s="24" t="n"/>
      <c r="P186" s="28">
        <f>IF(N(F186)=0,"",G186/F186)</f>
        <v/>
      </c>
      <c r="Q186" s="29">
        <f>IF(N(G186)=0,"",E186/G186)</f>
        <v/>
      </c>
      <c r="R186" s="28">
        <f>IF(N(G186)=0,"",H186/G186)</f>
        <v/>
      </c>
      <c r="S186" s="29">
        <f>IF(N(H186)=0,"",E186/H186)</f>
        <v/>
      </c>
      <c r="T186" s="29">
        <f>IF(N(K186)=0,"",E186/K186)</f>
        <v/>
      </c>
      <c r="U186" s="29">
        <f>IF(N(L186)=0,"",E186/L186)</f>
        <v/>
      </c>
      <c r="V186" s="29">
        <f>IF(N(N186)=0,"",E186/N186)</f>
        <v/>
      </c>
      <c r="W186" s="30">
        <f>IF(N(K186)=0,"",L186/K186)</f>
        <v/>
      </c>
      <c r="X186" s="30">
        <f>IF(N(M186)=0,"",N186/M186)</f>
        <v/>
      </c>
      <c r="Y186" s="31">
        <f>IF(N(E186)=0,"",O186/E186)</f>
        <v/>
      </c>
    </row>
    <row r="187">
      <c r="A187" s="10" t="n">
        <v>46489</v>
      </c>
      <c r="B187" s="11">
        <f>DATE(YEAR(A187),MONTH(A187),1)</f>
        <v/>
      </c>
      <c r="C187" t="inlineStr">
        <is>
          <t>S-FR | Marque</t>
        </is>
      </c>
      <c r="E187" s="13" t="n"/>
      <c r="F187" s="14" t="n"/>
      <c r="G187" s="14" t="n"/>
      <c r="H187" s="15" t="n"/>
      <c r="I187" s="16" t="n"/>
      <c r="J187" s="16" t="n"/>
      <c r="K187" s="14" t="n"/>
      <c r="L187" s="14" t="n"/>
      <c r="M187" s="14" t="n"/>
      <c r="N187" s="14" t="n"/>
      <c r="O187" s="13" t="n"/>
      <c r="P187" s="17">
        <f>IF(N(F187)=0,"",G187/F187)</f>
        <v/>
      </c>
      <c r="Q187" s="18">
        <f>IF(N(G187)=0,"",E187/G187)</f>
        <v/>
      </c>
      <c r="R187" s="17">
        <f>IF(N(G187)=0,"",H187/G187)</f>
        <v/>
      </c>
      <c r="S187" s="18">
        <f>IF(N(H187)=0,"",E187/H187)</f>
        <v/>
      </c>
      <c r="T187" s="18">
        <f>IF(N(K187)=0,"",E187/K187)</f>
        <v/>
      </c>
      <c r="U187" s="18">
        <f>IF(N(L187)=0,"",E187/L187)</f>
        <v/>
      </c>
      <c r="V187" s="18">
        <f>IF(N(N187)=0,"",E187/N187)</f>
        <v/>
      </c>
      <c r="W187" s="19">
        <f>IF(N(K187)=0,"",L187/K187)</f>
        <v/>
      </c>
      <c r="X187" s="19">
        <f>IF(N(M187)=0,"",N187/M187)</f>
        <v/>
      </c>
      <c r="Y187" s="20">
        <f>IF(N(E187)=0,"",O187/E187)</f>
        <v/>
      </c>
    </row>
    <row r="188">
      <c r="A188" s="10" t="n">
        <v>46489</v>
      </c>
      <c r="B188" s="11">
        <f>DATE(YEAR(A188),MONTH(A188),1)</f>
        <v/>
      </c>
      <c r="C188" t="inlineStr">
        <is>
          <t>S-FR | Corporatif &amp; Fêtes</t>
        </is>
      </c>
      <c r="E188" s="13" t="n"/>
      <c r="F188" s="14" t="n"/>
      <c r="G188" s="14" t="n"/>
      <c r="H188" s="15" t="n"/>
      <c r="I188" s="16" t="n"/>
      <c r="J188" s="16" t="n"/>
      <c r="K188" s="14" t="n"/>
      <c r="L188" s="14" t="n"/>
      <c r="M188" s="14" t="n"/>
      <c r="N188" s="14" t="n"/>
      <c r="O188" s="13" t="n"/>
      <c r="P188" s="17">
        <f>IF(N(F188)=0,"",G188/F188)</f>
        <v/>
      </c>
      <c r="Q188" s="18">
        <f>IF(N(G188)=0,"",E188/G188)</f>
        <v/>
      </c>
      <c r="R188" s="17">
        <f>IF(N(G188)=0,"",H188/G188)</f>
        <v/>
      </c>
      <c r="S188" s="18">
        <f>IF(N(H188)=0,"",E188/H188)</f>
        <v/>
      </c>
      <c r="T188" s="18">
        <f>IF(N(K188)=0,"",E188/K188)</f>
        <v/>
      </c>
      <c r="U188" s="18">
        <f>IF(N(L188)=0,"",E188/L188)</f>
        <v/>
      </c>
      <c r="V188" s="18">
        <f>IF(N(N188)=0,"",E188/N188)</f>
        <v/>
      </c>
      <c r="W188" s="19">
        <f>IF(N(K188)=0,"",L188/K188)</f>
        <v/>
      </c>
      <c r="X188" s="19">
        <f>IF(N(M188)=0,"",N188/M188)</f>
        <v/>
      </c>
      <c r="Y188" s="20">
        <f>IF(N(E188)=0,"",O188/E188)</f>
        <v/>
      </c>
    </row>
    <row r="189">
      <c r="A189" s="10" t="n">
        <v>46489</v>
      </c>
      <c r="B189" s="11">
        <f>DATE(YEAR(A189),MONTH(A189),1)</f>
        <v/>
      </c>
      <c r="C189" t="inlineStr">
        <is>
          <t>S-FR | Événements privés</t>
        </is>
      </c>
      <c r="E189" s="13" t="n"/>
      <c r="F189" s="14" t="n"/>
      <c r="G189" s="14" t="n"/>
      <c r="H189" s="15" t="n"/>
      <c r="I189" s="16" t="n"/>
      <c r="J189" s="16" t="n"/>
      <c r="K189" s="14" t="n"/>
      <c r="L189" s="14" t="n"/>
      <c r="M189" s="14" t="n"/>
      <c r="N189" s="14" t="n"/>
      <c r="O189" s="13" t="n"/>
      <c r="P189" s="17">
        <f>IF(N(F189)=0,"",G189/F189)</f>
        <v/>
      </c>
      <c r="Q189" s="18">
        <f>IF(N(G189)=0,"",E189/G189)</f>
        <v/>
      </c>
      <c r="R189" s="17">
        <f>IF(N(G189)=0,"",H189/G189)</f>
        <v/>
      </c>
      <c r="S189" s="18">
        <f>IF(N(H189)=0,"",E189/H189)</f>
        <v/>
      </c>
      <c r="T189" s="18">
        <f>IF(N(K189)=0,"",E189/K189)</f>
        <v/>
      </c>
      <c r="U189" s="18">
        <f>IF(N(L189)=0,"",E189/L189)</f>
        <v/>
      </c>
      <c r="V189" s="18">
        <f>IF(N(N189)=0,"",E189/N189)</f>
        <v/>
      </c>
      <c r="W189" s="19">
        <f>IF(N(K189)=0,"",L189/K189)</f>
        <v/>
      </c>
      <c r="X189" s="19">
        <f>IF(N(M189)=0,"",N189/M189)</f>
        <v/>
      </c>
      <c r="Y189" s="20">
        <f>IF(N(E189)=0,"",O189/E189)</f>
        <v/>
      </c>
    </row>
    <row r="190">
      <c r="A190" s="10" t="n">
        <v>46489</v>
      </c>
      <c r="B190" s="11">
        <f>DATE(YEAR(A190),MONTH(A190),1)</f>
        <v/>
      </c>
      <c r="C190" t="inlineStr">
        <is>
          <t>S-EN | Corporate Montréal</t>
        </is>
      </c>
      <c r="E190" s="13" t="n"/>
      <c r="F190" s="14" t="n"/>
      <c r="G190" s="14" t="n"/>
      <c r="H190" s="15" t="n"/>
      <c r="I190" s="16" t="n"/>
      <c r="J190" s="16" t="n"/>
      <c r="K190" s="14" t="n"/>
      <c r="L190" s="14" t="n"/>
      <c r="M190" s="14" t="n"/>
      <c r="N190" s="14" t="n"/>
      <c r="O190" s="13" t="n"/>
      <c r="P190" s="17">
        <f>IF(N(F190)=0,"",G190/F190)</f>
        <v/>
      </c>
      <c r="Q190" s="18">
        <f>IF(N(G190)=0,"",E190/G190)</f>
        <v/>
      </c>
      <c r="R190" s="17">
        <f>IF(N(G190)=0,"",H190/G190)</f>
        <v/>
      </c>
      <c r="S190" s="18">
        <f>IF(N(H190)=0,"",E190/H190)</f>
        <v/>
      </c>
      <c r="T190" s="18">
        <f>IF(N(K190)=0,"",E190/K190)</f>
        <v/>
      </c>
      <c r="U190" s="18">
        <f>IF(N(L190)=0,"",E190/L190)</f>
        <v/>
      </c>
      <c r="V190" s="18">
        <f>IF(N(N190)=0,"",E190/N190)</f>
        <v/>
      </c>
      <c r="W190" s="19">
        <f>IF(N(K190)=0,"",L190/K190)</f>
        <v/>
      </c>
      <c r="X190" s="19">
        <f>IF(N(M190)=0,"",N190/M190)</f>
        <v/>
      </c>
      <c r="Y190" s="20">
        <f>IF(N(E190)=0,"",O190/E190)</f>
        <v/>
      </c>
    </row>
    <row r="191">
      <c r="A191" s="10" t="n">
        <v>46489</v>
      </c>
      <c r="B191" s="11">
        <f>DATE(YEAR(A191),MONTH(A191),1)</f>
        <v/>
      </c>
      <c r="C191" t="inlineStr">
        <is>
          <t>S-FR | Québec-Lévis (test)</t>
        </is>
      </c>
      <c r="E191" s="13" t="n"/>
      <c r="F191" s="14" t="n"/>
      <c r="G191" s="14" t="n"/>
      <c r="H191" s="15" t="n"/>
      <c r="I191" s="16" t="n"/>
      <c r="J191" s="16" t="n"/>
      <c r="K191" s="14" t="n"/>
      <c r="L191" s="14" t="n"/>
      <c r="M191" s="14" t="n"/>
      <c r="N191" s="14" t="n"/>
      <c r="O191" s="13" t="n"/>
      <c r="P191" s="17">
        <f>IF(N(F191)=0,"",G191/F191)</f>
        <v/>
      </c>
      <c r="Q191" s="18">
        <f>IF(N(G191)=0,"",E191/G191)</f>
        <v/>
      </c>
      <c r="R191" s="17">
        <f>IF(N(G191)=0,"",H191/G191)</f>
        <v/>
      </c>
      <c r="S191" s="18">
        <f>IF(N(H191)=0,"",E191/H191)</f>
        <v/>
      </c>
      <c r="T191" s="18">
        <f>IF(N(K191)=0,"",E191/K191)</f>
        <v/>
      </c>
      <c r="U191" s="18">
        <f>IF(N(L191)=0,"",E191/L191)</f>
        <v/>
      </c>
      <c r="V191" s="18">
        <f>IF(N(N191)=0,"",E191/N191)</f>
        <v/>
      </c>
      <c r="W191" s="19">
        <f>IF(N(K191)=0,"",L191/K191)</f>
        <v/>
      </c>
      <c r="X191" s="19">
        <f>IF(N(M191)=0,"",N191/M191)</f>
        <v/>
      </c>
      <c r="Y191" s="20">
        <f>IF(N(E191)=0,"",O191/E191)</f>
        <v/>
      </c>
    </row>
    <row r="192">
      <c r="A192" s="10" t="n">
        <v>46489</v>
      </c>
      <c r="B192" s="11">
        <f>DATE(YEAR(A192),MONTH(A192),1)</f>
        <v/>
      </c>
      <c r="C192" t="inlineStr">
        <is>
          <t>Demand Gen</t>
        </is>
      </c>
      <c r="E192" s="13" t="n"/>
      <c r="F192" s="14" t="n"/>
      <c r="G192" s="14" t="n"/>
      <c r="H192" s="15" t="n"/>
      <c r="I192" s="16" t="n"/>
      <c r="J192" s="16" t="n"/>
      <c r="K192" s="14" t="n"/>
      <c r="L192" s="14" t="n"/>
      <c r="M192" s="14" t="n"/>
      <c r="N192" s="14" t="n"/>
      <c r="O192" s="13" t="n"/>
      <c r="P192" s="17">
        <f>IF(N(F192)=0,"",G192/F192)</f>
        <v/>
      </c>
      <c r="Q192" s="18">
        <f>IF(N(G192)=0,"",E192/G192)</f>
        <v/>
      </c>
      <c r="R192" s="17">
        <f>IF(N(G192)=0,"",H192/G192)</f>
        <v/>
      </c>
      <c r="S192" s="18">
        <f>IF(N(H192)=0,"",E192/H192)</f>
        <v/>
      </c>
      <c r="T192" s="18">
        <f>IF(N(K192)=0,"",E192/K192)</f>
        <v/>
      </c>
      <c r="U192" s="18">
        <f>IF(N(L192)=0,"",E192/L192)</f>
        <v/>
      </c>
      <c r="V192" s="18">
        <f>IF(N(N192)=0,"",E192/N192)</f>
        <v/>
      </c>
      <c r="W192" s="19">
        <f>IF(N(K192)=0,"",L192/K192)</f>
        <v/>
      </c>
      <c r="X192" s="19">
        <f>IF(N(M192)=0,"",N192/M192)</f>
        <v/>
      </c>
      <c r="Y192" s="20">
        <f>IF(N(E192)=0,"",O192/E192)</f>
        <v/>
      </c>
    </row>
    <row r="193">
      <c r="A193" s="21" t="n">
        <v>46489</v>
      </c>
      <c r="B193" s="22">
        <f>DATE(YEAR(A193),MONTH(A193),1)</f>
        <v/>
      </c>
      <c r="C193" s="23" t="inlineStr">
        <is>
          <t>Microsoft Ads</t>
        </is>
      </c>
      <c r="D193" s="23" t="n"/>
      <c r="E193" s="24" t="n"/>
      <c r="F193" s="25" t="n"/>
      <c r="G193" s="25" t="n"/>
      <c r="H193" s="26" t="n"/>
      <c r="I193" s="27" t="n"/>
      <c r="J193" s="27" t="n"/>
      <c r="K193" s="25" t="n"/>
      <c r="L193" s="25" t="n"/>
      <c r="M193" s="25" t="n"/>
      <c r="N193" s="25" t="n"/>
      <c r="O193" s="24" t="n"/>
      <c r="P193" s="28">
        <f>IF(N(F193)=0,"",G193/F193)</f>
        <v/>
      </c>
      <c r="Q193" s="29">
        <f>IF(N(G193)=0,"",E193/G193)</f>
        <v/>
      </c>
      <c r="R193" s="28">
        <f>IF(N(G193)=0,"",H193/G193)</f>
        <v/>
      </c>
      <c r="S193" s="29">
        <f>IF(N(H193)=0,"",E193/H193)</f>
        <v/>
      </c>
      <c r="T193" s="29">
        <f>IF(N(K193)=0,"",E193/K193)</f>
        <v/>
      </c>
      <c r="U193" s="29">
        <f>IF(N(L193)=0,"",E193/L193)</f>
        <v/>
      </c>
      <c r="V193" s="29">
        <f>IF(N(N193)=0,"",E193/N193)</f>
        <v/>
      </c>
      <c r="W193" s="30">
        <f>IF(N(K193)=0,"",L193/K193)</f>
        <v/>
      </c>
      <c r="X193" s="30">
        <f>IF(N(M193)=0,"",N193/M193)</f>
        <v/>
      </c>
      <c r="Y193" s="31">
        <f>IF(N(E193)=0,"",O193/E193)</f>
        <v/>
      </c>
    </row>
    <row r="194">
      <c r="A194" s="10" t="n">
        <v>46496</v>
      </c>
      <c r="B194" s="11">
        <f>DATE(YEAR(A194),MONTH(A194),1)</f>
        <v/>
      </c>
      <c r="C194" t="inlineStr">
        <is>
          <t>S-FR | Marque</t>
        </is>
      </c>
      <c r="E194" s="13" t="n"/>
      <c r="F194" s="14" t="n"/>
      <c r="G194" s="14" t="n"/>
      <c r="H194" s="15" t="n"/>
      <c r="I194" s="16" t="n"/>
      <c r="J194" s="16" t="n"/>
      <c r="K194" s="14" t="n"/>
      <c r="L194" s="14" t="n"/>
      <c r="M194" s="14" t="n"/>
      <c r="N194" s="14" t="n"/>
      <c r="O194" s="13" t="n"/>
      <c r="P194" s="17">
        <f>IF(N(F194)=0,"",G194/F194)</f>
        <v/>
      </c>
      <c r="Q194" s="18">
        <f>IF(N(G194)=0,"",E194/G194)</f>
        <v/>
      </c>
      <c r="R194" s="17">
        <f>IF(N(G194)=0,"",H194/G194)</f>
        <v/>
      </c>
      <c r="S194" s="18">
        <f>IF(N(H194)=0,"",E194/H194)</f>
        <v/>
      </c>
      <c r="T194" s="18">
        <f>IF(N(K194)=0,"",E194/K194)</f>
        <v/>
      </c>
      <c r="U194" s="18">
        <f>IF(N(L194)=0,"",E194/L194)</f>
        <v/>
      </c>
      <c r="V194" s="18">
        <f>IF(N(N194)=0,"",E194/N194)</f>
        <v/>
      </c>
      <c r="W194" s="19">
        <f>IF(N(K194)=0,"",L194/K194)</f>
        <v/>
      </c>
      <c r="X194" s="19">
        <f>IF(N(M194)=0,"",N194/M194)</f>
        <v/>
      </c>
      <c r="Y194" s="20">
        <f>IF(N(E194)=0,"",O194/E194)</f>
        <v/>
      </c>
    </row>
    <row r="195">
      <c r="A195" s="10" t="n">
        <v>46496</v>
      </c>
      <c r="B195" s="11">
        <f>DATE(YEAR(A195),MONTH(A195),1)</f>
        <v/>
      </c>
      <c r="C195" t="inlineStr">
        <is>
          <t>S-FR | Corporatif &amp; Fêtes</t>
        </is>
      </c>
      <c r="E195" s="13" t="n"/>
      <c r="F195" s="14" t="n"/>
      <c r="G195" s="14" t="n"/>
      <c r="H195" s="15" t="n"/>
      <c r="I195" s="16" t="n"/>
      <c r="J195" s="16" t="n"/>
      <c r="K195" s="14" t="n"/>
      <c r="L195" s="14" t="n"/>
      <c r="M195" s="14" t="n"/>
      <c r="N195" s="14" t="n"/>
      <c r="O195" s="13" t="n"/>
      <c r="P195" s="17">
        <f>IF(N(F195)=0,"",G195/F195)</f>
        <v/>
      </c>
      <c r="Q195" s="18">
        <f>IF(N(G195)=0,"",E195/G195)</f>
        <v/>
      </c>
      <c r="R195" s="17">
        <f>IF(N(G195)=0,"",H195/G195)</f>
        <v/>
      </c>
      <c r="S195" s="18">
        <f>IF(N(H195)=0,"",E195/H195)</f>
        <v/>
      </c>
      <c r="T195" s="18">
        <f>IF(N(K195)=0,"",E195/K195)</f>
        <v/>
      </c>
      <c r="U195" s="18">
        <f>IF(N(L195)=0,"",E195/L195)</f>
        <v/>
      </c>
      <c r="V195" s="18">
        <f>IF(N(N195)=0,"",E195/N195)</f>
        <v/>
      </c>
      <c r="W195" s="19">
        <f>IF(N(K195)=0,"",L195/K195)</f>
        <v/>
      </c>
      <c r="X195" s="19">
        <f>IF(N(M195)=0,"",N195/M195)</f>
        <v/>
      </c>
      <c r="Y195" s="20">
        <f>IF(N(E195)=0,"",O195/E195)</f>
        <v/>
      </c>
    </row>
    <row r="196">
      <c r="A196" s="10" t="n">
        <v>46496</v>
      </c>
      <c r="B196" s="11">
        <f>DATE(YEAR(A196),MONTH(A196),1)</f>
        <v/>
      </c>
      <c r="C196" t="inlineStr">
        <is>
          <t>S-FR | Événements privés</t>
        </is>
      </c>
      <c r="E196" s="13" t="n"/>
      <c r="F196" s="14" t="n"/>
      <c r="G196" s="14" t="n"/>
      <c r="H196" s="15" t="n"/>
      <c r="I196" s="16" t="n"/>
      <c r="J196" s="16" t="n"/>
      <c r="K196" s="14" t="n"/>
      <c r="L196" s="14" t="n"/>
      <c r="M196" s="14" t="n"/>
      <c r="N196" s="14" t="n"/>
      <c r="O196" s="13" t="n"/>
      <c r="P196" s="17">
        <f>IF(N(F196)=0,"",G196/F196)</f>
        <v/>
      </c>
      <c r="Q196" s="18">
        <f>IF(N(G196)=0,"",E196/G196)</f>
        <v/>
      </c>
      <c r="R196" s="17">
        <f>IF(N(G196)=0,"",H196/G196)</f>
        <v/>
      </c>
      <c r="S196" s="18">
        <f>IF(N(H196)=0,"",E196/H196)</f>
        <v/>
      </c>
      <c r="T196" s="18">
        <f>IF(N(K196)=0,"",E196/K196)</f>
        <v/>
      </c>
      <c r="U196" s="18">
        <f>IF(N(L196)=0,"",E196/L196)</f>
        <v/>
      </c>
      <c r="V196" s="18">
        <f>IF(N(N196)=0,"",E196/N196)</f>
        <v/>
      </c>
      <c r="W196" s="19">
        <f>IF(N(K196)=0,"",L196/K196)</f>
        <v/>
      </c>
      <c r="X196" s="19">
        <f>IF(N(M196)=0,"",N196/M196)</f>
        <v/>
      </c>
      <c r="Y196" s="20">
        <f>IF(N(E196)=0,"",O196/E196)</f>
        <v/>
      </c>
    </row>
    <row r="197">
      <c r="A197" s="10" t="n">
        <v>46496</v>
      </c>
      <c r="B197" s="11">
        <f>DATE(YEAR(A197),MONTH(A197),1)</f>
        <v/>
      </c>
      <c r="C197" t="inlineStr">
        <is>
          <t>S-EN | Corporate Montréal</t>
        </is>
      </c>
      <c r="E197" s="13" t="n"/>
      <c r="F197" s="14" t="n"/>
      <c r="G197" s="14" t="n"/>
      <c r="H197" s="15" t="n"/>
      <c r="I197" s="16" t="n"/>
      <c r="J197" s="16" t="n"/>
      <c r="K197" s="14" t="n"/>
      <c r="L197" s="14" t="n"/>
      <c r="M197" s="14" t="n"/>
      <c r="N197" s="14" t="n"/>
      <c r="O197" s="13" t="n"/>
      <c r="P197" s="17">
        <f>IF(N(F197)=0,"",G197/F197)</f>
        <v/>
      </c>
      <c r="Q197" s="18">
        <f>IF(N(G197)=0,"",E197/G197)</f>
        <v/>
      </c>
      <c r="R197" s="17">
        <f>IF(N(G197)=0,"",H197/G197)</f>
        <v/>
      </c>
      <c r="S197" s="18">
        <f>IF(N(H197)=0,"",E197/H197)</f>
        <v/>
      </c>
      <c r="T197" s="18">
        <f>IF(N(K197)=0,"",E197/K197)</f>
        <v/>
      </c>
      <c r="U197" s="18">
        <f>IF(N(L197)=0,"",E197/L197)</f>
        <v/>
      </c>
      <c r="V197" s="18">
        <f>IF(N(N197)=0,"",E197/N197)</f>
        <v/>
      </c>
      <c r="W197" s="19">
        <f>IF(N(K197)=0,"",L197/K197)</f>
        <v/>
      </c>
      <c r="X197" s="19">
        <f>IF(N(M197)=0,"",N197/M197)</f>
        <v/>
      </c>
      <c r="Y197" s="20">
        <f>IF(N(E197)=0,"",O197/E197)</f>
        <v/>
      </c>
    </row>
    <row r="198">
      <c r="A198" s="10" t="n">
        <v>46496</v>
      </c>
      <c r="B198" s="11">
        <f>DATE(YEAR(A198),MONTH(A198),1)</f>
        <v/>
      </c>
      <c r="C198" t="inlineStr">
        <is>
          <t>S-FR | Québec-Lévis (test)</t>
        </is>
      </c>
      <c r="E198" s="13" t="n"/>
      <c r="F198" s="14" t="n"/>
      <c r="G198" s="14" t="n"/>
      <c r="H198" s="15" t="n"/>
      <c r="I198" s="16" t="n"/>
      <c r="J198" s="16" t="n"/>
      <c r="K198" s="14" t="n"/>
      <c r="L198" s="14" t="n"/>
      <c r="M198" s="14" t="n"/>
      <c r="N198" s="14" t="n"/>
      <c r="O198" s="13" t="n"/>
      <c r="P198" s="17">
        <f>IF(N(F198)=0,"",G198/F198)</f>
        <v/>
      </c>
      <c r="Q198" s="18">
        <f>IF(N(G198)=0,"",E198/G198)</f>
        <v/>
      </c>
      <c r="R198" s="17">
        <f>IF(N(G198)=0,"",H198/G198)</f>
        <v/>
      </c>
      <c r="S198" s="18">
        <f>IF(N(H198)=0,"",E198/H198)</f>
        <v/>
      </c>
      <c r="T198" s="18">
        <f>IF(N(K198)=0,"",E198/K198)</f>
        <v/>
      </c>
      <c r="U198" s="18">
        <f>IF(N(L198)=0,"",E198/L198)</f>
        <v/>
      </c>
      <c r="V198" s="18">
        <f>IF(N(N198)=0,"",E198/N198)</f>
        <v/>
      </c>
      <c r="W198" s="19">
        <f>IF(N(K198)=0,"",L198/K198)</f>
        <v/>
      </c>
      <c r="X198" s="19">
        <f>IF(N(M198)=0,"",N198/M198)</f>
        <v/>
      </c>
      <c r="Y198" s="20">
        <f>IF(N(E198)=0,"",O198/E198)</f>
        <v/>
      </c>
    </row>
    <row r="199">
      <c r="A199" s="10" t="n">
        <v>46496</v>
      </c>
      <c r="B199" s="11">
        <f>DATE(YEAR(A199),MONTH(A199),1)</f>
        <v/>
      </c>
      <c r="C199" t="inlineStr">
        <is>
          <t>Demand Gen</t>
        </is>
      </c>
      <c r="E199" s="13" t="n"/>
      <c r="F199" s="14" t="n"/>
      <c r="G199" s="14" t="n"/>
      <c r="H199" s="15" t="n"/>
      <c r="I199" s="16" t="n"/>
      <c r="J199" s="16" t="n"/>
      <c r="K199" s="14" t="n"/>
      <c r="L199" s="14" t="n"/>
      <c r="M199" s="14" t="n"/>
      <c r="N199" s="14" t="n"/>
      <c r="O199" s="13" t="n"/>
      <c r="P199" s="17">
        <f>IF(N(F199)=0,"",G199/F199)</f>
        <v/>
      </c>
      <c r="Q199" s="18">
        <f>IF(N(G199)=0,"",E199/G199)</f>
        <v/>
      </c>
      <c r="R199" s="17">
        <f>IF(N(G199)=0,"",H199/G199)</f>
        <v/>
      </c>
      <c r="S199" s="18">
        <f>IF(N(H199)=0,"",E199/H199)</f>
        <v/>
      </c>
      <c r="T199" s="18">
        <f>IF(N(K199)=0,"",E199/K199)</f>
        <v/>
      </c>
      <c r="U199" s="18">
        <f>IF(N(L199)=0,"",E199/L199)</f>
        <v/>
      </c>
      <c r="V199" s="18">
        <f>IF(N(N199)=0,"",E199/N199)</f>
        <v/>
      </c>
      <c r="W199" s="19">
        <f>IF(N(K199)=0,"",L199/K199)</f>
        <v/>
      </c>
      <c r="X199" s="19">
        <f>IF(N(M199)=0,"",N199/M199)</f>
        <v/>
      </c>
      <c r="Y199" s="20">
        <f>IF(N(E199)=0,"",O199/E199)</f>
        <v/>
      </c>
    </row>
    <row r="200">
      <c r="A200" s="21" t="n">
        <v>46496</v>
      </c>
      <c r="B200" s="22">
        <f>DATE(YEAR(A200),MONTH(A200),1)</f>
        <v/>
      </c>
      <c r="C200" s="23" t="inlineStr">
        <is>
          <t>Microsoft Ads</t>
        </is>
      </c>
      <c r="D200" s="23" t="n"/>
      <c r="E200" s="24" t="n"/>
      <c r="F200" s="25" t="n"/>
      <c r="G200" s="25" t="n"/>
      <c r="H200" s="26" t="n"/>
      <c r="I200" s="27" t="n"/>
      <c r="J200" s="27" t="n"/>
      <c r="K200" s="25" t="n"/>
      <c r="L200" s="25" t="n"/>
      <c r="M200" s="25" t="n"/>
      <c r="N200" s="25" t="n"/>
      <c r="O200" s="24" t="n"/>
      <c r="P200" s="28">
        <f>IF(N(F200)=0,"",G200/F200)</f>
        <v/>
      </c>
      <c r="Q200" s="29">
        <f>IF(N(G200)=0,"",E200/G200)</f>
        <v/>
      </c>
      <c r="R200" s="28">
        <f>IF(N(G200)=0,"",H200/G200)</f>
        <v/>
      </c>
      <c r="S200" s="29">
        <f>IF(N(H200)=0,"",E200/H200)</f>
        <v/>
      </c>
      <c r="T200" s="29">
        <f>IF(N(K200)=0,"",E200/K200)</f>
        <v/>
      </c>
      <c r="U200" s="29">
        <f>IF(N(L200)=0,"",E200/L200)</f>
        <v/>
      </c>
      <c r="V200" s="29">
        <f>IF(N(N200)=0,"",E200/N200)</f>
        <v/>
      </c>
      <c r="W200" s="30">
        <f>IF(N(K200)=0,"",L200/K200)</f>
        <v/>
      </c>
      <c r="X200" s="30">
        <f>IF(N(M200)=0,"",N200/M200)</f>
        <v/>
      </c>
      <c r="Y200" s="31">
        <f>IF(N(E200)=0,"",O200/E200)</f>
        <v/>
      </c>
    </row>
    <row r="201">
      <c r="A201" s="10" t="n">
        <v>46503</v>
      </c>
      <c r="B201" s="11">
        <f>DATE(YEAR(A201),MONTH(A201),1)</f>
        <v/>
      </c>
      <c r="C201" t="inlineStr">
        <is>
          <t>S-FR | Marque</t>
        </is>
      </c>
      <c r="E201" s="13" t="n"/>
      <c r="F201" s="14" t="n"/>
      <c r="G201" s="14" t="n"/>
      <c r="H201" s="15" t="n"/>
      <c r="I201" s="16" t="n"/>
      <c r="J201" s="16" t="n"/>
      <c r="K201" s="14" t="n"/>
      <c r="L201" s="14" t="n"/>
      <c r="M201" s="14" t="n"/>
      <c r="N201" s="14" t="n"/>
      <c r="O201" s="13" t="n"/>
      <c r="P201" s="17">
        <f>IF(N(F201)=0,"",G201/F201)</f>
        <v/>
      </c>
      <c r="Q201" s="18">
        <f>IF(N(G201)=0,"",E201/G201)</f>
        <v/>
      </c>
      <c r="R201" s="17">
        <f>IF(N(G201)=0,"",H201/G201)</f>
        <v/>
      </c>
      <c r="S201" s="18">
        <f>IF(N(H201)=0,"",E201/H201)</f>
        <v/>
      </c>
      <c r="T201" s="18">
        <f>IF(N(K201)=0,"",E201/K201)</f>
        <v/>
      </c>
      <c r="U201" s="18">
        <f>IF(N(L201)=0,"",E201/L201)</f>
        <v/>
      </c>
      <c r="V201" s="18">
        <f>IF(N(N201)=0,"",E201/N201)</f>
        <v/>
      </c>
      <c r="W201" s="19">
        <f>IF(N(K201)=0,"",L201/K201)</f>
        <v/>
      </c>
      <c r="X201" s="19">
        <f>IF(N(M201)=0,"",N201/M201)</f>
        <v/>
      </c>
      <c r="Y201" s="20">
        <f>IF(N(E201)=0,"",O201/E201)</f>
        <v/>
      </c>
    </row>
    <row r="202">
      <c r="A202" s="10" t="n">
        <v>46503</v>
      </c>
      <c r="B202" s="11">
        <f>DATE(YEAR(A202),MONTH(A202),1)</f>
        <v/>
      </c>
      <c r="C202" t="inlineStr">
        <is>
          <t>S-FR | Corporatif &amp; Fêtes</t>
        </is>
      </c>
      <c r="E202" s="13" t="n"/>
      <c r="F202" s="14" t="n"/>
      <c r="G202" s="14" t="n"/>
      <c r="H202" s="15" t="n"/>
      <c r="I202" s="16" t="n"/>
      <c r="J202" s="16" t="n"/>
      <c r="K202" s="14" t="n"/>
      <c r="L202" s="14" t="n"/>
      <c r="M202" s="14" t="n"/>
      <c r="N202" s="14" t="n"/>
      <c r="O202" s="13" t="n"/>
      <c r="P202" s="17">
        <f>IF(N(F202)=0,"",G202/F202)</f>
        <v/>
      </c>
      <c r="Q202" s="18">
        <f>IF(N(G202)=0,"",E202/G202)</f>
        <v/>
      </c>
      <c r="R202" s="17">
        <f>IF(N(G202)=0,"",H202/G202)</f>
        <v/>
      </c>
      <c r="S202" s="18">
        <f>IF(N(H202)=0,"",E202/H202)</f>
        <v/>
      </c>
      <c r="T202" s="18">
        <f>IF(N(K202)=0,"",E202/K202)</f>
        <v/>
      </c>
      <c r="U202" s="18">
        <f>IF(N(L202)=0,"",E202/L202)</f>
        <v/>
      </c>
      <c r="V202" s="18">
        <f>IF(N(N202)=0,"",E202/N202)</f>
        <v/>
      </c>
      <c r="W202" s="19">
        <f>IF(N(K202)=0,"",L202/K202)</f>
        <v/>
      </c>
      <c r="X202" s="19">
        <f>IF(N(M202)=0,"",N202/M202)</f>
        <v/>
      </c>
      <c r="Y202" s="20">
        <f>IF(N(E202)=0,"",O202/E202)</f>
        <v/>
      </c>
    </row>
    <row r="203">
      <c r="A203" s="10" t="n">
        <v>46503</v>
      </c>
      <c r="B203" s="11">
        <f>DATE(YEAR(A203),MONTH(A203),1)</f>
        <v/>
      </c>
      <c r="C203" t="inlineStr">
        <is>
          <t>S-FR | Événements privés</t>
        </is>
      </c>
      <c r="E203" s="13" t="n"/>
      <c r="F203" s="14" t="n"/>
      <c r="G203" s="14" t="n"/>
      <c r="H203" s="15" t="n"/>
      <c r="I203" s="16" t="n"/>
      <c r="J203" s="16" t="n"/>
      <c r="K203" s="14" t="n"/>
      <c r="L203" s="14" t="n"/>
      <c r="M203" s="14" t="n"/>
      <c r="N203" s="14" t="n"/>
      <c r="O203" s="13" t="n"/>
      <c r="P203" s="17">
        <f>IF(N(F203)=0,"",G203/F203)</f>
        <v/>
      </c>
      <c r="Q203" s="18">
        <f>IF(N(G203)=0,"",E203/G203)</f>
        <v/>
      </c>
      <c r="R203" s="17">
        <f>IF(N(G203)=0,"",H203/G203)</f>
        <v/>
      </c>
      <c r="S203" s="18">
        <f>IF(N(H203)=0,"",E203/H203)</f>
        <v/>
      </c>
      <c r="T203" s="18">
        <f>IF(N(K203)=0,"",E203/K203)</f>
        <v/>
      </c>
      <c r="U203" s="18">
        <f>IF(N(L203)=0,"",E203/L203)</f>
        <v/>
      </c>
      <c r="V203" s="18">
        <f>IF(N(N203)=0,"",E203/N203)</f>
        <v/>
      </c>
      <c r="W203" s="19">
        <f>IF(N(K203)=0,"",L203/K203)</f>
        <v/>
      </c>
      <c r="X203" s="19">
        <f>IF(N(M203)=0,"",N203/M203)</f>
        <v/>
      </c>
      <c r="Y203" s="20">
        <f>IF(N(E203)=0,"",O203/E203)</f>
        <v/>
      </c>
    </row>
    <row r="204">
      <c r="A204" s="10" t="n">
        <v>46503</v>
      </c>
      <c r="B204" s="11">
        <f>DATE(YEAR(A204),MONTH(A204),1)</f>
        <v/>
      </c>
      <c r="C204" t="inlineStr">
        <is>
          <t>S-EN | Corporate Montréal</t>
        </is>
      </c>
      <c r="E204" s="13" t="n"/>
      <c r="F204" s="14" t="n"/>
      <c r="G204" s="14" t="n"/>
      <c r="H204" s="15" t="n"/>
      <c r="I204" s="16" t="n"/>
      <c r="J204" s="16" t="n"/>
      <c r="K204" s="14" t="n"/>
      <c r="L204" s="14" t="n"/>
      <c r="M204" s="14" t="n"/>
      <c r="N204" s="14" t="n"/>
      <c r="O204" s="13" t="n"/>
      <c r="P204" s="17">
        <f>IF(N(F204)=0,"",G204/F204)</f>
        <v/>
      </c>
      <c r="Q204" s="18">
        <f>IF(N(G204)=0,"",E204/G204)</f>
        <v/>
      </c>
      <c r="R204" s="17">
        <f>IF(N(G204)=0,"",H204/G204)</f>
        <v/>
      </c>
      <c r="S204" s="18">
        <f>IF(N(H204)=0,"",E204/H204)</f>
        <v/>
      </c>
      <c r="T204" s="18">
        <f>IF(N(K204)=0,"",E204/K204)</f>
        <v/>
      </c>
      <c r="U204" s="18">
        <f>IF(N(L204)=0,"",E204/L204)</f>
        <v/>
      </c>
      <c r="V204" s="18">
        <f>IF(N(N204)=0,"",E204/N204)</f>
        <v/>
      </c>
      <c r="W204" s="19">
        <f>IF(N(K204)=0,"",L204/K204)</f>
        <v/>
      </c>
      <c r="X204" s="19">
        <f>IF(N(M204)=0,"",N204/M204)</f>
        <v/>
      </c>
      <c r="Y204" s="20">
        <f>IF(N(E204)=0,"",O204/E204)</f>
        <v/>
      </c>
    </row>
    <row r="205">
      <c r="A205" s="10" t="n">
        <v>46503</v>
      </c>
      <c r="B205" s="11">
        <f>DATE(YEAR(A205),MONTH(A205),1)</f>
        <v/>
      </c>
      <c r="C205" t="inlineStr">
        <is>
          <t>S-FR | Québec-Lévis (test)</t>
        </is>
      </c>
      <c r="E205" s="13" t="n"/>
      <c r="F205" s="14" t="n"/>
      <c r="G205" s="14" t="n"/>
      <c r="H205" s="15" t="n"/>
      <c r="I205" s="16" t="n"/>
      <c r="J205" s="16" t="n"/>
      <c r="K205" s="14" t="n"/>
      <c r="L205" s="14" t="n"/>
      <c r="M205" s="14" t="n"/>
      <c r="N205" s="14" t="n"/>
      <c r="O205" s="13" t="n"/>
      <c r="P205" s="17">
        <f>IF(N(F205)=0,"",G205/F205)</f>
        <v/>
      </c>
      <c r="Q205" s="18">
        <f>IF(N(G205)=0,"",E205/G205)</f>
        <v/>
      </c>
      <c r="R205" s="17">
        <f>IF(N(G205)=0,"",H205/G205)</f>
        <v/>
      </c>
      <c r="S205" s="18">
        <f>IF(N(H205)=0,"",E205/H205)</f>
        <v/>
      </c>
      <c r="T205" s="18">
        <f>IF(N(K205)=0,"",E205/K205)</f>
        <v/>
      </c>
      <c r="U205" s="18">
        <f>IF(N(L205)=0,"",E205/L205)</f>
        <v/>
      </c>
      <c r="V205" s="18">
        <f>IF(N(N205)=0,"",E205/N205)</f>
        <v/>
      </c>
      <c r="W205" s="19">
        <f>IF(N(K205)=0,"",L205/K205)</f>
        <v/>
      </c>
      <c r="X205" s="19">
        <f>IF(N(M205)=0,"",N205/M205)</f>
        <v/>
      </c>
      <c r="Y205" s="20">
        <f>IF(N(E205)=0,"",O205/E205)</f>
        <v/>
      </c>
    </row>
    <row r="206">
      <c r="A206" s="10" t="n">
        <v>46503</v>
      </c>
      <c r="B206" s="11">
        <f>DATE(YEAR(A206),MONTH(A206),1)</f>
        <v/>
      </c>
      <c r="C206" t="inlineStr">
        <is>
          <t>Demand Gen</t>
        </is>
      </c>
      <c r="E206" s="13" t="n"/>
      <c r="F206" s="14" t="n"/>
      <c r="G206" s="14" t="n"/>
      <c r="H206" s="15" t="n"/>
      <c r="I206" s="16" t="n"/>
      <c r="J206" s="16" t="n"/>
      <c r="K206" s="14" t="n"/>
      <c r="L206" s="14" t="n"/>
      <c r="M206" s="14" t="n"/>
      <c r="N206" s="14" t="n"/>
      <c r="O206" s="13" t="n"/>
      <c r="P206" s="17">
        <f>IF(N(F206)=0,"",G206/F206)</f>
        <v/>
      </c>
      <c r="Q206" s="18">
        <f>IF(N(G206)=0,"",E206/G206)</f>
        <v/>
      </c>
      <c r="R206" s="17">
        <f>IF(N(G206)=0,"",H206/G206)</f>
        <v/>
      </c>
      <c r="S206" s="18">
        <f>IF(N(H206)=0,"",E206/H206)</f>
        <v/>
      </c>
      <c r="T206" s="18">
        <f>IF(N(K206)=0,"",E206/K206)</f>
        <v/>
      </c>
      <c r="U206" s="18">
        <f>IF(N(L206)=0,"",E206/L206)</f>
        <v/>
      </c>
      <c r="V206" s="18">
        <f>IF(N(N206)=0,"",E206/N206)</f>
        <v/>
      </c>
      <c r="W206" s="19">
        <f>IF(N(K206)=0,"",L206/K206)</f>
        <v/>
      </c>
      <c r="X206" s="19">
        <f>IF(N(M206)=0,"",N206/M206)</f>
        <v/>
      </c>
      <c r="Y206" s="20">
        <f>IF(N(E206)=0,"",O206/E206)</f>
        <v/>
      </c>
    </row>
    <row r="207">
      <c r="A207" s="21" t="n">
        <v>46503</v>
      </c>
      <c r="B207" s="22">
        <f>DATE(YEAR(A207),MONTH(A207),1)</f>
        <v/>
      </c>
      <c r="C207" s="23" t="inlineStr">
        <is>
          <t>Microsoft Ads</t>
        </is>
      </c>
      <c r="D207" s="23" t="n"/>
      <c r="E207" s="24" t="n"/>
      <c r="F207" s="25" t="n"/>
      <c r="G207" s="25" t="n"/>
      <c r="H207" s="26" t="n"/>
      <c r="I207" s="27" t="n"/>
      <c r="J207" s="27" t="n"/>
      <c r="K207" s="25" t="n"/>
      <c r="L207" s="25" t="n"/>
      <c r="M207" s="25" t="n"/>
      <c r="N207" s="25" t="n"/>
      <c r="O207" s="24" t="n"/>
      <c r="P207" s="28">
        <f>IF(N(F207)=0,"",G207/F207)</f>
        <v/>
      </c>
      <c r="Q207" s="29">
        <f>IF(N(G207)=0,"",E207/G207)</f>
        <v/>
      </c>
      <c r="R207" s="28">
        <f>IF(N(G207)=0,"",H207/G207)</f>
        <v/>
      </c>
      <c r="S207" s="29">
        <f>IF(N(H207)=0,"",E207/H207)</f>
        <v/>
      </c>
      <c r="T207" s="29">
        <f>IF(N(K207)=0,"",E207/K207)</f>
        <v/>
      </c>
      <c r="U207" s="29">
        <f>IF(N(L207)=0,"",E207/L207)</f>
        <v/>
      </c>
      <c r="V207" s="29">
        <f>IF(N(N207)=0,"",E207/N207)</f>
        <v/>
      </c>
      <c r="W207" s="30">
        <f>IF(N(K207)=0,"",L207/K207)</f>
        <v/>
      </c>
      <c r="X207" s="30">
        <f>IF(N(M207)=0,"",N207/M207)</f>
        <v/>
      </c>
      <c r="Y207" s="31">
        <f>IF(N(E207)=0,"",O207/E207)</f>
        <v/>
      </c>
    </row>
    <row r="208">
      <c r="A208" s="10" t="n">
        <v>46510</v>
      </c>
      <c r="B208" s="11">
        <f>DATE(YEAR(A208),MONTH(A208),1)</f>
        <v/>
      </c>
      <c r="C208" t="inlineStr">
        <is>
          <t>S-FR | Marque</t>
        </is>
      </c>
      <c r="E208" s="13" t="n"/>
      <c r="F208" s="14" t="n"/>
      <c r="G208" s="14" t="n"/>
      <c r="H208" s="15" t="n"/>
      <c r="I208" s="16" t="n"/>
      <c r="J208" s="16" t="n"/>
      <c r="K208" s="14" t="n"/>
      <c r="L208" s="14" t="n"/>
      <c r="M208" s="14" t="n"/>
      <c r="N208" s="14" t="n"/>
      <c r="O208" s="13" t="n"/>
      <c r="P208" s="17">
        <f>IF(N(F208)=0,"",G208/F208)</f>
        <v/>
      </c>
      <c r="Q208" s="18">
        <f>IF(N(G208)=0,"",E208/G208)</f>
        <v/>
      </c>
      <c r="R208" s="17">
        <f>IF(N(G208)=0,"",H208/G208)</f>
        <v/>
      </c>
      <c r="S208" s="18">
        <f>IF(N(H208)=0,"",E208/H208)</f>
        <v/>
      </c>
      <c r="T208" s="18">
        <f>IF(N(K208)=0,"",E208/K208)</f>
        <v/>
      </c>
      <c r="U208" s="18">
        <f>IF(N(L208)=0,"",E208/L208)</f>
        <v/>
      </c>
      <c r="V208" s="18">
        <f>IF(N(N208)=0,"",E208/N208)</f>
        <v/>
      </c>
      <c r="W208" s="19">
        <f>IF(N(K208)=0,"",L208/K208)</f>
        <v/>
      </c>
      <c r="X208" s="19">
        <f>IF(N(M208)=0,"",N208/M208)</f>
        <v/>
      </c>
      <c r="Y208" s="20">
        <f>IF(N(E208)=0,"",O208/E208)</f>
        <v/>
      </c>
    </row>
    <row r="209">
      <c r="A209" s="10" t="n">
        <v>46510</v>
      </c>
      <c r="B209" s="11">
        <f>DATE(YEAR(A209),MONTH(A209),1)</f>
        <v/>
      </c>
      <c r="C209" t="inlineStr">
        <is>
          <t>S-FR | Corporatif &amp; Fêtes</t>
        </is>
      </c>
      <c r="E209" s="13" t="n"/>
      <c r="F209" s="14" t="n"/>
      <c r="G209" s="14" t="n"/>
      <c r="H209" s="15" t="n"/>
      <c r="I209" s="16" t="n"/>
      <c r="J209" s="16" t="n"/>
      <c r="K209" s="14" t="n"/>
      <c r="L209" s="14" t="n"/>
      <c r="M209" s="14" t="n"/>
      <c r="N209" s="14" t="n"/>
      <c r="O209" s="13" t="n"/>
      <c r="P209" s="17">
        <f>IF(N(F209)=0,"",G209/F209)</f>
        <v/>
      </c>
      <c r="Q209" s="18">
        <f>IF(N(G209)=0,"",E209/G209)</f>
        <v/>
      </c>
      <c r="R209" s="17">
        <f>IF(N(G209)=0,"",H209/G209)</f>
        <v/>
      </c>
      <c r="S209" s="18">
        <f>IF(N(H209)=0,"",E209/H209)</f>
        <v/>
      </c>
      <c r="T209" s="18">
        <f>IF(N(K209)=0,"",E209/K209)</f>
        <v/>
      </c>
      <c r="U209" s="18">
        <f>IF(N(L209)=0,"",E209/L209)</f>
        <v/>
      </c>
      <c r="V209" s="18">
        <f>IF(N(N209)=0,"",E209/N209)</f>
        <v/>
      </c>
      <c r="W209" s="19">
        <f>IF(N(K209)=0,"",L209/K209)</f>
        <v/>
      </c>
      <c r="X209" s="19">
        <f>IF(N(M209)=0,"",N209/M209)</f>
        <v/>
      </c>
      <c r="Y209" s="20">
        <f>IF(N(E209)=0,"",O209/E209)</f>
        <v/>
      </c>
    </row>
    <row r="210">
      <c r="A210" s="10" t="n">
        <v>46510</v>
      </c>
      <c r="B210" s="11">
        <f>DATE(YEAR(A210),MONTH(A210),1)</f>
        <v/>
      </c>
      <c r="C210" t="inlineStr">
        <is>
          <t>S-FR | Événements privés</t>
        </is>
      </c>
      <c r="E210" s="13" t="n"/>
      <c r="F210" s="14" t="n"/>
      <c r="G210" s="14" t="n"/>
      <c r="H210" s="15" t="n"/>
      <c r="I210" s="16" t="n"/>
      <c r="J210" s="16" t="n"/>
      <c r="K210" s="14" t="n"/>
      <c r="L210" s="14" t="n"/>
      <c r="M210" s="14" t="n"/>
      <c r="N210" s="14" t="n"/>
      <c r="O210" s="13" t="n"/>
      <c r="P210" s="17">
        <f>IF(N(F210)=0,"",G210/F210)</f>
        <v/>
      </c>
      <c r="Q210" s="18">
        <f>IF(N(G210)=0,"",E210/G210)</f>
        <v/>
      </c>
      <c r="R210" s="17">
        <f>IF(N(G210)=0,"",H210/G210)</f>
        <v/>
      </c>
      <c r="S210" s="18">
        <f>IF(N(H210)=0,"",E210/H210)</f>
        <v/>
      </c>
      <c r="T210" s="18">
        <f>IF(N(K210)=0,"",E210/K210)</f>
        <v/>
      </c>
      <c r="U210" s="18">
        <f>IF(N(L210)=0,"",E210/L210)</f>
        <v/>
      </c>
      <c r="V210" s="18">
        <f>IF(N(N210)=0,"",E210/N210)</f>
        <v/>
      </c>
      <c r="W210" s="19">
        <f>IF(N(K210)=0,"",L210/K210)</f>
        <v/>
      </c>
      <c r="X210" s="19">
        <f>IF(N(M210)=0,"",N210/M210)</f>
        <v/>
      </c>
      <c r="Y210" s="20">
        <f>IF(N(E210)=0,"",O210/E210)</f>
        <v/>
      </c>
    </row>
    <row r="211">
      <c r="A211" s="10" t="n">
        <v>46510</v>
      </c>
      <c r="B211" s="11">
        <f>DATE(YEAR(A211),MONTH(A211),1)</f>
        <v/>
      </c>
      <c r="C211" t="inlineStr">
        <is>
          <t>S-EN | Corporate Montréal</t>
        </is>
      </c>
      <c r="E211" s="13" t="n"/>
      <c r="F211" s="14" t="n"/>
      <c r="G211" s="14" t="n"/>
      <c r="H211" s="15" t="n"/>
      <c r="I211" s="16" t="n"/>
      <c r="J211" s="16" t="n"/>
      <c r="K211" s="14" t="n"/>
      <c r="L211" s="14" t="n"/>
      <c r="M211" s="14" t="n"/>
      <c r="N211" s="14" t="n"/>
      <c r="O211" s="13" t="n"/>
      <c r="P211" s="17">
        <f>IF(N(F211)=0,"",G211/F211)</f>
        <v/>
      </c>
      <c r="Q211" s="18">
        <f>IF(N(G211)=0,"",E211/G211)</f>
        <v/>
      </c>
      <c r="R211" s="17">
        <f>IF(N(G211)=0,"",H211/G211)</f>
        <v/>
      </c>
      <c r="S211" s="18">
        <f>IF(N(H211)=0,"",E211/H211)</f>
        <v/>
      </c>
      <c r="T211" s="18">
        <f>IF(N(K211)=0,"",E211/K211)</f>
        <v/>
      </c>
      <c r="U211" s="18">
        <f>IF(N(L211)=0,"",E211/L211)</f>
        <v/>
      </c>
      <c r="V211" s="18">
        <f>IF(N(N211)=0,"",E211/N211)</f>
        <v/>
      </c>
      <c r="W211" s="19">
        <f>IF(N(K211)=0,"",L211/K211)</f>
        <v/>
      </c>
      <c r="X211" s="19">
        <f>IF(N(M211)=0,"",N211/M211)</f>
        <v/>
      </c>
      <c r="Y211" s="20">
        <f>IF(N(E211)=0,"",O211/E211)</f>
        <v/>
      </c>
    </row>
    <row r="212">
      <c r="A212" s="10" t="n">
        <v>46510</v>
      </c>
      <c r="B212" s="11">
        <f>DATE(YEAR(A212),MONTH(A212),1)</f>
        <v/>
      </c>
      <c r="C212" t="inlineStr">
        <is>
          <t>S-FR | Québec-Lévis (test)</t>
        </is>
      </c>
      <c r="E212" s="13" t="n"/>
      <c r="F212" s="14" t="n"/>
      <c r="G212" s="14" t="n"/>
      <c r="H212" s="15" t="n"/>
      <c r="I212" s="16" t="n"/>
      <c r="J212" s="16" t="n"/>
      <c r="K212" s="14" t="n"/>
      <c r="L212" s="14" t="n"/>
      <c r="M212" s="14" t="n"/>
      <c r="N212" s="14" t="n"/>
      <c r="O212" s="13" t="n"/>
      <c r="P212" s="17">
        <f>IF(N(F212)=0,"",G212/F212)</f>
        <v/>
      </c>
      <c r="Q212" s="18">
        <f>IF(N(G212)=0,"",E212/G212)</f>
        <v/>
      </c>
      <c r="R212" s="17">
        <f>IF(N(G212)=0,"",H212/G212)</f>
        <v/>
      </c>
      <c r="S212" s="18">
        <f>IF(N(H212)=0,"",E212/H212)</f>
        <v/>
      </c>
      <c r="T212" s="18">
        <f>IF(N(K212)=0,"",E212/K212)</f>
        <v/>
      </c>
      <c r="U212" s="18">
        <f>IF(N(L212)=0,"",E212/L212)</f>
        <v/>
      </c>
      <c r="V212" s="18">
        <f>IF(N(N212)=0,"",E212/N212)</f>
        <v/>
      </c>
      <c r="W212" s="19">
        <f>IF(N(K212)=0,"",L212/K212)</f>
        <v/>
      </c>
      <c r="X212" s="19">
        <f>IF(N(M212)=0,"",N212/M212)</f>
        <v/>
      </c>
      <c r="Y212" s="20">
        <f>IF(N(E212)=0,"",O212/E212)</f>
        <v/>
      </c>
    </row>
    <row r="213">
      <c r="A213" s="10" t="n">
        <v>46510</v>
      </c>
      <c r="B213" s="11">
        <f>DATE(YEAR(A213),MONTH(A213),1)</f>
        <v/>
      </c>
      <c r="C213" t="inlineStr">
        <is>
          <t>Demand Gen</t>
        </is>
      </c>
      <c r="E213" s="13" t="n"/>
      <c r="F213" s="14" t="n"/>
      <c r="G213" s="14" t="n"/>
      <c r="H213" s="15" t="n"/>
      <c r="I213" s="16" t="n"/>
      <c r="J213" s="16" t="n"/>
      <c r="K213" s="14" t="n"/>
      <c r="L213" s="14" t="n"/>
      <c r="M213" s="14" t="n"/>
      <c r="N213" s="14" t="n"/>
      <c r="O213" s="13" t="n"/>
      <c r="P213" s="17">
        <f>IF(N(F213)=0,"",G213/F213)</f>
        <v/>
      </c>
      <c r="Q213" s="18">
        <f>IF(N(G213)=0,"",E213/G213)</f>
        <v/>
      </c>
      <c r="R213" s="17">
        <f>IF(N(G213)=0,"",H213/G213)</f>
        <v/>
      </c>
      <c r="S213" s="18">
        <f>IF(N(H213)=0,"",E213/H213)</f>
        <v/>
      </c>
      <c r="T213" s="18">
        <f>IF(N(K213)=0,"",E213/K213)</f>
        <v/>
      </c>
      <c r="U213" s="18">
        <f>IF(N(L213)=0,"",E213/L213)</f>
        <v/>
      </c>
      <c r="V213" s="18">
        <f>IF(N(N213)=0,"",E213/N213)</f>
        <v/>
      </c>
      <c r="W213" s="19">
        <f>IF(N(K213)=0,"",L213/K213)</f>
        <v/>
      </c>
      <c r="X213" s="19">
        <f>IF(N(M213)=0,"",N213/M213)</f>
        <v/>
      </c>
      <c r="Y213" s="20">
        <f>IF(N(E213)=0,"",O213/E213)</f>
        <v/>
      </c>
    </row>
    <row r="214">
      <c r="A214" s="21" t="n">
        <v>46510</v>
      </c>
      <c r="B214" s="22">
        <f>DATE(YEAR(A214),MONTH(A214),1)</f>
        <v/>
      </c>
      <c r="C214" s="23" t="inlineStr">
        <is>
          <t>Microsoft Ads</t>
        </is>
      </c>
      <c r="D214" s="23" t="n"/>
      <c r="E214" s="24" t="n"/>
      <c r="F214" s="25" t="n"/>
      <c r="G214" s="25" t="n"/>
      <c r="H214" s="26" t="n"/>
      <c r="I214" s="27" t="n"/>
      <c r="J214" s="27" t="n"/>
      <c r="K214" s="25" t="n"/>
      <c r="L214" s="25" t="n"/>
      <c r="M214" s="25" t="n"/>
      <c r="N214" s="25" t="n"/>
      <c r="O214" s="24" t="n"/>
      <c r="P214" s="28">
        <f>IF(N(F214)=0,"",G214/F214)</f>
        <v/>
      </c>
      <c r="Q214" s="29">
        <f>IF(N(G214)=0,"",E214/G214)</f>
        <v/>
      </c>
      <c r="R214" s="28">
        <f>IF(N(G214)=0,"",H214/G214)</f>
        <v/>
      </c>
      <c r="S214" s="29">
        <f>IF(N(H214)=0,"",E214/H214)</f>
        <v/>
      </c>
      <c r="T214" s="29">
        <f>IF(N(K214)=0,"",E214/K214)</f>
        <v/>
      </c>
      <c r="U214" s="29">
        <f>IF(N(L214)=0,"",E214/L214)</f>
        <v/>
      </c>
      <c r="V214" s="29">
        <f>IF(N(N214)=0,"",E214/N214)</f>
        <v/>
      </c>
      <c r="W214" s="30">
        <f>IF(N(K214)=0,"",L214/K214)</f>
        <v/>
      </c>
      <c r="X214" s="30">
        <f>IF(N(M214)=0,"",N214/M214)</f>
        <v/>
      </c>
      <c r="Y214" s="31">
        <f>IF(N(E214)=0,"",O214/E214)</f>
        <v/>
      </c>
    </row>
    <row r="215">
      <c r="A215" s="10" t="n">
        <v>46517</v>
      </c>
      <c r="B215" s="11">
        <f>DATE(YEAR(A215),MONTH(A215),1)</f>
        <v/>
      </c>
      <c r="C215" t="inlineStr">
        <is>
          <t>S-FR | Marque</t>
        </is>
      </c>
      <c r="E215" s="13" t="n"/>
      <c r="F215" s="14" t="n"/>
      <c r="G215" s="14" t="n"/>
      <c r="H215" s="15" t="n"/>
      <c r="I215" s="16" t="n"/>
      <c r="J215" s="16" t="n"/>
      <c r="K215" s="14" t="n"/>
      <c r="L215" s="14" t="n"/>
      <c r="M215" s="14" t="n"/>
      <c r="N215" s="14" t="n"/>
      <c r="O215" s="13" t="n"/>
      <c r="P215" s="17">
        <f>IF(N(F215)=0,"",G215/F215)</f>
        <v/>
      </c>
      <c r="Q215" s="18">
        <f>IF(N(G215)=0,"",E215/G215)</f>
        <v/>
      </c>
      <c r="R215" s="17">
        <f>IF(N(G215)=0,"",H215/G215)</f>
        <v/>
      </c>
      <c r="S215" s="18">
        <f>IF(N(H215)=0,"",E215/H215)</f>
        <v/>
      </c>
      <c r="T215" s="18">
        <f>IF(N(K215)=0,"",E215/K215)</f>
        <v/>
      </c>
      <c r="U215" s="18">
        <f>IF(N(L215)=0,"",E215/L215)</f>
        <v/>
      </c>
      <c r="V215" s="18">
        <f>IF(N(N215)=0,"",E215/N215)</f>
        <v/>
      </c>
      <c r="W215" s="19">
        <f>IF(N(K215)=0,"",L215/K215)</f>
        <v/>
      </c>
      <c r="X215" s="19">
        <f>IF(N(M215)=0,"",N215/M215)</f>
        <v/>
      </c>
      <c r="Y215" s="20">
        <f>IF(N(E215)=0,"",O215/E215)</f>
        <v/>
      </c>
    </row>
    <row r="216">
      <c r="A216" s="10" t="n">
        <v>46517</v>
      </c>
      <c r="B216" s="11">
        <f>DATE(YEAR(A216),MONTH(A216),1)</f>
        <v/>
      </c>
      <c r="C216" t="inlineStr">
        <is>
          <t>S-FR | Corporatif &amp; Fêtes</t>
        </is>
      </c>
      <c r="E216" s="13" t="n"/>
      <c r="F216" s="14" t="n"/>
      <c r="G216" s="14" t="n"/>
      <c r="H216" s="15" t="n"/>
      <c r="I216" s="16" t="n"/>
      <c r="J216" s="16" t="n"/>
      <c r="K216" s="14" t="n"/>
      <c r="L216" s="14" t="n"/>
      <c r="M216" s="14" t="n"/>
      <c r="N216" s="14" t="n"/>
      <c r="O216" s="13" t="n"/>
      <c r="P216" s="17">
        <f>IF(N(F216)=0,"",G216/F216)</f>
        <v/>
      </c>
      <c r="Q216" s="18">
        <f>IF(N(G216)=0,"",E216/G216)</f>
        <v/>
      </c>
      <c r="R216" s="17">
        <f>IF(N(G216)=0,"",H216/G216)</f>
        <v/>
      </c>
      <c r="S216" s="18">
        <f>IF(N(H216)=0,"",E216/H216)</f>
        <v/>
      </c>
      <c r="T216" s="18">
        <f>IF(N(K216)=0,"",E216/K216)</f>
        <v/>
      </c>
      <c r="U216" s="18">
        <f>IF(N(L216)=0,"",E216/L216)</f>
        <v/>
      </c>
      <c r="V216" s="18">
        <f>IF(N(N216)=0,"",E216/N216)</f>
        <v/>
      </c>
      <c r="W216" s="19">
        <f>IF(N(K216)=0,"",L216/K216)</f>
        <v/>
      </c>
      <c r="X216" s="19">
        <f>IF(N(M216)=0,"",N216/M216)</f>
        <v/>
      </c>
      <c r="Y216" s="20">
        <f>IF(N(E216)=0,"",O216/E216)</f>
        <v/>
      </c>
    </row>
    <row r="217">
      <c r="A217" s="10" t="n">
        <v>46517</v>
      </c>
      <c r="B217" s="11">
        <f>DATE(YEAR(A217),MONTH(A217),1)</f>
        <v/>
      </c>
      <c r="C217" t="inlineStr">
        <is>
          <t>S-FR | Événements privés</t>
        </is>
      </c>
      <c r="E217" s="13" t="n"/>
      <c r="F217" s="14" t="n"/>
      <c r="G217" s="14" t="n"/>
      <c r="H217" s="15" t="n"/>
      <c r="I217" s="16" t="n"/>
      <c r="J217" s="16" t="n"/>
      <c r="K217" s="14" t="n"/>
      <c r="L217" s="14" t="n"/>
      <c r="M217" s="14" t="n"/>
      <c r="N217" s="14" t="n"/>
      <c r="O217" s="13" t="n"/>
      <c r="P217" s="17">
        <f>IF(N(F217)=0,"",G217/F217)</f>
        <v/>
      </c>
      <c r="Q217" s="18">
        <f>IF(N(G217)=0,"",E217/G217)</f>
        <v/>
      </c>
      <c r="R217" s="17">
        <f>IF(N(G217)=0,"",H217/G217)</f>
        <v/>
      </c>
      <c r="S217" s="18">
        <f>IF(N(H217)=0,"",E217/H217)</f>
        <v/>
      </c>
      <c r="T217" s="18">
        <f>IF(N(K217)=0,"",E217/K217)</f>
        <v/>
      </c>
      <c r="U217" s="18">
        <f>IF(N(L217)=0,"",E217/L217)</f>
        <v/>
      </c>
      <c r="V217" s="18">
        <f>IF(N(N217)=0,"",E217/N217)</f>
        <v/>
      </c>
      <c r="W217" s="19">
        <f>IF(N(K217)=0,"",L217/K217)</f>
        <v/>
      </c>
      <c r="X217" s="19">
        <f>IF(N(M217)=0,"",N217/M217)</f>
        <v/>
      </c>
      <c r="Y217" s="20">
        <f>IF(N(E217)=0,"",O217/E217)</f>
        <v/>
      </c>
    </row>
    <row r="218">
      <c r="A218" s="10" t="n">
        <v>46517</v>
      </c>
      <c r="B218" s="11">
        <f>DATE(YEAR(A218),MONTH(A218),1)</f>
        <v/>
      </c>
      <c r="C218" t="inlineStr">
        <is>
          <t>S-EN | Corporate Montréal</t>
        </is>
      </c>
      <c r="E218" s="13" t="n"/>
      <c r="F218" s="14" t="n"/>
      <c r="G218" s="14" t="n"/>
      <c r="H218" s="15" t="n"/>
      <c r="I218" s="16" t="n"/>
      <c r="J218" s="16" t="n"/>
      <c r="K218" s="14" t="n"/>
      <c r="L218" s="14" t="n"/>
      <c r="M218" s="14" t="n"/>
      <c r="N218" s="14" t="n"/>
      <c r="O218" s="13" t="n"/>
      <c r="P218" s="17">
        <f>IF(N(F218)=0,"",G218/F218)</f>
        <v/>
      </c>
      <c r="Q218" s="18">
        <f>IF(N(G218)=0,"",E218/G218)</f>
        <v/>
      </c>
      <c r="R218" s="17">
        <f>IF(N(G218)=0,"",H218/G218)</f>
        <v/>
      </c>
      <c r="S218" s="18">
        <f>IF(N(H218)=0,"",E218/H218)</f>
        <v/>
      </c>
      <c r="T218" s="18">
        <f>IF(N(K218)=0,"",E218/K218)</f>
        <v/>
      </c>
      <c r="U218" s="18">
        <f>IF(N(L218)=0,"",E218/L218)</f>
        <v/>
      </c>
      <c r="V218" s="18">
        <f>IF(N(N218)=0,"",E218/N218)</f>
        <v/>
      </c>
      <c r="W218" s="19">
        <f>IF(N(K218)=0,"",L218/K218)</f>
        <v/>
      </c>
      <c r="X218" s="19">
        <f>IF(N(M218)=0,"",N218/M218)</f>
        <v/>
      </c>
      <c r="Y218" s="20">
        <f>IF(N(E218)=0,"",O218/E218)</f>
        <v/>
      </c>
    </row>
    <row r="219">
      <c r="A219" s="10" t="n">
        <v>46517</v>
      </c>
      <c r="B219" s="11">
        <f>DATE(YEAR(A219),MONTH(A219),1)</f>
        <v/>
      </c>
      <c r="C219" t="inlineStr">
        <is>
          <t>S-FR | Québec-Lévis (test)</t>
        </is>
      </c>
      <c r="E219" s="13" t="n"/>
      <c r="F219" s="14" t="n"/>
      <c r="G219" s="14" t="n"/>
      <c r="H219" s="15" t="n"/>
      <c r="I219" s="16" t="n"/>
      <c r="J219" s="16" t="n"/>
      <c r="K219" s="14" t="n"/>
      <c r="L219" s="14" t="n"/>
      <c r="M219" s="14" t="n"/>
      <c r="N219" s="14" t="n"/>
      <c r="O219" s="13" t="n"/>
      <c r="P219" s="17">
        <f>IF(N(F219)=0,"",G219/F219)</f>
        <v/>
      </c>
      <c r="Q219" s="18">
        <f>IF(N(G219)=0,"",E219/G219)</f>
        <v/>
      </c>
      <c r="R219" s="17">
        <f>IF(N(G219)=0,"",H219/G219)</f>
        <v/>
      </c>
      <c r="S219" s="18">
        <f>IF(N(H219)=0,"",E219/H219)</f>
        <v/>
      </c>
      <c r="T219" s="18">
        <f>IF(N(K219)=0,"",E219/K219)</f>
        <v/>
      </c>
      <c r="U219" s="18">
        <f>IF(N(L219)=0,"",E219/L219)</f>
        <v/>
      </c>
      <c r="V219" s="18">
        <f>IF(N(N219)=0,"",E219/N219)</f>
        <v/>
      </c>
      <c r="W219" s="19">
        <f>IF(N(K219)=0,"",L219/K219)</f>
        <v/>
      </c>
      <c r="X219" s="19">
        <f>IF(N(M219)=0,"",N219/M219)</f>
        <v/>
      </c>
      <c r="Y219" s="20">
        <f>IF(N(E219)=0,"",O219/E219)</f>
        <v/>
      </c>
    </row>
    <row r="220">
      <c r="A220" s="10" t="n">
        <v>46517</v>
      </c>
      <c r="B220" s="11">
        <f>DATE(YEAR(A220),MONTH(A220),1)</f>
        <v/>
      </c>
      <c r="C220" t="inlineStr">
        <is>
          <t>Demand Gen</t>
        </is>
      </c>
      <c r="E220" s="13" t="n"/>
      <c r="F220" s="14" t="n"/>
      <c r="G220" s="14" t="n"/>
      <c r="H220" s="15" t="n"/>
      <c r="I220" s="16" t="n"/>
      <c r="J220" s="16" t="n"/>
      <c r="K220" s="14" t="n"/>
      <c r="L220" s="14" t="n"/>
      <c r="M220" s="14" t="n"/>
      <c r="N220" s="14" t="n"/>
      <c r="O220" s="13" t="n"/>
      <c r="P220" s="17">
        <f>IF(N(F220)=0,"",G220/F220)</f>
        <v/>
      </c>
      <c r="Q220" s="18">
        <f>IF(N(G220)=0,"",E220/G220)</f>
        <v/>
      </c>
      <c r="R220" s="17">
        <f>IF(N(G220)=0,"",H220/G220)</f>
        <v/>
      </c>
      <c r="S220" s="18">
        <f>IF(N(H220)=0,"",E220/H220)</f>
        <v/>
      </c>
      <c r="T220" s="18">
        <f>IF(N(K220)=0,"",E220/K220)</f>
        <v/>
      </c>
      <c r="U220" s="18">
        <f>IF(N(L220)=0,"",E220/L220)</f>
        <v/>
      </c>
      <c r="V220" s="18">
        <f>IF(N(N220)=0,"",E220/N220)</f>
        <v/>
      </c>
      <c r="W220" s="19">
        <f>IF(N(K220)=0,"",L220/K220)</f>
        <v/>
      </c>
      <c r="X220" s="19">
        <f>IF(N(M220)=0,"",N220/M220)</f>
        <v/>
      </c>
      <c r="Y220" s="20">
        <f>IF(N(E220)=0,"",O220/E220)</f>
        <v/>
      </c>
    </row>
    <row r="221">
      <c r="A221" s="21" t="n">
        <v>46517</v>
      </c>
      <c r="B221" s="22">
        <f>DATE(YEAR(A221),MONTH(A221),1)</f>
        <v/>
      </c>
      <c r="C221" s="23" t="inlineStr">
        <is>
          <t>Microsoft Ads</t>
        </is>
      </c>
      <c r="D221" s="23" t="n"/>
      <c r="E221" s="24" t="n"/>
      <c r="F221" s="25" t="n"/>
      <c r="G221" s="25" t="n"/>
      <c r="H221" s="26" t="n"/>
      <c r="I221" s="27" t="n"/>
      <c r="J221" s="27" t="n"/>
      <c r="K221" s="25" t="n"/>
      <c r="L221" s="25" t="n"/>
      <c r="M221" s="25" t="n"/>
      <c r="N221" s="25" t="n"/>
      <c r="O221" s="24" t="n"/>
      <c r="P221" s="28">
        <f>IF(N(F221)=0,"",G221/F221)</f>
        <v/>
      </c>
      <c r="Q221" s="29">
        <f>IF(N(G221)=0,"",E221/G221)</f>
        <v/>
      </c>
      <c r="R221" s="28">
        <f>IF(N(G221)=0,"",H221/G221)</f>
        <v/>
      </c>
      <c r="S221" s="29">
        <f>IF(N(H221)=0,"",E221/H221)</f>
        <v/>
      </c>
      <c r="T221" s="29">
        <f>IF(N(K221)=0,"",E221/K221)</f>
        <v/>
      </c>
      <c r="U221" s="29">
        <f>IF(N(L221)=0,"",E221/L221)</f>
        <v/>
      </c>
      <c r="V221" s="29">
        <f>IF(N(N221)=0,"",E221/N221)</f>
        <v/>
      </c>
      <c r="W221" s="30">
        <f>IF(N(K221)=0,"",L221/K221)</f>
        <v/>
      </c>
      <c r="X221" s="30">
        <f>IF(N(M221)=0,"",N221/M221)</f>
        <v/>
      </c>
      <c r="Y221" s="31">
        <f>IF(N(E221)=0,"",O221/E221)</f>
        <v/>
      </c>
    </row>
    <row r="222">
      <c r="A222" s="10" t="n">
        <v>46524</v>
      </c>
      <c r="B222" s="11">
        <f>DATE(YEAR(A222),MONTH(A222),1)</f>
        <v/>
      </c>
      <c r="C222" t="inlineStr">
        <is>
          <t>S-FR | Marque</t>
        </is>
      </c>
      <c r="E222" s="13" t="n"/>
      <c r="F222" s="14" t="n"/>
      <c r="G222" s="14" t="n"/>
      <c r="H222" s="15" t="n"/>
      <c r="I222" s="16" t="n"/>
      <c r="J222" s="16" t="n"/>
      <c r="K222" s="14" t="n"/>
      <c r="L222" s="14" t="n"/>
      <c r="M222" s="14" t="n"/>
      <c r="N222" s="14" t="n"/>
      <c r="O222" s="13" t="n"/>
      <c r="P222" s="17">
        <f>IF(N(F222)=0,"",G222/F222)</f>
        <v/>
      </c>
      <c r="Q222" s="18">
        <f>IF(N(G222)=0,"",E222/G222)</f>
        <v/>
      </c>
      <c r="R222" s="17">
        <f>IF(N(G222)=0,"",H222/G222)</f>
        <v/>
      </c>
      <c r="S222" s="18">
        <f>IF(N(H222)=0,"",E222/H222)</f>
        <v/>
      </c>
      <c r="T222" s="18">
        <f>IF(N(K222)=0,"",E222/K222)</f>
        <v/>
      </c>
      <c r="U222" s="18">
        <f>IF(N(L222)=0,"",E222/L222)</f>
        <v/>
      </c>
      <c r="V222" s="18">
        <f>IF(N(N222)=0,"",E222/N222)</f>
        <v/>
      </c>
      <c r="W222" s="19">
        <f>IF(N(K222)=0,"",L222/K222)</f>
        <v/>
      </c>
      <c r="X222" s="19">
        <f>IF(N(M222)=0,"",N222/M222)</f>
        <v/>
      </c>
      <c r="Y222" s="20">
        <f>IF(N(E222)=0,"",O222/E222)</f>
        <v/>
      </c>
    </row>
    <row r="223">
      <c r="A223" s="10" t="n">
        <v>46524</v>
      </c>
      <c r="B223" s="11">
        <f>DATE(YEAR(A223),MONTH(A223),1)</f>
        <v/>
      </c>
      <c r="C223" t="inlineStr">
        <is>
          <t>S-FR | Corporatif &amp; Fêtes</t>
        </is>
      </c>
      <c r="E223" s="13" t="n"/>
      <c r="F223" s="14" t="n"/>
      <c r="G223" s="14" t="n"/>
      <c r="H223" s="15" t="n"/>
      <c r="I223" s="16" t="n"/>
      <c r="J223" s="16" t="n"/>
      <c r="K223" s="14" t="n"/>
      <c r="L223" s="14" t="n"/>
      <c r="M223" s="14" t="n"/>
      <c r="N223" s="14" t="n"/>
      <c r="O223" s="13" t="n"/>
      <c r="P223" s="17">
        <f>IF(N(F223)=0,"",G223/F223)</f>
        <v/>
      </c>
      <c r="Q223" s="18">
        <f>IF(N(G223)=0,"",E223/G223)</f>
        <v/>
      </c>
      <c r="R223" s="17">
        <f>IF(N(G223)=0,"",H223/G223)</f>
        <v/>
      </c>
      <c r="S223" s="18">
        <f>IF(N(H223)=0,"",E223/H223)</f>
        <v/>
      </c>
      <c r="T223" s="18">
        <f>IF(N(K223)=0,"",E223/K223)</f>
        <v/>
      </c>
      <c r="U223" s="18">
        <f>IF(N(L223)=0,"",E223/L223)</f>
        <v/>
      </c>
      <c r="V223" s="18">
        <f>IF(N(N223)=0,"",E223/N223)</f>
        <v/>
      </c>
      <c r="W223" s="19">
        <f>IF(N(K223)=0,"",L223/K223)</f>
        <v/>
      </c>
      <c r="X223" s="19">
        <f>IF(N(M223)=0,"",N223/M223)</f>
        <v/>
      </c>
      <c r="Y223" s="20">
        <f>IF(N(E223)=0,"",O223/E223)</f>
        <v/>
      </c>
    </row>
    <row r="224">
      <c r="A224" s="10" t="n">
        <v>46524</v>
      </c>
      <c r="B224" s="11">
        <f>DATE(YEAR(A224),MONTH(A224),1)</f>
        <v/>
      </c>
      <c r="C224" t="inlineStr">
        <is>
          <t>S-FR | Événements privés</t>
        </is>
      </c>
      <c r="E224" s="13" t="n"/>
      <c r="F224" s="14" t="n"/>
      <c r="G224" s="14" t="n"/>
      <c r="H224" s="15" t="n"/>
      <c r="I224" s="16" t="n"/>
      <c r="J224" s="16" t="n"/>
      <c r="K224" s="14" t="n"/>
      <c r="L224" s="14" t="n"/>
      <c r="M224" s="14" t="n"/>
      <c r="N224" s="14" t="n"/>
      <c r="O224" s="13" t="n"/>
      <c r="P224" s="17">
        <f>IF(N(F224)=0,"",G224/F224)</f>
        <v/>
      </c>
      <c r="Q224" s="18">
        <f>IF(N(G224)=0,"",E224/G224)</f>
        <v/>
      </c>
      <c r="R224" s="17">
        <f>IF(N(G224)=0,"",H224/G224)</f>
        <v/>
      </c>
      <c r="S224" s="18">
        <f>IF(N(H224)=0,"",E224/H224)</f>
        <v/>
      </c>
      <c r="T224" s="18">
        <f>IF(N(K224)=0,"",E224/K224)</f>
        <v/>
      </c>
      <c r="U224" s="18">
        <f>IF(N(L224)=0,"",E224/L224)</f>
        <v/>
      </c>
      <c r="V224" s="18">
        <f>IF(N(N224)=0,"",E224/N224)</f>
        <v/>
      </c>
      <c r="W224" s="19">
        <f>IF(N(K224)=0,"",L224/K224)</f>
        <v/>
      </c>
      <c r="X224" s="19">
        <f>IF(N(M224)=0,"",N224/M224)</f>
        <v/>
      </c>
      <c r="Y224" s="20">
        <f>IF(N(E224)=0,"",O224/E224)</f>
        <v/>
      </c>
    </row>
    <row r="225">
      <c r="A225" s="10" t="n">
        <v>46524</v>
      </c>
      <c r="B225" s="11">
        <f>DATE(YEAR(A225),MONTH(A225),1)</f>
        <v/>
      </c>
      <c r="C225" t="inlineStr">
        <is>
          <t>S-EN | Corporate Montréal</t>
        </is>
      </c>
      <c r="E225" s="13" t="n"/>
      <c r="F225" s="14" t="n"/>
      <c r="G225" s="14" t="n"/>
      <c r="H225" s="15" t="n"/>
      <c r="I225" s="16" t="n"/>
      <c r="J225" s="16" t="n"/>
      <c r="K225" s="14" t="n"/>
      <c r="L225" s="14" t="n"/>
      <c r="M225" s="14" t="n"/>
      <c r="N225" s="14" t="n"/>
      <c r="O225" s="13" t="n"/>
      <c r="P225" s="17">
        <f>IF(N(F225)=0,"",G225/F225)</f>
        <v/>
      </c>
      <c r="Q225" s="18">
        <f>IF(N(G225)=0,"",E225/G225)</f>
        <v/>
      </c>
      <c r="R225" s="17">
        <f>IF(N(G225)=0,"",H225/G225)</f>
        <v/>
      </c>
      <c r="S225" s="18">
        <f>IF(N(H225)=0,"",E225/H225)</f>
        <v/>
      </c>
      <c r="T225" s="18">
        <f>IF(N(K225)=0,"",E225/K225)</f>
        <v/>
      </c>
      <c r="U225" s="18">
        <f>IF(N(L225)=0,"",E225/L225)</f>
        <v/>
      </c>
      <c r="V225" s="18">
        <f>IF(N(N225)=0,"",E225/N225)</f>
        <v/>
      </c>
      <c r="W225" s="19">
        <f>IF(N(K225)=0,"",L225/K225)</f>
        <v/>
      </c>
      <c r="X225" s="19">
        <f>IF(N(M225)=0,"",N225/M225)</f>
        <v/>
      </c>
      <c r="Y225" s="20">
        <f>IF(N(E225)=0,"",O225/E225)</f>
        <v/>
      </c>
    </row>
    <row r="226">
      <c r="A226" s="10" t="n">
        <v>46524</v>
      </c>
      <c r="B226" s="11">
        <f>DATE(YEAR(A226),MONTH(A226),1)</f>
        <v/>
      </c>
      <c r="C226" t="inlineStr">
        <is>
          <t>S-FR | Québec-Lévis (test)</t>
        </is>
      </c>
      <c r="E226" s="13" t="n"/>
      <c r="F226" s="14" t="n"/>
      <c r="G226" s="14" t="n"/>
      <c r="H226" s="15" t="n"/>
      <c r="I226" s="16" t="n"/>
      <c r="J226" s="16" t="n"/>
      <c r="K226" s="14" t="n"/>
      <c r="L226" s="14" t="n"/>
      <c r="M226" s="14" t="n"/>
      <c r="N226" s="14" t="n"/>
      <c r="O226" s="13" t="n"/>
      <c r="P226" s="17">
        <f>IF(N(F226)=0,"",G226/F226)</f>
        <v/>
      </c>
      <c r="Q226" s="18">
        <f>IF(N(G226)=0,"",E226/G226)</f>
        <v/>
      </c>
      <c r="R226" s="17">
        <f>IF(N(G226)=0,"",H226/G226)</f>
        <v/>
      </c>
      <c r="S226" s="18">
        <f>IF(N(H226)=0,"",E226/H226)</f>
        <v/>
      </c>
      <c r="T226" s="18">
        <f>IF(N(K226)=0,"",E226/K226)</f>
        <v/>
      </c>
      <c r="U226" s="18">
        <f>IF(N(L226)=0,"",E226/L226)</f>
        <v/>
      </c>
      <c r="V226" s="18">
        <f>IF(N(N226)=0,"",E226/N226)</f>
        <v/>
      </c>
      <c r="W226" s="19">
        <f>IF(N(K226)=0,"",L226/K226)</f>
        <v/>
      </c>
      <c r="X226" s="19">
        <f>IF(N(M226)=0,"",N226/M226)</f>
        <v/>
      </c>
      <c r="Y226" s="20">
        <f>IF(N(E226)=0,"",O226/E226)</f>
        <v/>
      </c>
    </row>
    <row r="227">
      <c r="A227" s="10" t="n">
        <v>46524</v>
      </c>
      <c r="B227" s="11">
        <f>DATE(YEAR(A227),MONTH(A227),1)</f>
        <v/>
      </c>
      <c r="C227" t="inlineStr">
        <is>
          <t>Demand Gen</t>
        </is>
      </c>
      <c r="E227" s="13" t="n"/>
      <c r="F227" s="14" t="n"/>
      <c r="G227" s="14" t="n"/>
      <c r="H227" s="15" t="n"/>
      <c r="I227" s="16" t="n"/>
      <c r="J227" s="16" t="n"/>
      <c r="K227" s="14" t="n"/>
      <c r="L227" s="14" t="n"/>
      <c r="M227" s="14" t="n"/>
      <c r="N227" s="14" t="n"/>
      <c r="O227" s="13" t="n"/>
      <c r="P227" s="17">
        <f>IF(N(F227)=0,"",G227/F227)</f>
        <v/>
      </c>
      <c r="Q227" s="18">
        <f>IF(N(G227)=0,"",E227/G227)</f>
        <v/>
      </c>
      <c r="R227" s="17">
        <f>IF(N(G227)=0,"",H227/G227)</f>
        <v/>
      </c>
      <c r="S227" s="18">
        <f>IF(N(H227)=0,"",E227/H227)</f>
        <v/>
      </c>
      <c r="T227" s="18">
        <f>IF(N(K227)=0,"",E227/K227)</f>
        <v/>
      </c>
      <c r="U227" s="18">
        <f>IF(N(L227)=0,"",E227/L227)</f>
        <v/>
      </c>
      <c r="V227" s="18">
        <f>IF(N(N227)=0,"",E227/N227)</f>
        <v/>
      </c>
      <c r="W227" s="19">
        <f>IF(N(K227)=0,"",L227/K227)</f>
        <v/>
      </c>
      <c r="X227" s="19">
        <f>IF(N(M227)=0,"",N227/M227)</f>
        <v/>
      </c>
      <c r="Y227" s="20">
        <f>IF(N(E227)=0,"",O227/E227)</f>
        <v/>
      </c>
    </row>
    <row r="228">
      <c r="A228" s="21" t="n">
        <v>46524</v>
      </c>
      <c r="B228" s="22">
        <f>DATE(YEAR(A228),MONTH(A228),1)</f>
        <v/>
      </c>
      <c r="C228" s="23" t="inlineStr">
        <is>
          <t>Microsoft Ads</t>
        </is>
      </c>
      <c r="D228" s="23" t="n"/>
      <c r="E228" s="24" t="n"/>
      <c r="F228" s="25" t="n"/>
      <c r="G228" s="25" t="n"/>
      <c r="H228" s="26" t="n"/>
      <c r="I228" s="27" t="n"/>
      <c r="J228" s="27" t="n"/>
      <c r="K228" s="25" t="n"/>
      <c r="L228" s="25" t="n"/>
      <c r="M228" s="25" t="n"/>
      <c r="N228" s="25" t="n"/>
      <c r="O228" s="24" t="n"/>
      <c r="P228" s="28">
        <f>IF(N(F228)=0,"",G228/F228)</f>
        <v/>
      </c>
      <c r="Q228" s="29">
        <f>IF(N(G228)=0,"",E228/G228)</f>
        <v/>
      </c>
      <c r="R228" s="28">
        <f>IF(N(G228)=0,"",H228/G228)</f>
        <v/>
      </c>
      <c r="S228" s="29">
        <f>IF(N(H228)=0,"",E228/H228)</f>
        <v/>
      </c>
      <c r="T228" s="29">
        <f>IF(N(K228)=0,"",E228/K228)</f>
        <v/>
      </c>
      <c r="U228" s="29">
        <f>IF(N(L228)=0,"",E228/L228)</f>
        <v/>
      </c>
      <c r="V228" s="29">
        <f>IF(N(N228)=0,"",E228/N228)</f>
        <v/>
      </c>
      <c r="W228" s="30">
        <f>IF(N(K228)=0,"",L228/K228)</f>
        <v/>
      </c>
      <c r="X228" s="30">
        <f>IF(N(M228)=0,"",N228/M228)</f>
        <v/>
      </c>
      <c r="Y228" s="31">
        <f>IF(N(E228)=0,"",O228/E228)</f>
        <v/>
      </c>
    </row>
    <row r="229">
      <c r="A229" s="10" t="n">
        <v>46531</v>
      </c>
      <c r="B229" s="11">
        <f>DATE(YEAR(A229),MONTH(A229),1)</f>
        <v/>
      </c>
      <c r="C229" t="inlineStr">
        <is>
          <t>S-FR | Marque</t>
        </is>
      </c>
      <c r="E229" s="13" t="n"/>
      <c r="F229" s="14" t="n"/>
      <c r="G229" s="14" t="n"/>
      <c r="H229" s="15" t="n"/>
      <c r="I229" s="16" t="n"/>
      <c r="J229" s="16" t="n"/>
      <c r="K229" s="14" t="n"/>
      <c r="L229" s="14" t="n"/>
      <c r="M229" s="14" t="n"/>
      <c r="N229" s="14" t="n"/>
      <c r="O229" s="13" t="n"/>
      <c r="P229" s="17">
        <f>IF(N(F229)=0,"",G229/F229)</f>
        <v/>
      </c>
      <c r="Q229" s="18">
        <f>IF(N(G229)=0,"",E229/G229)</f>
        <v/>
      </c>
      <c r="R229" s="17">
        <f>IF(N(G229)=0,"",H229/G229)</f>
        <v/>
      </c>
      <c r="S229" s="18">
        <f>IF(N(H229)=0,"",E229/H229)</f>
        <v/>
      </c>
      <c r="T229" s="18">
        <f>IF(N(K229)=0,"",E229/K229)</f>
        <v/>
      </c>
      <c r="U229" s="18">
        <f>IF(N(L229)=0,"",E229/L229)</f>
        <v/>
      </c>
      <c r="V229" s="18">
        <f>IF(N(N229)=0,"",E229/N229)</f>
        <v/>
      </c>
      <c r="W229" s="19">
        <f>IF(N(K229)=0,"",L229/K229)</f>
        <v/>
      </c>
      <c r="X229" s="19">
        <f>IF(N(M229)=0,"",N229/M229)</f>
        <v/>
      </c>
      <c r="Y229" s="20">
        <f>IF(N(E229)=0,"",O229/E229)</f>
        <v/>
      </c>
    </row>
    <row r="230">
      <c r="A230" s="10" t="n">
        <v>46531</v>
      </c>
      <c r="B230" s="11">
        <f>DATE(YEAR(A230),MONTH(A230),1)</f>
        <v/>
      </c>
      <c r="C230" t="inlineStr">
        <is>
          <t>S-FR | Corporatif &amp; Fêtes</t>
        </is>
      </c>
      <c r="E230" s="13" t="n"/>
      <c r="F230" s="14" t="n"/>
      <c r="G230" s="14" t="n"/>
      <c r="H230" s="15" t="n"/>
      <c r="I230" s="16" t="n"/>
      <c r="J230" s="16" t="n"/>
      <c r="K230" s="14" t="n"/>
      <c r="L230" s="14" t="n"/>
      <c r="M230" s="14" t="n"/>
      <c r="N230" s="14" t="n"/>
      <c r="O230" s="13" t="n"/>
      <c r="P230" s="17">
        <f>IF(N(F230)=0,"",G230/F230)</f>
        <v/>
      </c>
      <c r="Q230" s="18">
        <f>IF(N(G230)=0,"",E230/G230)</f>
        <v/>
      </c>
      <c r="R230" s="17">
        <f>IF(N(G230)=0,"",H230/G230)</f>
        <v/>
      </c>
      <c r="S230" s="18">
        <f>IF(N(H230)=0,"",E230/H230)</f>
        <v/>
      </c>
      <c r="T230" s="18">
        <f>IF(N(K230)=0,"",E230/K230)</f>
        <v/>
      </c>
      <c r="U230" s="18">
        <f>IF(N(L230)=0,"",E230/L230)</f>
        <v/>
      </c>
      <c r="V230" s="18">
        <f>IF(N(N230)=0,"",E230/N230)</f>
        <v/>
      </c>
      <c r="W230" s="19">
        <f>IF(N(K230)=0,"",L230/K230)</f>
        <v/>
      </c>
      <c r="X230" s="19">
        <f>IF(N(M230)=0,"",N230/M230)</f>
        <v/>
      </c>
      <c r="Y230" s="20">
        <f>IF(N(E230)=0,"",O230/E230)</f>
        <v/>
      </c>
    </row>
    <row r="231">
      <c r="A231" s="10" t="n">
        <v>46531</v>
      </c>
      <c r="B231" s="11">
        <f>DATE(YEAR(A231),MONTH(A231),1)</f>
        <v/>
      </c>
      <c r="C231" t="inlineStr">
        <is>
          <t>S-FR | Événements privés</t>
        </is>
      </c>
      <c r="E231" s="13" t="n"/>
      <c r="F231" s="14" t="n"/>
      <c r="G231" s="14" t="n"/>
      <c r="H231" s="15" t="n"/>
      <c r="I231" s="16" t="n"/>
      <c r="J231" s="16" t="n"/>
      <c r="K231" s="14" t="n"/>
      <c r="L231" s="14" t="n"/>
      <c r="M231" s="14" t="n"/>
      <c r="N231" s="14" t="n"/>
      <c r="O231" s="13" t="n"/>
      <c r="P231" s="17">
        <f>IF(N(F231)=0,"",G231/F231)</f>
        <v/>
      </c>
      <c r="Q231" s="18">
        <f>IF(N(G231)=0,"",E231/G231)</f>
        <v/>
      </c>
      <c r="R231" s="17">
        <f>IF(N(G231)=0,"",H231/G231)</f>
        <v/>
      </c>
      <c r="S231" s="18">
        <f>IF(N(H231)=0,"",E231/H231)</f>
        <v/>
      </c>
      <c r="T231" s="18">
        <f>IF(N(K231)=0,"",E231/K231)</f>
        <v/>
      </c>
      <c r="U231" s="18">
        <f>IF(N(L231)=0,"",E231/L231)</f>
        <v/>
      </c>
      <c r="V231" s="18">
        <f>IF(N(N231)=0,"",E231/N231)</f>
        <v/>
      </c>
      <c r="W231" s="19">
        <f>IF(N(K231)=0,"",L231/K231)</f>
        <v/>
      </c>
      <c r="X231" s="19">
        <f>IF(N(M231)=0,"",N231/M231)</f>
        <v/>
      </c>
      <c r="Y231" s="20">
        <f>IF(N(E231)=0,"",O231/E231)</f>
        <v/>
      </c>
    </row>
    <row r="232">
      <c r="A232" s="10" t="n">
        <v>46531</v>
      </c>
      <c r="B232" s="11">
        <f>DATE(YEAR(A232),MONTH(A232),1)</f>
        <v/>
      </c>
      <c r="C232" t="inlineStr">
        <is>
          <t>S-EN | Corporate Montréal</t>
        </is>
      </c>
      <c r="E232" s="13" t="n"/>
      <c r="F232" s="14" t="n"/>
      <c r="G232" s="14" t="n"/>
      <c r="H232" s="15" t="n"/>
      <c r="I232" s="16" t="n"/>
      <c r="J232" s="16" t="n"/>
      <c r="K232" s="14" t="n"/>
      <c r="L232" s="14" t="n"/>
      <c r="M232" s="14" t="n"/>
      <c r="N232" s="14" t="n"/>
      <c r="O232" s="13" t="n"/>
      <c r="P232" s="17">
        <f>IF(N(F232)=0,"",G232/F232)</f>
        <v/>
      </c>
      <c r="Q232" s="18">
        <f>IF(N(G232)=0,"",E232/G232)</f>
        <v/>
      </c>
      <c r="R232" s="17">
        <f>IF(N(G232)=0,"",H232/G232)</f>
        <v/>
      </c>
      <c r="S232" s="18">
        <f>IF(N(H232)=0,"",E232/H232)</f>
        <v/>
      </c>
      <c r="T232" s="18">
        <f>IF(N(K232)=0,"",E232/K232)</f>
        <v/>
      </c>
      <c r="U232" s="18">
        <f>IF(N(L232)=0,"",E232/L232)</f>
        <v/>
      </c>
      <c r="V232" s="18">
        <f>IF(N(N232)=0,"",E232/N232)</f>
        <v/>
      </c>
      <c r="W232" s="19">
        <f>IF(N(K232)=0,"",L232/K232)</f>
        <v/>
      </c>
      <c r="X232" s="19">
        <f>IF(N(M232)=0,"",N232/M232)</f>
        <v/>
      </c>
      <c r="Y232" s="20">
        <f>IF(N(E232)=0,"",O232/E232)</f>
        <v/>
      </c>
    </row>
    <row r="233">
      <c r="A233" s="10" t="n">
        <v>46531</v>
      </c>
      <c r="B233" s="11">
        <f>DATE(YEAR(A233),MONTH(A233),1)</f>
        <v/>
      </c>
      <c r="C233" t="inlineStr">
        <is>
          <t>S-FR | Québec-Lévis (test)</t>
        </is>
      </c>
      <c r="E233" s="13" t="n"/>
      <c r="F233" s="14" t="n"/>
      <c r="G233" s="14" t="n"/>
      <c r="H233" s="15" t="n"/>
      <c r="I233" s="16" t="n"/>
      <c r="J233" s="16" t="n"/>
      <c r="K233" s="14" t="n"/>
      <c r="L233" s="14" t="n"/>
      <c r="M233" s="14" t="n"/>
      <c r="N233" s="14" t="n"/>
      <c r="O233" s="13" t="n"/>
      <c r="P233" s="17">
        <f>IF(N(F233)=0,"",G233/F233)</f>
        <v/>
      </c>
      <c r="Q233" s="18">
        <f>IF(N(G233)=0,"",E233/G233)</f>
        <v/>
      </c>
      <c r="R233" s="17">
        <f>IF(N(G233)=0,"",H233/G233)</f>
        <v/>
      </c>
      <c r="S233" s="18">
        <f>IF(N(H233)=0,"",E233/H233)</f>
        <v/>
      </c>
      <c r="T233" s="18">
        <f>IF(N(K233)=0,"",E233/K233)</f>
        <v/>
      </c>
      <c r="U233" s="18">
        <f>IF(N(L233)=0,"",E233/L233)</f>
        <v/>
      </c>
      <c r="V233" s="18">
        <f>IF(N(N233)=0,"",E233/N233)</f>
        <v/>
      </c>
      <c r="W233" s="19">
        <f>IF(N(K233)=0,"",L233/K233)</f>
        <v/>
      </c>
      <c r="X233" s="19">
        <f>IF(N(M233)=0,"",N233/M233)</f>
        <v/>
      </c>
      <c r="Y233" s="20">
        <f>IF(N(E233)=0,"",O233/E233)</f>
        <v/>
      </c>
    </row>
    <row r="234">
      <c r="A234" s="10" t="n">
        <v>46531</v>
      </c>
      <c r="B234" s="11">
        <f>DATE(YEAR(A234),MONTH(A234),1)</f>
        <v/>
      </c>
      <c r="C234" t="inlineStr">
        <is>
          <t>Demand Gen</t>
        </is>
      </c>
      <c r="E234" s="13" t="n"/>
      <c r="F234" s="14" t="n"/>
      <c r="G234" s="14" t="n"/>
      <c r="H234" s="15" t="n"/>
      <c r="I234" s="16" t="n"/>
      <c r="J234" s="16" t="n"/>
      <c r="K234" s="14" t="n"/>
      <c r="L234" s="14" t="n"/>
      <c r="M234" s="14" t="n"/>
      <c r="N234" s="14" t="n"/>
      <c r="O234" s="13" t="n"/>
      <c r="P234" s="17">
        <f>IF(N(F234)=0,"",G234/F234)</f>
        <v/>
      </c>
      <c r="Q234" s="18">
        <f>IF(N(G234)=0,"",E234/G234)</f>
        <v/>
      </c>
      <c r="R234" s="17">
        <f>IF(N(G234)=0,"",H234/G234)</f>
        <v/>
      </c>
      <c r="S234" s="18">
        <f>IF(N(H234)=0,"",E234/H234)</f>
        <v/>
      </c>
      <c r="T234" s="18">
        <f>IF(N(K234)=0,"",E234/K234)</f>
        <v/>
      </c>
      <c r="U234" s="18">
        <f>IF(N(L234)=0,"",E234/L234)</f>
        <v/>
      </c>
      <c r="V234" s="18">
        <f>IF(N(N234)=0,"",E234/N234)</f>
        <v/>
      </c>
      <c r="W234" s="19">
        <f>IF(N(K234)=0,"",L234/K234)</f>
        <v/>
      </c>
      <c r="X234" s="19">
        <f>IF(N(M234)=0,"",N234/M234)</f>
        <v/>
      </c>
      <c r="Y234" s="20">
        <f>IF(N(E234)=0,"",O234/E234)</f>
        <v/>
      </c>
    </row>
    <row r="235">
      <c r="A235" s="21" t="n">
        <v>46531</v>
      </c>
      <c r="B235" s="22">
        <f>DATE(YEAR(A235),MONTH(A235),1)</f>
        <v/>
      </c>
      <c r="C235" s="23" t="inlineStr">
        <is>
          <t>Microsoft Ads</t>
        </is>
      </c>
      <c r="D235" s="23" t="n"/>
      <c r="E235" s="24" t="n"/>
      <c r="F235" s="25" t="n"/>
      <c r="G235" s="25" t="n"/>
      <c r="H235" s="26" t="n"/>
      <c r="I235" s="27" t="n"/>
      <c r="J235" s="27" t="n"/>
      <c r="K235" s="25" t="n"/>
      <c r="L235" s="25" t="n"/>
      <c r="M235" s="25" t="n"/>
      <c r="N235" s="25" t="n"/>
      <c r="O235" s="24" t="n"/>
      <c r="P235" s="28">
        <f>IF(N(F235)=0,"",G235/F235)</f>
        <v/>
      </c>
      <c r="Q235" s="29">
        <f>IF(N(G235)=0,"",E235/G235)</f>
        <v/>
      </c>
      <c r="R235" s="28">
        <f>IF(N(G235)=0,"",H235/G235)</f>
        <v/>
      </c>
      <c r="S235" s="29">
        <f>IF(N(H235)=0,"",E235/H235)</f>
        <v/>
      </c>
      <c r="T235" s="29">
        <f>IF(N(K235)=0,"",E235/K235)</f>
        <v/>
      </c>
      <c r="U235" s="29">
        <f>IF(N(L235)=0,"",E235/L235)</f>
        <v/>
      </c>
      <c r="V235" s="29">
        <f>IF(N(N235)=0,"",E235/N235)</f>
        <v/>
      </c>
      <c r="W235" s="30">
        <f>IF(N(K235)=0,"",L235/K235)</f>
        <v/>
      </c>
      <c r="X235" s="30">
        <f>IF(N(M235)=0,"",N235/M235)</f>
        <v/>
      </c>
      <c r="Y235" s="31">
        <f>IF(N(E235)=0,"",O235/E235)</f>
        <v/>
      </c>
    </row>
    <row r="236">
      <c r="A236" s="10" t="n">
        <v>46538</v>
      </c>
      <c r="B236" s="11">
        <f>DATE(YEAR(A236),MONTH(A236),1)</f>
        <v/>
      </c>
      <c r="C236" t="inlineStr">
        <is>
          <t>S-FR | Marque</t>
        </is>
      </c>
      <c r="E236" s="13" t="n"/>
      <c r="F236" s="14" t="n"/>
      <c r="G236" s="14" t="n"/>
      <c r="H236" s="15" t="n"/>
      <c r="I236" s="16" t="n"/>
      <c r="J236" s="16" t="n"/>
      <c r="K236" s="14" t="n"/>
      <c r="L236" s="14" t="n"/>
      <c r="M236" s="14" t="n"/>
      <c r="N236" s="14" t="n"/>
      <c r="O236" s="13" t="n"/>
      <c r="P236" s="17">
        <f>IF(N(F236)=0,"",G236/F236)</f>
        <v/>
      </c>
      <c r="Q236" s="18">
        <f>IF(N(G236)=0,"",E236/G236)</f>
        <v/>
      </c>
      <c r="R236" s="17">
        <f>IF(N(G236)=0,"",H236/G236)</f>
        <v/>
      </c>
      <c r="S236" s="18">
        <f>IF(N(H236)=0,"",E236/H236)</f>
        <v/>
      </c>
      <c r="T236" s="18">
        <f>IF(N(K236)=0,"",E236/K236)</f>
        <v/>
      </c>
      <c r="U236" s="18">
        <f>IF(N(L236)=0,"",E236/L236)</f>
        <v/>
      </c>
      <c r="V236" s="18">
        <f>IF(N(N236)=0,"",E236/N236)</f>
        <v/>
      </c>
      <c r="W236" s="19">
        <f>IF(N(K236)=0,"",L236/K236)</f>
        <v/>
      </c>
      <c r="X236" s="19">
        <f>IF(N(M236)=0,"",N236/M236)</f>
        <v/>
      </c>
      <c r="Y236" s="20">
        <f>IF(N(E236)=0,"",O236/E236)</f>
        <v/>
      </c>
    </row>
    <row r="237">
      <c r="A237" s="10" t="n">
        <v>46538</v>
      </c>
      <c r="B237" s="11">
        <f>DATE(YEAR(A237),MONTH(A237),1)</f>
        <v/>
      </c>
      <c r="C237" t="inlineStr">
        <is>
          <t>S-FR | Corporatif &amp; Fêtes</t>
        </is>
      </c>
      <c r="E237" s="13" t="n"/>
      <c r="F237" s="14" t="n"/>
      <c r="G237" s="14" t="n"/>
      <c r="H237" s="15" t="n"/>
      <c r="I237" s="16" t="n"/>
      <c r="J237" s="16" t="n"/>
      <c r="K237" s="14" t="n"/>
      <c r="L237" s="14" t="n"/>
      <c r="M237" s="14" t="n"/>
      <c r="N237" s="14" t="n"/>
      <c r="O237" s="13" t="n"/>
      <c r="P237" s="17">
        <f>IF(N(F237)=0,"",G237/F237)</f>
        <v/>
      </c>
      <c r="Q237" s="18">
        <f>IF(N(G237)=0,"",E237/G237)</f>
        <v/>
      </c>
      <c r="R237" s="17">
        <f>IF(N(G237)=0,"",H237/G237)</f>
        <v/>
      </c>
      <c r="S237" s="18">
        <f>IF(N(H237)=0,"",E237/H237)</f>
        <v/>
      </c>
      <c r="T237" s="18">
        <f>IF(N(K237)=0,"",E237/K237)</f>
        <v/>
      </c>
      <c r="U237" s="18">
        <f>IF(N(L237)=0,"",E237/L237)</f>
        <v/>
      </c>
      <c r="V237" s="18">
        <f>IF(N(N237)=0,"",E237/N237)</f>
        <v/>
      </c>
      <c r="W237" s="19">
        <f>IF(N(K237)=0,"",L237/K237)</f>
        <v/>
      </c>
      <c r="X237" s="19">
        <f>IF(N(M237)=0,"",N237/M237)</f>
        <v/>
      </c>
      <c r="Y237" s="20">
        <f>IF(N(E237)=0,"",O237/E237)</f>
        <v/>
      </c>
    </row>
    <row r="238">
      <c r="A238" s="10" t="n">
        <v>46538</v>
      </c>
      <c r="B238" s="11">
        <f>DATE(YEAR(A238),MONTH(A238),1)</f>
        <v/>
      </c>
      <c r="C238" t="inlineStr">
        <is>
          <t>S-FR | Événements privés</t>
        </is>
      </c>
      <c r="E238" s="13" t="n"/>
      <c r="F238" s="14" t="n"/>
      <c r="G238" s="14" t="n"/>
      <c r="H238" s="15" t="n"/>
      <c r="I238" s="16" t="n"/>
      <c r="J238" s="16" t="n"/>
      <c r="K238" s="14" t="n"/>
      <c r="L238" s="14" t="n"/>
      <c r="M238" s="14" t="n"/>
      <c r="N238" s="14" t="n"/>
      <c r="O238" s="13" t="n"/>
      <c r="P238" s="17">
        <f>IF(N(F238)=0,"",G238/F238)</f>
        <v/>
      </c>
      <c r="Q238" s="18">
        <f>IF(N(G238)=0,"",E238/G238)</f>
        <v/>
      </c>
      <c r="R238" s="17">
        <f>IF(N(G238)=0,"",H238/G238)</f>
        <v/>
      </c>
      <c r="S238" s="18">
        <f>IF(N(H238)=0,"",E238/H238)</f>
        <v/>
      </c>
      <c r="T238" s="18">
        <f>IF(N(K238)=0,"",E238/K238)</f>
        <v/>
      </c>
      <c r="U238" s="18">
        <f>IF(N(L238)=0,"",E238/L238)</f>
        <v/>
      </c>
      <c r="V238" s="18">
        <f>IF(N(N238)=0,"",E238/N238)</f>
        <v/>
      </c>
      <c r="W238" s="19">
        <f>IF(N(K238)=0,"",L238/K238)</f>
        <v/>
      </c>
      <c r="X238" s="19">
        <f>IF(N(M238)=0,"",N238/M238)</f>
        <v/>
      </c>
      <c r="Y238" s="20">
        <f>IF(N(E238)=0,"",O238/E238)</f>
        <v/>
      </c>
    </row>
    <row r="239">
      <c r="A239" s="10" t="n">
        <v>46538</v>
      </c>
      <c r="B239" s="11">
        <f>DATE(YEAR(A239),MONTH(A239),1)</f>
        <v/>
      </c>
      <c r="C239" t="inlineStr">
        <is>
          <t>S-EN | Corporate Montréal</t>
        </is>
      </c>
      <c r="E239" s="13" t="n"/>
      <c r="F239" s="14" t="n"/>
      <c r="G239" s="14" t="n"/>
      <c r="H239" s="15" t="n"/>
      <c r="I239" s="16" t="n"/>
      <c r="J239" s="16" t="n"/>
      <c r="K239" s="14" t="n"/>
      <c r="L239" s="14" t="n"/>
      <c r="M239" s="14" t="n"/>
      <c r="N239" s="14" t="n"/>
      <c r="O239" s="13" t="n"/>
      <c r="P239" s="17">
        <f>IF(N(F239)=0,"",G239/F239)</f>
        <v/>
      </c>
      <c r="Q239" s="18">
        <f>IF(N(G239)=0,"",E239/G239)</f>
        <v/>
      </c>
      <c r="R239" s="17">
        <f>IF(N(G239)=0,"",H239/G239)</f>
        <v/>
      </c>
      <c r="S239" s="18">
        <f>IF(N(H239)=0,"",E239/H239)</f>
        <v/>
      </c>
      <c r="T239" s="18">
        <f>IF(N(K239)=0,"",E239/K239)</f>
        <v/>
      </c>
      <c r="U239" s="18">
        <f>IF(N(L239)=0,"",E239/L239)</f>
        <v/>
      </c>
      <c r="V239" s="18">
        <f>IF(N(N239)=0,"",E239/N239)</f>
        <v/>
      </c>
      <c r="W239" s="19">
        <f>IF(N(K239)=0,"",L239/K239)</f>
        <v/>
      </c>
      <c r="X239" s="19">
        <f>IF(N(M239)=0,"",N239/M239)</f>
        <v/>
      </c>
      <c r="Y239" s="20">
        <f>IF(N(E239)=0,"",O239/E239)</f>
        <v/>
      </c>
    </row>
    <row r="240">
      <c r="A240" s="10" t="n">
        <v>46538</v>
      </c>
      <c r="B240" s="11">
        <f>DATE(YEAR(A240),MONTH(A240),1)</f>
        <v/>
      </c>
      <c r="C240" t="inlineStr">
        <is>
          <t>S-FR | Québec-Lévis (test)</t>
        </is>
      </c>
      <c r="E240" s="13" t="n"/>
      <c r="F240" s="14" t="n"/>
      <c r="G240" s="14" t="n"/>
      <c r="H240" s="15" t="n"/>
      <c r="I240" s="16" t="n"/>
      <c r="J240" s="16" t="n"/>
      <c r="K240" s="14" t="n"/>
      <c r="L240" s="14" t="n"/>
      <c r="M240" s="14" t="n"/>
      <c r="N240" s="14" t="n"/>
      <c r="O240" s="13" t="n"/>
      <c r="P240" s="17">
        <f>IF(N(F240)=0,"",G240/F240)</f>
        <v/>
      </c>
      <c r="Q240" s="18">
        <f>IF(N(G240)=0,"",E240/G240)</f>
        <v/>
      </c>
      <c r="R240" s="17">
        <f>IF(N(G240)=0,"",H240/G240)</f>
        <v/>
      </c>
      <c r="S240" s="18">
        <f>IF(N(H240)=0,"",E240/H240)</f>
        <v/>
      </c>
      <c r="T240" s="18">
        <f>IF(N(K240)=0,"",E240/K240)</f>
        <v/>
      </c>
      <c r="U240" s="18">
        <f>IF(N(L240)=0,"",E240/L240)</f>
        <v/>
      </c>
      <c r="V240" s="18">
        <f>IF(N(N240)=0,"",E240/N240)</f>
        <v/>
      </c>
      <c r="W240" s="19">
        <f>IF(N(K240)=0,"",L240/K240)</f>
        <v/>
      </c>
      <c r="X240" s="19">
        <f>IF(N(M240)=0,"",N240/M240)</f>
        <v/>
      </c>
      <c r="Y240" s="20">
        <f>IF(N(E240)=0,"",O240/E240)</f>
        <v/>
      </c>
    </row>
    <row r="241">
      <c r="A241" s="10" t="n">
        <v>46538</v>
      </c>
      <c r="B241" s="11">
        <f>DATE(YEAR(A241),MONTH(A241),1)</f>
        <v/>
      </c>
      <c r="C241" t="inlineStr">
        <is>
          <t>Demand Gen</t>
        </is>
      </c>
      <c r="E241" s="13" t="n"/>
      <c r="F241" s="14" t="n"/>
      <c r="G241" s="14" t="n"/>
      <c r="H241" s="15" t="n"/>
      <c r="I241" s="16" t="n"/>
      <c r="J241" s="16" t="n"/>
      <c r="K241" s="14" t="n"/>
      <c r="L241" s="14" t="n"/>
      <c r="M241" s="14" t="n"/>
      <c r="N241" s="14" t="n"/>
      <c r="O241" s="13" t="n"/>
      <c r="P241" s="17">
        <f>IF(N(F241)=0,"",G241/F241)</f>
        <v/>
      </c>
      <c r="Q241" s="18">
        <f>IF(N(G241)=0,"",E241/G241)</f>
        <v/>
      </c>
      <c r="R241" s="17">
        <f>IF(N(G241)=0,"",H241/G241)</f>
        <v/>
      </c>
      <c r="S241" s="18">
        <f>IF(N(H241)=0,"",E241/H241)</f>
        <v/>
      </c>
      <c r="T241" s="18">
        <f>IF(N(K241)=0,"",E241/K241)</f>
        <v/>
      </c>
      <c r="U241" s="18">
        <f>IF(N(L241)=0,"",E241/L241)</f>
        <v/>
      </c>
      <c r="V241" s="18">
        <f>IF(N(N241)=0,"",E241/N241)</f>
        <v/>
      </c>
      <c r="W241" s="19">
        <f>IF(N(K241)=0,"",L241/K241)</f>
        <v/>
      </c>
      <c r="X241" s="19">
        <f>IF(N(M241)=0,"",N241/M241)</f>
        <v/>
      </c>
      <c r="Y241" s="20">
        <f>IF(N(E241)=0,"",O241/E241)</f>
        <v/>
      </c>
    </row>
    <row r="242">
      <c r="A242" s="21" t="n">
        <v>46538</v>
      </c>
      <c r="B242" s="22">
        <f>DATE(YEAR(A242),MONTH(A242),1)</f>
        <v/>
      </c>
      <c r="C242" s="23" t="inlineStr">
        <is>
          <t>Microsoft Ads</t>
        </is>
      </c>
      <c r="D242" s="23" t="n"/>
      <c r="E242" s="24" t="n"/>
      <c r="F242" s="25" t="n"/>
      <c r="G242" s="25" t="n"/>
      <c r="H242" s="26" t="n"/>
      <c r="I242" s="27" t="n"/>
      <c r="J242" s="27" t="n"/>
      <c r="K242" s="25" t="n"/>
      <c r="L242" s="25" t="n"/>
      <c r="M242" s="25" t="n"/>
      <c r="N242" s="25" t="n"/>
      <c r="O242" s="24" t="n"/>
      <c r="P242" s="28">
        <f>IF(N(F242)=0,"",G242/F242)</f>
        <v/>
      </c>
      <c r="Q242" s="29">
        <f>IF(N(G242)=0,"",E242/G242)</f>
        <v/>
      </c>
      <c r="R242" s="28">
        <f>IF(N(G242)=0,"",H242/G242)</f>
        <v/>
      </c>
      <c r="S242" s="29">
        <f>IF(N(H242)=0,"",E242/H242)</f>
        <v/>
      </c>
      <c r="T242" s="29">
        <f>IF(N(K242)=0,"",E242/K242)</f>
        <v/>
      </c>
      <c r="U242" s="29">
        <f>IF(N(L242)=0,"",E242/L242)</f>
        <v/>
      </c>
      <c r="V242" s="29">
        <f>IF(N(N242)=0,"",E242/N242)</f>
        <v/>
      </c>
      <c r="W242" s="30">
        <f>IF(N(K242)=0,"",L242/K242)</f>
        <v/>
      </c>
      <c r="X242" s="30">
        <f>IF(N(M242)=0,"",N242/M242)</f>
        <v/>
      </c>
      <c r="Y242" s="31">
        <f>IF(N(E242)=0,"",O242/E242)</f>
        <v/>
      </c>
    </row>
    <row r="243">
      <c r="A243" s="10" t="n">
        <v>46545</v>
      </c>
      <c r="B243" s="11">
        <f>DATE(YEAR(A243),MONTH(A243),1)</f>
        <v/>
      </c>
      <c r="C243" t="inlineStr">
        <is>
          <t>S-FR | Marque</t>
        </is>
      </c>
      <c r="E243" s="13" t="n"/>
      <c r="F243" s="14" t="n"/>
      <c r="G243" s="14" t="n"/>
      <c r="H243" s="15" t="n"/>
      <c r="I243" s="16" t="n"/>
      <c r="J243" s="16" t="n"/>
      <c r="K243" s="14" t="n"/>
      <c r="L243" s="14" t="n"/>
      <c r="M243" s="14" t="n"/>
      <c r="N243" s="14" t="n"/>
      <c r="O243" s="13" t="n"/>
      <c r="P243" s="17">
        <f>IF(N(F243)=0,"",G243/F243)</f>
        <v/>
      </c>
      <c r="Q243" s="18">
        <f>IF(N(G243)=0,"",E243/G243)</f>
        <v/>
      </c>
      <c r="R243" s="17">
        <f>IF(N(G243)=0,"",H243/G243)</f>
        <v/>
      </c>
      <c r="S243" s="18">
        <f>IF(N(H243)=0,"",E243/H243)</f>
        <v/>
      </c>
      <c r="T243" s="18">
        <f>IF(N(K243)=0,"",E243/K243)</f>
        <v/>
      </c>
      <c r="U243" s="18">
        <f>IF(N(L243)=0,"",E243/L243)</f>
        <v/>
      </c>
      <c r="V243" s="18">
        <f>IF(N(N243)=0,"",E243/N243)</f>
        <v/>
      </c>
      <c r="W243" s="19">
        <f>IF(N(K243)=0,"",L243/K243)</f>
        <v/>
      </c>
      <c r="X243" s="19">
        <f>IF(N(M243)=0,"",N243/M243)</f>
        <v/>
      </c>
      <c r="Y243" s="20">
        <f>IF(N(E243)=0,"",O243/E243)</f>
        <v/>
      </c>
    </row>
    <row r="244">
      <c r="A244" s="10" t="n">
        <v>46545</v>
      </c>
      <c r="B244" s="11">
        <f>DATE(YEAR(A244),MONTH(A244),1)</f>
        <v/>
      </c>
      <c r="C244" t="inlineStr">
        <is>
          <t>S-FR | Corporatif &amp; Fêtes</t>
        </is>
      </c>
      <c r="E244" s="13" t="n"/>
      <c r="F244" s="14" t="n"/>
      <c r="G244" s="14" t="n"/>
      <c r="H244" s="15" t="n"/>
      <c r="I244" s="16" t="n"/>
      <c r="J244" s="16" t="n"/>
      <c r="K244" s="14" t="n"/>
      <c r="L244" s="14" t="n"/>
      <c r="M244" s="14" t="n"/>
      <c r="N244" s="14" t="n"/>
      <c r="O244" s="13" t="n"/>
      <c r="P244" s="17">
        <f>IF(N(F244)=0,"",G244/F244)</f>
        <v/>
      </c>
      <c r="Q244" s="18">
        <f>IF(N(G244)=0,"",E244/G244)</f>
        <v/>
      </c>
      <c r="R244" s="17">
        <f>IF(N(G244)=0,"",H244/G244)</f>
        <v/>
      </c>
      <c r="S244" s="18">
        <f>IF(N(H244)=0,"",E244/H244)</f>
        <v/>
      </c>
      <c r="T244" s="18">
        <f>IF(N(K244)=0,"",E244/K244)</f>
        <v/>
      </c>
      <c r="U244" s="18">
        <f>IF(N(L244)=0,"",E244/L244)</f>
        <v/>
      </c>
      <c r="V244" s="18">
        <f>IF(N(N244)=0,"",E244/N244)</f>
        <v/>
      </c>
      <c r="W244" s="19">
        <f>IF(N(K244)=0,"",L244/K244)</f>
        <v/>
      </c>
      <c r="X244" s="19">
        <f>IF(N(M244)=0,"",N244/M244)</f>
        <v/>
      </c>
      <c r="Y244" s="20">
        <f>IF(N(E244)=0,"",O244/E244)</f>
        <v/>
      </c>
    </row>
    <row r="245">
      <c r="A245" s="10" t="n">
        <v>46545</v>
      </c>
      <c r="B245" s="11">
        <f>DATE(YEAR(A245),MONTH(A245),1)</f>
        <v/>
      </c>
      <c r="C245" t="inlineStr">
        <is>
          <t>S-FR | Événements privés</t>
        </is>
      </c>
      <c r="E245" s="13" t="n"/>
      <c r="F245" s="14" t="n"/>
      <c r="G245" s="14" t="n"/>
      <c r="H245" s="15" t="n"/>
      <c r="I245" s="16" t="n"/>
      <c r="J245" s="16" t="n"/>
      <c r="K245" s="14" t="n"/>
      <c r="L245" s="14" t="n"/>
      <c r="M245" s="14" t="n"/>
      <c r="N245" s="14" t="n"/>
      <c r="O245" s="13" t="n"/>
      <c r="P245" s="17">
        <f>IF(N(F245)=0,"",G245/F245)</f>
        <v/>
      </c>
      <c r="Q245" s="18">
        <f>IF(N(G245)=0,"",E245/G245)</f>
        <v/>
      </c>
      <c r="R245" s="17">
        <f>IF(N(G245)=0,"",H245/G245)</f>
        <v/>
      </c>
      <c r="S245" s="18">
        <f>IF(N(H245)=0,"",E245/H245)</f>
        <v/>
      </c>
      <c r="T245" s="18">
        <f>IF(N(K245)=0,"",E245/K245)</f>
        <v/>
      </c>
      <c r="U245" s="18">
        <f>IF(N(L245)=0,"",E245/L245)</f>
        <v/>
      </c>
      <c r="V245" s="18">
        <f>IF(N(N245)=0,"",E245/N245)</f>
        <v/>
      </c>
      <c r="W245" s="19">
        <f>IF(N(K245)=0,"",L245/K245)</f>
        <v/>
      </c>
      <c r="X245" s="19">
        <f>IF(N(M245)=0,"",N245/M245)</f>
        <v/>
      </c>
      <c r="Y245" s="20">
        <f>IF(N(E245)=0,"",O245/E245)</f>
        <v/>
      </c>
    </row>
    <row r="246">
      <c r="A246" s="10" t="n">
        <v>46545</v>
      </c>
      <c r="B246" s="11">
        <f>DATE(YEAR(A246),MONTH(A246),1)</f>
        <v/>
      </c>
      <c r="C246" t="inlineStr">
        <is>
          <t>S-EN | Corporate Montréal</t>
        </is>
      </c>
      <c r="E246" s="13" t="n"/>
      <c r="F246" s="14" t="n"/>
      <c r="G246" s="14" t="n"/>
      <c r="H246" s="15" t="n"/>
      <c r="I246" s="16" t="n"/>
      <c r="J246" s="16" t="n"/>
      <c r="K246" s="14" t="n"/>
      <c r="L246" s="14" t="n"/>
      <c r="M246" s="14" t="n"/>
      <c r="N246" s="14" t="n"/>
      <c r="O246" s="13" t="n"/>
      <c r="P246" s="17">
        <f>IF(N(F246)=0,"",G246/F246)</f>
        <v/>
      </c>
      <c r="Q246" s="18">
        <f>IF(N(G246)=0,"",E246/G246)</f>
        <v/>
      </c>
      <c r="R246" s="17">
        <f>IF(N(G246)=0,"",H246/G246)</f>
        <v/>
      </c>
      <c r="S246" s="18">
        <f>IF(N(H246)=0,"",E246/H246)</f>
        <v/>
      </c>
      <c r="T246" s="18">
        <f>IF(N(K246)=0,"",E246/K246)</f>
        <v/>
      </c>
      <c r="U246" s="18">
        <f>IF(N(L246)=0,"",E246/L246)</f>
        <v/>
      </c>
      <c r="V246" s="18">
        <f>IF(N(N246)=0,"",E246/N246)</f>
        <v/>
      </c>
      <c r="W246" s="19">
        <f>IF(N(K246)=0,"",L246/K246)</f>
        <v/>
      </c>
      <c r="X246" s="19">
        <f>IF(N(M246)=0,"",N246/M246)</f>
        <v/>
      </c>
      <c r="Y246" s="20">
        <f>IF(N(E246)=0,"",O246/E246)</f>
        <v/>
      </c>
    </row>
    <row r="247">
      <c r="A247" s="10" t="n">
        <v>46545</v>
      </c>
      <c r="B247" s="11">
        <f>DATE(YEAR(A247),MONTH(A247),1)</f>
        <v/>
      </c>
      <c r="C247" t="inlineStr">
        <is>
          <t>S-FR | Québec-Lévis (test)</t>
        </is>
      </c>
      <c r="E247" s="13" t="n"/>
      <c r="F247" s="14" t="n"/>
      <c r="G247" s="14" t="n"/>
      <c r="H247" s="15" t="n"/>
      <c r="I247" s="16" t="n"/>
      <c r="J247" s="16" t="n"/>
      <c r="K247" s="14" t="n"/>
      <c r="L247" s="14" t="n"/>
      <c r="M247" s="14" t="n"/>
      <c r="N247" s="14" t="n"/>
      <c r="O247" s="13" t="n"/>
      <c r="P247" s="17">
        <f>IF(N(F247)=0,"",G247/F247)</f>
        <v/>
      </c>
      <c r="Q247" s="18">
        <f>IF(N(G247)=0,"",E247/G247)</f>
        <v/>
      </c>
      <c r="R247" s="17">
        <f>IF(N(G247)=0,"",H247/G247)</f>
        <v/>
      </c>
      <c r="S247" s="18">
        <f>IF(N(H247)=0,"",E247/H247)</f>
        <v/>
      </c>
      <c r="T247" s="18">
        <f>IF(N(K247)=0,"",E247/K247)</f>
        <v/>
      </c>
      <c r="U247" s="18">
        <f>IF(N(L247)=0,"",E247/L247)</f>
        <v/>
      </c>
      <c r="V247" s="18">
        <f>IF(N(N247)=0,"",E247/N247)</f>
        <v/>
      </c>
      <c r="W247" s="19">
        <f>IF(N(K247)=0,"",L247/K247)</f>
        <v/>
      </c>
      <c r="X247" s="19">
        <f>IF(N(M247)=0,"",N247/M247)</f>
        <v/>
      </c>
      <c r="Y247" s="20">
        <f>IF(N(E247)=0,"",O247/E247)</f>
        <v/>
      </c>
    </row>
    <row r="248">
      <c r="A248" s="10" t="n">
        <v>46545</v>
      </c>
      <c r="B248" s="11">
        <f>DATE(YEAR(A248),MONTH(A248),1)</f>
        <v/>
      </c>
      <c r="C248" t="inlineStr">
        <is>
          <t>Demand Gen</t>
        </is>
      </c>
      <c r="E248" s="13" t="n"/>
      <c r="F248" s="14" t="n"/>
      <c r="G248" s="14" t="n"/>
      <c r="H248" s="15" t="n"/>
      <c r="I248" s="16" t="n"/>
      <c r="J248" s="16" t="n"/>
      <c r="K248" s="14" t="n"/>
      <c r="L248" s="14" t="n"/>
      <c r="M248" s="14" t="n"/>
      <c r="N248" s="14" t="n"/>
      <c r="O248" s="13" t="n"/>
      <c r="P248" s="17">
        <f>IF(N(F248)=0,"",G248/F248)</f>
        <v/>
      </c>
      <c r="Q248" s="18">
        <f>IF(N(G248)=0,"",E248/G248)</f>
        <v/>
      </c>
      <c r="R248" s="17">
        <f>IF(N(G248)=0,"",H248/G248)</f>
        <v/>
      </c>
      <c r="S248" s="18">
        <f>IF(N(H248)=0,"",E248/H248)</f>
        <v/>
      </c>
      <c r="T248" s="18">
        <f>IF(N(K248)=0,"",E248/K248)</f>
        <v/>
      </c>
      <c r="U248" s="18">
        <f>IF(N(L248)=0,"",E248/L248)</f>
        <v/>
      </c>
      <c r="V248" s="18">
        <f>IF(N(N248)=0,"",E248/N248)</f>
        <v/>
      </c>
      <c r="W248" s="19">
        <f>IF(N(K248)=0,"",L248/K248)</f>
        <v/>
      </c>
      <c r="X248" s="19">
        <f>IF(N(M248)=0,"",N248/M248)</f>
        <v/>
      </c>
      <c r="Y248" s="20">
        <f>IF(N(E248)=0,"",O248/E248)</f>
        <v/>
      </c>
    </row>
    <row r="249">
      <c r="A249" s="21" t="n">
        <v>46545</v>
      </c>
      <c r="B249" s="22">
        <f>DATE(YEAR(A249),MONTH(A249),1)</f>
        <v/>
      </c>
      <c r="C249" s="23" t="inlineStr">
        <is>
          <t>Microsoft Ads</t>
        </is>
      </c>
      <c r="D249" s="23" t="n"/>
      <c r="E249" s="24" t="n"/>
      <c r="F249" s="25" t="n"/>
      <c r="G249" s="25" t="n"/>
      <c r="H249" s="26" t="n"/>
      <c r="I249" s="27" t="n"/>
      <c r="J249" s="27" t="n"/>
      <c r="K249" s="25" t="n"/>
      <c r="L249" s="25" t="n"/>
      <c r="M249" s="25" t="n"/>
      <c r="N249" s="25" t="n"/>
      <c r="O249" s="24" t="n"/>
      <c r="P249" s="28">
        <f>IF(N(F249)=0,"",G249/F249)</f>
        <v/>
      </c>
      <c r="Q249" s="29">
        <f>IF(N(G249)=0,"",E249/G249)</f>
        <v/>
      </c>
      <c r="R249" s="28">
        <f>IF(N(G249)=0,"",H249/G249)</f>
        <v/>
      </c>
      <c r="S249" s="29">
        <f>IF(N(H249)=0,"",E249/H249)</f>
        <v/>
      </c>
      <c r="T249" s="29">
        <f>IF(N(K249)=0,"",E249/K249)</f>
        <v/>
      </c>
      <c r="U249" s="29">
        <f>IF(N(L249)=0,"",E249/L249)</f>
        <v/>
      </c>
      <c r="V249" s="29">
        <f>IF(N(N249)=0,"",E249/N249)</f>
        <v/>
      </c>
      <c r="W249" s="30">
        <f>IF(N(K249)=0,"",L249/K249)</f>
        <v/>
      </c>
      <c r="X249" s="30">
        <f>IF(N(M249)=0,"",N249/M249)</f>
        <v/>
      </c>
      <c r="Y249" s="31">
        <f>IF(N(E249)=0,"",O249/E249)</f>
        <v/>
      </c>
    </row>
    <row r="250">
      <c r="A250" s="10" t="n">
        <v>46552</v>
      </c>
      <c r="B250" s="11">
        <f>DATE(YEAR(A250),MONTH(A250),1)</f>
        <v/>
      </c>
      <c r="C250" t="inlineStr">
        <is>
          <t>S-FR | Marque</t>
        </is>
      </c>
      <c r="E250" s="13" t="n"/>
      <c r="F250" s="14" t="n"/>
      <c r="G250" s="14" t="n"/>
      <c r="H250" s="15" t="n"/>
      <c r="I250" s="16" t="n"/>
      <c r="J250" s="16" t="n"/>
      <c r="K250" s="14" t="n"/>
      <c r="L250" s="14" t="n"/>
      <c r="M250" s="14" t="n"/>
      <c r="N250" s="14" t="n"/>
      <c r="O250" s="13" t="n"/>
      <c r="P250" s="17">
        <f>IF(N(F250)=0,"",G250/F250)</f>
        <v/>
      </c>
      <c r="Q250" s="18">
        <f>IF(N(G250)=0,"",E250/G250)</f>
        <v/>
      </c>
      <c r="R250" s="17">
        <f>IF(N(G250)=0,"",H250/G250)</f>
        <v/>
      </c>
      <c r="S250" s="18">
        <f>IF(N(H250)=0,"",E250/H250)</f>
        <v/>
      </c>
      <c r="T250" s="18">
        <f>IF(N(K250)=0,"",E250/K250)</f>
        <v/>
      </c>
      <c r="U250" s="18">
        <f>IF(N(L250)=0,"",E250/L250)</f>
        <v/>
      </c>
      <c r="V250" s="18">
        <f>IF(N(N250)=0,"",E250/N250)</f>
        <v/>
      </c>
      <c r="W250" s="19">
        <f>IF(N(K250)=0,"",L250/K250)</f>
        <v/>
      </c>
      <c r="X250" s="19">
        <f>IF(N(M250)=0,"",N250/M250)</f>
        <v/>
      </c>
      <c r="Y250" s="20">
        <f>IF(N(E250)=0,"",O250/E250)</f>
        <v/>
      </c>
    </row>
    <row r="251">
      <c r="A251" s="10" t="n">
        <v>46552</v>
      </c>
      <c r="B251" s="11">
        <f>DATE(YEAR(A251),MONTH(A251),1)</f>
        <v/>
      </c>
      <c r="C251" t="inlineStr">
        <is>
          <t>S-FR | Corporatif &amp; Fêtes</t>
        </is>
      </c>
      <c r="E251" s="13" t="n"/>
      <c r="F251" s="14" t="n"/>
      <c r="G251" s="14" t="n"/>
      <c r="H251" s="15" t="n"/>
      <c r="I251" s="16" t="n"/>
      <c r="J251" s="16" t="n"/>
      <c r="K251" s="14" t="n"/>
      <c r="L251" s="14" t="n"/>
      <c r="M251" s="14" t="n"/>
      <c r="N251" s="14" t="n"/>
      <c r="O251" s="13" t="n"/>
      <c r="P251" s="17">
        <f>IF(N(F251)=0,"",G251/F251)</f>
        <v/>
      </c>
      <c r="Q251" s="18">
        <f>IF(N(G251)=0,"",E251/G251)</f>
        <v/>
      </c>
      <c r="R251" s="17">
        <f>IF(N(G251)=0,"",H251/G251)</f>
        <v/>
      </c>
      <c r="S251" s="18">
        <f>IF(N(H251)=0,"",E251/H251)</f>
        <v/>
      </c>
      <c r="T251" s="18">
        <f>IF(N(K251)=0,"",E251/K251)</f>
        <v/>
      </c>
      <c r="U251" s="18">
        <f>IF(N(L251)=0,"",E251/L251)</f>
        <v/>
      </c>
      <c r="V251" s="18">
        <f>IF(N(N251)=0,"",E251/N251)</f>
        <v/>
      </c>
      <c r="W251" s="19">
        <f>IF(N(K251)=0,"",L251/K251)</f>
        <v/>
      </c>
      <c r="X251" s="19">
        <f>IF(N(M251)=0,"",N251/M251)</f>
        <v/>
      </c>
      <c r="Y251" s="20">
        <f>IF(N(E251)=0,"",O251/E251)</f>
        <v/>
      </c>
    </row>
    <row r="252">
      <c r="A252" s="10" t="n">
        <v>46552</v>
      </c>
      <c r="B252" s="11">
        <f>DATE(YEAR(A252),MONTH(A252),1)</f>
        <v/>
      </c>
      <c r="C252" t="inlineStr">
        <is>
          <t>S-FR | Événements privés</t>
        </is>
      </c>
      <c r="E252" s="13" t="n"/>
      <c r="F252" s="14" t="n"/>
      <c r="G252" s="14" t="n"/>
      <c r="H252" s="15" t="n"/>
      <c r="I252" s="16" t="n"/>
      <c r="J252" s="16" t="n"/>
      <c r="K252" s="14" t="n"/>
      <c r="L252" s="14" t="n"/>
      <c r="M252" s="14" t="n"/>
      <c r="N252" s="14" t="n"/>
      <c r="O252" s="13" t="n"/>
      <c r="P252" s="17">
        <f>IF(N(F252)=0,"",G252/F252)</f>
        <v/>
      </c>
      <c r="Q252" s="18">
        <f>IF(N(G252)=0,"",E252/G252)</f>
        <v/>
      </c>
      <c r="R252" s="17">
        <f>IF(N(G252)=0,"",H252/G252)</f>
        <v/>
      </c>
      <c r="S252" s="18">
        <f>IF(N(H252)=0,"",E252/H252)</f>
        <v/>
      </c>
      <c r="T252" s="18">
        <f>IF(N(K252)=0,"",E252/K252)</f>
        <v/>
      </c>
      <c r="U252" s="18">
        <f>IF(N(L252)=0,"",E252/L252)</f>
        <v/>
      </c>
      <c r="V252" s="18">
        <f>IF(N(N252)=0,"",E252/N252)</f>
        <v/>
      </c>
      <c r="W252" s="19">
        <f>IF(N(K252)=0,"",L252/K252)</f>
        <v/>
      </c>
      <c r="X252" s="19">
        <f>IF(N(M252)=0,"",N252/M252)</f>
        <v/>
      </c>
      <c r="Y252" s="20">
        <f>IF(N(E252)=0,"",O252/E252)</f>
        <v/>
      </c>
    </row>
    <row r="253">
      <c r="A253" s="10" t="n">
        <v>46552</v>
      </c>
      <c r="B253" s="11">
        <f>DATE(YEAR(A253),MONTH(A253),1)</f>
        <v/>
      </c>
      <c r="C253" t="inlineStr">
        <is>
          <t>S-EN | Corporate Montréal</t>
        </is>
      </c>
      <c r="E253" s="13" t="n"/>
      <c r="F253" s="14" t="n"/>
      <c r="G253" s="14" t="n"/>
      <c r="H253" s="15" t="n"/>
      <c r="I253" s="16" t="n"/>
      <c r="J253" s="16" t="n"/>
      <c r="K253" s="14" t="n"/>
      <c r="L253" s="14" t="n"/>
      <c r="M253" s="14" t="n"/>
      <c r="N253" s="14" t="n"/>
      <c r="O253" s="13" t="n"/>
      <c r="P253" s="17">
        <f>IF(N(F253)=0,"",G253/F253)</f>
        <v/>
      </c>
      <c r="Q253" s="18">
        <f>IF(N(G253)=0,"",E253/G253)</f>
        <v/>
      </c>
      <c r="R253" s="17">
        <f>IF(N(G253)=0,"",H253/G253)</f>
        <v/>
      </c>
      <c r="S253" s="18">
        <f>IF(N(H253)=0,"",E253/H253)</f>
        <v/>
      </c>
      <c r="T253" s="18">
        <f>IF(N(K253)=0,"",E253/K253)</f>
        <v/>
      </c>
      <c r="U253" s="18">
        <f>IF(N(L253)=0,"",E253/L253)</f>
        <v/>
      </c>
      <c r="V253" s="18">
        <f>IF(N(N253)=0,"",E253/N253)</f>
        <v/>
      </c>
      <c r="W253" s="19">
        <f>IF(N(K253)=0,"",L253/K253)</f>
        <v/>
      </c>
      <c r="X253" s="19">
        <f>IF(N(M253)=0,"",N253/M253)</f>
        <v/>
      </c>
      <c r="Y253" s="20">
        <f>IF(N(E253)=0,"",O253/E253)</f>
        <v/>
      </c>
    </row>
    <row r="254">
      <c r="A254" s="10" t="n">
        <v>46552</v>
      </c>
      <c r="B254" s="11">
        <f>DATE(YEAR(A254),MONTH(A254),1)</f>
        <v/>
      </c>
      <c r="C254" t="inlineStr">
        <is>
          <t>S-FR | Québec-Lévis (test)</t>
        </is>
      </c>
      <c r="E254" s="13" t="n"/>
      <c r="F254" s="14" t="n"/>
      <c r="G254" s="14" t="n"/>
      <c r="H254" s="15" t="n"/>
      <c r="I254" s="16" t="n"/>
      <c r="J254" s="16" t="n"/>
      <c r="K254" s="14" t="n"/>
      <c r="L254" s="14" t="n"/>
      <c r="M254" s="14" t="n"/>
      <c r="N254" s="14" t="n"/>
      <c r="O254" s="13" t="n"/>
      <c r="P254" s="17">
        <f>IF(N(F254)=0,"",G254/F254)</f>
        <v/>
      </c>
      <c r="Q254" s="18">
        <f>IF(N(G254)=0,"",E254/G254)</f>
        <v/>
      </c>
      <c r="R254" s="17">
        <f>IF(N(G254)=0,"",H254/G254)</f>
        <v/>
      </c>
      <c r="S254" s="18">
        <f>IF(N(H254)=0,"",E254/H254)</f>
        <v/>
      </c>
      <c r="T254" s="18">
        <f>IF(N(K254)=0,"",E254/K254)</f>
        <v/>
      </c>
      <c r="U254" s="18">
        <f>IF(N(L254)=0,"",E254/L254)</f>
        <v/>
      </c>
      <c r="V254" s="18">
        <f>IF(N(N254)=0,"",E254/N254)</f>
        <v/>
      </c>
      <c r="W254" s="19">
        <f>IF(N(K254)=0,"",L254/K254)</f>
        <v/>
      </c>
      <c r="X254" s="19">
        <f>IF(N(M254)=0,"",N254/M254)</f>
        <v/>
      </c>
      <c r="Y254" s="20">
        <f>IF(N(E254)=0,"",O254/E254)</f>
        <v/>
      </c>
    </row>
    <row r="255">
      <c r="A255" s="10" t="n">
        <v>46552</v>
      </c>
      <c r="B255" s="11">
        <f>DATE(YEAR(A255),MONTH(A255),1)</f>
        <v/>
      </c>
      <c r="C255" t="inlineStr">
        <is>
          <t>Demand Gen</t>
        </is>
      </c>
      <c r="E255" s="13" t="n"/>
      <c r="F255" s="14" t="n"/>
      <c r="G255" s="14" t="n"/>
      <c r="H255" s="15" t="n"/>
      <c r="I255" s="16" t="n"/>
      <c r="J255" s="16" t="n"/>
      <c r="K255" s="14" t="n"/>
      <c r="L255" s="14" t="n"/>
      <c r="M255" s="14" t="n"/>
      <c r="N255" s="14" t="n"/>
      <c r="O255" s="13" t="n"/>
      <c r="P255" s="17">
        <f>IF(N(F255)=0,"",G255/F255)</f>
        <v/>
      </c>
      <c r="Q255" s="18">
        <f>IF(N(G255)=0,"",E255/G255)</f>
        <v/>
      </c>
      <c r="R255" s="17">
        <f>IF(N(G255)=0,"",H255/G255)</f>
        <v/>
      </c>
      <c r="S255" s="18">
        <f>IF(N(H255)=0,"",E255/H255)</f>
        <v/>
      </c>
      <c r="T255" s="18">
        <f>IF(N(K255)=0,"",E255/K255)</f>
        <v/>
      </c>
      <c r="U255" s="18">
        <f>IF(N(L255)=0,"",E255/L255)</f>
        <v/>
      </c>
      <c r="V255" s="18">
        <f>IF(N(N255)=0,"",E255/N255)</f>
        <v/>
      </c>
      <c r="W255" s="19">
        <f>IF(N(K255)=0,"",L255/K255)</f>
        <v/>
      </c>
      <c r="X255" s="19">
        <f>IF(N(M255)=0,"",N255/M255)</f>
        <v/>
      </c>
      <c r="Y255" s="20">
        <f>IF(N(E255)=0,"",O255/E255)</f>
        <v/>
      </c>
    </row>
    <row r="256">
      <c r="A256" s="21" t="n">
        <v>46552</v>
      </c>
      <c r="B256" s="22">
        <f>DATE(YEAR(A256),MONTH(A256),1)</f>
        <v/>
      </c>
      <c r="C256" s="23" t="inlineStr">
        <is>
          <t>Microsoft Ads</t>
        </is>
      </c>
      <c r="D256" s="23" t="n"/>
      <c r="E256" s="24" t="n"/>
      <c r="F256" s="25" t="n"/>
      <c r="G256" s="25" t="n"/>
      <c r="H256" s="26" t="n"/>
      <c r="I256" s="27" t="n"/>
      <c r="J256" s="27" t="n"/>
      <c r="K256" s="25" t="n"/>
      <c r="L256" s="25" t="n"/>
      <c r="M256" s="25" t="n"/>
      <c r="N256" s="25" t="n"/>
      <c r="O256" s="24" t="n"/>
      <c r="P256" s="28">
        <f>IF(N(F256)=0,"",G256/F256)</f>
        <v/>
      </c>
      <c r="Q256" s="29">
        <f>IF(N(G256)=0,"",E256/G256)</f>
        <v/>
      </c>
      <c r="R256" s="28">
        <f>IF(N(G256)=0,"",H256/G256)</f>
        <v/>
      </c>
      <c r="S256" s="29">
        <f>IF(N(H256)=0,"",E256/H256)</f>
        <v/>
      </c>
      <c r="T256" s="29">
        <f>IF(N(K256)=0,"",E256/K256)</f>
        <v/>
      </c>
      <c r="U256" s="29">
        <f>IF(N(L256)=0,"",E256/L256)</f>
        <v/>
      </c>
      <c r="V256" s="29">
        <f>IF(N(N256)=0,"",E256/N256)</f>
        <v/>
      </c>
      <c r="W256" s="30">
        <f>IF(N(K256)=0,"",L256/K256)</f>
        <v/>
      </c>
      <c r="X256" s="30">
        <f>IF(N(M256)=0,"",N256/M256)</f>
        <v/>
      </c>
      <c r="Y256" s="31">
        <f>IF(N(E256)=0,"",O256/E256)</f>
        <v/>
      </c>
    </row>
    <row r="257">
      <c r="A257" s="10" t="n">
        <v>46559</v>
      </c>
      <c r="B257" s="11">
        <f>DATE(YEAR(A257),MONTH(A257),1)</f>
        <v/>
      </c>
      <c r="C257" t="inlineStr">
        <is>
          <t>S-FR | Marque</t>
        </is>
      </c>
      <c r="E257" s="13" t="n"/>
      <c r="F257" s="14" t="n"/>
      <c r="G257" s="14" t="n"/>
      <c r="H257" s="15" t="n"/>
      <c r="I257" s="16" t="n"/>
      <c r="J257" s="16" t="n"/>
      <c r="K257" s="14" t="n"/>
      <c r="L257" s="14" t="n"/>
      <c r="M257" s="14" t="n"/>
      <c r="N257" s="14" t="n"/>
      <c r="O257" s="13" t="n"/>
      <c r="P257" s="17">
        <f>IF(N(F257)=0,"",G257/F257)</f>
        <v/>
      </c>
      <c r="Q257" s="18">
        <f>IF(N(G257)=0,"",E257/G257)</f>
        <v/>
      </c>
      <c r="R257" s="17">
        <f>IF(N(G257)=0,"",H257/G257)</f>
        <v/>
      </c>
      <c r="S257" s="18">
        <f>IF(N(H257)=0,"",E257/H257)</f>
        <v/>
      </c>
      <c r="T257" s="18">
        <f>IF(N(K257)=0,"",E257/K257)</f>
        <v/>
      </c>
      <c r="U257" s="18">
        <f>IF(N(L257)=0,"",E257/L257)</f>
        <v/>
      </c>
      <c r="V257" s="18">
        <f>IF(N(N257)=0,"",E257/N257)</f>
        <v/>
      </c>
      <c r="W257" s="19">
        <f>IF(N(K257)=0,"",L257/K257)</f>
        <v/>
      </c>
      <c r="X257" s="19">
        <f>IF(N(M257)=0,"",N257/M257)</f>
        <v/>
      </c>
      <c r="Y257" s="20">
        <f>IF(N(E257)=0,"",O257/E257)</f>
        <v/>
      </c>
    </row>
    <row r="258">
      <c r="A258" s="10" t="n">
        <v>46559</v>
      </c>
      <c r="B258" s="11">
        <f>DATE(YEAR(A258),MONTH(A258),1)</f>
        <v/>
      </c>
      <c r="C258" t="inlineStr">
        <is>
          <t>S-FR | Corporatif &amp; Fêtes</t>
        </is>
      </c>
      <c r="E258" s="13" t="n"/>
      <c r="F258" s="14" t="n"/>
      <c r="G258" s="14" t="n"/>
      <c r="H258" s="15" t="n"/>
      <c r="I258" s="16" t="n"/>
      <c r="J258" s="16" t="n"/>
      <c r="K258" s="14" t="n"/>
      <c r="L258" s="14" t="n"/>
      <c r="M258" s="14" t="n"/>
      <c r="N258" s="14" t="n"/>
      <c r="O258" s="13" t="n"/>
      <c r="P258" s="17">
        <f>IF(N(F258)=0,"",G258/F258)</f>
        <v/>
      </c>
      <c r="Q258" s="18">
        <f>IF(N(G258)=0,"",E258/G258)</f>
        <v/>
      </c>
      <c r="R258" s="17">
        <f>IF(N(G258)=0,"",H258/G258)</f>
        <v/>
      </c>
      <c r="S258" s="18">
        <f>IF(N(H258)=0,"",E258/H258)</f>
        <v/>
      </c>
      <c r="T258" s="18">
        <f>IF(N(K258)=0,"",E258/K258)</f>
        <v/>
      </c>
      <c r="U258" s="18">
        <f>IF(N(L258)=0,"",E258/L258)</f>
        <v/>
      </c>
      <c r="V258" s="18">
        <f>IF(N(N258)=0,"",E258/N258)</f>
        <v/>
      </c>
      <c r="W258" s="19">
        <f>IF(N(K258)=0,"",L258/K258)</f>
        <v/>
      </c>
      <c r="X258" s="19">
        <f>IF(N(M258)=0,"",N258/M258)</f>
        <v/>
      </c>
      <c r="Y258" s="20">
        <f>IF(N(E258)=0,"",O258/E258)</f>
        <v/>
      </c>
    </row>
    <row r="259">
      <c r="A259" s="10" t="n">
        <v>46559</v>
      </c>
      <c r="B259" s="11">
        <f>DATE(YEAR(A259),MONTH(A259),1)</f>
        <v/>
      </c>
      <c r="C259" t="inlineStr">
        <is>
          <t>S-FR | Événements privés</t>
        </is>
      </c>
      <c r="E259" s="13" t="n"/>
      <c r="F259" s="14" t="n"/>
      <c r="G259" s="14" t="n"/>
      <c r="H259" s="15" t="n"/>
      <c r="I259" s="16" t="n"/>
      <c r="J259" s="16" t="n"/>
      <c r="K259" s="14" t="n"/>
      <c r="L259" s="14" t="n"/>
      <c r="M259" s="14" t="n"/>
      <c r="N259" s="14" t="n"/>
      <c r="O259" s="13" t="n"/>
      <c r="P259" s="17">
        <f>IF(N(F259)=0,"",G259/F259)</f>
        <v/>
      </c>
      <c r="Q259" s="18">
        <f>IF(N(G259)=0,"",E259/G259)</f>
        <v/>
      </c>
      <c r="R259" s="17">
        <f>IF(N(G259)=0,"",H259/G259)</f>
        <v/>
      </c>
      <c r="S259" s="18">
        <f>IF(N(H259)=0,"",E259/H259)</f>
        <v/>
      </c>
      <c r="T259" s="18">
        <f>IF(N(K259)=0,"",E259/K259)</f>
        <v/>
      </c>
      <c r="U259" s="18">
        <f>IF(N(L259)=0,"",E259/L259)</f>
        <v/>
      </c>
      <c r="V259" s="18">
        <f>IF(N(N259)=0,"",E259/N259)</f>
        <v/>
      </c>
      <c r="W259" s="19">
        <f>IF(N(K259)=0,"",L259/K259)</f>
        <v/>
      </c>
      <c r="X259" s="19">
        <f>IF(N(M259)=0,"",N259/M259)</f>
        <v/>
      </c>
      <c r="Y259" s="20">
        <f>IF(N(E259)=0,"",O259/E259)</f>
        <v/>
      </c>
    </row>
    <row r="260">
      <c r="A260" s="10" t="n">
        <v>46559</v>
      </c>
      <c r="B260" s="11">
        <f>DATE(YEAR(A260),MONTH(A260),1)</f>
        <v/>
      </c>
      <c r="C260" t="inlineStr">
        <is>
          <t>S-EN | Corporate Montréal</t>
        </is>
      </c>
      <c r="E260" s="13" t="n"/>
      <c r="F260" s="14" t="n"/>
      <c r="G260" s="14" t="n"/>
      <c r="H260" s="15" t="n"/>
      <c r="I260" s="16" t="n"/>
      <c r="J260" s="16" t="n"/>
      <c r="K260" s="14" t="n"/>
      <c r="L260" s="14" t="n"/>
      <c r="M260" s="14" t="n"/>
      <c r="N260" s="14" t="n"/>
      <c r="O260" s="13" t="n"/>
      <c r="P260" s="17">
        <f>IF(N(F260)=0,"",G260/F260)</f>
        <v/>
      </c>
      <c r="Q260" s="18">
        <f>IF(N(G260)=0,"",E260/G260)</f>
        <v/>
      </c>
      <c r="R260" s="17">
        <f>IF(N(G260)=0,"",H260/G260)</f>
        <v/>
      </c>
      <c r="S260" s="18">
        <f>IF(N(H260)=0,"",E260/H260)</f>
        <v/>
      </c>
      <c r="T260" s="18">
        <f>IF(N(K260)=0,"",E260/K260)</f>
        <v/>
      </c>
      <c r="U260" s="18">
        <f>IF(N(L260)=0,"",E260/L260)</f>
        <v/>
      </c>
      <c r="V260" s="18">
        <f>IF(N(N260)=0,"",E260/N260)</f>
        <v/>
      </c>
      <c r="W260" s="19">
        <f>IF(N(K260)=0,"",L260/K260)</f>
        <v/>
      </c>
      <c r="X260" s="19">
        <f>IF(N(M260)=0,"",N260/M260)</f>
        <v/>
      </c>
      <c r="Y260" s="20">
        <f>IF(N(E260)=0,"",O260/E260)</f>
        <v/>
      </c>
    </row>
    <row r="261">
      <c r="A261" s="10" t="n">
        <v>46559</v>
      </c>
      <c r="B261" s="11">
        <f>DATE(YEAR(A261),MONTH(A261),1)</f>
        <v/>
      </c>
      <c r="C261" t="inlineStr">
        <is>
          <t>S-FR | Québec-Lévis (test)</t>
        </is>
      </c>
      <c r="E261" s="13" t="n"/>
      <c r="F261" s="14" t="n"/>
      <c r="G261" s="14" t="n"/>
      <c r="H261" s="15" t="n"/>
      <c r="I261" s="16" t="n"/>
      <c r="J261" s="16" t="n"/>
      <c r="K261" s="14" t="n"/>
      <c r="L261" s="14" t="n"/>
      <c r="M261" s="14" t="n"/>
      <c r="N261" s="14" t="n"/>
      <c r="O261" s="13" t="n"/>
      <c r="P261" s="17">
        <f>IF(N(F261)=0,"",G261/F261)</f>
        <v/>
      </c>
      <c r="Q261" s="18">
        <f>IF(N(G261)=0,"",E261/G261)</f>
        <v/>
      </c>
      <c r="R261" s="17">
        <f>IF(N(G261)=0,"",H261/G261)</f>
        <v/>
      </c>
      <c r="S261" s="18">
        <f>IF(N(H261)=0,"",E261/H261)</f>
        <v/>
      </c>
      <c r="T261" s="18">
        <f>IF(N(K261)=0,"",E261/K261)</f>
        <v/>
      </c>
      <c r="U261" s="18">
        <f>IF(N(L261)=0,"",E261/L261)</f>
        <v/>
      </c>
      <c r="V261" s="18">
        <f>IF(N(N261)=0,"",E261/N261)</f>
        <v/>
      </c>
      <c r="W261" s="19">
        <f>IF(N(K261)=0,"",L261/K261)</f>
        <v/>
      </c>
      <c r="X261" s="19">
        <f>IF(N(M261)=0,"",N261/M261)</f>
        <v/>
      </c>
      <c r="Y261" s="20">
        <f>IF(N(E261)=0,"",O261/E261)</f>
        <v/>
      </c>
    </row>
    <row r="262">
      <c r="A262" s="10" t="n">
        <v>46559</v>
      </c>
      <c r="B262" s="11">
        <f>DATE(YEAR(A262),MONTH(A262),1)</f>
        <v/>
      </c>
      <c r="C262" t="inlineStr">
        <is>
          <t>Demand Gen</t>
        </is>
      </c>
      <c r="E262" s="13" t="n"/>
      <c r="F262" s="14" t="n"/>
      <c r="G262" s="14" t="n"/>
      <c r="H262" s="15" t="n"/>
      <c r="I262" s="16" t="n"/>
      <c r="J262" s="16" t="n"/>
      <c r="K262" s="14" t="n"/>
      <c r="L262" s="14" t="n"/>
      <c r="M262" s="14" t="n"/>
      <c r="N262" s="14" t="n"/>
      <c r="O262" s="13" t="n"/>
      <c r="P262" s="17">
        <f>IF(N(F262)=0,"",G262/F262)</f>
        <v/>
      </c>
      <c r="Q262" s="18">
        <f>IF(N(G262)=0,"",E262/G262)</f>
        <v/>
      </c>
      <c r="R262" s="17">
        <f>IF(N(G262)=0,"",H262/G262)</f>
        <v/>
      </c>
      <c r="S262" s="18">
        <f>IF(N(H262)=0,"",E262/H262)</f>
        <v/>
      </c>
      <c r="T262" s="18">
        <f>IF(N(K262)=0,"",E262/K262)</f>
        <v/>
      </c>
      <c r="U262" s="18">
        <f>IF(N(L262)=0,"",E262/L262)</f>
        <v/>
      </c>
      <c r="V262" s="18">
        <f>IF(N(N262)=0,"",E262/N262)</f>
        <v/>
      </c>
      <c r="W262" s="19">
        <f>IF(N(K262)=0,"",L262/K262)</f>
        <v/>
      </c>
      <c r="X262" s="19">
        <f>IF(N(M262)=0,"",N262/M262)</f>
        <v/>
      </c>
      <c r="Y262" s="20">
        <f>IF(N(E262)=0,"",O262/E262)</f>
        <v/>
      </c>
    </row>
    <row r="263">
      <c r="A263" s="21" t="n">
        <v>46559</v>
      </c>
      <c r="B263" s="22">
        <f>DATE(YEAR(A263),MONTH(A263),1)</f>
        <v/>
      </c>
      <c r="C263" s="23" t="inlineStr">
        <is>
          <t>Microsoft Ads</t>
        </is>
      </c>
      <c r="D263" s="23" t="n"/>
      <c r="E263" s="24" t="n"/>
      <c r="F263" s="25" t="n"/>
      <c r="G263" s="25" t="n"/>
      <c r="H263" s="26" t="n"/>
      <c r="I263" s="27" t="n"/>
      <c r="J263" s="27" t="n"/>
      <c r="K263" s="25" t="n"/>
      <c r="L263" s="25" t="n"/>
      <c r="M263" s="25" t="n"/>
      <c r="N263" s="25" t="n"/>
      <c r="O263" s="24" t="n"/>
      <c r="P263" s="28">
        <f>IF(N(F263)=0,"",G263/F263)</f>
        <v/>
      </c>
      <c r="Q263" s="29">
        <f>IF(N(G263)=0,"",E263/G263)</f>
        <v/>
      </c>
      <c r="R263" s="28">
        <f>IF(N(G263)=0,"",H263/G263)</f>
        <v/>
      </c>
      <c r="S263" s="29">
        <f>IF(N(H263)=0,"",E263/H263)</f>
        <v/>
      </c>
      <c r="T263" s="29">
        <f>IF(N(K263)=0,"",E263/K263)</f>
        <v/>
      </c>
      <c r="U263" s="29">
        <f>IF(N(L263)=0,"",E263/L263)</f>
        <v/>
      </c>
      <c r="V263" s="29">
        <f>IF(N(N263)=0,"",E263/N263)</f>
        <v/>
      </c>
      <c r="W263" s="30">
        <f>IF(N(K263)=0,"",L263/K263)</f>
        <v/>
      </c>
      <c r="X263" s="30">
        <f>IF(N(M263)=0,"",N263/M263)</f>
        <v/>
      </c>
      <c r="Y263" s="31">
        <f>IF(N(E263)=0,"",O263/E263)</f>
        <v/>
      </c>
    </row>
    <row r="264">
      <c r="A264" s="10" t="n">
        <v>46566</v>
      </c>
      <c r="B264" s="11">
        <f>DATE(YEAR(A264),MONTH(A264),1)</f>
        <v/>
      </c>
      <c r="C264" t="inlineStr">
        <is>
          <t>S-FR | Marque</t>
        </is>
      </c>
      <c r="E264" s="13" t="n"/>
      <c r="F264" s="14" t="n"/>
      <c r="G264" s="14" t="n"/>
      <c r="H264" s="15" t="n"/>
      <c r="I264" s="16" t="n"/>
      <c r="J264" s="16" t="n"/>
      <c r="K264" s="14" t="n"/>
      <c r="L264" s="14" t="n"/>
      <c r="M264" s="14" t="n"/>
      <c r="N264" s="14" t="n"/>
      <c r="O264" s="13" t="n"/>
      <c r="P264" s="17">
        <f>IF(N(F264)=0,"",G264/F264)</f>
        <v/>
      </c>
      <c r="Q264" s="18">
        <f>IF(N(G264)=0,"",E264/G264)</f>
        <v/>
      </c>
      <c r="R264" s="17">
        <f>IF(N(G264)=0,"",H264/G264)</f>
        <v/>
      </c>
      <c r="S264" s="18">
        <f>IF(N(H264)=0,"",E264/H264)</f>
        <v/>
      </c>
      <c r="T264" s="18">
        <f>IF(N(K264)=0,"",E264/K264)</f>
        <v/>
      </c>
      <c r="U264" s="18">
        <f>IF(N(L264)=0,"",E264/L264)</f>
        <v/>
      </c>
      <c r="V264" s="18">
        <f>IF(N(N264)=0,"",E264/N264)</f>
        <v/>
      </c>
      <c r="W264" s="19">
        <f>IF(N(K264)=0,"",L264/K264)</f>
        <v/>
      </c>
      <c r="X264" s="19">
        <f>IF(N(M264)=0,"",N264/M264)</f>
        <v/>
      </c>
      <c r="Y264" s="20">
        <f>IF(N(E264)=0,"",O264/E264)</f>
        <v/>
      </c>
    </row>
    <row r="265">
      <c r="A265" s="10" t="n">
        <v>46566</v>
      </c>
      <c r="B265" s="11">
        <f>DATE(YEAR(A265),MONTH(A265),1)</f>
        <v/>
      </c>
      <c r="C265" t="inlineStr">
        <is>
          <t>S-FR | Corporatif &amp; Fêtes</t>
        </is>
      </c>
      <c r="E265" s="13" t="n"/>
      <c r="F265" s="14" t="n"/>
      <c r="G265" s="14" t="n"/>
      <c r="H265" s="15" t="n"/>
      <c r="I265" s="16" t="n"/>
      <c r="J265" s="16" t="n"/>
      <c r="K265" s="14" t="n"/>
      <c r="L265" s="14" t="n"/>
      <c r="M265" s="14" t="n"/>
      <c r="N265" s="14" t="n"/>
      <c r="O265" s="13" t="n"/>
      <c r="P265" s="17">
        <f>IF(N(F265)=0,"",G265/F265)</f>
        <v/>
      </c>
      <c r="Q265" s="18">
        <f>IF(N(G265)=0,"",E265/G265)</f>
        <v/>
      </c>
      <c r="R265" s="17">
        <f>IF(N(G265)=0,"",H265/G265)</f>
        <v/>
      </c>
      <c r="S265" s="18">
        <f>IF(N(H265)=0,"",E265/H265)</f>
        <v/>
      </c>
      <c r="T265" s="18">
        <f>IF(N(K265)=0,"",E265/K265)</f>
        <v/>
      </c>
      <c r="U265" s="18">
        <f>IF(N(L265)=0,"",E265/L265)</f>
        <v/>
      </c>
      <c r="V265" s="18">
        <f>IF(N(N265)=0,"",E265/N265)</f>
        <v/>
      </c>
      <c r="W265" s="19">
        <f>IF(N(K265)=0,"",L265/K265)</f>
        <v/>
      </c>
      <c r="X265" s="19">
        <f>IF(N(M265)=0,"",N265/M265)</f>
        <v/>
      </c>
      <c r="Y265" s="20">
        <f>IF(N(E265)=0,"",O265/E265)</f>
        <v/>
      </c>
    </row>
    <row r="266">
      <c r="A266" s="10" t="n">
        <v>46566</v>
      </c>
      <c r="B266" s="11">
        <f>DATE(YEAR(A266),MONTH(A266),1)</f>
        <v/>
      </c>
      <c r="C266" t="inlineStr">
        <is>
          <t>S-FR | Événements privés</t>
        </is>
      </c>
      <c r="E266" s="13" t="n"/>
      <c r="F266" s="14" t="n"/>
      <c r="G266" s="14" t="n"/>
      <c r="H266" s="15" t="n"/>
      <c r="I266" s="16" t="n"/>
      <c r="J266" s="16" t="n"/>
      <c r="K266" s="14" t="n"/>
      <c r="L266" s="14" t="n"/>
      <c r="M266" s="14" t="n"/>
      <c r="N266" s="14" t="n"/>
      <c r="O266" s="13" t="n"/>
      <c r="P266" s="17">
        <f>IF(N(F266)=0,"",G266/F266)</f>
        <v/>
      </c>
      <c r="Q266" s="18">
        <f>IF(N(G266)=0,"",E266/G266)</f>
        <v/>
      </c>
      <c r="R266" s="17">
        <f>IF(N(G266)=0,"",H266/G266)</f>
        <v/>
      </c>
      <c r="S266" s="18">
        <f>IF(N(H266)=0,"",E266/H266)</f>
        <v/>
      </c>
      <c r="T266" s="18">
        <f>IF(N(K266)=0,"",E266/K266)</f>
        <v/>
      </c>
      <c r="U266" s="18">
        <f>IF(N(L266)=0,"",E266/L266)</f>
        <v/>
      </c>
      <c r="V266" s="18">
        <f>IF(N(N266)=0,"",E266/N266)</f>
        <v/>
      </c>
      <c r="W266" s="19">
        <f>IF(N(K266)=0,"",L266/K266)</f>
        <v/>
      </c>
      <c r="X266" s="19">
        <f>IF(N(M266)=0,"",N266/M266)</f>
        <v/>
      </c>
      <c r="Y266" s="20">
        <f>IF(N(E266)=0,"",O266/E266)</f>
        <v/>
      </c>
    </row>
    <row r="267">
      <c r="A267" s="10" t="n">
        <v>46566</v>
      </c>
      <c r="B267" s="11">
        <f>DATE(YEAR(A267),MONTH(A267),1)</f>
        <v/>
      </c>
      <c r="C267" t="inlineStr">
        <is>
          <t>S-EN | Corporate Montréal</t>
        </is>
      </c>
      <c r="E267" s="13" t="n"/>
      <c r="F267" s="14" t="n"/>
      <c r="G267" s="14" t="n"/>
      <c r="H267" s="15" t="n"/>
      <c r="I267" s="16" t="n"/>
      <c r="J267" s="16" t="n"/>
      <c r="K267" s="14" t="n"/>
      <c r="L267" s="14" t="n"/>
      <c r="M267" s="14" t="n"/>
      <c r="N267" s="14" t="n"/>
      <c r="O267" s="13" t="n"/>
      <c r="P267" s="17">
        <f>IF(N(F267)=0,"",G267/F267)</f>
        <v/>
      </c>
      <c r="Q267" s="18">
        <f>IF(N(G267)=0,"",E267/G267)</f>
        <v/>
      </c>
      <c r="R267" s="17">
        <f>IF(N(G267)=0,"",H267/G267)</f>
        <v/>
      </c>
      <c r="S267" s="18">
        <f>IF(N(H267)=0,"",E267/H267)</f>
        <v/>
      </c>
      <c r="T267" s="18">
        <f>IF(N(K267)=0,"",E267/K267)</f>
        <v/>
      </c>
      <c r="U267" s="18">
        <f>IF(N(L267)=0,"",E267/L267)</f>
        <v/>
      </c>
      <c r="V267" s="18">
        <f>IF(N(N267)=0,"",E267/N267)</f>
        <v/>
      </c>
      <c r="W267" s="19">
        <f>IF(N(K267)=0,"",L267/K267)</f>
        <v/>
      </c>
      <c r="X267" s="19">
        <f>IF(N(M267)=0,"",N267/M267)</f>
        <v/>
      </c>
      <c r="Y267" s="20">
        <f>IF(N(E267)=0,"",O267/E267)</f>
        <v/>
      </c>
    </row>
    <row r="268">
      <c r="A268" s="10" t="n">
        <v>46566</v>
      </c>
      <c r="B268" s="11">
        <f>DATE(YEAR(A268),MONTH(A268),1)</f>
        <v/>
      </c>
      <c r="C268" t="inlineStr">
        <is>
          <t>S-FR | Québec-Lévis (test)</t>
        </is>
      </c>
      <c r="E268" s="13" t="n"/>
      <c r="F268" s="14" t="n"/>
      <c r="G268" s="14" t="n"/>
      <c r="H268" s="15" t="n"/>
      <c r="I268" s="16" t="n"/>
      <c r="J268" s="16" t="n"/>
      <c r="K268" s="14" t="n"/>
      <c r="L268" s="14" t="n"/>
      <c r="M268" s="14" t="n"/>
      <c r="N268" s="14" t="n"/>
      <c r="O268" s="13" t="n"/>
      <c r="P268" s="17">
        <f>IF(N(F268)=0,"",G268/F268)</f>
        <v/>
      </c>
      <c r="Q268" s="18">
        <f>IF(N(G268)=0,"",E268/G268)</f>
        <v/>
      </c>
      <c r="R268" s="17">
        <f>IF(N(G268)=0,"",H268/G268)</f>
        <v/>
      </c>
      <c r="S268" s="18">
        <f>IF(N(H268)=0,"",E268/H268)</f>
        <v/>
      </c>
      <c r="T268" s="18">
        <f>IF(N(K268)=0,"",E268/K268)</f>
        <v/>
      </c>
      <c r="U268" s="18">
        <f>IF(N(L268)=0,"",E268/L268)</f>
        <v/>
      </c>
      <c r="V268" s="18">
        <f>IF(N(N268)=0,"",E268/N268)</f>
        <v/>
      </c>
      <c r="W268" s="19">
        <f>IF(N(K268)=0,"",L268/K268)</f>
        <v/>
      </c>
      <c r="X268" s="19">
        <f>IF(N(M268)=0,"",N268/M268)</f>
        <v/>
      </c>
      <c r="Y268" s="20">
        <f>IF(N(E268)=0,"",O268/E268)</f>
        <v/>
      </c>
    </row>
    <row r="269">
      <c r="A269" s="10" t="n">
        <v>46566</v>
      </c>
      <c r="B269" s="11">
        <f>DATE(YEAR(A269),MONTH(A269),1)</f>
        <v/>
      </c>
      <c r="C269" t="inlineStr">
        <is>
          <t>Demand Gen</t>
        </is>
      </c>
      <c r="E269" s="13" t="n"/>
      <c r="F269" s="14" t="n"/>
      <c r="G269" s="14" t="n"/>
      <c r="H269" s="15" t="n"/>
      <c r="I269" s="16" t="n"/>
      <c r="J269" s="16" t="n"/>
      <c r="K269" s="14" t="n"/>
      <c r="L269" s="14" t="n"/>
      <c r="M269" s="14" t="n"/>
      <c r="N269" s="14" t="n"/>
      <c r="O269" s="13" t="n"/>
      <c r="P269" s="17">
        <f>IF(N(F269)=0,"",G269/F269)</f>
        <v/>
      </c>
      <c r="Q269" s="18">
        <f>IF(N(G269)=0,"",E269/G269)</f>
        <v/>
      </c>
      <c r="R269" s="17">
        <f>IF(N(G269)=0,"",H269/G269)</f>
        <v/>
      </c>
      <c r="S269" s="18">
        <f>IF(N(H269)=0,"",E269/H269)</f>
        <v/>
      </c>
      <c r="T269" s="18">
        <f>IF(N(K269)=0,"",E269/K269)</f>
        <v/>
      </c>
      <c r="U269" s="18">
        <f>IF(N(L269)=0,"",E269/L269)</f>
        <v/>
      </c>
      <c r="V269" s="18">
        <f>IF(N(N269)=0,"",E269/N269)</f>
        <v/>
      </c>
      <c r="W269" s="19">
        <f>IF(N(K269)=0,"",L269/K269)</f>
        <v/>
      </c>
      <c r="X269" s="19">
        <f>IF(N(M269)=0,"",N269/M269)</f>
        <v/>
      </c>
      <c r="Y269" s="20">
        <f>IF(N(E269)=0,"",O269/E269)</f>
        <v/>
      </c>
    </row>
    <row r="270">
      <c r="A270" s="21" t="n">
        <v>46566</v>
      </c>
      <c r="B270" s="22">
        <f>DATE(YEAR(A270),MONTH(A270),1)</f>
        <v/>
      </c>
      <c r="C270" s="23" t="inlineStr">
        <is>
          <t>Microsoft Ads</t>
        </is>
      </c>
      <c r="D270" s="23" t="n"/>
      <c r="E270" s="24" t="n"/>
      <c r="F270" s="25" t="n"/>
      <c r="G270" s="25" t="n"/>
      <c r="H270" s="26" t="n"/>
      <c r="I270" s="27" t="n"/>
      <c r="J270" s="27" t="n"/>
      <c r="K270" s="25" t="n"/>
      <c r="L270" s="25" t="n"/>
      <c r="M270" s="25" t="n"/>
      <c r="N270" s="25" t="n"/>
      <c r="O270" s="24" t="n"/>
      <c r="P270" s="28">
        <f>IF(N(F270)=0,"",G270/F270)</f>
        <v/>
      </c>
      <c r="Q270" s="29">
        <f>IF(N(G270)=0,"",E270/G270)</f>
        <v/>
      </c>
      <c r="R270" s="28">
        <f>IF(N(G270)=0,"",H270/G270)</f>
        <v/>
      </c>
      <c r="S270" s="29">
        <f>IF(N(H270)=0,"",E270/H270)</f>
        <v/>
      </c>
      <c r="T270" s="29">
        <f>IF(N(K270)=0,"",E270/K270)</f>
        <v/>
      </c>
      <c r="U270" s="29">
        <f>IF(N(L270)=0,"",E270/L270)</f>
        <v/>
      </c>
      <c r="V270" s="29">
        <f>IF(N(N270)=0,"",E270/N270)</f>
        <v/>
      </c>
      <c r="W270" s="30">
        <f>IF(N(K270)=0,"",L270/K270)</f>
        <v/>
      </c>
      <c r="X270" s="30">
        <f>IF(N(M270)=0,"",N270/M270)</f>
        <v/>
      </c>
      <c r="Y270" s="31">
        <f>IF(N(E270)=0,"",O270/E270)</f>
        <v/>
      </c>
    </row>
    <row r="271">
      <c r="A271" s="10" t="n">
        <v>46573</v>
      </c>
      <c r="B271" s="11">
        <f>DATE(YEAR(A271),MONTH(A271),1)</f>
        <v/>
      </c>
      <c r="C271" t="inlineStr">
        <is>
          <t>S-FR | Marque</t>
        </is>
      </c>
      <c r="E271" s="13" t="n"/>
      <c r="F271" s="14" t="n"/>
      <c r="G271" s="14" t="n"/>
      <c r="H271" s="15" t="n"/>
      <c r="I271" s="16" t="n"/>
      <c r="J271" s="16" t="n"/>
      <c r="K271" s="14" t="n"/>
      <c r="L271" s="14" t="n"/>
      <c r="M271" s="14" t="n"/>
      <c r="N271" s="14" t="n"/>
      <c r="O271" s="13" t="n"/>
      <c r="P271" s="17">
        <f>IF(N(F271)=0,"",G271/F271)</f>
        <v/>
      </c>
      <c r="Q271" s="18">
        <f>IF(N(G271)=0,"",E271/G271)</f>
        <v/>
      </c>
      <c r="R271" s="17">
        <f>IF(N(G271)=0,"",H271/G271)</f>
        <v/>
      </c>
      <c r="S271" s="18">
        <f>IF(N(H271)=0,"",E271/H271)</f>
        <v/>
      </c>
      <c r="T271" s="18">
        <f>IF(N(K271)=0,"",E271/K271)</f>
        <v/>
      </c>
      <c r="U271" s="18">
        <f>IF(N(L271)=0,"",E271/L271)</f>
        <v/>
      </c>
      <c r="V271" s="18">
        <f>IF(N(N271)=0,"",E271/N271)</f>
        <v/>
      </c>
      <c r="W271" s="19">
        <f>IF(N(K271)=0,"",L271/K271)</f>
        <v/>
      </c>
      <c r="X271" s="19">
        <f>IF(N(M271)=0,"",N271/M271)</f>
        <v/>
      </c>
      <c r="Y271" s="20">
        <f>IF(N(E271)=0,"",O271/E271)</f>
        <v/>
      </c>
    </row>
    <row r="272">
      <c r="A272" s="10" t="n">
        <v>46573</v>
      </c>
      <c r="B272" s="11">
        <f>DATE(YEAR(A272),MONTH(A272),1)</f>
        <v/>
      </c>
      <c r="C272" t="inlineStr">
        <is>
          <t>S-FR | Corporatif &amp; Fêtes</t>
        </is>
      </c>
      <c r="E272" s="13" t="n"/>
      <c r="F272" s="14" t="n"/>
      <c r="G272" s="14" t="n"/>
      <c r="H272" s="15" t="n"/>
      <c r="I272" s="16" t="n"/>
      <c r="J272" s="16" t="n"/>
      <c r="K272" s="14" t="n"/>
      <c r="L272" s="14" t="n"/>
      <c r="M272" s="14" t="n"/>
      <c r="N272" s="14" t="n"/>
      <c r="O272" s="13" t="n"/>
      <c r="P272" s="17">
        <f>IF(N(F272)=0,"",G272/F272)</f>
        <v/>
      </c>
      <c r="Q272" s="18">
        <f>IF(N(G272)=0,"",E272/G272)</f>
        <v/>
      </c>
      <c r="R272" s="17">
        <f>IF(N(G272)=0,"",H272/G272)</f>
        <v/>
      </c>
      <c r="S272" s="18">
        <f>IF(N(H272)=0,"",E272/H272)</f>
        <v/>
      </c>
      <c r="T272" s="18">
        <f>IF(N(K272)=0,"",E272/K272)</f>
        <v/>
      </c>
      <c r="U272" s="18">
        <f>IF(N(L272)=0,"",E272/L272)</f>
        <v/>
      </c>
      <c r="V272" s="18">
        <f>IF(N(N272)=0,"",E272/N272)</f>
        <v/>
      </c>
      <c r="W272" s="19">
        <f>IF(N(K272)=0,"",L272/K272)</f>
        <v/>
      </c>
      <c r="X272" s="19">
        <f>IF(N(M272)=0,"",N272/M272)</f>
        <v/>
      </c>
      <c r="Y272" s="20">
        <f>IF(N(E272)=0,"",O272/E272)</f>
        <v/>
      </c>
    </row>
    <row r="273">
      <c r="A273" s="10" t="n">
        <v>46573</v>
      </c>
      <c r="B273" s="11">
        <f>DATE(YEAR(A273),MONTH(A273),1)</f>
        <v/>
      </c>
      <c r="C273" t="inlineStr">
        <is>
          <t>S-FR | Événements privés</t>
        </is>
      </c>
      <c r="E273" s="13" t="n"/>
      <c r="F273" s="14" t="n"/>
      <c r="G273" s="14" t="n"/>
      <c r="H273" s="15" t="n"/>
      <c r="I273" s="16" t="n"/>
      <c r="J273" s="16" t="n"/>
      <c r="K273" s="14" t="n"/>
      <c r="L273" s="14" t="n"/>
      <c r="M273" s="14" t="n"/>
      <c r="N273" s="14" t="n"/>
      <c r="O273" s="13" t="n"/>
      <c r="P273" s="17">
        <f>IF(N(F273)=0,"",G273/F273)</f>
        <v/>
      </c>
      <c r="Q273" s="18">
        <f>IF(N(G273)=0,"",E273/G273)</f>
        <v/>
      </c>
      <c r="R273" s="17">
        <f>IF(N(G273)=0,"",H273/G273)</f>
        <v/>
      </c>
      <c r="S273" s="18">
        <f>IF(N(H273)=0,"",E273/H273)</f>
        <v/>
      </c>
      <c r="T273" s="18">
        <f>IF(N(K273)=0,"",E273/K273)</f>
        <v/>
      </c>
      <c r="U273" s="18">
        <f>IF(N(L273)=0,"",E273/L273)</f>
        <v/>
      </c>
      <c r="V273" s="18">
        <f>IF(N(N273)=0,"",E273/N273)</f>
        <v/>
      </c>
      <c r="W273" s="19">
        <f>IF(N(K273)=0,"",L273/K273)</f>
        <v/>
      </c>
      <c r="X273" s="19">
        <f>IF(N(M273)=0,"",N273/M273)</f>
        <v/>
      </c>
      <c r="Y273" s="20">
        <f>IF(N(E273)=0,"",O273/E273)</f>
        <v/>
      </c>
    </row>
    <row r="274">
      <c r="A274" s="10" t="n">
        <v>46573</v>
      </c>
      <c r="B274" s="11">
        <f>DATE(YEAR(A274),MONTH(A274),1)</f>
        <v/>
      </c>
      <c r="C274" t="inlineStr">
        <is>
          <t>S-EN | Corporate Montréal</t>
        </is>
      </c>
      <c r="E274" s="13" t="n"/>
      <c r="F274" s="14" t="n"/>
      <c r="G274" s="14" t="n"/>
      <c r="H274" s="15" t="n"/>
      <c r="I274" s="16" t="n"/>
      <c r="J274" s="16" t="n"/>
      <c r="K274" s="14" t="n"/>
      <c r="L274" s="14" t="n"/>
      <c r="M274" s="14" t="n"/>
      <c r="N274" s="14" t="n"/>
      <c r="O274" s="13" t="n"/>
      <c r="P274" s="17">
        <f>IF(N(F274)=0,"",G274/F274)</f>
        <v/>
      </c>
      <c r="Q274" s="18">
        <f>IF(N(G274)=0,"",E274/G274)</f>
        <v/>
      </c>
      <c r="R274" s="17">
        <f>IF(N(G274)=0,"",H274/G274)</f>
        <v/>
      </c>
      <c r="S274" s="18">
        <f>IF(N(H274)=0,"",E274/H274)</f>
        <v/>
      </c>
      <c r="T274" s="18">
        <f>IF(N(K274)=0,"",E274/K274)</f>
        <v/>
      </c>
      <c r="U274" s="18">
        <f>IF(N(L274)=0,"",E274/L274)</f>
        <v/>
      </c>
      <c r="V274" s="18">
        <f>IF(N(N274)=0,"",E274/N274)</f>
        <v/>
      </c>
      <c r="W274" s="19">
        <f>IF(N(K274)=0,"",L274/K274)</f>
        <v/>
      </c>
      <c r="X274" s="19">
        <f>IF(N(M274)=0,"",N274/M274)</f>
        <v/>
      </c>
      <c r="Y274" s="20">
        <f>IF(N(E274)=0,"",O274/E274)</f>
        <v/>
      </c>
    </row>
    <row r="275">
      <c r="A275" s="10" t="n">
        <v>46573</v>
      </c>
      <c r="B275" s="11">
        <f>DATE(YEAR(A275),MONTH(A275),1)</f>
        <v/>
      </c>
      <c r="C275" t="inlineStr">
        <is>
          <t>S-FR | Québec-Lévis (test)</t>
        </is>
      </c>
      <c r="E275" s="13" t="n"/>
      <c r="F275" s="14" t="n"/>
      <c r="G275" s="14" t="n"/>
      <c r="H275" s="15" t="n"/>
      <c r="I275" s="16" t="n"/>
      <c r="J275" s="16" t="n"/>
      <c r="K275" s="14" t="n"/>
      <c r="L275" s="14" t="n"/>
      <c r="M275" s="14" t="n"/>
      <c r="N275" s="14" t="n"/>
      <c r="O275" s="13" t="n"/>
      <c r="P275" s="17">
        <f>IF(N(F275)=0,"",G275/F275)</f>
        <v/>
      </c>
      <c r="Q275" s="18">
        <f>IF(N(G275)=0,"",E275/G275)</f>
        <v/>
      </c>
      <c r="R275" s="17">
        <f>IF(N(G275)=0,"",H275/G275)</f>
        <v/>
      </c>
      <c r="S275" s="18">
        <f>IF(N(H275)=0,"",E275/H275)</f>
        <v/>
      </c>
      <c r="T275" s="18">
        <f>IF(N(K275)=0,"",E275/K275)</f>
        <v/>
      </c>
      <c r="U275" s="18">
        <f>IF(N(L275)=0,"",E275/L275)</f>
        <v/>
      </c>
      <c r="V275" s="18">
        <f>IF(N(N275)=0,"",E275/N275)</f>
        <v/>
      </c>
      <c r="W275" s="19">
        <f>IF(N(K275)=0,"",L275/K275)</f>
        <v/>
      </c>
      <c r="X275" s="19">
        <f>IF(N(M275)=0,"",N275/M275)</f>
        <v/>
      </c>
      <c r="Y275" s="20">
        <f>IF(N(E275)=0,"",O275/E275)</f>
        <v/>
      </c>
    </row>
    <row r="276">
      <c r="A276" s="10" t="n">
        <v>46573</v>
      </c>
      <c r="B276" s="11">
        <f>DATE(YEAR(A276),MONTH(A276),1)</f>
        <v/>
      </c>
      <c r="C276" t="inlineStr">
        <is>
          <t>Demand Gen</t>
        </is>
      </c>
      <c r="E276" s="13" t="n"/>
      <c r="F276" s="14" t="n"/>
      <c r="G276" s="14" t="n"/>
      <c r="H276" s="15" t="n"/>
      <c r="I276" s="16" t="n"/>
      <c r="J276" s="16" t="n"/>
      <c r="K276" s="14" t="n"/>
      <c r="L276" s="14" t="n"/>
      <c r="M276" s="14" t="n"/>
      <c r="N276" s="14" t="n"/>
      <c r="O276" s="13" t="n"/>
      <c r="P276" s="17">
        <f>IF(N(F276)=0,"",G276/F276)</f>
        <v/>
      </c>
      <c r="Q276" s="18">
        <f>IF(N(G276)=0,"",E276/G276)</f>
        <v/>
      </c>
      <c r="R276" s="17">
        <f>IF(N(G276)=0,"",H276/G276)</f>
        <v/>
      </c>
      <c r="S276" s="18">
        <f>IF(N(H276)=0,"",E276/H276)</f>
        <v/>
      </c>
      <c r="T276" s="18">
        <f>IF(N(K276)=0,"",E276/K276)</f>
        <v/>
      </c>
      <c r="U276" s="18">
        <f>IF(N(L276)=0,"",E276/L276)</f>
        <v/>
      </c>
      <c r="V276" s="18">
        <f>IF(N(N276)=0,"",E276/N276)</f>
        <v/>
      </c>
      <c r="W276" s="19">
        <f>IF(N(K276)=0,"",L276/K276)</f>
        <v/>
      </c>
      <c r="X276" s="19">
        <f>IF(N(M276)=0,"",N276/M276)</f>
        <v/>
      </c>
      <c r="Y276" s="20">
        <f>IF(N(E276)=0,"",O276/E276)</f>
        <v/>
      </c>
    </row>
    <row r="277">
      <c r="A277" s="21" t="n">
        <v>46573</v>
      </c>
      <c r="B277" s="22">
        <f>DATE(YEAR(A277),MONTH(A277),1)</f>
        <v/>
      </c>
      <c r="C277" s="23" t="inlineStr">
        <is>
          <t>Microsoft Ads</t>
        </is>
      </c>
      <c r="D277" s="23" t="n"/>
      <c r="E277" s="24" t="n"/>
      <c r="F277" s="25" t="n"/>
      <c r="G277" s="25" t="n"/>
      <c r="H277" s="26" t="n"/>
      <c r="I277" s="27" t="n"/>
      <c r="J277" s="27" t="n"/>
      <c r="K277" s="25" t="n"/>
      <c r="L277" s="25" t="n"/>
      <c r="M277" s="25" t="n"/>
      <c r="N277" s="25" t="n"/>
      <c r="O277" s="24" t="n"/>
      <c r="P277" s="28">
        <f>IF(N(F277)=0,"",G277/F277)</f>
        <v/>
      </c>
      <c r="Q277" s="29">
        <f>IF(N(G277)=0,"",E277/G277)</f>
        <v/>
      </c>
      <c r="R277" s="28">
        <f>IF(N(G277)=0,"",H277/G277)</f>
        <v/>
      </c>
      <c r="S277" s="29">
        <f>IF(N(H277)=0,"",E277/H277)</f>
        <v/>
      </c>
      <c r="T277" s="29">
        <f>IF(N(K277)=0,"",E277/K277)</f>
        <v/>
      </c>
      <c r="U277" s="29">
        <f>IF(N(L277)=0,"",E277/L277)</f>
        <v/>
      </c>
      <c r="V277" s="29">
        <f>IF(N(N277)=0,"",E277/N277)</f>
        <v/>
      </c>
      <c r="W277" s="30">
        <f>IF(N(K277)=0,"",L277/K277)</f>
        <v/>
      </c>
      <c r="X277" s="30">
        <f>IF(N(M277)=0,"",N277/M277)</f>
        <v/>
      </c>
      <c r="Y277" s="31">
        <f>IF(N(E277)=0,"",O277/E277)</f>
        <v/>
      </c>
    </row>
    <row r="278">
      <c r="A278" s="10" t="n">
        <v>46580</v>
      </c>
      <c r="B278" s="11">
        <f>DATE(YEAR(A278),MONTH(A278),1)</f>
        <v/>
      </c>
      <c r="C278" t="inlineStr">
        <is>
          <t>S-FR | Marque</t>
        </is>
      </c>
      <c r="E278" s="13" t="n"/>
      <c r="F278" s="14" t="n"/>
      <c r="G278" s="14" t="n"/>
      <c r="H278" s="15" t="n"/>
      <c r="I278" s="16" t="n"/>
      <c r="J278" s="16" t="n"/>
      <c r="K278" s="14" t="n"/>
      <c r="L278" s="14" t="n"/>
      <c r="M278" s="14" t="n"/>
      <c r="N278" s="14" t="n"/>
      <c r="O278" s="13" t="n"/>
      <c r="P278" s="17">
        <f>IF(N(F278)=0,"",G278/F278)</f>
        <v/>
      </c>
      <c r="Q278" s="18">
        <f>IF(N(G278)=0,"",E278/G278)</f>
        <v/>
      </c>
      <c r="R278" s="17">
        <f>IF(N(G278)=0,"",H278/G278)</f>
        <v/>
      </c>
      <c r="S278" s="18">
        <f>IF(N(H278)=0,"",E278/H278)</f>
        <v/>
      </c>
      <c r="T278" s="18">
        <f>IF(N(K278)=0,"",E278/K278)</f>
        <v/>
      </c>
      <c r="U278" s="18">
        <f>IF(N(L278)=0,"",E278/L278)</f>
        <v/>
      </c>
      <c r="V278" s="18">
        <f>IF(N(N278)=0,"",E278/N278)</f>
        <v/>
      </c>
      <c r="W278" s="19">
        <f>IF(N(K278)=0,"",L278/K278)</f>
        <v/>
      </c>
      <c r="X278" s="19">
        <f>IF(N(M278)=0,"",N278/M278)</f>
        <v/>
      </c>
      <c r="Y278" s="20">
        <f>IF(N(E278)=0,"",O278/E278)</f>
        <v/>
      </c>
    </row>
    <row r="279">
      <c r="A279" s="10" t="n">
        <v>46580</v>
      </c>
      <c r="B279" s="11">
        <f>DATE(YEAR(A279),MONTH(A279),1)</f>
        <v/>
      </c>
      <c r="C279" t="inlineStr">
        <is>
          <t>S-FR | Corporatif &amp; Fêtes</t>
        </is>
      </c>
      <c r="E279" s="13" t="n"/>
      <c r="F279" s="14" t="n"/>
      <c r="G279" s="14" t="n"/>
      <c r="H279" s="15" t="n"/>
      <c r="I279" s="16" t="n"/>
      <c r="J279" s="16" t="n"/>
      <c r="K279" s="14" t="n"/>
      <c r="L279" s="14" t="n"/>
      <c r="M279" s="14" t="n"/>
      <c r="N279" s="14" t="n"/>
      <c r="O279" s="13" t="n"/>
      <c r="P279" s="17">
        <f>IF(N(F279)=0,"",G279/F279)</f>
        <v/>
      </c>
      <c r="Q279" s="18">
        <f>IF(N(G279)=0,"",E279/G279)</f>
        <v/>
      </c>
      <c r="R279" s="17">
        <f>IF(N(G279)=0,"",H279/G279)</f>
        <v/>
      </c>
      <c r="S279" s="18">
        <f>IF(N(H279)=0,"",E279/H279)</f>
        <v/>
      </c>
      <c r="T279" s="18">
        <f>IF(N(K279)=0,"",E279/K279)</f>
        <v/>
      </c>
      <c r="U279" s="18">
        <f>IF(N(L279)=0,"",E279/L279)</f>
        <v/>
      </c>
      <c r="V279" s="18">
        <f>IF(N(N279)=0,"",E279/N279)</f>
        <v/>
      </c>
      <c r="W279" s="19">
        <f>IF(N(K279)=0,"",L279/K279)</f>
        <v/>
      </c>
      <c r="X279" s="19">
        <f>IF(N(M279)=0,"",N279/M279)</f>
        <v/>
      </c>
      <c r="Y279" s="20">
        <f>IF(N(E279)=0,"",O279/E279)</f>
        <v/>
      </c>
    </row>
    <row r="280">
      <c r="A280" s="10" t="n">
        <v>46580</v>
      </c>
      <c r="B280" s="11">
        <f>DATE(YEAR(A280),MONTH(A280),1)</f>
        <v/>
      </c>
      <c r="C280" t="inlineStr">
        <is>
          <t>S-FR | Événements privés</t>
        </is>
      </c>
      <c r="E280" s="13" t="n"/>
      <c r="F280" s="14" t="n"/>
      <c r="G280" s="14" t="n"/>
      <c r="H280" s="15" t="n"/>
      <c r="I280" s="16" t="n"/>
      <c r="J280" s="16" t="n"/>
      <c r="K280" s="14" t="n"/>
      <c r="L280" s="14" t="n"/>
      <c r="M280" s="14" t="n"/>
      <c r="N280" s="14" t="n"/>
      <c r="O280" s="13" t="n"/>
      <c r="P280" s="17">
        <f>IF(N(F280)=0,"",G280/F280)</f>
        <v/>
      </c>
      <c r="Q280" s="18">
        <f>IF(N(G280)=0,"",E280/G280)</f>
        <v/>
      </c>
      <c r="R280" s="17">
        <f>IF(N(G280)=0,"",H280/G280)</f>
        <v/>
      </c>
      <c r="S280" s="18">
        <f>IF(N(H280)=0,"",E280/H280)</f>
        <v/>
      </c>
      <c r="T280" s="18">
        <f>IF(N(K280)=0,"",E280/K280)</f>
        <v/>
      </c>
      <c r="U280" s="18">
        <f>IF(N(L280)=0,"",E280/L280)</f>
        <v/>
      </c>
      <c r="V280" s="18">
        <f>IF(N(N280)=0,"",E280/N280)</f>
        <v/>
      </c>
      <c r="W280" s="19">
        <f>IF(N(K280)=0,"",L280/K280)</f>
        <v/>
      </c>
      <c r="X280" s="19">
        <f>IF(N(M280)=0,"",N280/M280)</f>
        <v/>
      </c>
      <c r="Y280" s="20">
        <f>IF(N(E280)=0,"",O280/E280)</f>
        <v/>
      </c>
    </row>
    <row r="281">
      <c r="A281" s="10" t="n">
        <v>46580</v>
      </c>
      <c r="B281" s="11">
        <f>DATE(YEAR(A281),MONTH(A281),1)</f>
        <v/>
      </c>
      <c r="C281" t="inlineStr">
        <is>
          <t>S-EN | Corporate Montréal</t>
        </is>
      </c>
      <c r="E281" s="13" t="n"/>
      <c r="F281" s="14" t="n"/>
      <c r="G281" s="14" t="n"/>
      <c r="H281" s="15" t="n"/>
      <c r="I281" s="16" t="n"/>
      <c r="J281" s="16" t="n"/>
      <c r="K281" s="14" t="n"/>
      <c r="L281" s="14" t="n"/>
      <c r="M281" s="14" t="n"/>
      <c r="N281" s="14" t="n"/>
      <c r="O281" s="13" t="n"/>
      <c r="P281" s="17">
        <f>IF(N(F281)=0,"",G281/F281)</f>
        <v/>
      </c>
      <c r="Q281" s="18">
        <f>IF(N(G281)=0,"",E281/G281)</f>
        <v/>
      </c>
      <c r="R281" s="17">
        <f>IF(N(G281)=0,"",H281/G281)</f>
        <v/>
      </c>
      <c r="S281" s="18">
        <f>IF(N(H281)=0,"",E281/H281)</f>
        <v/>
      </c>
      <c r="T281" s="18">
        <f>IF(N(K281)=0,"",E281/K281)</f>
        <v/>
      </c>
      <c r="U281" s="18">
        <f>IF(N(L281)=0,"",E281/L281)</f>
        <v/>
      </c>
      <c r="V281" s="18">
        <f>IF(N(N281)=0,"",E281/N281)</f>
        <v/>
      </c>
      <c r="W281" s="19">
        <f>IF(N(K281)=0,"",L281/K281)</f>
        <v/>
      </c>
      <c r="X281" s="19">
        <f>IF(N(M281)=0,"",N281/M281)</f>
        <v/>
      </c>
      <c r="Y281" s="20">
        <f>IF(N(E281)=0,"",O281/E281)</f>
        <v/>
      </c>
    </row>
    <row r="282">
      <c r="A282" s="10" t="n">
        <v>46580</v>
      </c>
      <c r="B282" s="11">
        <f>DATE(YEAR(A282),MONTH(A282),1)</f>
        <v/>
      </c>
      <c r="C282" t="inlineStr">
        <is>
          <t>S-FR | Québec-Lévis (test)</t>
        </is>
      </c>
      <c r="E282" s="13" t="n"/>
      <c r="F282" s="14" t="n"/>
      <c r="G282" s="14" t="n"/>
      <c r="H282" s="15" t="n"/>
      <c r="I282" s="16" t="n"/>
      <c r="J282" s="16" t="n"/>
      <c r="K282" s="14" t="n"/>
      <c r="L282" s="14" t="n"/>
      <c r="M282" s="14" t="n"/>
      <c r="N282" s="14" t="n"/>
      <c r="O282" s="13" t="n"/>
      <c r="P282" s="17">
        <f>IF(N(F282)=0,"",G282/F282)</f>
        <v/>
      </c>
      <c r="Q282" s="18">
        <f>IF(N(G282)=0,"",E282/G282)</f>
        <v/>
      </c>
      <c r="R282" s="17">
        <f>IF(N(G282)=0,"",H282/G282)</f>
        <v/>
      </c>
      <c r="S282" s="18">
        <f>IF(N(H282)=0,"",E282/H282)</f>
        <v/>
      </c>
      <c r="T282" s="18">
        <f>IF(N(K282)=0,"",E282/K282)</f>
        <v/>
      </c>
      <c r="U282" s="18">
        <f>IF(N(L282)=0,"",E282/L282)</f>
        <v/>
      </c>
      <c r="V282" s="18">
        <f>IF(N(N282)=0,"",E282/N282)</f>
        <v/>
      </c>
      <c r="W282" s="19">
        <f>IF(N(K282)=0,"",L282/K282)</f>
        <v/>
      </c>
      <c r="X282" s="19">
        <f>IF(N(M282)=0,"",N282/M282)</f>
        <v/>
      </c>
      <c r="Y282" s="20">
        <f>IF(N(E282)=0,"",O282/E282)</f>
        <v/>
      </c>
    </row>
    <row r="283">
      <c r="A283" s="10" t="n">
        <v>46580</v>
      </c>
      <c r="B283" s="11">
        <f>DATE(YEAR(A283),MONTH(A283),1)</f>
        <v/>
      </c>
      <c r="C283" t="inlineStr">
        <is>
          <t>Demand Gen</t>
        </is>
      </c>
      <c r="E283" s="13" t="n"/>
      <c r="F283" s="14" t="n"/>
      <c r="G283" s="14" t="n"/>
      <c r="H283" s="15" t="n"/>
      <c r="I283" s="16" t="n"/>
      <c r="J283" s="16" t="n"/>
      <c r="K283" s="14" t="n"/>
      <c r="L283" s="14" t="n"/>
      <c r="M283" s="14" t="n"/>
      <c r="N283" s="14" t="n"/>
      <c r="O283" s="13" t="n"/>
      <c r="P283" s="17">
        <f>IF(N(F283)=0,"",G283/F283)</f>
        <v/>
      </c>
      <c r="Q283" s="18">
        <f>IF(N(G283)=0,"",E283/G283)</f>
        <v/>
      </c>
      <c r="R283" s="17">
        <f>IF(N(G283)=0,"",H283/G283)</f>
        <v/>
      </c>
      <c r="S283" s="18">
        <f>IF(N(H283)=0,"",E283/H283)</f>
        <v/>
      </c>
      <c r="T283" s="18">
        <f>IF(N(K283)=0,"",E283/K283)</f>
        <v/>
      </c>
      <c r="U283" s="18">
        <f>IF(N(L283)=0,"",E283/L283)</f>
        <v/>
      </c>
      <c r="V283" s="18">
        <f>IF(N(N283)=0,"",E283/N283)</f>
        <v/>
      </c>
      <c r="W283" s="19">
        <f>IF(N(K283)=0,"",L283/K283)</f>
        <v/>
      </c>
      <c r="X283" s="19">
        <f>IF(N(M283)=0,"",N283/M283)</f>
        <v/>
      </c>
      <c r="Y283" s="20">
        <f>IF(N(E283)=0,"",O283/E283)</f>
        <v/>
      </c>
    </row>
    <row r="284">
      <c r="A284" s="21" t="n">
        <v>46580</v>
      </c>
      <c r="B284" s="22">
        <f>DATE(YEAR(A284),MONTH(A284),1)</f>
        <v/>
      </c>
      <c r="C284" s="23" t="inlineStr">
        <is>
          <t>Microsoft Ads</t>
        </is>
      </c>
      <c r="D284" s="23" t="n"/>
      <c r="E284" s="24" t="n"/>
      <c r="F284" s="25" t="n"/>
      <c r="G284" s="25" t="n"/>
      <c r="H284" s="26" t="n"/>
      <c r="I284" s="27" t="n"/>
      <c r="J284" s="27" t="n"/>
      <c r="K284" s="25" t="n"/>
      <c r="L284" s="25" t="n"/>
      <c r="M284" s="25" t="n"/>
      <c r="N284" s="25" t="n"/>
      <c r="O284" s="24" t="n"/>
      <c r="P284" s="28">
        <f>IF(N(F284)=0,"",G284/F284)</f>
        <v/>
      </c>
      <c r="Q284" s="29">
        <f>IF(N(G284)=0,"",E284/G284)</f>
        <v/>
      </c>
      <c r="R284" s="28">
        <f>IF(N(G284)=0,"",H284/G284)</f>
        <v/>
      </c>
      <c r="S284" s="29">
        <f>IF(N(H284)=0,"",E284/H284)</f>
        <v/>
      </c>
      <c r="T284" s="29">
        <f>IF(N(K284)=0,"",E284/K284)</f>
        <v/>
      </c>
      <c r="U284" s="29">
        <f>IF(N(L284)=0,"",E284/L284)</f>
        <v/>
      </c>
      <c r="V284" s="29">
        <f>IF(N(N284)=0,"",E284/N284)</f>
        <v/>
      </c>
      <c r="W284" s="30">
        <f>IF(N(K284)=0,"",L284/K284)</f>
        <v/>
      </c>
      <c r="X284" s="30">
        <f>IF(N(M284)=0,"",N284/M284)</f>
        <v/>
      </c>
      <c r="Y284" s="31">
        <f>IF(N(E284)=0,"",O284/E284)</f>
        <v/>
      </c>
    </row>
    <row r="285">
      <c r="A285" s="10" t="n">
        <v>46587</v>
      </c>
      <c r="B285" s="11">
        <f>DATE(YEAR(A285),MONTH(A285),1)</f>
        <v/>
      </c>
      <c r="C285" t="inlineStr">
        <is>
          <t>S-FR | Marque</t>
        </is>
      </c>
      <c r="E285" s="13" t="n"/>
      <c r="F285" s="14" t="n"/>
      <c r="G285" s="14" t="n"/>
      <c r="H285" s="15" t="n"/>
      <c r="I285" s="16" t="n"/>
      <c r="J285" s="16" t="n"/>
      <c r="K285" s="14" t="n"/>
      <c r="L285" s="14" t="n"/>
      <c r="M285" s="14" t="n"/>
      <c r="N285" s="14" t="n"/>
      <c r="O285" s="13" t="n"/>
      <c r="P285" s="17">
        <f>IF(N(F285)=0,"",G285/F285)</f>
        <v/>
      </c>
      <c r="Q285" s="18">
        <f>IF(N(G285)=0,"",E285/G285)</f>
        <v/>
      </c>
      <c r="R285" s="17">
        <f>IF(N(G285)=0,"",H285/G285)</f>
        <v/>
      </c>
      <c r="S285" s="18">
        <f>IF(N(H285)=0,"",E285/H285)</f>
        <v/>
      </c>
      <c r="T285" s="18">
        <f>IF(N(K285)=0,"",E285/K285)</f>
        <v/>
      </c>
      <c r="U285" s="18">
        <f>IF(N(L285)=0,"",E285/L285)</f>
        <v/>
      </c>
      <c r="V285" s="18">
        <f>IF(N(N285)=0,"",E285/N285)</f>
        <v/>
      </c>
      <c r="W285" s="19">
        <f>IF(N(K285)=0,"",L285/K285)</f>
        <v/>
      </c>
      <c r="X285" s="19">
        <f>IF(N(M285)=0,"",N285/M285)</f>
        <v/>
      </c>
      <c r="Y285" s="20">
        <f>IF(N(E285)=0,"",O285/E285)</f>
        <v/>
      </c>
    </row>
    <row r="286">
      <c r="A286" s="10" t="n">
        <v>46587</v>
      </c>
      <c r="B286" s="11">
        <f>DATE(YEAR(A286),MONTH(A286),1)</f>
        <v/>
      </c>
      <c r="C286" t="inlineStr">
        <is>
          <t>S-FR | Corporatif &amp; Fêtes</t>
        </is>
      </c>
      <c r="E286" s="13" t="n"/>
      <c r="F286" s="14" t="n"/>
      <c r="G286" s="14" t="n"/>
      <c r="H286" s="15" t="n"/>
      <c r="I286" s="16" t="n"/>
      <c r="J286" s="16" t="n"/>
      <c r="K286" s="14" t="n"/>
      <c r="L286" s="14" t="n"/>
      <c r="M286" s="14" t="n"/>
      <c r="N286" s="14" t="n"/>
      <c r="O286" s="13" t="n"/>
      <c r="P286" s="17">
        <f>IF(N(F286)=0,"",G286/F286)</f>
        <v/>
      </c>
      <c r="Q286" s="18">
        <f>IF(N(G286)=0,"",E286/G286)</f>
        <v/>
      </c>
      <c r="R286" s="17">
        <f>IF(N(G286)=0,"",H286/G286)</f>
        <v/>
      </c>
      <c r="S286" s="18">
        <f>IF(N(H286)=0,"",E286/H286)</f>
        <v/>
      </c>
      <c r="T286" s="18">
        <f>IF(N(K286)=0,"",E286/K286)</f>
        <v/>
      </c>
      <c r="U286" s="18">
        <f>IF(N(L286)=0,"",E286/L286)</f>
        <v/>
      </c>
      <c r="V286" s="18">
        <f>IF(N(N286)=0,"",E286/N286)</f>
        <v/>
      </c>
      <c r="W286" s="19">
        <f>IF(N(K286)=0,"",L286/K286)</f>
        <v/>
      </c>
      <c r="X286" s="19">
        <f>IF(N(M286)=0,"",N286/M286)</f>
        <v/>
      </c>
      <c r="Y286" s="20">
        <f>IF(N(E286)=0,"",O286/E286)</f>
        <v/>
      </c>
    </row>
    <row r="287">
      <c r="A287" s="10" t="n">
        <v>46587</v>
      </c>
      <c r="B287" s="11">
        <f>DATE(YEAR(A287),MONTH(A287),1)</f>
        <v/>
      </c>
      <c r="C287" t="inlineStr">
        <is>
          <t>S-FR | Événements privés</t>
        </is>
      </c>
      <c r="E287" s="13" t="n"/>
      <c r="F287" s="14" t="n"/>
      <c r="G287" s="14" t="n"/>
      <c r="H287" s="15" t="n"/>
      <c r="I287" s="16" t="n"/>
      <c r="J287" s="16" t="n"/>
      <c r="K287" s="14" t="n"/>
      <c r="L287" s="14" t="n"/>
      <c r="M287" s="14" t="n"/>
      <c r="N287" s="14" t="n"/>
      <c r="O287" s="13" t="n"/>
      <c r="P287" s="17">
        <f>IF(N(F287)=0,"",G287/F287)</f>
        <v/>
      </c>
      <c r="Q287" s="18">
        <f>IF(N(G287)=0,"",E287/G287)</f>
        <v/>
      </c>
      <c r="R287" s="17">
        <f>IF(N(G287)=0,"",H287/G287)</f>
        <v/>
      </c>
      <c r="S287" s="18">
        <f>IF(N(H287)=0,"",E287/H287)</f>
        <v/>
      </c>
      <c r="T287" s="18">
        <f>IF(N(K287)=0,"",E287/K287)</f>
        <v/>
      </c>
      <c r="U287" s="18">
        <f>IF(N(L287)=0,"",E287/L287)</f>
        <v/>
      </c>
      <c r="V287" s="18">
        <f>IF(N(N287)=0,"",E287/N287)</f>
        <v/>
      </c>
      <c r="W287" s="19">
        <f>IF(N(K287)=0,"",L287/K287)</f>
        <v/>
      </c>
      <c r="X287" s="19">
        <f>IF(N(M287)=0,"",N287/M287)</f>
        <v/>
      </c>
      <c r="Y287" s="20">
        <f>IF(N(E287)=0,"",O287/E287)</f>
        <v/>
      </c>
    </row>
    <row r="288">
      <c r="A288" s="10" t="n">
        <v>46587</v>
      </c>
      <c r="B288" s="11">
        <f>DATE(YEAR(A288),MONTH(A288),1)</f>
        <v/>
      </c>
      <c r="C288" t="inlineStr">
        <is>
          <t>S-EN | Corporate Montréal</t>
        </is>
      </c>
      <c r="E288" s="13" t="n"/>
      <c r="F288" s="14" t="n"/>
      <c r="G288" s="14" t="n"/>
      <c r="H288" s="15" t="n"/>
      <c r="I288" s="16" t="n"/>
      <c r="J288" s="16" t="n"/>
      <c r="K288" s="14" t="n"/>
      <c r="L288" s="14" t="n"/>
      <c r="M288" s="14" t="n"/>
      <c r="N288" s="14" t="n"/>
      <c r="O288" s="13" t="n"/>
      <c r="P288" s="17">
        <f>IF(N(F288)=0,"",G288/F288)</f>
        <v/>
      </c>
      <c r="Q288" s="18">
        <f>IF(N(G288)=0,"",E288/G288)</f>
        <v/>
      </c>
      <c r="R288" s="17">
        <f>IF(N(G288)=0,"",H288/G288)</f>
        <v/>
      </c>
      <c r="S288" s="18">
        <f>IF(N(H288)=0,"",E288/H288)</f>
        <v/>
      </c>
      <c r="T288" s="18">
        <f>IF(N(K288)=0,"",E288/K288)</f>
        <v/>
      </c>
      <c r="U288" s="18">
        <f>IF(N(L288)=0,"",E288/L288)</f>
        <v/>
      </c>
      <c r="V288" s="18">
        <f>IF(N(N288)=0,"",E288/N288)</f>
        <v/>
      </c>
      <c r="W288" s="19">
        <f>IF(N(K288)=0,"",L288/K288)</f>
        <v/>
      </c>
      <c r="X288" s="19">
        <f>IF(N(M288)=0,"",N288/M288)</f>
        <v/>
      </c>
      <c r="Y288" s="20">
        <f>IF(N(E288)=0,"",O288/E288)</f>
        <v/>
      </c>
    </row>
    <row r="289">
      <c r="A289" s="10" t="n">
        <v>46587</v>
      </c>
      <c r="B289" s="11">
        <f>DATE(YEAR(A289),MONTH(A289),1)</f>
        <v/>
      </c>
      <c r="C289" t="inlineStr">
        <is>
          <t>S-FR | Québec-Lévis (test)</t>
        </is>
      </c>
      <c r="E289" s="13" t="n"/>
      <c r="F289" s="14" t="n"/>
      <c r="G289" s="14" t="n"/>
      <c r="H289" s="15" t="n"/>
      <c r="I289" s="16" t="n"/>
      <c r="J289" s="16" t="n"/>
      <c r="K289" s="14" t="n"/>
      <c r="L289" s="14" t="n"/>
      <c r="M289" s="14" t="n"/>
      <c r="N289" s="14" t="n"/>
      <c r="O289" s="13" t="n"/>
      <c r="P289" s="17">
        <f>IF(N(F289)=0,"",G289/F289)</f>
        <v/>
      </c>
      <c r="Q289" s="18">
        <f>IF(N(G289)=0,"",E289/G289)</f>
        <v/>
      </c>
      <c r="R289" s="17">
        <f>IF(N(G289)=0,"",H289/G289)</f>
        <v/>
      </c>
      <c r="S289" s="18">
        <f>IF(N(H289)=0,"",E289/H289)</f>
        <v/>
      </c>
      <c r="T289" s="18">
        <f>IF(N(K289)=0,"",E289/K289)</f>
        <v/>
      </c>
      <c r="U289" s="18">
        <f>IF(N(L289)=0,"",E289/L289)</f>
        <v/>
      </c>
      <c r="V289" s="18">
        <f>IF(N(N289)=0,"",E289/N289)</f>
        <v/>
      </c>
      <c r="W289" s="19">
        <f>IF(N(K289)=0,"",L289/K289)</f>
        <v/>
      </c>
      <c r="X289" s="19">
        <f>IF(N(M289)=0,"",N289/M289)</f>
        <v/>
      </c>
      <c r="Y289" s="20">
        <f>IF(N(E289)=0,"",O289/E289)</f>
        <v/>
      </c>
    </row>
    <row r="290">
      <c r="A290" s="10" t="n">
        <v>46587</v>
      </c>
      <c r="B290" s="11">
        <f>DATE(YEAR(A290),MONTH(A290),1)</f>
        <v/>
      </c>
      <c r="C290" t="inlineStr">
        <is>
          <t>Demand Gen</t>
        </is>
      </c>
      <c r="E290" s="13" t="n"/>
      <c r="F290" s="14" t="n"/>
      <c r="G290" s="14" t="n"/>
      <c r="H290" s="15" t="n"/>
      <c r="I290" s="16" t="n"/>
      <c r="J290" s="16" t="n"/>
      <c r="K290" s="14" t="n"/>
      <c r="L290" s="14" t="n"/>
      <c r="M290" s="14" t="n"/>
      <c r="N290" s="14" t="n"/>
      <c r="O290" s="13" t="n"/>
      <c r="P290" s="17">
        <f>IF(N(F290)=0,"",G290/F290)</f>
        <v/>
      </c>
      <c r="Q290" s="18">
        <f>IF(N(G290)=0,"",E290/G290)</f>
        <v/>
      </c>
      <c r="R290" s="17">
        <f>IF(N(G290)=0,"",H290/G290)</f>
        <v/>
      </c>
      <c r="S290" s="18">
        <f>IF(N(H290)=0,"",E290/H290)</f>
        <v/>
      </c>
      <c r="T290" s="18">
        <f>IF(N(K290)=0,"",E290/K290)</f>
        <v/>
      </c>
      <c r="U290" s="18">
        <f>IF(N(L290)=0,"",E290/L290)</f>
        <v/>
      </c>
      <c r="V290" s="18">
        <f>IF(N(N290)=0,"",E290/N290)</f>
        <v/>
      </c>
      <c r="W290" s="19">
        <f>IF(N(K290)=0,"",L290/K290)</f>
        <v/>
      </c>
      <c r="X290" s="19">
        <f>IF(N(M290)=0,"",N290/M290)</f>
        <v/>
      </c>
      <c r="Y290" s="20">
        <f>IF(N(E290)=0,"",O290/E290)</f>
        <v/>
      </c>
    </row>
    <row r="291">
      <c r="A291" s="21" t="n">
        <v>46587</v>
      </c>
      <c r="B291" s="22">
        <f>DATE(YEAR(A291),MONTH(A291),1)</f>
        <v/>
      </c>
      <c r="C291" s="23" t="inlineStr">
        <is>
          <t>Microsoft Ads</t>
        </is>
      </c>
      <c r="D291" s="23" t="n"/>
      <c r="E291" s="24" t="n"/>
      <c r="F291" s="25" t="n"/>
      <c r="G291" s="25" t="n"/>
      <c r="H291" s="26" t="n"/>
      <c r="I291" s="27" t="n"/>
      <c r="J291" s="27" t="n"/>
      <c r="K291" s="25" t="n"/>
      <c r="L291" s="25" t="n"/>
      <c r="M291" s="25" t="n"/>
      <c r="N291" s="25" t="n"/>
      <c r="O291" s="24" t="n"/>
      <c r="P291" s="28">
        <f>IF(N(F291)=0,"",G291/F291)</f>
        <v/>
      </c>
      <c r="Q291" s="29">
        <f>IF(N(G291)=0,"",E291/G291)</f>
        <v/>
      </c>
      <c r="R291" s="28">
        <f>IF(N(G291)=0,"",H291/G291)</f>
        <v/>
      </c>
      <c r="S291" s="29">
        <f>IF(N(H291)=0,"",E291/H291)</f>
        <v/>
      </c>
      <c r="T291" s="29">
        <f>IF(N(K291)=0,"",E291/K291)</f>
        <v/>
      </c>
      <c r="U291" s="29">
        <f>IF(N(L291)=0,"",E291/L291)</f>
        <v/>
      </c>
      <c r="V291" s="29">
        <f>IF(N(N291)=0,"",E291/N291)</f>
        <v/>
      </c>
      <c r="W291" s="30">
        <f>IF(N(K291)=0,"",L291/K291)</f>
        <v/>
      </c>
      <c r="X291" s="30">
        <f>IF(N(M291)=0,"",N291/M291)</f>
        <v/>
      </c>
      <c r="Y291" s="31">
        <f>IF(N(E291)=0,"",O291/E291)</f>
        <v/>
      </c>
    </row>
    <row r="292">
      <c r="A292" s="10" t="n">
        <v>46594</v>
      </c>
      <c r="B292" s="11">
        <f>DATE(YEAR(A292),MONTH(A292),1)</f>
        <v/>
      </c>
      <c r="C292" t="inlineStr">
        <is>
          <t>S-FR | Marque</t>
        </is>
      </c>
      <c r="E292" s="13" t="n"/>
      <c r="F292" s="14" t="n"/>
      <c r="G292" s="14" t="n"/>
      <c r="H292" s="15" t="n"/>
      <c r="I292" s="16" t="n"/>
      <c r="J292" s="16" t="n"/>
      <c r="K292" s="14" t="n"/>
      <c r="L292" s="14" t="n"/>
      <c r="M292" s="14" t="n"/>
      <c r="N292" s="14" t="n"/>
      <c r="O292" s="13" t="n"/>
      <c r="P292" s="17">
        <f>IF(N(F292)=0,"",G292/F292)</f>
        <v/>
      </c>
      <c r="Q292" s="18">
        <f>IF(N(G292)=0,"",E292/G292)</f>
        <v/>
      </c>
      <c r="R292" s="17">
        <f>IF(N(G292)=0,"",H292/G292)</f>
        <v/>
      </c>
      <c r="S292" s="18">
        <f>IF(N(H292)=0,"",E292/H292)</f>
        <v/>
      </c>
      <c r="T292" s="18">
        <f>IF(N(K292)=0,"",E292/K292)</f>
        <v/>
      </c>
      <c r="U292" s="18">
        <f>IF(N(L292)=0,"",E292/L292)</f>
        <v/>
      </c>
      <c r="V292" s="18">
        <f>IF(N(N292)=0,"",E292/N292)</f>
        <v/>
      </c>
      <c r="W292" s="19">
        <f>IF(N(K292)=0,"",L292/K292)</f>
        <v/>
      </c>
      <c r="X292" s="19">
        <f>IF(N(M292)=0,"",N292/M292)</f>
        <v/>
      </c>
      <c r="Y292" s="20">
        <f>IF(N(E292)=0,"",O292/E292)</f>
        <v/>
      </c>
    </row>
    <row r="293">
      <c r="A293" s="10" t="n">
        <v>46594</v>
      </c>
      <c r="B293" s="11">
        <f>DATE(YEAR(A293),MONTH(A293),1)</f>
        <v/>
      </c>
      <c r="C293" t="inlineStr">
        <is>
          <t>S-FR | Corporatif &amp; Fêtes</t>
        </is>
      </c>
      <c r="E293" s="13" t="n"/>
      <c r="F293" s="14" t="n"/>
      <c r="G293" s="14" t="n"/>
      <c r="H293" s="15" t="n"/>
      <c r="I293" s="16" t="n"/>
      <c r="J293" s="16" t="n"/>
      <c r="K293" s="14" t="n"/>
      <c r="L293" s="14" t="n"/>
      <c r="M293" s="14" t="n"/>
      <c r="N293" s="14" t="n"/>
      <c r="O293" s="13" t="n"/>
      <c r="P293" s="17">
        <f>IF(N(F293)=0,"",G293/F293)</f>
        <v/>
      </c>
      <c r="Q293" s="18">
        <f>IF(N(G293)=0,"",E293/G293)</f>
        <v/>
      </c>
      <c r="R293" s="17">
        <f>IF(N(G293)=0,"",H293/G293)</f>
        <v/>
      </c>
      <c r="S293" s="18">
        <f>IF(N(H293)=0,"",E293/H293)</f>
        <v/>
      </c>
      <c r="T293" s="18">
        <f>IF(N(K293)=0,"",E293/K293)</f>
        <v/>
      </c>
      <c r="U293" s="18">
        <f>IF(N(L293)=0,"",E293/L293)</f>
        <v/>
      </c>
      <c r="V293" s="18">
        <f>IF(N(N293)=0,"",E293/N293)</f>
        <v/>
      </c>
      <c r="W293" s="19">
        <f>IF(N(K293)=0,"",L293/K293)</f>
        <v/>
      </c>
      <c r="X293" s="19">
        <f>IF(N(M293)=0,"",N293/M293)</f>
        <v/>
      </c>
      <c r="Y293" s="20">
        <f>IF(N(E293)=0,"",O293/E293)</f>
        <v/>
      </c>
    </row>
    <row r="294">
      <c r="A294" s="10" t="n">
        <v>46594</v>
      </c>
      <c r="B294" s="11">
        <f>DATE(YEAR(A294),MONTH(A294),1)</f>
        <v/>
      </c>
      <c r="C294" t="inlineStr">
        <is>
          <t>S-FR | Événements privés</t>
        </is>
      </c>
      <c r="E294" s="13" t="n"/>
      <c r="F294" s="14" t="n"/>
      <c r="G294" s="14" t="n"/>
      <c r="H294" s="15" t="n"/>
      <c r="I294" s="16" t="n"/>
      <c r="J294" s="16" t="n"/>
      <c r="K294" s="14" t="n"/>
      <c r="L294" s="14" t="n"/>
      <c r="M294" s="14" t="n"/>
      <c r="N294" s="14" t="n"/>
      <c r="O294" s="13" t="n"/>
      <c r="P294" s="17">
        <f>IF(N(F294)=0,"",G294/F294)</f>
        <v/>
      </c>
      <c r="Q294" s="18">
        <f>IF(N(G294)=0,"",E294/G294)</f>
        <v/>
      </c>
      <c r="R294" s="17">
        <f>IF(N(G294)=0,"",H294/G294)</f>
        <v/>
      </c>
      <c r="S294" s="18">
        <f>IF(N(H294)=0,"",E294/H294)</f>
        <v/>
      </c>
      <c r="T294" s="18">
        <f>IF(N(K294)=0,"",E294/K294)</f>
        <v/>
      </c>
      <c r="U294" s="18">
        <f>IF(N(L294)=0,"",E294/L294)</f>
        <v/>
      </c>
      <c r="V294" s="18">
        <f>IF(N(N294)=0,"",E294/N294)</f>
        <v/>
      </c>
      <c r="W294" s="19">
        <f>IF(N(K294)=0,"",L294/K294)</f>
        <v/>
      </c>
      <c r="X294" s="19">
        <f>IF(N(M294)=0,"",N294/M294)</f>
        <v/>
      </c>
      <c r="Y294" s="20">
        <f>IF(N(E294)=0,"",O294/E294)</f>
        <v/>
      </c>
    </row>
    <row r="295">
      <c r="A295" s="10" t="n">
        <v>46594</v>
      </c>
      <c r="B295" s="11">
        <f>DATE(YEAR(A295),MONTH(A295),1)</f>
        <v/>
      </c>
      <c r="C295" t="inlineStr">
        <is>
          <t>S-EN | Corporate Montréal</t>
        </is>
      </c>
      <c r="E295" s="13" t="n"/>
      <c r="F295" s="14" t="n"/>
      <c r="G295" s="14" t="n"/>
      <c r="H295" s="15" t="n"/>
      <c r="I295" s="16" t="n"/>
      <c r="J295" s="16" t="n"/>
      <c r="K295" s="14" t="n"/>
      <c r="L295" s="14" t="n"/>
      <c r="M295" s="14" t="n"/>
      <c r="N295" s="14" t="n"/>
      <c r="O295" s="13" t="n"/>
      <c r="P295" s="17">
        <f>IF(N(F295)=0,"",G295/F295)</f>
        <v/>
      </c>
      <c r="Q295" s="18">
        <f>IF(N(G295)=0,"",E295/G295)</f>
        <v/>
      </c>
      <c r="R295" s="17">
        <f>IF(N(G295)=0,"",H295/G295)</f>
        <v/>
      </c>
      <c r="S295" s="18">
        <f>IF(N(H295)=0,"",E295/H295)</f>
        <v/>
      </c>
      <c r="T295" s="18">
        <f>IF(N(K295)=0,"",E295/K295)</f>
        <v/>
      </c>
      <c r="U295" s="18">
        <f>IF(N(L295)=0,"",E295/L295)</f>
        <v/>
      </c>
      <c r="V295" s="18">
        <f>IF(N(N295)=0,"",E295/N295)</f>
        <v/>
      </c>
      <c r="W295" s="19">
        <f>IF(N(K295)=0,"",L295/K295)</f>
        <v/>
      </c>
      <c r="X295" s="19">
        <f>IF(N(M295)=0,"",N295/M295)</f>
        <v/>
      </c>
      <c r="Y295" s="20">
        <f>IF(N(E295)=0,"",O295/E295)</f>
        <v/>
      </c>
    </row>
    <row r="296">
      <c r="A296" s="10" t="n">
        <v>46594</v>
      </c>
      <c r="B296" s="11">
        <f>DATE(YEAR(A296),MONTH(A296),1)</f>
        <v/>
      </c>
      <c r="C296" t="inlineStr">
        <is>
          <t>S-FR | Québec-Lévis (test)</t>
        </is>
      </c>
      <c r="E296" s="13" t="n"/>
      <c r="F296" s="14" t="n"/>
      <c r="G296" s="14" t="n"/>
      <c r="H296" s="15" t="n"/>
      <c r="I296" s="16" t="n"/>
      <c r="J296" s="16" t="n"/>
      <c r="K296" s="14" t="n"/>
      <c r="L296" s="14" t="n"/>
      <c r="M296" s="14" t="n"/>
      <c r="N296" s="14" t="n"/>
      <c r="O296" s="13" t="n"/>
      <c r="P296" s="17">
        <f>IF(N(F296)=0,"",G296/F296)</f>
        <v/>
      </c>
      <c r="Q296" s="18">
        <f>IF(N(G296)=0,"",E296/G296)</f>
        <v/>
      </c>
      <c r="R296" s="17">
        <f>IF(N(G296)=0,"",H296/G296)</f>
        <v/>
      </c>
      <c r="S296" s="18">
        <f>IF(N(H296)=0,"",E296/H296)</f>
        <v/>
      </c>
      <c r="T296" s="18">
        <f>IF(N(K296)=0,"",E296/K296)</f>
        <v/>
      </c>
      <c r="U296" s="18">
        <f>IF(N(L296)=0,"",E296/L296)</f>
        <v/>
      </c>
      <c r="V296" s="18">
        <f>IF(N(N296)=0,"",E296/N296)</f>
        <v/>
      </c>
      <c r="W296" s="19">
        <f>IF(N(K296)=0,"",L296/K296)</f>
        <v/>
      </c>
      <c r="X296" s="19">
        <f>IF(N(M296)=0,"",N296/M296)</f>
        <v/>
      </c>
      <c r="Y296" s="20">
        <f>IF(N(E296)=0,"",O296/E296)</f>
        <v/>
      </c>
    </row>
    <row r="297">
      <c r="A297" s="10" t="n">
        <v>46594</v>
      </c>
      <c r="B297" s="11">
        <f>DATE(YEAR(A297),MONTH(A297),1)</f>
        <v/>
      </c>
      <c r="C297" t="inlineStr">
        <is>
          <t>Demand Gen</t>
        </is>
      </c>
      <c r="E297" s="13" t="n"/>
      <c r="F297" s="14" t="n"/>
      <c r="G297" s="14" t="n"/>
      <c r="H297" s="15" t="n"/>
      <c r="I297" s="16" t="n"/>
      <c r="J297" s="16" t="n"/>
      <c r="K297" s="14" t="n"/>
      <c r="L297" s="14" t="n"/>
      <c r="M297" s="14" t="n"/>
      <c r="N297" s="14" t="n"/>
      <c r="O297" s="13" t="n"/>
      <c r="P297" s="17">
        <f>IF(N(F297)=0,"",G297/F297)</f>
        <v/>
      </c>
      <c r="Q297" s="18">
        <f>IF(N(G297)=0,"",E297/G297)</f>
        <v/>
      </c>
      <c r="R297" s="17">
        <f>IF(N(G297)=0,"",H297/G297)</f>
        <v/>
      </c>
      <c r="S297" s="18">
        <f>IF(N(H297)=0,"",E297/H297)</f>
        <v/>
      </c>
      <c r="T297" s="18">
        <f>IF(N(K297)=0,"",E297/K297)</f>
        <v/>
      </c>
      <c r="U297" s="18">
        <f>IF(N(L297)=0,"",E297/L297)</f>
        <v/>
      </c>
      <c r="V297" s="18">
        <f>IF(N(N297)=0,"",E297/N297)</f>
        <v/>
      </c>
      <c r="W297" s="19">
        <f>IF(N(K297)=0,"",L297/K297)</f>
        <v/>
      </c>
      <c r="X297" s="19">
        <f>IF(N(M297)=0,"",N297/M297)</f>
        <v/>
      </c>
      <c r="Y297" s="20">
        <f>IF(N(E297)=0,"",O297/E297)</f>
        <v/>
      </c>
    </row>
    <row r="298">
      <c r="A298" s="21" t="n">
        <v>46594</v>
      </c>
      <c r="B298" s="22">
        <f>DATE(YEAR(A298),MONTH(A298),1)</f>
        <v/>
      </c>
      <c r="C298" s="23" t="inlineStr">
        <is>
          <t>Microsoft Ads</t>
        </is>
      </c>
      <c r="D298" s="23" t="n"/>
      <c r="E298" s="24" t="n"/>
      <c r="F298" s="25" t="n"/>
      <c r="G298" s="25" t="n"/>
      <c r="H298" s="26" t="n"/>
      <c r="I298" s="27" t="n"/>
      <c r="J298" s="27" t="n"/>
      <c r="K298" s="25" t="n"/>
      <c r="L298" s="25" t="n"/>
      <c r="M298" s="25" t="n"/>
      <c r="N298" s="25" t="n"/>
      <c r="O298" s="24" t="n"/>
      <c r="P298" s="28">
        <f>IF(N(F298)=0,"",G298/F298)</f>
        <v/>
      </c>
      <c r="Q298" s="29">
        <f>IF(N(G298)=0,"",E298/G298)</f>
        <v/>
      </c>
      <c r="R298" s="28">
        <f>IF(N(G298)=0,"",H298/G298)</f>
        <v/>
      </c>
      <c r="S298" s="29">
        <f>IF(N(H298)=0,"",E298/H298)</f>
        <v/>
      </c>
      <c r="T298" s="29">
        <f>IF(N(K298)=0,"",E298/K298)</f>
        <v/>
      </c>
      <c r="U298" s="29">
        <f>IF(N(L298)=0,"",E298/L298)</f>
        <v/>
      </c>
      <c r="V298" s="29">
        <f>IF(N(N298)=0,"",E298/N298)</f>
        <v/>
      </c>
      <c r="W298" s="30">
        <f>IF(N(K298)=0,"",L298/K298)</f>
        <v/>
      </c>
      <c r="X298" s="30">
        <f>IF(N(M298)=0,"",N298/M298)</f>
        <v/>
      </c>
      <c r="Y298" s="31">
        <f>IF(N(E298)=0,"",O298/E298)</f>
        <v/>
      </c>
    </row>
    <row r="299">
      <c r="A299" s="10" t="n">
        <v>46601</v>
      </c>
      <c r="B299" s="11">
        <f>DATE(YEAR(A299),MONTH(A299),1)</f>
        <v/>
      </c>
      <c r="C299" t="inlineStr">
        <is>
          <t>S-FR | Marque</t>
        </is>
      </c>
      <c r="E299" s="13" t="n"/>
      <c r="F299" s="14" t="n"/>
      <c r="G299" s="14" t="n"/>
      <c r="H299" s="15" t="n"/>
      <c r="I299" s="16" t="n"/>
      <c r="J299" s="16" t="n"/>
      <c r="K299" s="14" t="n"/>
      <c r="L299" s="14" t="n"/>
      <c r="M299" s="14" t="n"/>
      <c r="N299" s="14" t="n"/>
      <c r="O299" s="13" t="n"/>
      <c r="P299" s="17">
        <f>IF(N(F299)=0,"",G299/F299)</f>
        <v/>
      </c>
      <c r="Q299" s="18">
        <f>IF(N(G299)=0,"",E299/G299)</f>
        <v/>
      </c>
      <c r="R299" s="17">
        <f>IF(N(G299)=0,"",H299/G299)</f>
        <v/>
      </c>
      <c r="S299" s="18">
        <f>IF(N(H299)=0,"",E299/H299)</f>
        <v/>
      </c>
      <c r="T299" s="18">
        <f>IF(N(K299)=0,"",E299/K299)</f>
        <v/>
      </c>
      <c r="U299" s="18">
        <f>IF(N(L299)=0,"",E299/L299)</f>
        <v/>
      </c>
      <c r="V299" s="18">
        <f>IF(N(N299)=0,"",E299/N299)</f>
        <v/>
      </c>
      <c r="W299" s="19">
        <f>IF(N(K299)=0,"",L299/K299)</f>
        <v/>
      </c>
      <c r="X299" s="19">
        <f>IF(N(M299)=0,"",N299/M299)</f>
        <v/>
      </c>
      <c r="Y299" s="20">
        <f>IF(N(E299)=0,"",O299/E299)</f>
        <v/>
      </c>
    </row>
    <row r="300">
      <c r="A300" s="10" t="n">
        <v>46601</v>
      </c>
      <c r="B300" s="11">
        <f>DATE(YEAR(A300),MONTH(A300),1)</f>
        <v/>
      </c>
      <c r="C300" t="inlineStr">
        <is>
          <t>S-FR | Corporatif &amp; Fêtes</t>
        </is>
      </c>
      <c r="E300" s="13" t="n"/>
      <c r="F300" s="14" t="n"/>
      <c r="G300" s="14" t="n"/>
      <c r="H300" s="15" t="n"/>
      <c r="I300" s="16" t="n"/>
      <c r="J300" s="16" t="n"/>
      <c r="K300" s="14" t="n"/>
      <c r="L300" s="14" t="n"/>
      <c r="M300" s="14" t="n"/>
      <c r="N300" s="14" t="n"/>
      <c r="O300" s="13" t="n"/>
      <c r="P300" s="17">
        <f>IF(N(F300)=0,"",G300/F300)</f>
        <v/>
      </c>
      <c r="Q300" s="18">
        <f>IF(N(G300)=0,"",E300/G300)</f>
        <v/>
      </c>
      <c r="R300" s="17">
        <f>IF(N(G300)=0,"",H300/G300)</f>
        <v/>
      </c>
      <c r="S300" s="18">
        <f>IF(N(H300)=0,"",E300/H300)</f>
        <v/>
      </c>
      <c r="T300" s="18">
        <f>IF(N(K300)=0,"",E300/K300)</f>
        <v/>
      </c>
      <c r="U300" s="18">
        <f>IF(N(L300)=0,"",E300/L300)</f>
        <v/>
      </c>
      <c r="V300" s="18">
        <f>IF(N(N300)=0,"",E300/N300)</f>
        <v/>
      </c>
      <c r="W300" s="19">
        <f>IF(N(K300)=0,"",L300/K300)</f>
        <v/>
      </c>
      <c r="X300" s="19">
        <f>IF(N(M300)=0,"",N300/M300)</f>
        <v/>
      </c>
      <c r="Y300" s="20">
        <f>IF(N(E300)=0,"",O300/E300)</f>
        <v/>
      </c>
    </row>
    <row r="301">
      <c r="A301" s="10" t="n">
        <v>46601</v>
      </c>
      <c r="B301" s="11">
        <f>DATE(YEAR(A301),MONTH(A301),1)</f>
        <v/>
      </c>
      <c r="C301" t="inlineStr">
        <is>
          <t>S-FR | Événements privés</t>
        </is>
      </c>
      <c r="E301" s="13" t="n"/>
      <c r="F301" s="14" t="n"/>
      <c r="G301" s="14" t="n"/>
      <c r="H301" s="15" t="n"/>
      <c r="I301" s="16" t="n"/>
      <c r="J301" s="16" t="n"/>
      <c r="K301" s="14" t="n"/>
      <c r="L301" s="14" t="n"/>
      <c r="M301" s="14" t="n"/>
      <c r="N301" s="14" t="n"/>
      <c r="O301" s="13" t="n"/>
      <c r="P301" s="17">
        <f>IF(N(F301)=0,"",G301/F301)</f>
        <v/>
      </c>
      <c r="Q301" s="18">
        <f>IF(N(G301)=0,"",E301/G301)</f>
        <v/>
      </c>
      <c r="R301" s="17">
        <f>IF(N(G301)=0,"",H301/G301)</f>
        <v/>
      </c>
      <c r="S301" s="18">
        <f>IF(N(H301)=0,"",E301/H301)</f>
        <v/>
      </c>
      <c r="T301" s="18">
        <f>IF(N(K301)=0,"",E301/K301)</f>
        <v/>
      </c>
      <c r="U301" s="18">
        <f>IF(N(L301)=0,"",E301/L301)</f>
        <v/>
      </c>
      <c r="V301" s="18">
        <f>IF(N(N301)=0,"",E301/N301)</f>
        <v/>
      </c>
      <c r="W301" s="19">
        <f>IF(N(K301)=0,"",L301/K301)</f>
        <v/>
      </c>
      <c r="X301" s="19">
        <f>IF(N(M301)=0,"",N301/M301)</f>
        <v/>
      </c>
      <c r="Y301" s="20">
        <f>IF(N(E301)=0,"",O301/E301)</f>
        <v/>
      </c>
    </row>
    <row r="302">
      <c r="A302" s="10" t="n">
        <v>46601</v>
      </c>
      <c r="B302" s="11">
        <f>DATE(YEAR(A302),MONTH(A302),1)</f>
        <v/>
      </c>
      <c r="C302" t="inlineStr">
        <is>
          <t>S-EN | Corporate Montréal</t>
        </is>
      </c>
      <c r="E302" s="13" t="n"/>
      <c r="F302" s="14" t="n"/>
      <c r="G302" s="14" t="n"/>
      <c r="H302" s="15" t="n"/>
      <c r="I302" s="16" t="n"/>
      <c r="J302" s="16" t="n"/>
      <c r="K302" s="14" t="n"/>
      <c r="L302" s="14" t="n"/>
      <c r="M302" s="14" t="n"/>
      <c r="N302" s="14" t="n"/>
      <c r="O302" s="13" t="n"/>
      <c r="P302" s="17">
        <f>IF(N(F302)=0,"",G302/F302)</f>
        <v/>
      </c>
      <c r="Q302" s="18">
        <f>IF(N(G302)=0,"",E302/G302)</f>
        <v/>
      </c>
      <c r="R302" s="17">
        <f>IF(N(G302)=0,"",H302/G302)</f>
        <v/>
      </c>
      <c r="S302" s="18">
        <f>IF(N(H302)=0,"",E302/H302)</f>
        <v/>
      </c>
      <c r="T302" s="18">
        <f>IF(N(K302)=0,"",E302/K302)</f>
        <v/>
      </c>
      <c r="U302" s="18">
        <f>IF(N(L302)=0,"",E302/L302)</f>
        <v/>
      </c>
      <c r="V302" s="18">
        <f>IF(N(N302)=0,"",E302/N302)</f>
        <v/>
      </c>
      <c r="W302" s="19">
        <f>IF(N(K302)=0,"",L302/K302)</f>
        <v/>
      </c>
      <c r="X302" s="19">
        <f>IF(N(M302)=0,"",N302/M302)</f>
        <v/>
      </c>
      <c r="Y302" s="20">
        <f>IF(N(E302)=0,"",O302/E302)</f>
        <v/>
      </c>
    </row>
    <row r="303">
      <c r="A303" s="10" t="n">
        <v>46601</v>
      </c>
      <c r="B303" s="11">
        <f>DATE(YEAR(A303),MONTH(A303),1)</f>
        <v/>
      </c>
      <c r="C303" t="inlineStr">
        <is>
          <t>S-FR | Québec-Lévis (test)</t>
        </is>
      </c>
      <c r="E303" s="13" t="n"/>
      <c r="F303" s="14" t="n"/>
      <c r="G303" s="14" t="n"/>
      <c r="H303" s="15" t="n"/>
      <c r="I303" s="16" t="n"/>
      <c r="J303" s="16" t="n"/>
      <c r="K303" s="14" t="n"/>
      <c r="L303" s="14" t="n"/>
      <c r="M303" s="14" t="n"/>
      <c r="N303" s="14" t="n"/>
      <c r="O303" s="13" t="n"/>
      <c r="P303" s="17">
        <f>IF(N(F303)=0,"",G303/F303)</f>
        <v/>
      </c>
      <c r="Q303" s="18">
        <f>IF(N(G303)=0,"",E303/G303)</f>
        <v/>
      </c>
      <c r="R303" s="17">
        <f>IF(N(G303)=0,"",H303/G303)</f>
        <v/>
      </c>
      <c r="S303" s="18">
        <f>IF(N(H303)=0,"",E303/H303)</f>
        <v/>
      </c>
      <c r="T303" s="18">
        <f>IF(N(K303)=0,"",E303/K303)</f>
        <v/>
      </c>
      <c r="U303" s="18">
        <f>IF(N(L303)=0,"",E303/L303)</f>
        <v/>
      </c>
      <c r="V303" s="18">
        <f>IF(N(N303)=0,"",E303/N303)</f>
        <v/>
      </c>
      <c r="W303" s="19">
        <f>IF(N(K303)=0,"",L303/K303)</f>
        <v/>
      </c>
      <c r="X303" s="19">
        <f>IF(N(M303)=0,"",N303/M303)</f>
        <v/>
      </c>
      <c r="Y303" s="20">
        <f>IF(N(E303)=0,"",O303/E303)</f>
        <v/>
      </c>
    </row>
    <row r="304">
      <c r="A304" s="10" t="n">
        <v>46601</v>
      </c>
      <c r="B304" s="11">
        <f>DATE(YEAR(A304),MONTH(A304),1)</f>
        <v/>
      </c>
      <c r="C304" t="inlineStr">
        <is>
          <t>Demand Gen</t>
        </is>
      </c>
      <c r="E304" s="13" t="n"/>
      <c r="F304" s="14" t="n"/>
      <c r="G304" s="14" t="n"/>
      <c r="H304" s="15" t="n"/>
      <c r="I304" s="16" t="n"/>
      <c r="J304" s="16" t="n"/>
      <c r="K304" s="14" t="n"/>
      <c r="L304" s="14" t="n"/>
      <c r="M304" s="14" t="n"/>
      <c r="N304" s="14" t="n"/>
      <c r="O304" s="13" t="n"/>
      <c r="P304" s="17">
        <f>IF(N(F304)=0,"",G304/F304)</f>
        <v/>
      </c>
      <c r="Q304" s="18">
        <f>IF(N(G304)=0,"",E304/G304)</f>
        <v/>
      </c>
      <c r="R304" s="17">
        <f>IF(N(G304)=0,"",H304/G304)</f>
        <v/>
      </c>
      <c r="S304" s="18">
        <f>IF(N(H304)=0,"",E304/H304)</f>
        <v/>
      </c>
      <c r="T304" s="18">
        <f>IF(N(K304)=0,"",E304/K304)</f>
        <v/>
      </c>
      <c r="U304" s="18">
        <f>IF(N(L304)=0,"",E304/L304)</f>
        <v/>
      </c>
      <c r="V304" s="18">
        <f>IF(N(N304)=0,"",E304/N304)</f>
        <v/>
      </c>
      <c r="W304" s="19">
        <f>IF(N(K304)=0,"",L304/K304)</f>
        <v/>
      </c>
      <c r="X304" s="19">
        <f>IF(N(M304)=0,"",N304/M304)</f>
        <v/>
      </c>
      <c r="Y304" s="20">
        <f>IF(N(E304)=0,"",O304/E304)</f>
        <v/>
      </c>
    </row>
    <row r="305">
      <c r="A305" s="21" t="n">
        <v>46601</v>
      </c>
      <c r="B305" s="22">
        <f>DATE(YEAR(A305),MONTH(A305),1)</f>
        <v/>
      </c>
      <c r="C305" s="23" t="inlineStr">
        <is>
          <t>Microsoft Ads</t>
        </is>
      </c>
      <c r="D305" s="23" t="n"/>
      <c r="E305" s="24" t="n"/>
      <c r="F305" s="25" t="n"/>
      <c r="G305" s="25" t="n"/>
      <c r="H305" s="26" t="n"/>
      <c r="I305" s="27" t="n"/>
      <c r="J305" s="27" t="n"/>
      <c r="K305" s="25" t="n"/>
      <c r="L305" s="25" t="n"/>
      <c r="M305" s="25" t="n"/>
      <c r="N305" s="25" t="n"/>
      <c r="O305" s="24" t="n"/>
      <c r="P305" s="28">
        <f>IF(N(F305)=0,"",G305/F305)</f>
        <v/>
      </c>
      <c r="Q305" s="29">
        <f>IF(N(G305)=0,"",E305/G305)</f>
        <v/>
      </c>
      <c r="R305" s="28">
        <f>IF(N(G305)=0,"",H305/G305)</f>
        <v/>
      </c>
      <c r="S305" s="29">
        <f>IF(N(H305)=0,"",E305/H305)</f>
        <v/>
      </c>
      <c r="T305" s="29">
        <f>IF(N(K305)=0,"",E305/K305)</f>
        <v/>
      </c>
      <c r="U305" s="29">
        <f>IF(N(L305)=0,"",E305/L305)</f>
        <v/>
      </c>
      <c r="V305" s="29">
        <f>IF(N(N305)=0,"",E305/N305)</f>
        <v/>
      </c>
      <c r="W305" s="30">
        <f>IF(N(K305)=0,"",L305/K305)</f>
        <v/>
      </c>
      <c r="X305" s="30">
        <f>IF(N(M305)=0,"",N305/M305)</f>
        <v/>
      </c>
      <c r="Y305" s="31">
        <f>IF(N(E305)=0,"",O305/E305)</f>
        <v/>
      </c>
    </row>
    <row r="306">
      <c r="A306" s="10" t="n">
        <v>46608</v>
      </c>
      <c r="B306" s="11">
        <f>DATE(YEAR(A306),MONTH(A306),1)</f>
        <v/>
      </c>
      <c r="C306" t="inlineStr">
        <is>
          <t>S-FR | Marque</t>
        </is>
      </c>
      <c r="E306" s="13" t="n"/>
      <c r="F306" s="14" t="n"/>
      <c r="G306" s="14" t="n"/>
      <c r="H306" s="15" t="n"/>
      <c r="I306" s="16" t="n"/>
      <c r="J306" s="16" t="n"/>
      <c r="K306" s="14" t="n"/>
      <c r="L306" s="14" t="n"/>
      <c r="M306" s="14" t="n"/>
      <c r="N306" s="14" t="n"/>
      <c r="O306" s="13" t="n"/>
      <c r="P306" s="17">
        <f>IF(N(F306)=0,"",G306/F306)</f>
        <v/>
      </c>
      <c r="Q306" s="18">
        <f>IF(N(G306)=0,"",E306/G306)</f>
        <v/>
      </c>
      <c r="R306" s="17">
        <f>IF(N(G306)=0,"",H306/G306)</f>
        <v/>
      </c>
      <c r="S306" s="18">
        <f>IF(N(H306)=0,"",E306/H306)</f>
        <v/>
      </c>
      <c r="T306" s="18">
        <f>IF(N(K306)=0,"",E306/K306)</f>
        <v/>
      </c>
      <c r="U306" s="18">
        <f>IF(N(L306)=0,"",E306/L306)</f>
        <v/>
      </c>
      <c r="V306" s="18">
        <f>IF(N(N306)=0,"",E306/N306)</f>
        <v/>
      </c>
      <c r="W306" s="19">
        <f>IF(N(K306)=0,"",L306/K306)</f>
        <v/>
      </c>
      <c r="X306" s="19">
        <f>IF(N(M306)=0,"",N306/M306)</f>
        <v/>
      </c>
      <c r="Y306" s="20">
        <f>IF(N(E306)=0,"",O306/E306)</f>
        <v/>
      </c>
    </row>
    <row r="307">
      <c r="A307" s="10" t="n">
        <v>46608</v>
      </c>
      <c r="B307" s="11">
        <f>DATE(YEAR(A307),MONTH(A307),1)</f>
        <v/>
      </c>
      <c r="C307" t="inlineStr">
        <is>
          <t>S-FR | Corporatif &amp; Fêtes</t>
        </is>
      </c>
      <c r="E307" s="13" t="n"/>
      <c r="F307" s="14" t="n"/>
      <c r="G307" s="14" t="n"/>
      <c r="H307" s="15" t="n"/>
      <c r="I307" s="16" t="n"/>
      <c r="J307" s="16" t="n"/>
      <c r="K307" s="14" t="n"/>
      <c r="L307" s="14" t="n"/>
      <c r="M307" s="14" t="n"/>
      <c r="N307" s="14" t="n"/>
      <c r="O307" s="13" t="n"/>
      <c r="P307" s="17">
        <f>IF(N(F307)=0,"",G307/F307)</f>
        <v/>
      </c>
      <c r="Q307" s="18">
        <f>IF(N(G307)=0,"",E307/G307)</f>
        <v/>
      </c>
      <c r="R307" s="17">
        <f>IF(N(G307)=0,"",H307/G307)</f>
        <v/>
      </c>
      <c r="S307" s="18">
        <f>IF(N(H307)=0,"",E307/H307)</f>
        <v/>
      </c>
      <c r="T307" s="18">
        <f>IF(N(K307)=0,"",E307/K307)</f>
        <v/>
      </c>
      <c r="U307" s="18">
        <f>IF(N(L307)=0,"",E307/L307)</f>
        <v/>
      </c>
      <c r="V307" s="18">
        <f>IF(N(N307)=0,"",E307/N307)</f>
        <v/>
      </c>
      <c r="W307" s="19">
        <f>IF(N(K307)=0,"",L307/K307)</f>
        <v/>
      </c>
      <c r="X307" s="19">
        <f>IF(N(M307)=0,"",N307/M307)</f>
        <v/>
      </c>
      <c r="Y307" s="20">
        <f>IF(N(E307)=0,"",O307/E307)</f>
        <v/>
      </c>
    </row>
    <row r="308">
      <c r="A308" s="10" t="n">
        <v>46608</v>
      </c>
      <c r="B308" s="11">
        <f>DATE(YEAR(A308),MONTH(A308),1)</f>
        <v/>
      </c>
      <c r="C308" t="inlineStr">
        <is>
          <t>S-FR | Événements privés</t>
        </is>
      </c>
      <c r="E308" s="13" t="n"/>
      <c r="F308" s="14" t="n"/>
      <c r="G308" s="14" t="n"/>
      <c r="H308" s="15" t="n"/>
      <c r="I308" s="16" t="n"/>
      <c r="J308" s="16" t="n"/>
      <c r="K308" s="14" t="n"/>
      <c r="L308" s="14" t="n"/>
      <c r="M308" s="14" t="n"/>
      <c r="N308" s="14" t="n"/>
      <c r="O308" s="13" t="n"/>
      <c r="P308" s="17">
        <f>IF(N(F308)=0,"",G308/F308)</f>
        <v/>
      </c>
      <c r="Q308" s="18">
        <f>IF(N(G308)=0,"",E308/G308)</f>
        <v/>
      </c>
      <c r="R308" s="17">
        <f>IF(N(G308)=0,"",H308/G308)</f>
        <v/>
      </c>
      <c r="S308" s="18">
        <f>IF(N(H308)=0,"",E308/H308)</f>
        <v/>
      </c>
      <c r="T308" s="18">
        <f>IF(N(K308)=0,"",E308/K308)</f>
        <v/>
      </c>
      <c r="U308" s="18">
        <f>IF(N(L308)=0,"",E308/L308)</f>
        <v/>
      </c>
      <c r="V308" s="18">
        <f>IF(N(N308)=0,"",E308/N308)</f>
        <v/>
      </c>
      <c r="W308" s="19">
        <f>IF(N(K308)=0,"",L308/K308)</f>
        <v/>
      </c>
      <c r="X308" s="19">
        <f>IF(N(M308)=0,"",N308/M308)</f>
        <v/>
      </c>
      <c r="Y308" s="20">
        <f>IF(N(E308)=0,"",O308/E308)</f>
        <v/>
      </c>
    </row>
    <row r="309">
      <c r="A309" s="10" t="n">
        <v>46608</v>
      </c>
      <c r="B309" s="11">
        <f>DATE(YEAR(A309),MONTH(A309),1)</f>
        <v/>
      </c>
      <c r="C309" t="inlineStr">
        <is>
          <t>S-EN | Corporate Montréal</t>
        </is>
      </c>
      <c r="E309" s="13" t="n"/>
      <c r="F309" s="14" t="n"/>
      <c r="G309" s="14" t="n"/>
      <c r="H309" s="15" t="n"/>
      <c r="I309" s="16" t="n"/>
      <c r="J309" s="16" t="n"/>
      <c r="K309" s="14" t="n"/>
      <c r="L309" s="14" t="n"/>
      <c r="M309" s="14" t="n"/>
      <c r="N309" s="14" t="n"/>
      <c r="O309" s="13" t="n"/>
      <c r="P309" s="17">
        <f>IF(N(F309)=0,"",G309/F309)</f>
        <v/>
      </c>
      <c r="Q309" s="18">
        <f>IF(N(G309)=0,"",E309/G309)</f>
        <v/>
      </c>
      <c r="R309" s="17">
        <f>IF(N(G309)=0,"",H309/G309)</f>
        <v/>
      </c>
      <c r="S309" s="18">
        <f>IF(N(H309)=0,"",E309/H309)</f>
        <v/>
      </c>
      <c r="T309" s="18">
        <f>IF(N(K309)=0,"",E309/K309)</f>
        <v/>
      </c>
      <c r="U309" s="18">
        <f>IF(N(L309)=0,"",E309/L309)</f>
        <v/>
      </c>
      <c r="V309" s="18">
        <f>IF(N(N309)=0,"",E309/N309)</f>
        <v/>
      </c>
      <c r="W309" s="19">
        <f>IF(N(K309)=0,"",L309/K309)</f>
        <v/>
      </c>
      <c r="X309" s="19">
        <f>IF(N(M309)=0,"",N309/M309)</f>
        <v/>
      </c>
      <c r="Y309" s="20">
        <f>IF(N(E309)=0,"",O309/E309)</f>
        <v/>
      </c>
    </row>
    <row r="310">
      <c r="A310" s="10" t="n">
        <v>46608</v>
      </c>
      <c r="B310" s="11">
        <f>DATE(YEAR(A310),MONTH(A310),1)</f>
        <v/>
      </c>
      <c r="C310" t="inlineStr">
        <is>
          <t>S-FR | Québec-Lévis (test)</t>
        </is>
      </c>
      <c r="E310" s="13" t="n"/>
      <c r="F310" s="14" t="n"/>
      <c r="G310" s="14" t="n"/>
      <c r="H310" s="15" t="n"/>
      <c r="I310" s="16" t="n"/>
      <c r="J310" s="16" t="n"/>
      <c r="K310" s="14" t="n"/>
      <c r="L310" s="14" t="n"/>
      <c r="M310" s="14" t="n"/>
      <c r="N310" s="14" t="n"/>
      <c r="O310" s="13" t="n"/>
      <c r="P310" s="17">
        <f>IF(N(F310)=0,"",G310/F310)</f>
        <v/>
      </c>
      <c r="Q310" s="18">
        <f>IF(N(G310)=0,"",E310/G310)</f>
        <v/>
      </c>
      <c r="R310" s="17">
        <f>IF(N(G310)=0,"",H310/G310)</f>
        <v/>
      </c>
      <c r="S310" s="18">
        <f>IF(N(H310)=0,"",E310/H310)</f>
        <v/>
      </c>
      <c r="T310" s="18">
        <f>IF(N(K310)=0,"",E310/K310)</f>
        <v/>
      </c>
      <c r="U310" s="18">
        <f>IF(N(L310)=0,"",E310/L310)</f>
        <v/>
      </c>
      <c r="V310" s="18">
        <f>IF(N(N310)=0,"",E310/N310)</f>
        <v/>
      </c>
      <c r="W310" s="19">
        <f>IF(N(K310)=0,"",L310/K310)</f>
        <v/>
      </c>
      <c r="X310" s="19">
        <f>IF(N(M310)=0,"",N310/M310)</f>
        <v/>
      </c>
      <c r="Y310" s="20">
        <f>IF(N(E310)=0,"",O310/E310)</f>
        <v/>
      </c>
    </row>
    <row r="311">
      <c r="A311" s="10" t="n">
        <v>46608</v>
      </c>
      <c r="B311" s="11">
        <f>DATE(YEAR(A311),MONTH(A311),1)</f>
        <v/>
      </c>
      <c r="C311" t="inlineStr">
        <is>
          <t>Demand Gen</t>
        </is>
      </c>
      <c r="E311" s="13" t="n"/>
      <c r="F311" s="14" t="n"/>
      <c r="G311" s="14" t="n"/>
      <c r="H311" s="15" t="n"/>
      <c r="I311" s="16" t="n"/>
      <c r="J311" s="16" t="n"/>
      <c r="K311" s="14" t="n"/>
      <c r="L311" s="14" t="n"/>
      <c r="M311" s="14" t="n"/>
      <c r="N311" s="14" t="n"/>
      <c r="O311" s="13" t="n"/>
      <c r="P311" s="17">
        <f>IF(N(F311)=0,"",G311/F311)</f>
        <v/>
      </c>
      <c r="Q311" s="18">
        <f>IF(N(G311)=0,"",E311/G311)</f>
        <v/>
      </c>
      <c r="R311" s="17">
        <f>IF(N(G311)=0,"",H311/G311)</f>
        <v/>
      </c>
      <c r="S311" s="18">
        <f>IF(N(H311)=0,"",E311/H311)</f>
        <v/>
      </c>
      <c r="T311" s="18">
        <f>IF(N(K311)=0,"",E311/K311)</f>
        <v/>
      </c>
      <c r="U311" s="18">
        <f>IF(N(L311)=0,"",E311/L311)</f>
        <v/>
      </c>
      <c r="V311" s="18">
        <f>IF(N(N311)=0,"",E311/N311)</f>
        <v/>
      </c>
      <c r="W311" s="19">
        <f>IF(N(K311)=0,"",L311/K311)</f>
        <v/>
      </c>
      <c r="X311" s="19">
        <f>IF(N(M311)=0,"",N311/M311)</f>
        <v/>
      </c>
      <c r="Y311" s="20">
        <f>IF(N(E311)=0,"",O311/E311)</f>
        <v/>
      </c>
    </row>
    <row r="312">
      <c r="A312" s="21" t="n">
        <v>46608</v>
      </c>
      <c r="B312" s="22">
        <f>DATE(YEAR(A312),MONTH(A312),1)</f>
        <v/>
      </c>
      <c r="C312" s="23" t="inlineStr">
        <is>
          <t>Microsoft Ads</t>
        </is>
      </c>
      <c r="D312" s="23" t="n"/>
      <c r="E312" s="24" t="n"/>
      <c r="F312" s="25" t="n"/>
      <c r="G312" s="25" t="n"/>
      <c r="H312" s="26" t="n"/>
      <c r="I312" s="27" t="n"/>
      <c r="J312" s="27" t="n"/>
      <c r="K312" s="25" t="n"/>
      <c r="L312" s="25" t="n"/>
      <c r="M312" s="25" t="n"/>
      <c r="N312" s="25" t="n"/>
      <c r="O312" s="24" t="n"/>
      <c r="P312" s="28">
        <f>IF(N(F312)=0,"",G312/F312)</f>
        <v/>
      </c>
      <c r="Q312" s="29">
        <f>IF(N(G312)=0,"",E312/G312)</f>
        <v/>
      </c>
      <c r="R312" s="28">
        <f>IF(N(G312)=0,"",H312/G312)</f>
        <v/>
      </c>
      <c r="S312" s="29">
        <f>IF(N(H312)=0,"",E312/H312)</f>
        <v/>
      </c>
      <c r="T312" s="29">
        <f>IF(N(K312)=0,"",E312/K312)</f>
        <v/>
      </c>
      <c r="U312" s="29">
        <f>IF(N(L312)=0,"",E312/L312)</f>
        <v/>
      </c>
      <c r="V312" s="29">
        <f>IF(N(N312)=0,"",E312/N312)</f>
        <v/>
      </c>
      <c r="W312" s="30">
        <f>IF(N(K312)=0,"",L312/K312)</f>
        <v/>
      </c>
      <c r="X312" s="30">
        <f>IF(N(M312)=0,"",N312/M312)</f>
        <v/>
      </c>
      <c r="Y312" s="31">
        <f>IF(N(E312)=0,"",O312/E312)</f>
        <v/>
      </c>
    </row>
    <row r="313">
      <c r="A313" s="10" t="n">
        <v>46615</v>
      </c>
      <c r="B313" s="11">
        <f>DATE(YEAR(A313),MONTH(A313),1)</f>
        <v/>
      </c>
      <c r="C313" t="inlineStr">
        <is>
          <t>S-FR | Marque</t>
        </is>
      </c>
      <c r="E313" s="13" t="n"/>
      <c r="F313" s="14" t="n"/>
      <c r="G313" s="14" t="n"/>
      <c r="H313" s="15" t="n"/>
      <c r="I313" s="16" t="n"/>
      <c r="J313" s="16" t="n"/>
      <c r="K313" s="14" t="n"/>
      <c r="L313" s="14" t="n"/>
      <c r="M313" s="14" t="n"/>
      <c r="N313" s="14" t="n"/>
      <c r="O313" s="13" t="n"/>
      <c r="P313" s="17">
        <f>IF(N(F313)=0,"",G313/F313)</f>
        <v/>
      </c>
      <c r="Q313" s="18">
        <f>IF(N(G313)=0,"",E313/G313)</f>
        <v/>
      </c>
      <c r="R313" s="17">
        <f>IF(N(G313)=0,"",H313/G313)</f>
        <v/>
      </c>
      <c r="S313" s="18">
        <f>IF(N(H313)=0,"",E313/H313)</f>
        <v/>
      </c>
      <c r="T313" s="18">
        <f>IF(N(K313)=0,"",E313/K313)</f>
        <v/>
      </c>
      <c r="U313" s="18">
        <f>IF(N(L313)=0,"",E313/L313)</f>
        <v/>
      </c>
      <c r="V313" s="18">
        <f>IF(N(N313)=0,"",E313/N313)</f>
        <v/>
      </c>
      <c r="W313" s="19">
        <f>IF(N(K313)=0,"",L313/K313)</f>
        <v/>
      </c>
      <c r="X313" s="19">
        <f>IF(N(M313)=0,"",N313/M313)</f>
        <v/>
      </c>
      <c r="Y313" s="20">
        <f>IF(N(E313)=0,"",O313/E313)</f>
        <v/>
      </c>
    </row>
    <row r="314">
      <c r="A314" s="10" t="n">
        <v>46615</v>
      </c>
      <c r="B314" s="11">
        <f>DATE(YEAR(A314),MONTH(A314),1)</f>
        <v/>
      </c>
      <c r="C314" t="inlineStr">
        <is>
          <t>S-FR | Corporatif &amp; Fêtes</t>
        </is>
      </c>
      <c r="E314" s="13" t="n"/>
      <c r="F314" s="14" t="n"/>
      <c r="G314" s="14" t="n"/>
      <c r="H314" s="15" t="n"/>
      <c r="I314" s="16" t="n"/>
      <c r="J314" s="16" t="n"/>
      <c r="K314" s="14" t="n"/>
      <c r="L314" s="14" t="n"/>
      <c r="M314" s="14" t="n"/>
      <c r="N314" s="14" t="n"/>
      <c r="O314" s="13" t="n"/>
      <c r="P314" s="17">
        <f>IF(N(F314)=0,"",G314/F314)</f>
        <v/>
      </c>
      <c r="Q314" s="18">
        <f>IF(N(G314)=0,"",E314/G314)</f>
        <v/>
      </c>
      <c r="R314" s="17">
        <f>IF(N(G314)=0,"",H314/G314)</f>
        <v/>
      </c>
      <c r="S314" s="18">
        <f>IF(N(H314)=0,"",E314/H314)</f>
        <v/>
      </c>
      <c r="T314" s="18">
        <f>IF(N(K314)=0,"",E314/K314)</f>
        <v/>
      </c>
      <c r="U314" s="18">
        <f>IF(N(L314)=0,"",E314/L314)</f>
        <v/>
      </c>
      <c r="V314" s="18">
        <f>IF(N(N314)=0,"",E314/N314)</f>
        <v/>
      </c>
      <c r="W314" s="19">
        <f>IF(N(K314)=0,"",L314/K314)</f>
        <v/>
      </c>
      <c r="X314" s="19">
        <f>IF(N(M314)=0,"",N314/M314)</f>
        <v/>
      </c>
      <c r="Y314" s="20">
        <f>IF(N(E314)=0,"",O314/E314)</f>
        <v/>
      </c>
    </row>
    <row r="315">
      <c r="A315" s="10" t="n">
        <v>46615</v>
      </c>
      <c r="B315" s="11">
        <f>DATE(YEAR(A315),MONTH(A315),1)</f>
        <v/>
      </c>
      <c r="C315" t="inlineStr">
        <is>
          <t>S-FR | Événements privés</t>
        </is>
      </c>
      <c r="E315" s="13" t="n"/>
      <c r="F315" s="14" t="n"/>
      <c r="G315" s="14" t="n"/>
      <c r="H315" s="15" t="n"/>
      <c r="I315" s="16" t="n"/>
      <c r="J315" s="16" t="n"/>
      <c r="K315" s="14" t="n"/>
      <c r="L315" s="14" t="n"/>
      <c r="M315" s="14" t="n"/>
      <c r="N315" s="14" t="n"/>
      <c r="O315" s="13" t="n"/>
      <c r="P315" s="17">
        <f>IF(N(F315)=0,"",G315/F315)</f>
        <v/>
      </c>
      <c r="Q315" s="18">
        <f>IF(N(G315)=0,"",E315/G315)</f>
        <v/>
      </c>
      <c r="R315" s="17">
        <f>IF(N(G315)=0,"",H315/G315)</f>
        <v/>
      </c>
      <c r="S315" s="18">
        <f>IF(N(H315)=0,"",E315/H315)</f>
        <v/>
      </c>
      <c r="T315" s="18">
        <f>IF(N(K315)=0,"",E315/K315)</f>
        <v/>
      </c>
      <c r="U315" s="18">
        <f>IF(N(L315)=0,"",E315/L315)</f>
        <v/>
      </c>
      <c r="V315" s="18">
        <f>IF(N(N315)=0,"",E315/N315)</f>
        <v/>
      </c>
      <c r="W315" s="19">
        <f>IF(N(K315)=0,"",L315/K315)</f>
        <v/>
      </c>
      <c r="X315" s="19">
        <f>IF(N(M315)=0,"",N315/M315)</f>
        <v/>
      </c>
      <c r="Y315" s="20">
        <f>IF(N(E315)=0,"",O315/E315)</f>
        <v/>
      </c>
    </row>
    <row r="316">
      <c r="A316" s="10" t="n">
        <v>46615</v>
      </c>
      <c r="B316" s="11">
        <f>DATE(YEAR(A316),MONTH(A316),1)</f>
        <v/>
      </c>
      <c r="C316" t="inlineStr">
        <is>
          <t>S-EN | Corporate Montréal</t>
        </is>
      </c>
      <c r="E316" s="13" t="n"/>
      <c r="F316" s="14" t="n"/>
      <c r="G316" s="14" t="n"/>
      <c r="H316" s="15" t="n"/>
      <c r="I316" s="16" t="n"/>
      <c r="J316" s="16" t="n"/>
      <c r="K316" s="14" t="n"/>
      <c r="L316" s="14" t="n"/>
      <c r="M316" s="14" t="n"/>
      <c r="N316" s="14" t="n"/>
      <c r="O316" s="13" t="n"/>
      <c r="P316" s="17">
        <f>IF(N(F316)=0,"",G316/F316)</f>
        <v/>
      </c>
      <c r="Q316" s="18">
        <f>IF(N(G316)=0,"",E316/G316)</f>
        <v/>
      </c>
      <c r="R316" s="17">
        <f>IF(N(G316)=0,"",H316/G316)</f>
        <v/>
      </c>
      <c r="S316" s="18">
        <f>IF(N(H316)=0,"",E316/H316)</f>
        <v/>
      </c>
      <c r="T316" s="18">
        <f>IF(N(K316)=0,"",E316/K316)</f>
        <v/>
      </c>
      <c r="U316" s="18">
        <f>IF(N(L316)=0,"",E316/L316)</f>
        <v/>
      </c>
      <c r="V316" s="18">
        <f>IF(N(N316)=0,"",E316/N316)</f>
        <v/>
      </c>
      <c r="W316" s="19">
        <f>IF(N(K316)=0,"",L316/K316)</f>
        <v/>
      </c>
      <c r="X316" s="19">
        <f>IF(N(M316)=0,"",N316/M316)</f>
        <v/>
      </c>
      <c r="Y316" s="20">
        <f>IF(N(E316)=0,"",O316/E316)</f>
        <v/>
      </c>
    </row>
    <row r="317">
      <c r="A317" s="10" t="n">
        <v>46615</v>
      </c>
      <c r="B317" s="11">
        <f>DATE(YEAR(A317),MONTH(A317),1)</f>
        <v/>
      </c>
      <c r="C317" t="inlineStr">
        <is>
          <t>S-FR | Québec-Lévis (test)</t>
        </is>
      </c>
      <c r="E317" s="13" t="n"/>
      <c r="F317" s="14" t="n"/>
      <c r="G317" s="14" t="n"/>
      <c r="H317" s="15" t="n"/>
      <c r="I317" s="16" t="n"/>
      <c r="J317" s="16" t="n"/>
      <c r="K317" s="14" t="n"/>
      <c r="L317" s="14" t="n"/>
      <c r="M317" s="14" t="n"/>
      <c r="N317" s="14" t="n"/>
      <c r="O317" s="13" t="n"/>
      <c r="P317" s="17">
        <f>IF(N(F317)=0,"",G317/F317)</f>
        <v/>
      </c>
      <c r="Q317" s="18">
        <f>IF(N(G317)=0,"",E317/G317)</f>
        <v/>
      </c>
      <c r="R317" s="17">
        <f>IF(N(G317)=0,"",H317/G317)</f>
        <v/>
      </c>
      <c r="S317" s="18">
        <f>IF(N(H317)=0,"",E317/H317)</f>
        <v/>
      </c>
      <c r="T317" s="18">
        <f>IF(N(K317)=0,"",E317/K317)</f>
        <v/>
      </c>
      <c r="U317" s="18">
        <f>IF(N(L317)=0,"",E317/L317)</f>
        <v/>
      </c>
      <c r="V317" s="18">
        <f>IF(N(N317)=0,"",E317/N317)</f>
        <v/>
      </c>
      <c r="W317" s="19">
        <f>IF(N(K317)=0,"",L317/K317)</f>
        <v/>
      </c>
      <c r="X317" s="19">
        <f>IF(N(M317)=0,"",N317/M317)</f>
        <v/>
      </c>
      <c r="Y317" s="20">
        <f>IF(N(E317)=0,"",O317/E317)</f>
        <v/>
      </c>
    </row>
    <row r="318">
      <c r="A318" s="10" t="n">
        <v>46615</v>
      </c>
      <c r="B318" s="11">
        <f>DATE(YEAR(A318),MONTH(A318),1)</f>
        <v/>
      </c>
      <c r="C318" t="inlineStr">
        <is>
          <t>Demand Gen</t>
        </is>
      </c>
      <c r="E318" s="13" t="n"/>
      <c r="F318" s="14" t="n"/>
      <c r="G318" s="14" t="n"/>
      <c r="H318" s="15" t="n"/>
      <c r="I318" s="16" t="n"/>
      <c r="J318" s="16" t="n"/>
      <c r="K318" s="14" t="n"/>
      <c r="L318" s="14" t="n"/>
      <c r="M318" s="14" t="n"/>
      <c r="N318" s="14" t="n"/>
      <c r="O318" s="13" t="n"/>
      <c r="P318" s="17">
        <f>IF(N(F318)=0,"",G318/F318)</f>
        <v/>
      </c>
      <c r="Q318" s="18">
        <f>IF(N(G318)=0,"",E318/G318)</f>
        <v/>
      </c>
      <c r="R318" s="17">
        <f>IF(N(G318)=0,"",H318/G318)</f>
        <v/>
      </c>
      <c r="S318" s="18">
        <f>IF(N(H318)=0,"",E318/H318)</f>
        <v/>
      </c>
      <c r="T318" s="18">
        <f>IF(N(K318)=0,"",E318/K318)</f>
        <v/>
      </c>
      <c r="U318" s="18">
        <f>IF(N(L318)=0,"",E318/L318)</f>
        <v/>
      </c>
      <c r="V318" s="18">
        <f>IF(N(N318)=0,"",E318/N318)</f>
        <v/>
      </c>
      <c r="W318" s="19">
        <f>IF(N(K318)=0,"",L318/K318)</f>
        <v/>
      </c>
      <c r="X318" s="19">
        <f>IF(N(M318)=0,"",N318/M318)</f>
        <v/>
      </c>
      <c r="Y318" s="20">
        <f>IF(N(E318)=0,"",O318/E318)</f>
        <v/>
      </c>
    </row>
    <row r="319">
      <c r="A319" s="21" t="n">
        <v>46615</v>
      </c>
      <c r="B319" s="22">
        <f>DATE(YEAR(A319),MONTH(A319),1)</f>
        <v/>
      </c>
      <c r="C319" s="23" t="inlineStr">
        <is>
          <t>Microsoft Ads</t>
        </is>
      </c>
      <c r="D319" s="23" t="n"/>
      <c r="E319" s="24" t="n"/>
      <c r="F319" s="25" t="n"/>
      <c r="G319" s="25" t="n"/>
      <c r="H319" s="26" t="n"/>
      <c r="I319" s="27" t="n"/>
      <c r="J319" s="27" t="n"/>
      <c r="K319" s="25" t="n"/>
      <c r="L319" s="25" t="n"/>
      <c r="M319" s="25" t="n"/>
      <c r="N319" s="25" t="n"/>
      <c r="O319" s="24" t="n"/>
      <c r="P319" s="28">
        <f>IF(N(F319)=0,"",G319/F319)</f>
        <v/>
      </c>
      <c r="Q319" s="29">
        <f>IF(N(G319)=0,"",E319/G319)</f>
        <v/>
      </c>
      <c r="R319" s="28">
        <f>IF(N(G319)=0,"",H319/G319)</f>
        <v/>
      </c>
      <c r="S319" s="29">
        <f>IF(N(H319)=0,"",E319/H319)</f>
        <v/>
      </c>
      <c r="T319" s="29">
        <f>IF(N(K319)=0,"",E319/K319)</f>
        <v/>
      </c>
      <c r="U319" s="29">
        <f>IF(N(L319)=0,"",E319/L319)</f>
        <v/>
      </c>
      <c r="V319" s="29">
        <f>IF(N(N319)=0,"",E319/N319)</f>
        <v/>
      </c>
      <c r="W319" s="30">
        <f>IF(N(K319)=0,"",L319/K319)</f>
        <v/>
      </c>
      <c r="X319" s="30">
        <f>IF(N(M319)=0,"",N319/M319)</f>
        <v/>
      </c>
      <c r="Y319" s="31">
        <f>IF(N(E319)=0,"",O319/E319)</f>
        <v/>
      </c>
    </row>
    <row r="320">
      <c r="A320" s="10" t="n">
        <v>46622</v>
      </c>
      <c r="B320" s="11">
        <f>DATE(YEAR(A320),MONTH(A320),1)</f>
        <v/>
      </c>
      <c r="C320" t="inlineStr">
        <is>
          <t>S-FR | Marque</t>
        </is>
      </c>
      <c r="E320" s="13" t="n"/>
      <c r="F320" s="14" t="n"/>
      <c r="G320" s="14" t="n"/>
      <c r="H320" s="15" t="n"/>
      <c r="I320" s="16" t="n"/>
      <c r="J320" s="16" t="n"/>
      <c r="K320" s="14" t="n"/>
      <c r="L320" s="14" t="n"/>
      <c r="M320" s="14" t="n"/>
      <c r="N320" s="14" t="n"/>
      <c r="O320" s="13" t="n"/>
      <c r="P320" s="17">
        <f>IF(N(F320)=0,"",G320/F320)</f>
        <v/>
      </c>
      <c r="Q320" s="18">
        <f>IF(N(G320)=0,"",E320/G320)</f>
        <v/>
      </c>
      <c r="R320" s="17">
        <f>IF(N(G320)=0,"",H320/G320)</f>
        <v/>
      </c>
      <c r="S320" s="18">
        <f>IF(N(H320)=0,"",E320/H320)</f>
        <v/>
      </c>
      <c r="T320" s="18">
        <f>IF(N(K320)=0,"",E320/K320)</f>
        <v/>
      </c>
      <c r="U320" s="18">
        <f>IF(N(L320)=0,"",E320/L320)</f>
        <v/>
      </c>
      <c r="V320" s="18">
        <f>IF(N(N320)=0,"",E320/N320)</f>
        <v/>
      </c>
      <c r="W320" s="19">
        <f>IF(N(K320)=0,"",L320/K320)</f>
        <v/>
      </c>
      <c r="X320" s="19">
        <f>IF(N(M320)=0,"",N320/M320)</f>
        <v/>
      </c>
      <c r="Y320" s="20">
        <f>IF(N(E320)=0,"",O320/E320)</f>
        <v/>
      </c>
    </row>
    <row r="321">
      <c r="A321" s="10" t="n">
        <v>46622</v>
      </c>
      <c r="B321" s="11">
        <f>DATE(YEAR(A321),MONTH(A321),1)</f>
        <v/>
      </c>
      <c r="C321" t="inlineStr">
        <is>
          <t>S-FR | Corporatif &amp; Fêtes</t>
        </is>
      </c>
      <c r="E321" s="13" t="n"/>
      <c r="F321" s="14" t="n"/>
      <c r="G321" s="14" t="n"/>
      <c r="H321" s="15" t="n"/>
      <c r="I321" s="16" t="n"/>
      <c r="J321" s="16" t="n"/>
      <c r="K321" s="14" t="n"/>
      <c r="L321" s="14" t="n"/>
      <c r="M321" s="14" t="n"/>
      <c r="N321" s="14" t="n"/>
      <c r="O321" s="13" t="n"/>
      <c r="P321" s="17">
        <f>IF(N(F321)=0,"",G321/F321)</f>
        <v/>
      </c>
      <c r="Q321" s="18">
        <f>IF(N(G321)=0,"",E321/G321)</f>
        <v/>
      </c>
      <c r="R321" s="17">
        <f>IF(N(G321)=0,"",H321/G321)</f>
        <v/>
      </c>
      <c r="S321" s="18">
        <f>IF(N(H321)=0,"",E321/H321)</f>
        <v/>
      </c>
      <c r="T321" s="18">
        <f>IF(N(K321)=0,"",E321/K321)</f>
        <v/>
      </c>
      <c r="U321" s="18">
        <f>IF(N(L321)=0,"",E321/L321)</f>
        <v/>
      </c>
      <c r="V321" s="18">
        <f>IF(N(N321)=0,"",E321/N321)</f>
        <v/>
      </c>
      <c r="W321" s="19">
        <f>IF(N(K321)=0,"",L321/K321)</f>
        <v/>
      </c>
      <c r="X321" s="19">
        <f>IF(N(M321)=0,"",N321/M321)</f>
        <v/>
      </c>
      <c r="Y321" s="20">
        <f>IF(N(E321)=0,"",O321/E321)</f>
        <v/>
      </c>
    </row>
    <row r="322">
      <c r="A322" s="10" t="n">
        <v>46622</v>
      </c>
      <c r="B322" s="11">
        <f>DATE(YEAR(A322),MONTH(A322),1)</f>
        <v/>
      </c>
      <c r="C322" t="inlineStr">
        <is>
          <t>S-FR | Événements privés</t>
        </is>
      </c>
      <c r="E322" s="13" t="n"/>
      <c r="F322" s="14" t="n"/>
      <c r="G322" s="14" t="n"/>
      <c r="H322" s="15" t="n"/>
      <c r="I322" s="16" t="n"/>
      <c r="J322" s="16" t="n"/>
      <c r="K322" s="14" t="n"/>
      <c r="L322" s="14" t="n"/>
      <c r="M322" s="14" t="n"/>
      <c r="N322" s="14" t="n"/>
      <c r="O322" s="13" t="n"/>
      <c r="P322" s="17">
        <f>IF(N(F322)=0,"",G322/F322)</f>
        <v/>
      </c>
      <c r="Q322" s="18">
        <f>IF(N(G322)=0,"",E322/G322)</f>
        <v/>
      </c>
      <c r="R322" s="17">
        <f>IF(N(G322)=0,"",H322/G322)</f>
        <v/>
      </c>
      <c r="S322" s="18">
        <f>IF(N(H322)=0,"",E322/H322)</f>
        <v/>
      </c>
      <c r="T322" s="18">
        <f>IF(N(K322)=0,"",E322/K322)</f>
        <v/>
      </c>
      <c r="U322" s="18">
        <f>IF(N(L322)=0,"",E322/L322)</f>
        <v/>
      </c>
      <c r="V322" s="18">
        <f>IF(N(N322)=0,"",E322/N322)</f>
        <v/>
      </c>
      <c r="W322" s="19">
        <f>IF(N(K322)=0,"",L322/K322)</f>
        <v/>
      </c>
      <c r="X322" s="19">
        <f>IF(N(M322)=0,"",N322/M322)</f>
        <v/>
      </c>
      <c r="Y322" s="20">
        <f>IF(N(E322)=0,"",O322/E322)</f>
        <v/>
      </c>
    </row>
    <row r="323">
      <c r="A323" s="10" t="n">
        <v>46622</v>
      </c>
      <c r="B323" s="11">
        <f>DATE(YEAR(A323),MONTH(A323),1)</f>
        <v/>
      </c>
      <c r="C323" t="inlineStr">
        <is>
          <t>S-EN | Corporate Montréal</t>
        </is>
      </c>
      <c r="E323" s="13" t="n"/>
      <c r="F323" s="14" t="n"/>
      <c r="G323" s="14" t="n"/>
      <c r="H323" s="15" t="n"/>
      <c r="I323" s="16" t="n"/>
      <c r="J323" s="16" t="n"/>
      <c r="K323" s="14" t="n"/>
      <c r="L323" s="14" t="n"/>
      <c r="M323" s="14" t="n"/>
      <c r="N323" s="14" t="n"/>
      <c r="O323" s="13" t="n"/>
      <c r="P323" s="17">
        <f>IF(N(F323)=0,"",G323/F323)</f>
        <v/>
      </c>
      <c r="Q323" s="18">
        <f>IF(N(G323)=0,"",E323/G323)</f>
        <v/>
      </c>
      <c r="R323" s="17">
        <f>IF(N(G323)=0,"",H323/G323)</f>
        <v/>
      </c>
      <c r="S323" s="18">
        <f>IF(N(H323)=0,"",E323/H323)</f>
        <v/>
      </c>
      <c r="T323" s="18">
        <f>IF(N(K323)=0,"",E323/K323)</f>
        <v/>
      </c>
      <c r="U323" s="18">
        <f>IF(N(L323)=0,"",E323/L323)</f>
        <v/>
      </c>
      <c r="V323" s="18">
        <f>IF(N(N323)=0,"",E323/N323)</f>
        <v/>
      </c>
      <c r="W323" s="19">
        <f>IF(N(K323)=0,"",L323/K323)</f>
        <v/>
      </c>
      <c r="X323" s="19">
        <f>IF(N(M323)=0,"",N323/M323)</f>
        <v/>
      </c>
      <c r="Y323" s="20">
        <f>IF(N(E323)=0,"",O323/E323)</f>
        <v/>
      </c>
    </row>
    <row r="324">
      <c r="A324" s="10" t="n">
        <v>46622</v>
      </c>
      <c r="B324" s="11">
        <f>DATE(YEAR(A324),MONTH(A324),1)</f>
        <v/>
      </c>
      <c r="C324" t="inlineStr">
        <is>
          <t>S-FR | Québec-Lévis (test)</t>
        </is>
      </c>
      <c r="E324" s="13" t="n"/>
      <c r="F324" s="14" t="n"/>
      <c r="G324" s="14" t="n"/>
      <c r="H324" s="15" t="n"/>
      <c r="I324" s="16" t="n"/>
      <c r="J324" s="16" t="n"/>
      <c r="K324" s="14" t="n"/>
      <c r="L324" s="14" t="n"/>
      <c r="M324" s="14" t="n"/>
      <c r="N324" s="14" t="n"/>
      <c r="O324" s="13" t="n"/>
      <c r="P324" s="17">
        <f>IF(N(F324)=0,"",G324/F324)</f>
        <v/>
      </c>
      <c r="Q324" s="18">
        <f>IF(N(G324)=0,"",E324/G324)</f>
        <v/>
      </c>
      <c r="R324" s="17">
        <f>IF(N(G324)=0,"",H324/G324)</f>
        <v/>
      </c>
      <c r="S324" s="18">
        <f>IF(N(H324)=0,"",E324/H324)</f>
        <v/>
      </c>
      <c r="T324" s="18">
        <f>IF(N(K324)=0,"",E324/K324)</f>
        <v/>
      </c>
      <c r="U324" s="18">
        <f>IF(N(L324)=0,"",E324/L324)</f>
        <v/>
      </c>
      <c r="V324" s="18">
        <f>IF(N(N324)=0,"",E324/N324)</f>
        <v/>
      </c>
      <c r="W324" s="19">
        <f>IF(N(K324)=0,"",L324/K324)</f>
        <v/>
      </c>
      <c r="X324" s="19">
        <f>IF(N(M324)=0,"",N324/M324)</f>
        <v/>
      </c>
      <c r="Y324" s="20">
        <f>IF(N(E324)=0,"",O324/E324)</f>
        <v/>
      </c>
    </row>
    <row r="325">
      <c r="A325" s="10" t="n">
        <v>46622</v>
      </c>
      <c r="B325" s="11">
        <f>DATE(YEAR(A325),MONTH(A325),1)</f>
        <v/>
      </c>
      <c r="C325" t="inlineStr">
        <is>
          <t>Demand Gen</t>
        </is>
      </c>
      <c r="E325" s="13" t="n"/>
      <c r="F325" s="14" t="n"/>
      <c r="G325" s="14" t="n"/>
      <c r="H325" s="15" t="n"/>
      <c r="I325" s="16" t="n"/>
      <c r="J325" s="16" t="n"/>
      <c r="K325" s="14" t="n"/>
      <c r="L325" s="14" t="n"/>
      <c r="M325" s="14" t="n"/>
      <c r="N325" s="14" t="n"/>
      <c r="O325" s="13" t="n"/>
      <c r="P325" s="17">
        <f>IF(N(F325)=0,"",G325/F325)</f>
        <v/>
      </c>
      <c r="Q325" s="18">
        <f>IF(N(G325)=0,"",E325/G325)</f>
        <v/>
      </c>
      <c r="R325" s="17">
        <f>IF(N(G325)=0,"",H325/G325)</f>
        <v/>
      </c>
      <c r="S325" s="18">
        <f>IF(N(H325)=0,"",E325/H325)</f>
        <v/>
      </c>
      <c r="T325" s="18">
        <f>IF(N(K325)=0,"",E325/K325)</f>
        <v/>
      </c>
      <c r="U325" s="18">
        <f>IF(N(L325)=0,"",E325/L325)</f>
        <v/>
      </c>
      <c r="V325" s="18">
        <f>IF(N(N325)=0,"",E325/N325)</f>
        <v/>
      </c>
      <c r="W325" s="19">
        <f>IF(N(K325)=0,"",L325/K325)</f>
        <v/>
      </c>
      <c r="X325" s="19">
        <f>IF(N(M325)=0,"",N325/M325)</f>
        <v/>
      </c>
      <c r="Y325" s="20">
        <f>IF(N(E325)=0,"",O325/E325)</f>
        <v/>
      </c>
    </row>
    <row r="326">
      <c r="A326" s="21" t="n">
        <v>46622</v>
      </c>
      <c r="B326" s="22">
        <f>DATE(YEAR(A326),MONTH(A326),1)</f>
        <v/>
      </c>
      <c r="C326" s="23" t="inlineStr">
        <is>
          <t>Microsoft Ads</t>
        </is>
      </c>
      <c r="D326" s="23" t="n"/>
      <c r="E326" s="24" t="n"/>
      <c r="F326" s="25" t="n"/>
      <c r="G326" s="25" t="n"/>
      <c r="H326" s="26" t="n"/>
      <c r="I326" s="27" t="n"/>
      <c r="J326" s="27" t="n"/>
      <c r="K326" s="25" t="n"/>
      <c r="L326" s="25" t="n"/>
      <c r="M326" s="25" t="n"/>
      <c r="N326" s="25" t="n"/>
      <c r="O326" s="24" t="n"/>
      <c r="P326" s="28">
        <f>IF(N(F326)=0,"",G326/F326)</f>
        <v/>
      </c>
      <c r="Q326" s="29">
        <f>IF(N(G326)=0,"",E326/G326)</f>
        <v/>
      </c>
      <c r="R326" s="28">
        <f>IF(N(G326)=0,"",H326/G326)</f>
        <v/>
      </c>
      <c r="S326" s="29">
        <f>IF(N(H326)=0,"",E326/H326)</f>
        <v/>
      </c>
      <c r="T326" s="29">
        <f>IF(N(K326)=0,"",E326/K326)</f>
        <v/>
      </c>
      <c r="U326" s="29">
        <f>IF(N(L326)=0,"",E326/L326)</f>
        <v/>
      </c>
      <c r="V326" s="29">
        <f>IF(N(N326)=0,"",E326/N326)</f>
        <v/>
      </c>
      <c r="W326" s="30">
        <f>IF(N(K326)=0,"",L326/K326)</f>
        <v/>
      </c>
      <c r="X326" s="30">
        <f>IF(N(M326)=0,"",N326/M326)</f>
        <v/>
      </c>
      <c r="Y326" s="31">
        <f>IF(N(E326)=0,"",O326/E326)</f>
        <v/>
      </c>
    </row>
    <row r="327">
      <c r="A327" s="10" t="n">
        <v>46629</v>
      </c>
      <c r="B327" s="11">
        <f>DATE(YEAR(A327),MONTH(A327),1)</f>
        <v/>
      </c>
      <c r="C327" t="inlineStr">
        <is>
          <t>S-FR | Marque</t>
        </is>
      </c>
      <c r="E327" s="13" t="n"/>
      <c r="F327" s="14" t="n"/>
      <c r="G327" s="14" t="n"/>
      <c r="H327" s="15" t="n"/>
      <c r="I327" s="16" t="n"/>
      <c r="J327" s="16" t="n"/>
      <c r="K327" s="14" t="n"/>
      <c r="L327" s="14" t="n"/>
      <c r="M327" s="14" t="n"/>
      <c r="N327" s="14" t="n"/>
      <c r="O327" s="13" t="n"/>
      <c r="P327" s="17">
        <f>IF(N(F327)=0,"",G327/F327)</f>
        <v/>
      </c>
      <c r="Q327" s="18">
        <f>IF(N(G327)=0,"",E327/G327)</f>
        <v/>
      </c>
      <c r="R327" s="17">
        <f>IF(N(G327)=0,"",H327/G327)</f>
        <v/>
      </c>
      <c r="S327" s="18">
        <f>IF(N(H327)=0,"",E327/H327)</f>
        <v/>
      </c>
      <c r="T327" s="18">
        <f>IF(N(K327)=0,"",E327/K327)</f>
        <v/>
      </c>
      <c r="U327" s="18">
        <f>IF(N(L327)=0,"",E327/L327)</f>
        <v/>
      </c>
      <c r="V327" s="18">
        <f>IF(N(N327)=0,"",E327/N327)</f>
        <v/>
      </c>
      <c r="W327" s="19">
        <f>IF(N(K327)=0,"",L327/K327)</f>
        <v/>
      </c>
      <c r="X327" s="19">
        <f>IF(N(M327)=0,"",N327/M327)</f>
        <v/>
      </c>
      <c r="Y327" s="20">
        <f>IF(N(E327)=0,"",O327/E327)</f>
        <v/>
      </c>
    </row>
    <row r="328">
      <c r="A328" s="10" t="n">
        <v>46629</v>
      </c>
      <c r="B328" s="11">
        <f>DATE(YEAR(A328),MONTH(A328),1)</f>
        <v/>
      </c>
      <c r="C328" t="inlineStr">
        <is>
          <t>S-FR | Corporatif &amp; Fêtes</t>
        </is>
      </c>
      <c r="E328" s="13" t="n"/>
      <c r="F328" s="14" t="n"/>
      <c r="G328" s="14" t="n"/>
      <c r="H328" s="15" t="n"/>
      <c r="I328" s="16" t="n"/>
      <c r="J328" s="16" t="n"/>
      <c r="K328" s="14" t="n"/>
      <c r="L328" s="14" t="n"/>
      <c r="M328" s="14" t="n"/>
      <c r="N328" s="14" t="n"/>
      <c r="O328" s="13" t="n"/>
      <c r="P328" s="17">
        <f>IF(N(F328)=0,"",G328/F328)</f>
        <v/>
      </c>
      <c r="Q328" s="18">
        <f>IF(N(G328)=0,"",E328/G328)</f>
        <v/>
      </c>
      <c r="R328" s="17">
        <f>IF(N(G328)=0,"",H328/G328)</f>
        <v/>
      </c>
      <c r="S328" s="18">
        <f>IF(N(H328)=0,"",E328/H328)</f>
        <v/>
      </c>
      <c r="T328" s="18">
        <f>IF(N(K328)=0,"",E328/K328)</f>
        <v/>
      </c>
      <c r="U328" s="18">
        <f>IF(N(L328)=0,"",E328/L328)</f>
        <v/>
      </c>
      <c r="V328" s="18">
        <f>IF(N(N328)=0,"",E328/N328)</f>
        <v/>
      </c>
      <c r="W328" s="19">
        <f>IF(N(K328)=0,"",L328/K328)</f>
        <v/>
      </c>
      <c r="X328" s="19">
        <f>IF(N(M328)=0,"",N328/M328)</f>
        <v/>
      </c>
      <c r="Y328" s="20">
        <f>IF(N(E328)=0,"",O328/E328)</f>
        <v/>
      </c>
    </row>
    <row r="329">
      <c r="A329" s="10" t="n">
        <v>46629</v>
      </c>
      <c r="B329" s="11">
        <f>DATE(YEAR(A329),MONTH(A329),1)</f>
        <v/>
      </c>
      <c r="C329" t="inlineStr">
        <is>
          <t>S-FR | Événements privés</t>
        </is>
      </c>
      <c r="E329" s="13" t="n"/>
      <c r="F329" s="14" t="n"/>
      <c r="G329" s="14" t="n"/>
      <c r="H329" s="15" t="n"/>
      <c r="I329" s="16" t="n"/>
      <c r="J329" s="16" t="n"/>
      <c r="K329" s="14" t="n"/>
      <c r="L329" s="14" t="n"/>
      <c r="M329" s="14" t="n"/>
      <c r="N329" s="14" t="n"/>
      <c r="O329" s="13" t="n"/>
      <c r="P329" s="17">
        <f>IF(N(F329)=0,"",G329/F329)</f>
        <v/>
      </c>
      <c r="Q329" s="18">
        <f>IF(N(G329)=0,"",E329/G329)</f>
        <v/>
      </c>
      <c r="R329" s="17">
        <f>IF(N(G329)=0,"",H329/G329)</f>
        <v/>
      </c>
      <c r="S329" s="18">
        <f>IF(N(H329)=0,"",E329/H329)</f>
        <v/>
      </c>
      <c r="T329" s="18">
        <f>IF(N(K329)=0,"",E329/K329)</f>
        <v/>
      </c>
      <c r="U329" s="18">
        <f>IF(N(L329)=0,"",E329/L329)</f>
        <v/>
      </c>
      <c r="V329" s="18">
        <f>IF(N(N329)=0,"",E329/N329)</f>
        <v/>
      </c>
      <c r="W329" s="19">
        <f>IF(N(K329)=0,"",L329/K329)</f>
        <v/>
      </c>
      <c r="X329" s="19">
        <f>IF(N(M329)=0,"",N329/M329)</f>
        <v/>
      </c>
      <c r="Y329" s="20">
        <f>IF(N(E329)=0,"",O329/E329)</f>
        <v/>
      </c>
    </row>
    <row r="330">
      <c r="A330" s="10" t="n">
        <v>46629</v>
      </c>
      <c r="B330" s="11">
        <f>DATE(YEAR(A330),MONTH(A330),1)</f>
        <v/>
      </c>
      <c r="C330" t="inlineStr">
        <is>
          <t>S-EN | Corporate Montréal</t>
        </is>
      </c>
      <c r="E330" s="13" t="n"/>
      <c r="F330" s="14" t="n"/>
      <c r="G330" s="14" t="n"/>
      <c r="H330" s="15" t="n"/>
      <c r="I330" s="16" t="n"/>
      <c r="J330" s="16" t="n"/>
      <c r="K330" s="14" t="n"/>
      <c r="L330" s="14" t="n"/>
      <c r="M330" s="14" t="n"/>
      <c r="N330" s="14" t="n"/>
      <c r="O330" s="13" t="n"/>
      <c r="P330" s="17">
        <f>IF(N(F330)=0,"",G330/F330)</f>
        <v/>
      </c>
      <c r="Q330" s="18">
        <f>IF(N(G330)=0,"",E330/G330)</f>
        <v/>
      </c>
      <c r="R330" s="17">
        <f>IF(N(G330)=0,"",H330/G330)</f>
        <v/>
      </c>
      <c r="S330" s="18">
        <f>IF(N(H330)=0,"",E330/H330)</f>
        <v/>
      </c>
      <c r="T330" s="18">
        <f>IF(N(K330)=0,"",E330/K330)</f>
        <v/>
      </c>
      <c r="U330" s="18">
        <f>IF(N(L330)=0,"",E330/L330)</f>
        <v/>
      </c>
      <c r="V330" s="18">
        <f>IF(N(N330)=0,"",E330/N330)</f>
        <v/>
      </c>
      <c r="W330" s="19">
        <f>IF(N(K330)=0,"",L330/K330)</f>
        <v/>
      </c>
      <c r="X330" s="19">
        <f>IF(N(M330)=0,"",N330/M330)</f>
        <v/>
      </c>
      <c r="Y330" s="20">
        <f>IF(N(E330)=0,"",O330/E330)</f>
        <v/>
      </c>
    </row>
    <row r="331">
      <c r="A331" s="10" t="n">
        <v>46629</v>
      </c>
      <c r="B331" s="11">
        <f>DATE(YEAR(A331),MONTH(A331),1)</f>
        <v/>
      </c>
      <c r="C331" t="inlineStr">
        <is>
          <t>S-FR | Québec-Lévis (test)</t>
        </is>
      </c>
      <c r="E331" s="13" t="n"/>
      <c r="F331" s="14" t="n"/>
      <c r="G331" s="14" t="n"/>
      <c r="H331" s="15" t="n"/>
      <c r="I331" s="16" t="n"/>
      <c r="J331" s="16" t="n"/>
      <c r="K331" s="14" t="n"/>
      <c r="L331" s="14" t="n"/>
      <c r="M331" s="14" t="n"/>
      <c r="N331" s="14" t="n"/>
      <c r="O331" s="13" t="n"/>
      <c r="P331" s="17">
        <f>IF(N(F331)=0,"",G331/F331)</f>
        <v/>
      </c>
      <c r="Q331" s="18">
        <f>IF(N(G331)=0,"",E331/G331)</f>
        <v/>
      </c>
      <c r="R331" s="17">
        <f>IF(N(G331)=0,"",H331/G331)</f>
        <v/>
      </c>
      <c r="S331" s="18">
        <f>IF(N(H331)=0,"",E331/H331)</f>
        <v/>
      </c>
      <c r="T331" s="18">
        <f>IF(N(K331)=0,"",E331/K331)</f>
        <v/>
      </c>
      <c r="U331" s="18">
        <f>IF(N(L331)=0,"",E331/L331)</f>
        <v/>
      </c>
      <c r="V331" s="18">
        <f>IF(N(N331)=0,"",E331/N331)</f>
        <v/>
      </c>
      <c r="W331" s="19">
        <f>IF(N(K331)=0,"",L331/K331)</f>
        <v/>
      </c>
      <c r="X331" s="19">
        <f>IF(N(M331)=0,"",N331/M331)</f>
        <v/>
      </c>
      <c r="Y331" s="20">
        <f>IF(N(E331)=0,"",O331/E331)</f>
        <v/>
      </c>
    </row>
    <row r="332">
      <c r="A332" s="10" t="n">
        <v>46629</v>
      </c>
      <c r="B332" s="11">
        <f>DATE(YEAR(A332),MONTH(A332),1)</f>
        <v/>
      </c>
      <c r="C332" t="inlineStr">
        <is>
          <t>Demand Gen</t>
        </is>
      </c>
      <c r="E332" s="13" t="n"/>
      <c r="F332" s="14" t="n"/>
      <c r="G332" s="14" t="n"/>
      <c r="H332" s="15" t="n"/>
      <c r="I332" s="16" t="n"/>
      <c r="J332" s="16" t="n"/>
      <c r="K332" s="14" t="n"/>
      <c r="L332" s="14" t="n"/>
      <c r="M332" s="14" t="n"/>
      <c r="N332" s="14" t="n"/>
      <c r="O332" s="13" t="n"/>
      <c r="P332" s="17">
        <f>IF(N(F332)=0,"",G332/F332)</f>
        <v/>
      </c>
      <c r="Q332" s="18">
        <f>IF(N(G332)=0,"",E332/G332)</f>
        <v/>
      </c>
      <c r="R332" s="17">
        <f>IF(N(G332)=0,"",H332/G332)</f>
        <v/>
      </c>
      <c r="S332" s="18">
        <f>IF(N(H332)=0,"",E332/H332)</f>
        <v/>
      </c>
      <c r="T332" s="18">
        <f>IF(N(K332)=0,"",E332/K332)</f>
        <v/>
      </c>
      <c r="U332" s="18">
        <f>IF(N(L332)=0,"",E332/L332)</f>
        <v/>
      </c>
      <c r="V332" s="18">
        <f>IF(N(N332)=0,"",E332/N332)</f>
        <v/>
      </c>
      <c r="W332" s="19">
        <f>IF(N(K332)=0,"",L332/K332)</f>
        <v/>
      </c>
      <c r="X332" s="19">
        <f>IF(N(M332)=0,"",N332/M332)</f>
        <v/>
      </c>
      <c r="Y332" s="20">
        <f>IF(N(E332)=0,"",O332/E332)</f>
        <v/>
      </c>
    </row>
    <row r="333">
      <c r="A333" s="21" t="n">
        <v>46629</v>
      </c>
      <c r="B333" s="22">
        <f>DATE(YEAR(A333),MONTH(A333),1)</f>
        <v/>
      </c>
      <c r="C333" s="23" t="inlineStr">
        <is>
          <t>Microsoft Ads</t>
        </is>
      </c>
      <c r="D333" s="23" t="n"/>
      <c r="E333" s="24" t="n"/>
      <c r="F333" s="25" t="n"/>
      <c r="G333" s="25" t="n"/>
      <c r="H333" s="26" t="n"/>
      <c r="I333" s="27" t="n"/>
      <c r="J333" s="27" t="n"/>
      <c r="K333" s="25" t="n"/>
      <c r="L333" s="25" t="n"/>
      <c r="M333" s="25" t="n"/>
      <c r="N333" s="25" t="n"/>
      <c r="O333" s="24" t="n"/>
      <c r="P333" s="28">
        <f>IF(N(F333)=0,"",G333/F333)</f>
        <v/>
      </c>
      <c r="Q333" s="29">
        <f>IF(N(G333)=0,"",E333/G333)</f>
        <v/>
      </c>
      <c r="R333" s="28">
        <f>IF(N(G333)=0,"",H333/G333)</f>
        <v/>
      </c>
      <c r="S333" s="29">
        <f>IF(N(H333)=0,"",E333/H333)</f>
        <v/>
      </c>
      <c r="T333" s="29">
        <f>IF(N(K333)=0,"",E333/K333)</f>
        <v/>
      </c>
      <c r="U333" s="29">
        <f>IF(N(L333)=0,"",E333/L333)</f>
        <v/>
      </c>
      <c r="V333" s="29">
        <f>IF(N(N333)=0,"",E333/N333)</f>
        <v/>
      </c>
      <c r="W333" s="30">
        <f>IF(N(K333)=0,"",L333/K333)</f>
        <v/>
      </c>
      <c r="X333" s="30">
        <f>IF(N(M333)=0,"",N333/M333)</f>
        <v/>
      </c>
      <c r="Y333" s="31">
        <f>IF(N(E333)=0,"",O333/E333)</f>
        <v/>
      </c>
    </row>
    <row r="334">
      <c r="A334" s="10" t="n">
        <v>46636</v>
      </c>
      <c r="B334" s="11">
        <f>DATE(YEAR(A334),MONTH(A334),1)</f>
        <v/>
      </c>
      <c r="C334" t="inlineStr">
        <is>
          <t>S-FR | Marque</t>
        </is>
      </c>
      <c r="E334" s="13" t="n"/>
      <c r="F334" s="14" t="n"/>
      <c r="G334" s="14" t="n"/>
      <c r="H334" s="15" t="n"/>
      <c r="I334" s="16" t="n"/>
      <c r="J334" s="16" t="n"/>
      <c r="K334" s="14" t="n"/>
      <c r="L334" s="14" t="n"/>
      <c r="M334" s="14" t="n"/>
      <c r="N334" s="14" t="n"/>
      <c r="O334" s="13" t="n"/>
      <c r="P334" s="17">
        <f>IF(N(F334)=0,"",G334/F334)</f>
        <v/>
      </c>
      <c r="Q334" s="18">
        <f>IF(N(G334)=0,"",E334/G334)</f>
        <v/>
      </c>
      <c r="R334" s="17">
        <f>IF(N(G334)=0,"",H334/G334)</f>
        <v/>
      </c>
      <c r="S334" s="18">
        <f>IF(N(H334)=0,"",E334/H334)</f>
        <v/>
      </c>
      <c r="T334" s="18">
        <f>IF(N(K334)=0,"",E334/K334)</f>
        <v/>
      </c>
      <c r="U334" s="18">
        <f>IF(N(L334)=0,"",E334/L334)</f>
        <v/>
      </c>
      <c r="V334" s="18">
        <f>IF(N(N334)=0,"",E334/N334)</f>
        <v/>
      </c>
      <c r="W334" s="19">
        <f>IF(N(K334)=0,"",L334/K334)</f>
        <v/>
      </c>
      <c r="X334" s="19">
        <f>IF(N(M334)=0,"",N334/M334)</f>
        <v/>
      </c>
      <c r="Y334" s="20">
        <f>IF(N(E334)=0,"",O334/E334)</f>
        <v/>
      </c>
    </row>
    <row r="335">
      <c r="A335" s="10" t="n">
        <v>46636</v>
      </c>
      <c r="B335" s="11">
        <f>DATE(YEAR(A335),MONTH(A335),1)</f>
        <v/>
      </c>
      <c r="C335" t="inlineStr">
        <is>
          <t>S-FR | Corporatif &amp; Fêtes</t>
        </is>
      </c>
      <c r="E335" s="13" t="n"/>
      <c r="F335" s="14" t="n"/>
      <c r="G335" s="14" t="n"/>
      <c r="H335" s="15" t="n"/>
      <c r="I335" s="16" t="n"/>
      <c r="J335" s="16" t="n"/>
      <c r="K335" s="14" t="n"/>
      <c r="L335" s="14" t="n"/>
      <c r="M335" s="14" t="n"/>
      <c r="N335" s="14" t="n"/>
      <c r="O335" s="13" t="n"/>
      <c r="P335" s="17">
        <f>IF(N(F335)=0,"",G335/F335)</f>
        <v/>
      </c>
      <c r="Q335" s="18">
        <f>IF(N(G335)=0,"",E335/G335)</f>
        <v/>
      </c>
      <c r="R335" s="17">
        <f>IF(N(G335)=0,"",H335/G335)</f>
        <v/>
      </c>
      <c r="S335" s="18">
        <f>IF(N(H335)=0,"",E335/H335)</f>
        <v/>
      </c>
      <c r="T335" s="18">
        <f>IF(N(K335)=0,"",E335/K335)</f>
        <v/>
      </c>
      <c r="U335" s="18">
        <f>IF(N(L335)=0,"",E335/L335)</f>
        <v/>
      </c>
      <c r="V335" s="18">
        <f>IF(N(N335)=0,"",E335/N335)</f>
        <v/>
      </c>
      <c r="W335" s="19">
        <f>IF(N(K335)=0,"",L335/K335)</f>
        <v/>
      </c>
      <c r="X335" s="19">
        <f>IF(N(M335)=0,"",N335/M335)</f>
        <v/>
      </c>
      <c r="Y335" s="20">
        <f>IF(N(E335)=0,"",O335/E335)</f>
        <v/>
      </c>
    </row>
    <row r="336">
      <c r="A336" s="10" t="n">
        <v>46636</v>
      </c>
      <c r="B336" s="11">
        <f>DATE(YEAR(A336),MONTH(A336),1)</f>
        <v/>
      </c>
      <c r="C336" t="inlineStr">
        <is>
          <t>S-FR | Événements privés</t>
        </is>
      </c>
      <c r="E336" s="13" t="n"/>
      <c r="F336" s="14" t="n"/>
      <c r="G336" s="14" t="n"/>
      <c r="H336" s="15" t="n"/>
      <c r="I336" s="16" t="n"/>
      <c r="J336" s="16" t="n"/>
      <c r="K336" s="14" t="n"/>
      <c r="L336" s="14" t="n"/>
      <c r="M336" s="14" t="n"/>
      <c r="N336" s="14" t="n"/>
      <c r="O336" s="13" t="n"/>
      <c r="P336" s="17">
        <f>IF(N(F336)=0,"",G336/F336)</f>
        <v/>
      </c>
      <c r="Q336" s="18">
        <f>IF(N(G336)=0,"",E336/G336)</f>
        <v/>
      </c>
      <c r="R336" s="17">
        <f>IF(N(G336)=0,"",H336/G336)</f>
        <v/>
      </c>
      <c r="S336" s="18">
        <f>IF(N(H336)=0,"",E336/H336)</f>
        <v/>
      </c>
      <c r="T336" s="18">
        <f>IF(N(K336)=0,"",E336/K336)</f>
        <v/>
      </c>
      <c r="U336" s="18">
        <f>IF(N(L336)=0,"",E336/L336)</f>
        <v/>
      </c>
      <c r="V336" s="18">
        <f>IF(N(N336)=0,"",E336/N336)</f>
        <v/>
      </c>
      <c r="W336" s="19">
        <f>IF(N(K336)=0,"",L336/K336)</f>
        <v/>
      </c>
      <c r="X336" s="19">
        <f>IF(N(M336)=0,"",N336/M336)</f>
        <v/>
      </c>
      <c r="Y336" s="20">
        <f>IF(N(E336)=0,"",O336/E336)</f>
        <v/>
      </c>
    </row>
    <row r="337">
      <c r="A337" s="10" t="n">
        <v>46636</v>
      </c>
      <c r="B337" s="11">
        <f>DATE(YEAR(A337),MONTH(A337),1)</f>
        <v/>
      </c>
      <c r="C337" t="inlineStr">
        <is>
          <t>S-EN | Corporate Montréal</t>
        </is>
      </c>
      <c r="E337" s="13" t="n"/>
      <c r="F337" s="14" t="n"/>
      <c r="G337" s="14" t="n"/>
      <c r="H337" s="15" t="n"/>
      <c r="I337" s="16" t="n"/>
      <c r="J337" s="16" t="n"/>
      <c r="K337" s="14" t="n"/>
      <c r="L337" s="14" t="n"/>
      <c r="M337" s="14" t="n"/>
      <c r="N337" s="14" t="n"/>
      <c r="O337" s="13" t="n"/>
      <c r="P337" s="17">
        <f>IF(N(F337)=0,"",G337/F337)</f>
        <v/>
      </c>
      <c r="Q337" s="18">
        <f>IF(N(G337)=0,"",E337/G337)</f>
        <v/>
      </c>
      <c r="R337" s="17">
        <f>IF(N(G337)=0,"",H337/G337)</f>
        <v/>
      </c>
      <c r="S337" s="18">
        <f>IF(N(H337)=0,"",E337/H337)</f>
        <v/>
      </c>
      <c r="T337" s="18">
        <f>IF(N(K337)=0,"",E337/K337)</f>
        <v/>
      </c>
      <c r="U337" s="18">
        <f>IF(N(L337)=0,"",E337/L337)</f>
        <v/>
      </c>
      <c r="V337" s="18">
        <f>IF(N(N337)=0,"",E337/N337)</f>
        <v/>
      </c>
      <c r="W337" s="19">
        <f>IF(N(K337)=0,"",L337/K337)</f>
        <v/>
      </c>
      <c r="X337" s="19">
        <f>IF(N(M337)=0,"",N337/M337)</f>
        <v/>
      </c>
      <c r="Y337" s="20">
        <f>IF(N(E337)=0,"",O337/E337)</f>
        <v/>
      </c>
    </row>
    <row r="338">
      <c r="A338" s="10" t="n">
        <v>46636</v>
      </c>
      <c r="B338" s="11">
        <f>DATE(YEAR(A338),MONTH(A338),1)</f>
        <v/>
      </c>
      <c r="C338" t="inlineStr">
        <is>
          <t>S-FR | Québec-Lévis (test)</t>
        </is>
      </c>
      <c r="E338" s="13" t="n"/>
      <c r="F338" s="14" t="n"/>
      <c r="G338" s="14" t="n"/>
      <c r="H338" s="15" t="n"/>
      <c r="I338" s="16" t="n"/>
      <c r="J338" s="16" t="n"/>
      <c r="K338" s="14" t="n"/>
      <c r="L338" s="14" t="n"/>
      <c r="M338" s="14" t="n"/>
      <c r="N338" s="14" t="n"/>
      <c r="O338" s="13" t="n"/>
      <c r="P338" s="17">
        <f>IF(N(F338)=0,"",G338/F338)</f>
        <v/>
      </c>
      <c r="Q338" s="18">
        <f>IF(N(G338)=0,"",E338/G338)</f>
        <v/>
      </c>
      <c r="R338" s="17">
        <f>IF(N(G338)=0,"",H338/G338)</f>
        <v/>
      </c>
      <c r="S338" s="18">
        <f>IF(N(H338)=0,"",E338/H338)</f>
        <v/>
      </c>
      <c r="T338" s="18">
        <f>IF(N(K338)=0,"",E338/K338)</f>
        <v/>
      </c>
      <c r="U338" s="18">
        <f>IF(N(L338)=0,"",E338/L338)</f>
        <v/>
      </c>
      <c r="V338" s="18">
        <f>IF(N(N338)=0,"",E338/N338)</f>
        <v/>
      </c>
      <c r="W338" s="19">
        <f>IF(N(K338)=0,"",L338/K338)</f>
        <v/>
      </c>
      <c r="X338" s="19">
        <f>IF(N(M338)=0,"",N338/M338)</f>
        <v/>
      </c>
      <c r="Y338" s="20">
        <f>IF(N(E338)=0,"",O338/E338)</f>
        <v/>
      </c>
    </row>
    <row r="339">
      <c r="A339" s="10" t="n">
        <v>46636</v>
      </c>
      <c r="B339" s="11">
        <f>DATE(YEAR(A339),MONTH(A339),1)</f>
        <v/>
      </c>
      <c r="C339" t="inlineStr">
        <is>
          <t>Demand Gen</t>
        </is>
      </c>
      <c r="E339" s="13" t="n"/>
      <c r="F339" s="14" t="n"/>
      <c r="G339" s="14" t="n"/>
      <c r="H339" s="15" t="n"/>
      <c r="I339" s="16" t="n"/>
      <c r="J339" s="16" t="n"/>
      <c r="K339" s="14" t="n"/>
      <c r="L339" s="14" t="n"/>
      <c r="M339" s="14" t="n"/>
      <c r="N339" s="14" t="n"/>
      <c r="O339" s="13" t="n"/>
      <c r="P339" s="17">
        <f>IF(N(F339)=0,"",G339/F339)</f>
        <v/>
      </c>
      <c r="Q339" s="18">
        <f>IF(N(G339)=0,"",E339/G339)</f>
        <v/>
      </c>
      <c r="R339" s="17">
        <f>IF(N(G339)=0,"",H339/G339)</f>
        <v/>
      </c>
      <c r="S339" s="18">
        <f>IF(N(H339)=0,"",E339/H339)</f>
        <v/>
      </c>
      <c r="T339" s="18">
        <f>IF(N(K339)=0,"",E339/K339)</f>
        <v/>
      </c>
      <c r="U339" s="18">
        <f>IF(N(L339)=0,"",E339/L339)</f>
        <v/>
      </c>
      <c r="V339" s="18">
        <f>IF(N(N339)=0,"",E339/N339)</f>
        <v/>
      </c>
      <c r="W339" s="19">
        <f>IF(N(K339)=0,"",L339/K339)</f>
        <v/>
      </c>
      <c r="X339" s="19">
        <f>IF(N(M339)=0,"",N339/M339)</f>
        <v/>
      </c>
      <c r="Y339" s="20">
        <f>IF(N(E339)=0,"",O339/E339)</f>
        <v/>
      </c>
    </row>
    <row r="340">
      <c r="A340" s="21" t="n">
        <v>46636</v>
      </c>
      <c r="B340" s="22">
        <f>DATE(YEAR(A340),MONTH(A340),1)</f>
        <v/>
      </c>
      <c r="C340" s="23" t="inlineStr">
        <is>
          <t>Microsoft Ads</t>
        </is>
      </c>
      <c r="D340" s="23" t="n"/>
      <c r="E340" s="24" t="n"/>
      <c r="F340" s="25" t="n"/>
      <c r="G340" s="25" t="n"/>
      <c r="H340" s="26" t="n"/>
      <c r="I340" s="27" t="n"/>
      <c r="J340" s="27" t="n"/>
      <c r="K340" s="25" t="n"/>
      <c r="L340" s="25" t="n"/>
      <c r="M340" s="25" t="n"/>
      <c r="N340" s="25" t="n"/>
      <c r="O340" s="24" t="n"/>
      <c r="P340" s="28">
        <f>IF(N(F340)=0,"",G340/F340)</f>
        <v/>
      </c>
      <c r="Q340" s="29">
        <f>IF(N(G340)=0,"",E340/G340)</f>
        <v/>
      </c>
      <c r="R340" s="28">
        <f>IF(N(G340)=0,"",H340/G340)</f>
        <v/>
      </c>
      <c r="S340" s="29">
        <f>IF(N(H340)=0,"",E340/H340)</f>
        <v/>
      </c>
      <c r="T340" s="29">
        <f>IF(N(K340)=0,"",E340/K340)</f>
        <v/>
      </c>
      <c r="U340" s="29">
        <f>IF(N(L340)=0,"",E340/L340)</f>
        <v/>
      </c>
      <c r="V340" s="29">
        <f>IF(N(N340)=0,"",E340/N340)</f>
        <v/>
      </c>
      <c r="W340" s="30">
        <f>IF(N(K340)=0,"",L340/K340)</f>
        <v/>
      </c>
      <c r="X340" s="30">
        <f>IF(N(M340)=0,"",N340/M340)</f>
        <v/>
      </c>
      <c r="Y340" s="31">
        <f>IF(N(E340)=0,"",O340/E340)</f>
        <v/>
      </c>
    </row>
    <row r="341">
      <c r="A341" s="10" t="n">
        <v>46643</v>
      </c>
      <c r="B341" s="11">
        <f>DATE(YEAR(A341),MONTH(A341),1)</f>
        <v/>
      </c>
      <c r="C341" t="inlineStr">
        <is>
          <t>S-FR | Marque</t>
        </is>
      </c>
      <c r="E341" s="13" t="n"/>
      <c r="F341" s="14" t="n"/>
      <c r="G341" s="14" t="n"/>
      <c r="H341" s="15" t="n"/>
      <c r="I341" s="16" t="n"/>
      <c r="J341" s="16" t="n"/>
      <c r="K341" s="14" t="n"/>
      <c r="L341" s="14" t="n"/>
      <c r="M341" s="14" t="n"/>
      <c r="N341" s="14" t="n"/>
      <c r="O341" s="13" t="n"/>
      <c r="P341" s="17">
        <f>IF(N(F341)=0,"",G341/F341)</f>
        <v/>
      </c>
      <c r="Q341" s="18">
        <f>IF(N(G341)=0,"",E341/G341)</f>
        <v/>
      </c>
      <c r="R341" s="17">
        <f>IF(N(G341)=0,"",H341/G341)</f>
        <v/>
      </c>
      <c r="S341" s="18">
        <f>IF(N(H341)=0,"",E341/H341)</f>
        <v/>
      </c>
      <c r="T341" s="18">
        <f>IF(N(K341)=0,"",E341/K341)</f>
        <v/>
      </c>
      <c r="U341" s="18">
        <f>IF(N(L341)=0,"",E341/L341)</f>
        <v/>
      </c>
      <c r="V341" s="18">
        <f>IF(N(N341)=0,"",E341/N341)</f>
        <v/>
      </c>
      <c r="W341" s="19">
        <f>IF(N(K341)=0,"",L341/K341)</f>
        <v/>
      </c>
      <c r="X341" s="19">
        <f>IF(N(M341)=0,"",N341/M341)</f>
        <v/>
      </c>
      <c r="Y341" s="20">
        <f>IF(N(E341)=0,"",O341/E341)</f>
        <v/>
      </c>
    </row>
    <row r="342">
      <c r="A342" s="10" t="n">
        <v>46643</v>
      </c>
      <c r="B342" s="11">
        <f>DATE(YEAR(A342),MONTH(A342),1)</f>
        <v/>
      </c>
      <c r="C342" t="inlineStr">
        <is>
          <t>S-FR | Corporatif &amp; Fêtes</t>
        </is>
      </c>
      <c r="E342" s="13" t="n"/>
      <c r="F342" s="14" t="n"/>
      <c r="G342" s="14" t="n"/>
      <c r="H342" s="15" t="n"/>
      <c r="I342" s="16" t="n"/>
      <c r="J342" s="16" t="n"/>
      <c r="K342" s="14" t="n"/>
      <c r="L342" s="14" t="n"/>
      <c r="M342" s="14" t="n"/>
      <c r="N342" s="14" t="n"/>
      <c r="O342" s="13" t="n"/>
      <c r="P342" s="17">
        <f>IF(N(F342)=0,"",G342/F342)</f>
        <v/>
      </c>
      <c r="Q342" s="18">
        <f>IF(N(G342)=0,"",E342/G342)</f>
        <v/>
      </c>
      <c r="R342" s="17">
        <f>IF(N(G342)=0,"",H342/G342)</f>
        <v/>
      </c>
      <c r="S342" s="18">
        <f>IF(N(H342)=0,"",E342/H342)</f>
        <v/>
      </c>
      <c r="T342" s="18">
        <f>IF(N(K342)=0,"",E342/K342)</f>
        <v/>
      </c>
      <c r="U342" s="18">
        <f>IF(N(L342)=0,"",E342/L342)</f>
        <v/>
      </c>
      <c r="V342" s="18">
        <f>IF(N(N342)=0,"",E342/N342)</f>
        <v/>
      </c>
      <c r="W342" s="19">
        <f>IF(N(K342)=0,"",L342/K342)</f>
        <v/>
      </c>
      <c r="X342" s="19">
        <f>IF(N(M342)=0,"",N342/M342)</f>
        <v/>
      </c>
      <c r="Y342" s="20">
        <f>IF(N(E342)=0,"",O342/E342)</f>
        <v/>
      </c>
    </row>
    <row r="343">
      <c r="A343" s="10" t="n">
        <v>46643</v>
      </c>
      <c r="B343" s="11">
        <f>DATE(YEAR(A343),MONTH(A343),1)</f>
        <v/>
      </c>
      <c r="C343" t="inlineStr">
        <is>
          <t>S-FR | Événements privés</t>
        </is>
      </c>
      <c r="E343" s="13" t="n"/>
      <c r="F343" s="14" t="n"/>
      <c r="G343" s="14" t="n"/>
      <c r="H343" s="15" t="n"/>
      <c r="I343" s="16" t="n"/>
      <c r="J343" s="16" t="n"/>
      <c r="K343" s="14" t="n"/>
      <c r="L343" s="14" t="n"/>
      <c r="M343" s="14" t="n"/>
      <c r="N343" s="14" t="n"/>
      <c r="O343" s="13" t="n"/>
      <c r="P343" s="17">
        <f>IF(N(F343)=0,"",G343/F343)</f>
        <v/>
      </c>
      <c r="Q343" s="18">
        <f>IF(N(G343)=0,"",E343/G343)</f>
        <v/>
      </c>
      <c r="R343" s="17">
        <f>IF(N(G343)=0,"",H343/G343)</f>
        <v/>
      </c>
      <c r="S343" s="18">
        <f>IF(N(H343)=0,"",E343/H343)</f>
        <v/>
      </c>
      <c r="T343" s="18">
        <f>IF(N(K343)=0,"",E343/K343)</f>
        <v/>
      </c>
      <c r="U343" s="18">
        <f>IF(N(L343)=0,"",E343/L343)</f>
        <v/>
      </c>
      <c r="V343" s="18">
        <f>IF(N(N343)=0,"",E343/N343)</f>
        <v/>
      </c>
      <c r="W343" s="19">
        <f>IF(N(K343)=0,"",L343/K343)</f>
        <v/>
      </c>
      <c r="X343" s="19">
        <f>IF(N(M343)=0,"",N343/M343)</f>
        <v/>
      </c>
      <c r="Y343" s="20">
        <f>IF(N(E343)=0,"",O343/E343)</f>
        <v/>
      </c>
    </row>
    <row r="344">
      <c r="A344" s="10" t="n">
        <v>46643</v>
      </c>
      <c r="B344" s="11">
        <f>DATE(YEAR(A344),MONTH(A344),1)</f>
        <v/>
      </c>
      <c r="C344" t="inlineStr">
        <is>
          <t>S-EN | Corporate Montréal</t>
        </is>
      </c>
      <c r="E344" s="13" t="n"/>
      <c r="F344" s="14" t="n"/>
      <c r="G344" s="14" t="n"/>
      <c r="H344" s="15" t="n"/>
      <c r="I344" s="16" t="n"/>
      <c r="J344" s="16" t="n"/>
      <c r="K344" s="14" t="n"/>
      <c r="L344" s="14" t="n"/>
      <c r="M344" s="14" t="n"/>
      <c r="N344" s="14" t="n"/>
      <c r="O344" s="13" t="n"/>
      <c r="P344" s="17">
        <f>IF(N(F344)=0,"",G344/F344)</f>
        <v/>
      </c>
      <c r="Q344" s="18">
        <f>IF(N(G344)=0,"",E344/G344)</f>
        <v/>
      </c>
      <c r="R344" s="17">
        <f>IF(N(G344)=0,"",H344/G344)</f>
        <v/>
      </c>
      <c r="S344" s="18">
        <f>IF(N(H344)=0,"",E344/H344)</f>
        <v/>
      </c>
      <c r="T344" s="18">
        <f>IF(N(K344)=0,"",E344/K344)</f>
        <v/>
      </c>
      <c r="U344" s="18">
        <f>IF(N(L344)=0,"",E344/L344)</f>
        <v/>
      </c>
      <c r="V344" s="18">
        <f>IF(N(N344)=0,"",E344/N344)</f>
        <v/>
      </c>
      <c r="W344" s="19">
        <f>IF(N(K344)=0,"",L344/K344)</f>
        <v/>
      </c>
      <c r="X344" s="19">
        <f>IF(N(M344)=0,"",N344/M344)</f>
        <v/>
      </c>
      <c r="Y344" s="20">
        <f>IF(N(E344)=0,"",O344/E344)</f>
        <v/>
      </c>
    </row>
    <row r="345">
      <c r="A345" s="10" t="n">
        <v>46643</v>
      </c>
      <c r="B345" s="11">
        <f>DATE(YEAR(A345),MONTH(A345),1)</f>
        <v/>
      </c>
      <c r="C345" t="inlineStr">
        <is>
          <t>S-FR | Québec-Lévis (test)</t>
        </is>
      </c>
      <c r="E345" s="13" t="n"/>
      <c r="F345" s="14" t="n"/>
      <c r="G345" s="14" t="n"/>
      <c r="H345" s="15" t="n"/>
      <c r="I345" s="16" t="n"/>
      <c r="J345" s="16" t="n"/>
      <c r="K345" s="14" t="n"/>
      <c r="L345" s="14" t="n"/>
      <c r="M345" s="14" t="n"/>
      <c r="N345" s="14" t="n"/>
      <c r="O345" s="13" t="n"/>
      <c r="P345" s="17">
        <f>IF(N(F345)=0,"",G345/F345)</f>
        <v/>
      </c>
      <c r="Q345" s="18">
        <f>IF(N(G345)=0,"",E345/G345)</f>
        <v/>
      </c>
      <c r="R345" s="17">
        <f>IF(N(G345)=0,"",H345/G345)</f>
        <v/>
      </c>
      <c r="S345" s="18">
        <f>IF(N(H345)=0,"",E345/H345)</f>
        <v/>
      </c>
      <c r="T345" s="18">
        <f>IF(N(K345)=0,"",E345/K345)</f>
        <v/>
      </c>
      <c r="U345" s="18">
        <f>IF(N(L345)=0,"",E345/L345)</f>
        <v/>
      </c>
      <c r="V345" s="18">
        <f>IF(N(N345)=0,"",E345/N345)</f>
        <v/>
      </c>
      <c r="W345" s="19">
        <f>IF(N(K345)=0,"",L345/K345)</f>
        <v/>
      </c>
      <c r="X345" s="19">
        <f>IF(N(M345)=0,"",N345/M345)</f>
        <v/>
      </c>
      <c r="Y345" s="20">
        <f>IF(N(E345)=0,"",O345/E345)</f>
        <v/>
      </c>
    </row>
    <row r="346">
      <c r="A346" s="10" t="n">
        <v>46643</v>
      </c>
      <c r="B346" s="11">
        <f>DATE(YEAR(A346),MONTH(A346),1)</f>
        <v/>
      </c>
      <c r="C346" t="inlineStr">
        <is>
          <t>Demand Gen</t>
        </is>
      </c>
      <c r="E346" s="13" t="n"/>
      <c r="F346" s="14" t="n"/>
      <c r="G346" s="14" t="n"/>
      <c r="H346" s="15" t="n"/>
      <c r="I346" s="16" t="n"/>
      <c r="J346" s="16" t="n"/>
      <c r="K346" s="14" t="n"/>
      <c r="L346" s="14" t="n"/>
      <c r="M346" s="14" t="n"/>
      <c r="N346" s="14" t="n"/>
      <c r="O346" s="13" t="n"/>
      <c r="P346" s="17">
        <f>IF(N(F346)=0,"",G346/F346)</f>
        <v/>
      </c>
      <c r="Q346" s="18">
        <f>IF(N(G346)=0,"",E346/G346)</f>
        <v/>
      </c>
      <c r="R346" s="17">
        <f>IF(N(G346)=0,"",H346/G346)</f>
        <v/>
      </c>
      <c r="S346" s="18">
        <f>IF(N(H346)=0,"",E346/H346)</f>
        <v/>
      </c>
      <c r="T346" s="18">
        <f>IF(N(K346)=0,"",E346/K346)</f>
        <v/>
      </c>
      <c r="U346" s="18">
        <f>IF(N(L346)=0,"",E346/L346)</f>
        <v/>
      </c>
      <c r="V346" s="18">
        <f>IF(N(N346)=0,"",E346/N346)</f>
        <v/>
      </c>
      <c r="W346" s="19">
        <f>IF(N(K346)=0,"",L346/K346)</f>
        <v/>
      </c>
      <c r="X346" s="19">
        <f>IF(N(M346)=0,"",N346/M346)</f>
        <v/>
      </c>
      <c r="Y346" s="20">
        <f>IF(N(E346)=0,"",O346/E346)</f>
        <v/>
      </c>
    </row>
    <row r="347">
      <c r="A347" s="21" t="n">
        <v>46643</v>
      </c>
      <c r="B347" s="22">
        <f>DATE(YEAR(A347),MONTH(A347),1)</f>
        <v/>
      </c>
      <c r="C347" s="23" t="inlineStr">
        <is>
          <t>Microsoft Ads</t>
        </is>
      </c>
      <c r="D347" s="23" t="n"/>
      <c r="E347" s="24" t="n"/>
      <c r="F347" s="25" t="n"/>
      <c r="G347" s="25" t="n"/>
      <c r="H347" s="26" t="n"/>
      <c r="I347" s="27" t="n"/>
      <c r="J347" s="27" t="n"/>
      <c r="K347" s="25" t="n"/>
      <c r="L347" s="25" t="n"/>
      <c r="M347" s="25" t="n"/>
      <c r="N347" s="25" t="n"/>
      <c r="O347" s="24" t="n"/>
      <c r="P347" s="28">
        <f>IF(N(F347)=0,"",G347/F347)</f>
        <v/>
      </c>
      <c r="Q347" s="29">
        <f>IF(N(G347)=0,"",E347/G347)</f>
        <v/>
      </c>
      <c r="R347" s="28">
        <f>IF(N(G347)=0,"",H347/G347)</f>
        <v/>
      </c>
      <c r="S347" s="29">
        <f>IF(N(H347)=0,"",E347/H347)</f>
        <v/>
      </c>
      <c r="T347" s="29">
        <f>IF(N(K347)=0,"",E347/K347)</f>
        <v/>
      </c>
      <c r="U347" s="29">
        <f>IF(N(L347)=0,"",E347/L347)</f>
        <v/>
      </c>
      <c r="V347" s="29">
        <f>IF(N(N347)=0,"",E347/N347)</f>
        <v/>
      </c>
      <c r="W347" s="30">
        <f>IF(N(K347)=0,"",L347/K347)</f>
        <v/>
      </c>
      <c r="X347" s="30">
        <f>IF(N(M347)=0,"",N347/M347)</f>
        <v/>
      </c>
      <c r="Y347" s="31">
        <f>IF(N(E347)=0,"",O347/E347)</f>
        <v/>
      </c>
    </row>
    <row r="348">
      <c r="A348" s="10" t="n">
        <v>46650</v>
      </c>
      <c r="B348" s="11">
        <f>DATE(YEAR(A348),MONTH(A348),1)</f>
        <v/>
      </c>
      <c r="C348" t="inlineStr">
        <is>
          <t>S-FR | Marque</t>
        </is>
      </c>
      <c r="E348" s="13" t="n"/>
      <c r="F348" s="14" t="n"/>
      <c r="G348" s="14" t="n"/>
      <c r="H348" s="15" t="n"/>
      <c r="I348" s="16" t="n"/>
      <c r="J348" s="16" t="n"/>
      <c r="K348" s="14" t="n"/>
      <c r="L348" s="14" t="n"/>
      <c r="M348" s="14" t="n"/>
      <c r="N348" s="14" t="n"/>
      <c r="O348" s="13" t="n"/>
      <c r="P348" s="17">
        <f>IF(N(F348)=0,"",G348/F348)</f>
        <v/>
      </c>
      <c r="Q348" s="18">
        <f>IF(N(G348)=0,"",E348/G348)</f>
        <v/>
      </c>
      <c r="R348" s="17">
        <f>IF(N(G348)=0,"",H348/G348)</f>
        <v/>
      </c>
      <c r="S348" s="18">
        <f>IF(N(H348)=0,"",E348/H348)</f>
        <v/>
      </c>
      <c r="T348" s="18">
        <f>IF(N(K348)=0,"",E348/K348)</f>
        <v/>
      </c>
      <c r="U348" s="18">
        <f>IF(N(L348)=0,"",E348/L348)</f>
        <v/>
      </c>
      <c r="V348" s="18">
        <f>IF(N(N348)=0,"",E348/N348)</f>
        <v/>
      </c>
      <c r="W348" s="19">
        <f>IF(N(K348)=0,"",L348/K348)</f>
        <v/>
      </c>
      <c r="X348" s="19">
        <f>IF(N(M348)=0,"",N348/M348)</f>
        <v/>
      </c>
      <c r="Y348" s="20">
        <f>IF(N(E348)=0,"",O348/E348)</f>
        <v/>
      </c>
    </row>
    <row r="349">
      <c r="A349" s="10" t="n">
        <v>46650</v>
      </c>
      <c r="B349" s="11">
        <f>DATE(YEAR(A349),MONTH(A349),1)</f>
        <v/>
      </c>
      <c r="C349" t="inlineStr">
        <is>
          <t>S-FR | Corporatif &amp; Fêtes</t>
        </is>
      </c>
      <c r="E349" s="13" t="n"/>
      <c r="F349" s="14" t="n"/>
      <c r="G349" s="14" t="n"/>
      <c r="H349" s="15" t="n"/>
      <c r="I349" s="16" t="n"/>
      <c r="J349" s="16" t="n"/>
      <c r="K349" s="14" t="n"/>
      <c r="L349" s="14" t="n"/>
      <c r="M349" s="14" t="n"/>
      <c r="N349" s="14" t="n"/>
      <c r="O349" s="13" t="n"/>
      <c r="P349" s="17">
        <f>IF(N(F349)=0,"",G349/F349)</f>
        <v/>
      </c>
      <c r="Q349" s="18">
        <f>IF(N(G349)=0,"",E349/G349)</f>
        <v/>
      </c>
      <c r="R349" s="17">
        <f>IF(N(G349)=0,"",H349/G349)</f>
        <v/>
      </c>
      <c r="S349" s="18">
        <f>IF(N(H349)=0,"",E349/H349)</f>
        <v/>
      </c>
      <c r="T349" s="18">
        <f>IF(N(K349)=0,"",E349/K349)</f>
        <v/>
      </c>
      <c r="U349" s="18">
        <f>IF(N(L349)=0,"",E349/L349)</f>
        <v/>
      </c>
      <c r="V349" s="18">
        <f>IF(N(N349)=0,"",E349/N349)</f>
        <v/>
      </c>
      <c r="W349" s="19">
        <f>IF(N(K349)=0,"",L349/K349)</f>
        <v/>
      </c>
      <c r="X349" s="19">
        <f>IF(N(M349)=0,"",N349/M349)</f>
        <v/>
      </c>
      <c r="Y349" s="20">
        <f>IF(N(E349)=0,"",O349/E349)</f>
        <v/>
      </c>
    </row>
    <row r="350">
      <c r="A350" s="10" t="n">
        <v>46650</v>
      </c>
      <c r="B350" s="11">
        <f>DATE(YEAR(A350),MONTH(A350),1)</f>
        <v/>
      </c>
      <c r="C350" t="inlineStr">
        <is>
          <t>S-FR | Événements privés</t>
        </is>
      </c>
      <c r="E350" s="13" t="n"/>
      <c r="F350" s="14" t="n"/>
      <c r="G350" s="14" t="n"/>
      <c r="H350" s="15" t="n"/>
      <c r="I350" s="16" t="n"/>
      <c r="J350" s="16" t="n"/>
      <c r="K350" s="14" t="n"/>
      <c r="L350" s="14" t="n"/>
      <c r="M350" s="14" t="n"/>
      <c r="N350" s="14" t="n"/>
      <c r="O350" s="13" t="n"/>
      <c r="P350" s="17">
        <f>IF(N(F350)=0,"",G350/F350)</f>
        <v/>
      </c>
      <c r="Q350" s="18">
        <f>IF(N(G350)=0,"",E350/G350)</f>
        <v/>
      </c>
      <c r="R350" s="17">
        <f>IF(N(G350)=0,"",H350/G350)</f>
        <v/>
      </c>
      <c r="S350" s="18">
        <f>IF(N(H350)=0,"",E350/H350)</f>
        <v/>
      </c>
      <c r="T350" s="18">
        <f>IF(N(K350)=0,"",E350/K350)</f>
        <v/>
      </c>
      <c r="U350" s="18">
        <f>IF(N(L350)=0,"",E350/L350)</f>
        <v/>
      </c>
      <c r="V350" s="18">
        <f>IF(N(N350)=0,"",E350/N350)</f>
        <v/>
      </c>
      <c r="W350" s="19">
        <f>IF(N(K350)=0,"",L350/K350)</f>
        <v/>
      </c>
      <c r="X350" s="19">
        <f>IF(N(M350)=0,"",N350/M350)</f>
        <v/>
      </c>
      <c r="Y350" s="20">
        <f>IF(N(E350)=0,"",O350/E350)</f>
        <v/>
      </c>
    </row>
    <row r="351">
      <c r="A351" s="10" t="n">
        <v>46650</v>
      </c>
      <c r="B351" s="11">
        <f>DATE(YEAR(A351),MONTH(A351),1)</f>
        <v/>
      </c>
      <c r="C351" t="inlineStr">
        <is>
          <t>S-EN | Corporate Montréal</t>
        </is>
      </c>
      <c r="E351" s="13" t="n"/>
      <c r="F351" s="14" t="n"/>
      <c r="G351" s="14" t="n"/>
      <c r="H351" s="15" t="n"/>
      <c r="I351" s="16" t="n"/>
      <c r="J351" s="16" t="n"/>
      <c r="K351" s="14" t="n"/>
      <c r="L351" s="14" t="n"/>
      <c r="M351" s="14" t="n"/>
      <c r="N351" s="14" t="n"/>
      <c r="O351" s="13" t="n"/>
      <c r="P351" s="17">
        <f>IF(N(F351)=0,"",G351/F351)</f>
        <v/>
      </c>
      <c r="Q351" s="18">
        <f>IF(N(G351)=0,"",E351/G351)</f>
        <v/>
      </c>
      <c r="R351" s="17">
        <f>IF(N(G351)=0,"",H351/G351)</f>
        <v/>
      </c>
      <c r="S351" s="18">
        <f>IF(N(H351)=0,"",E351/H351)</f>
        <v/>
      </c>
      <c r="T351" s="18">
        <f>IF(N(K351)=0,"",E351/K351)</f>
        <v/>
      </c>
      <c r="U351" s="18">
        <f>IF(N(L351)=0,"",E351/L351)</f>
        <v/>
      </c>
      <c r="V351" s="18">
        <f>IF(N(N351)=0,"",E351/N351)</f>
        <v/>
      </c>
      <c r="W351" s="19">
        <f>IF(N(K351)=0,"",L351/K351)</f>
        <v/>
      </c>
      <c r="X351" s="19">
        <f>IF(N(M351)=0,"",N351/M351)</f>
        <v/>
      </c>
      <c r="Y351" s="20">
        <f>IF(N(E351)=0,"",O351/E351)</f>
        <v/>
      </c>
    </row>
    <row r="352">
      <c r="A352" s="10" t="n">
        <v>46650</v>
      </c>
      <c r="B352" s="11">
        <f>DATE(YEAR(A352),MONTH(A352),1)</f>
        <v/>
      </c>
      <c r="C352" t="inlineStr">
        <is>
          <t>S-FR | Québec-Lévis (test)</t>
        </is>
      </c>
      <c r="E352" s="13" t="n"/>
      <c r="F352" s="14" t="n"/>
      <c r="G352" s="14" t="n"/>
      <c r="H352" s="15" t="n"/>
      <c r="I352" s="16" t="n"/>
      <c r="J352" s="16" t="n"/>
      <c r="K352" s="14" t="n"/>
      <c r="L352" s="14" t="n"/>
      <c r="M352" s="14" t="n"/>
      <c r="N352" s="14" t="n"/>
      <c r="O352" s="13" t="n"/>
      <c r="P352" s="17">
        <f>IF(N(F352)=0,"",G352/F352)</f>
        <v/>
      </c>
      <c r="Q352" s="18">
        <f>IF(N(G352)=0,"",E352/G352)</f>
        <v/>
      </c>
      <c r="R352" s="17">
        <f>IF(N(G352)=0,"",H352/G352)</f>
        <v/>
      </c>
      <c r="S352" s="18">
        <f>IF(N(H352)=0,"",E352/H352)</f>
        <v/>
      </c>
      <c r="T352" s="18">
        <f>IF(N(K352)=0,"",E352/K352)</f>
        <v/>
      </c>
      <c r="U352" s="18">
        <f>IF(N(L352)=0,"",E352/L352)</f>
        <v/>
      </c>
      <c r="V352" s="18">
        <f>IF(N(N352)=0,"",E352/N352)</f>
        <v/>
      </c>
      <c r="W352" s="19">
        <f>IF(N(K352)=0,"",L352/K352)</f>
        <v/>
      </c>
      <c r="X352" s="19">
        <f>IF(N(M352)=0,"",N352/M352)</f>
        <v/>
      </c>
      <c r="Y352" s="20">
        <f>IF(N(E352)=0,"",O352/E352)</f>
        <v/>
      </c>
    </row>
    <row r="353">
      <c r="A353" s="10" t="n">
        <v>46650</v>
      </c>
      <c r="B353" s="11">
        <f>DATE(YEAR(A353),MONTH(A353),1)</f>
        <v/>
      </c>
      <c r="C353" t="inlineStr">
        <is>
          <t>Demand Gen</t>
        </is>
      </c>
      <c r="E353" s="13" t="n"/>
      <c r="F353" s="14" t="n"/>
      <c r="G353" s="14" t="n"/>
      <c r="H353" s="15" t="n"/>
      <c r="I353" s="16" t="n"/>
      <c r="J353" s="16" t="n"/>
      <c r="K353" s="14" t="n"/>
      <c r="L353" s="14" t="n"/>
      <c r="M353" s="14" t="n"/>
      <c r="N353" s="14" t="n"/>
      <c r="O353" s="13" t="n"/>
      <c r="P353" s="17">
        <f>IF(N(F353)=0,"",G353/F353)</f>
        <v/>
      </c>
      <c r="Q353" s="18">
        <f>IF(N(G353)=0,"",E353/G353)</f>
        <v/>
      </c>
      <c r="R353" s="17">
        <f>IF(N(G353)=0,"",H353/G353)</f>
        <v/>
      </c>
      <c r="S353" s="18">
        <f>IF(N(H353)=0,"",E353/H353)</f>
        <v/>
      </c>
      <c r="T353" s="18">
        <f>IF(N(K353)=0,"",E353/K353)</f>
        <v/>
      </c>
      <c r="U353" s="18">
        <f>IF(N(L353)=0,"",E353/L353)</f>
        <v/>
      </c>
      <c r="V353" s="18">
        <f>IF(N(N353)=0,"",E353/N353)</f>
        <v/>
      </c>
      <c r="W353" s="19">
        <f>IF(N(K353)=0,"",L353/K353)</f>
        <v/>
      </c>
      <c r="X353" s="19">
        <f>IF(N(M353)=0,"",N353/M353)</f>
        <v/>
      </c>
      <c r="Y353" s="20">
        <f>IF(N(E353)=0,"",O353/E353)</f>
        <v/>
      </c>
    </row>
    <row r="354">
      <c r="A354" s="21" t="n">
        <v>46650</v>
      </c>
      <c r="B354" s="22">
        <f>DATE(YEAR(A354),MONTH(A354),1)</f>
        <v/>
      </c>
      <c r="C354" s="23" t="inlineStr">
        <is>
          <t>Microsoft Ads</t>
        </is>
      </c>
      <c r="D354" s="23" t="n"/>
      <c r="E354" s="24" t="n"/>
      <c r="F354" s="25" t="n"/>
      <c r="G354" s="25" t="n"/>
      <c r="H354" s="26" t="n"/>
      <c r="I354" s="27" t="n"/>
      <c r="J354" s="27" t="n"/>
      <c r="K354" s="25" t="n"/>
      <c r="L354" s="25" t="n"/>
      <c r="M354" s="25" t="n"/>
      <c r="N354" s="25" t="n"/>
      <c r="O354" s="24" t="n"/>
      <c r="P354" s="28">
        <f>IF(N(F354)=0,"",G354/F354)</f>
        <v/>
      </c>
      <c r="Q354" s="29">
        <f>IF(N(G354)=0,"",E354/G354)</f>
        <v/>
      </c>
      <c r="R354" s="28">
        <f>IF(N(G354)=0,"",H354/G354)</f>
        <v/>
      </c>
      <c r="S354" s="29">
        <f>IF(N(H354)=0,"",E354/H354)</f>
        <v/>
      </c>
      <c r="T354" s="29">
        <f>IF(N(K354)=0,"",E354/K354)</f>
        <v/>
      </c>
      <c r="U354" s="29">
        <f>IF(N(L354)=0,"",E354/L354)</f>
        <v/>
      </c>
      <c r="V354" s="29">
        <f>IF(N(N354)=0,"",E354/N354)</f>
        <v/>
      </c>
      <c r="W354" s="30">
        <f>IF(N(K354)=0,"",L354/K354)</f>
        <v/>
      </c>
      <c r="X354" s="30">
        <f>IF(N(M354)=0,"",N354/M354)</f>
        <v/>
      </c>
      <c r="Y354" s="31">
        <f>IF(N(E354)=0,"",O354/E354)</f>
        <v/>
      </c>
    </row>
    <row r="355">
      <c r="A355" s="10" t="n">
        <v>46657</v>
      </c>
      <c r="B355" s="11">
        <f>DATE(YEAR(A355),MONTH(A355),1)</f>
        <v/>
      </c>
      <c r="C355" t="inlineStr">
        <is>
          <t>S-FR | Marque</t>
        </is>
      </c>
      <c r="E355" s="13" t="n"/>
      <c r="F355" s="14" t="n"/>
      <c r="G355" s="14" t="n"/>
      <c r="H355" s="15" t="n"/>
      <c r="I355" s="16" t="n"/>
      <c r="J355" s="16" t="n"/>
      <c r="K355" s="14" t="n"/>
      <c r="L355" s="14" t="n"/>
      <c r="M355" s="14" t="n"/>
      <c r="N355" s="14" t="n"/>
      <c r="O355" s="13" t="n"/>
      <c r="P355" s="17">
        <f>IF(N(F355)=0,"",G355/F355)</f>
        <v/>
      </c>
      <c r="Q355" s="18">
        <f>IF(N(G355)=0,"",E355/G355)</f>
        <v/>
      </c>
      <c r="R355" s="17">
        <f>IF(N(G355)=0,"",H355/G355)</f>
        <v/>
      </c>
      <c r="S355" s="18">
        <f>IF(N(H355)=0,"",E355/H355)</f>
        <v/>
      </c>
      <c r="T355" s="18">
        <f>IF(N(K355)=0,"",E355/K355)</f>
        <v/>
      </c>
      <c r="U355" s="18">
        <f>IF(N(L355)=0,"",E355/L355)</f>
        <v/>
      </c>
      <c r="V355" s="18">
        <f>IF(N(N355)=0,"",E355/N355)</f>
        <v/>
      </c>
      <c r="W355" s="19">
        <f>IF(N(K355)=0,"",L355/K355)</f>
        <v/>
      </c>
      <c r="X355" s="19">
        <f>IF(N(M355)=0,"",N355/M355)</f>
        <v/>
      </c>
      <c r="Y355" s="20">
        <f>IF(N(E355)=0,"",O355/E355)</f>
        <v/>
      </c>
    </row>
    <row r="356">
      <c r="A356" s="10" t="n">
        <v>46657</v>
      </c>
      <c r="B356" s="11">
        <f>DATE(YEAR(A356),MONTH(A356),1)</f>
        <v/>
      </c>
      <c r="C356" t="inlineStr">
        <is>
          <t>S-FR | Corporatif &amp; Fêtes</t>
        </is>
      </c>
      <c r="E356" s="13" t="n"/>
      <c r="F356" s="14" t="n"/>
      <c r="G356" s="14" t="n"/>
      <c r="H356" s="15" t="n"/>
      <c r="I356" s="16" t="n"/>
      <c r="J356" s="16" t="n"/>
      <c r="K356" s="14" t="n"/>
      <c r="L356" s="14" t="n"/>
      <c r="M356" s="14" t="n"/>
      <c r="N356" s="14" t="n"/>
      <c r="O356" s="13" t="n"/>
      <c r="P356" s="17">
        <f>IF(N(F356)=0,"",G356/F356)</f>
        <v/>
      </c>
      <c r="Q356" s="18">
        <f>IF(N(G356)=0,"",E356/G356)</f>
        <v/>
      </c>
      <c r="R356" s="17">
        <f>IF(N(G356)=0,"",H356/G356)</f>
        <v/>
      </c>
      <c r="S356" s="18">
        <f>IF(N(H356)=0,"",E356/H356)</f>
        <v/>
      </c>
      <c r="T356" s="18">
        <f>IF(N(K356)=0,"",E356/K356)</f>
        <v/>
      </c>
      <c r="U356" s="18">
        <f>IF(N(L356)=0,"",E356/L356)</f>
        <v/>
      </c>
      <c r="V356" s="18">
        <f>IF(N(N356)=0,"",E356/N356)</f>
        <v/>
      </c>
      <c r="W356" s="19">
        <f>IF(N(K356)=0,"",L356/K356)</f>
        <v/>
      </c>
      <c r="X356" s="19">
        <f>IF(N(M356)=0,"",N356/M356)</f>
        <v/>
      </c>
      <c r="Y356" s="20">
        <f>IF(N(E356)=0,"",O356/E356)</f>
        <v/>
      </c>
    </row>
    <row r="357">
      <c r="A357" s="10" t="n">
        <v>46657</v>
      </c>
      <c r="B357" s="11">
        <f>DATE(YEAR(A357),MONTH(A357),1)</f>
        <v/>
      </c>
      <c r="C357" t="inlineStr">
        <is>
          <t>S-FR | Événements privés</t>
        </is>
      </c>
      <c r="E357" s="13" t="n"/>
      <c r="F357" s="14" t="n"/>
      <c r="G357" s="14" t="n"/>
      <c r="H357" s="15" t="n"/>
      <c r="I357" s="16" t="n"/>
      <c r="J357" s="16" t="n"/>
      <c r="K357" s="14" t="n"/>
      <c r="L357" s="14" t="n"/>
      <c r="M357" s="14" t="n"/>
      <c r="N357" s="14" t="n"/>
      <c r="O357" s="13" t="n"/>
      <c r="P357" s="17">
        <f>IF(N(F357)=0,"",G357/F357)</f>
        <v/>
      </c>
      <c r="Q357" s="18">
        <f>IF(N(G357)=0,"",E357/G357)</f>
        <v/>
      </c>
      <c r="R357" s="17">
        <f>IF(N(G357)=0,"",H357/G357)</f>
        <v/>
      </c>
      <c r="S357" s="18">
        <f>IF(N(H357)=0,"",E357/H357)</f>
        <v/>
      </c>
      <c r="T357" s="18">
        <f>IF(N(K357)=0,"",E357/K357)</f>
        <v/>
      </c>
      <c r="U357" s="18">
        <f>IF(N(L357)=0,"",E357/L357)</f>
        <v/>
      </c>
      <c r="V357" s="18">
        <f>IF(N(N357)=0,"",E357/N357)</f>
        <v/>
      </c>
      <c r="W357" s="19">
        <f>IF(N(K357)=0,"",L357/K357)</f>
        <v/>
      </c>
      <c r="X357" s="19">
        <f>IF(N(M357)=0,"",N357/M357)</f>
        <v/>
      </c>
      <c r="Y357" s="20">
        <f>IF(N(E357)=0,"",O357/E357)</f>
        <v/>
      </c>
    </row>
    <row r="358">
      <c r="A358" s="10" t="n">
        <v>46657</v>
      </c>
      <c r="B358" s="11">
        <f>DATE(YEAR(A358),MONTH(A358),1)</f>
        <v/>
      </c>
      <c r="C358" t="inlineStr">
        <is>
          <t>S-EN | Corporate Montréal</t>
        </is>
      </c>
      <c r="E358" s="13" t="n"/>
      <c r="F358" s="14" t="n"/>
      <c r="G358" s="14" t="n"/>
      <c r="H358" s="15" t="n"/>
      <c r="I358" s="16" t="n"/>
      <c r="J358" s="16" t="n"/>
      <c r="K358" s="14" t="n"/>
      <c r="L358" s="14" t="n"/>
      <c r="M358" s="14" t="n"/>
      <c r="N358" s="14" t="n"/>
      <c r="O358" s="13" t="n"/>
      <c r="P358" s="17">
        <f>IF(N(F358)=0,"",G358/F358)</f>
        <v/>
      </c>
      <c r="Q358" s="18">
        <f>IF(N(G358)=0,"",E358/G358)</f>
        <v/>
      </c>
      <c r="R358" s="17">
        <f>IF(N(G358)=0,"",H358/G358)</f>
        <v/>
      </c>
      <c r="S358" s="18">
        <f>IF(N(H358)=0,"",E358/H358)</f>
        <v/>
      </c>
      <c r="T358" s="18">
        <f>IF(N(K358)=0,"",E358/K358)</f>
        <v/>
      </c>
      <c r="U358" s="18">
        <f>IF(N(L358)=0,"",E358/L358)</f>
        <v/>
      </c>
      <c r="V358" s="18">
        <f>IF(N(N358)=0,"",E358/N358)</f>
        <v/>
      </c>
      <c r="W358" s="19">
        <f>IF(N(K358)=0,"",L358/K358)</f>
        <v/>
      </c>
      <c r="X358" s="19">
        <f>IF(N(M358)=0,"",N358/M358)</f>
        <v/>
      </c>
      <c r="Y358" s="20">
        <f>IF(N(E358)=0,"",O358/E358)</f>
        <v/>
      </c>
    </row>
    <row r="359">
      <c r="A359" s="10" t="n">
        <v>46657</v>
      </c>
      <c r="B359" s="11">
        <f>DATE(YEAR(A359),MONTH(A359),1)</f>
        <v/>
      </c>
      <c r="C359" t="inlineStr">
        <is>
          <t>S-FR | Québec-Lévis (test)</t>
        </is>
      </c>
      <c r="E359" s="13" t="n"/>
      <c r="F359" s="14" t="n"/>
      <c r="G359" s="14" t="n"/>
      <c r="H359" s="15" t="n"/>
      <c r="I359" s="16" t="n"/>
      <c r="J359" s="16" t="n"/>
      <c r="K359" s="14" t="n"/>
      <c r="L359" s="14" t="n"/>
      <c r="M359" s="14" t="n"/>
      <c r="N359" s="14" t="n"/>
      <c r="O359" s="13" t="n"/>
      <c r="P359" s="17">
        <f>IF(N(F359)=0,"",G359/F359)</f>
        <v/>
      </c>
      <c r="Q359" s="18">
        <f>IF(N(G359)=0,"",E359/G359)</f>
        <v/>
      </c>
      <c r="R359" s="17">
        <f>IF(N(G359)=0,"",H359/G359)</f>
        <v/>
      </c>
      <c r="S359" s="18">
        <f>IF(N(H359)=0,"",E359/H359)</f>
        <v/>
      </c>
      <c r="T359" s="18">
        <f>IF(N(K359)=0,"",E359/K359)</f>
        <v/>
      </c>
      <c r="U359" s="18">
        <f>IF(N(L359)=0,"",E359/L359)</f>
        <v/>
      </c>
      <c r="V359" s="18">
        <f>IF(N(N359)=0,"",E359/N359)</f>
        <v/>
      </c>
      <c r="W359" s="19">
        <f>IF(N(K359)=0,"",L359/K359)</f>
        <v/>
      </c>
      <c r="X359" s="19">
        <f>IF(N(M359)=0,"",N359/M359)</f>
        <v/>
      </c>
      <c r="Y359" s="20">
        <f>IF(N(E359)=0,"",O359/E359)</f>
        <v/>
      </c>
    </row>
    <row r="360">
      <c r="A360" s="10" t="n">
        <v>46657</v>
      </c>
      <c r="B360" s="11">
        <f>DATE(YEAR(A360),MONTH(A360),1)</f>
        <v/>
      </c>
      <c r="C360" t="inlineStr">
        <is>
          <t>Demand Gen</t>
        </is>
      </c>
      <c r="E360" s="13" t="n"/>
      <c r="F360" s="14" t="n"/>
      <c r="G360" s="14" t="n"/>
      <c r="H360" s="15" t="n"/>
      <c r="I360" s="16" t="n"/>
      <c r="J360" s="16" t="n"/>
      <c r="K360" s="14" t="n"/>
      <c r="L360" s="14" t="n"/>
      <c r="M360" s="14" t="n"/>
      <c r="N360" s="14" t="n"/>
      <c r="O360" s="13" t="n"/>
      <c r="P360" s="17">
        <f>IF(N(F360)=0,"",G360/F360)</f>
        <v/>
      </c>
      <c r="Q360" s="18">
        <f>IF(N(G360)=0,"",E360/G360)</f>
        <v/>
      </c>
      <c r="R360" s="17">
        <f>IF(N(G360)=0,"",H360/G360)</f>
        <v/>
      </c>
      <c r="S360" s="18">
        <f>IF(N(H360)=0,"",E360/H360)</f>
        <v/>
      </c>
      <c r="T360" s="18">
        <f>IF(N(K360)=0,"",E360/K360)</f>
        <v/>
      </c>
      <c r="U360" s="18">
        <f>IF(N(L360)=0,"",E360/L360)</f>
        <v/>
      </c>
      <c r="V360" s="18">
        <f>IF(N(N360)=0,"",E360/N360)</f>
        <v/>
      </c>
      <c r="W360" s="19">
        <f>IF(N(K360)=0,"",L360/K360)</f>
        <v/>
      </c>
      <c r="X360" s="19">
        <f>IF(N(M360)=0,"",N360/M360)</f>
        <v/>
      </c>
      <c r="Y360" s="20">
        <f>IF(N(E360)=0,"",O360/E360)</f>
        <v/>
      </c>
    </row>
    <row r="361">
      <c r="A361" s="21" t="n">
        <v>46657</v>
      </c>
      <c r="B361" s="22">
        <f>DATE(YEAR(A361),MONTH(A361),1)</f>
        <v/>
      </c>
      <c r="C361" s="23" t="inlineStr">
        <is>
          <t>Microsoft Ads</t>
        </is>
      </c>
      <c r="D361" s="23" t="n"/>
      <c r="E361" s="24" t="n"/>
      <c r="F361" s="25" t="n"/>
      <c r="G361" s="25" t="n"/>
      <c r="H361" s="26" t="n"/>
      <c r="I361" s="27" t="n"/>
      <c r="J361" s="27" t="n"/>
      <c r="K361" s="25" t="n"/>
      <c r="L361" s="25" t="n"/>
      <c r="M361" s="25" t="n"/>
      <c r="N361" s="25" t="n"/>
      <c r="O361" s="24" t="n"/>
      <c r="P361" s="28">
        <f>IF(N(F361)=0,"",G361/F361)</f>
        <v/>
      </c>
      <c r="Q361" s="29">
        <f>IF(N(G361)=0,"",E361/G361)</f>
        <v/>
      </c>
      <c r="R361" s="28">
        <f>IF(N(G361)=0,"",H361/G361)</f>
        <v/>
      </c>
      <c r="S361" s="29">
        <f>IF(N(H361)=0,"",E361/H361)</f>
        <v/>
      </c>
      <c r="T361" s="29">
        <f>IF(N(K361)=0,"",E361/K361)</f>
        <v/>
      </c>
      <c r="U361" s="29">
        <f>IF(N(L361)=0,"",E361/L361)</f>
        <v/>
      </c>
      <c r="V361" s="29">
        <f>IF(N(N361)=0,"",E361/N361)</f>
        <v/>
      </c>
      <c r="W361" s="30">
        <f>IF(N(K361)=0,"",L361/K361)</f>
        <v/>
      </c>
      <c r="X361" s="30">
        <f>IF(N(M361)=0,"",N361/M361)</f>
        <v/>
      </c>
      <c r="Y361" s="31">
        <f>IF(N(E361)=0,"",O361/E361)</f>
        <v/>
      </c>
    </row>
  </sheetData>
  <autoFilter ref="A4:Y361"/>
  <conditionalFormatting sqref="L5:L2000">
    <cfRule type="expression" priority="1" dxfId="0">
      <formula>AND(L5&lt;&gt;"",L5&gt;N(K5))</formula>
    </cfRule>
  </conditionalFormatting>
  <conditionalFormatting sqref="N5:N2000">
    <cfRule type="expression" priority="2" dxfId="0">
      <formula>AND(N5&lt;&gt;"",N5&gt;N(M5))</formula>
    </cfRule>
  </conditionalFormatting>
  <dataValidations count="5">
    <dataValidation sqref="C5:C2000" showDropDown="0" showInputMessage="0" showErrorMessage="0" allowBlank="1" errorTitle="Campagne inconnue" error="Choisir une campagne de la liste (feuille Cibles)." type="list">
      <formula1>Liste_campagnes</formula1>
    </dataValidation>
    <dataValidation sqref="E5:E2000 H5:H2000 O5:O2000" showDropDown="0" showInputMessage="0" showErrorMessage="0" allowBlank="1" errorTitle="Valeur invalide" error="Entrer un nombre positif ou zéro." type="decimal" operator="greaterThanOrEqual">
      <formula1>0</formula1>
    </dataValidation>
    <dataValidation sqref="F5:G2000 K5:N2000" showDropDown="0" showInputMessage="0" showErrorMessage="0" allowBlank="1" errorTitle="Valeur invalide" error="Entrer un nombre entier positif ou zéro." type="whole" operator="greaterThanOrEqual">
      <formula1>0</formula1>
    </dataValidation>
    <dataValidation sqref="I5:J2000" showDropDown="0" showInputMessage="0" showErrorMessage="0" allowBlank="1" errorTitle="Pourcentage invalide" error="Entrer un pourcentage entre 0 % et 100 % (ex. : 12 %)." type="decimal" operator="between">
      <formula1>0</formula1>
      <formula2>1</formula2>
    </dataValidation>
    <dataValidation sqref="A5:A2000" showDropDown="0" showInputMessage="0" showErrorMessage="0" allowBlank="1" errorTitle="Date invalide" error="Entrer la date du lundi (aaaa-mm-jj)." type="date" operator="greaterThan">
      <formula1>DATE(2026,1,1)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0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7" customWidth="1" min="2" max="2"/>
    <col width="12" customWidth="1" min="3" max="3"/>
    <col width="12" customWidth="1" min="4" max="4"/>
    <col width="9" customWidth="1" min="5" max="5"/>
    <col width="12" customWidth="1" min="6" max="6"/>
    <col width="12" customWidth="1" min="7" max="7"/>
    <col width="13" customWidth="1" min="8" max="8"/>
    <col width="10" customWidth="1" min="9" max="9"/>
    <col width="12" customWidth="1" min="10" max="10"/>
    <col width="12" customWidth="1" min="11" max="11"/>
    <col width="10" customWidth="1" min="12" max="12"/>
    <col width="13" customWidth="1" min="13" max="13"/>
    <col width="9" customWidth="1" min="14" max="14"/>
    <col width="10" customWidth="1" min="15" max="15"/>
    <col width="11" customWidth="1" min="16" max="16"/>
    <col width="12" customWidth="1" min="17" max="17"/>
    <col width="11" customWidth="1" min="18" max="18"/>
    <col width="12" customWidth="1" min="19" max="19"/>
    <col width="12" customWidth="1" min="20" max="20"/>
    <col width="10" customWidth="1" min="21" max="21"/>
    <col width="13" customWidth="1" min="22" max="22"/>
    <col width="10" customWidth="1" min="23" max="23"/>
  </cols>
  <sheetData>
    <row r="1">
      <c r="A1" s="1" t="inlineStr">
        <is>
          <t>Synthèse mensuelle par campagne</t>
        </is>
      </c>
    </row>
    <row r="2">
      <c r="A2" s="2" t="inlineStr">
        <is>
          <t>Calculée automatiquement à partir de « Saisie hebdo » (une semaine compte dans le mois de son lundi). Parts d'impressions perdues = moyenne simple des semaines saisies. Ne rien saisir ici.</t>
        </is>
      </c>
    </row>
    <row r="4" ht="60" customHeight="1">
      <c r="A4" s="9" t="inlineStr">
        <is>
          <t>Mois</t>
        </is>
      </c>
      <c r="B4" s="9" t="inlineStr">
        <is>
          <t>Campagne</t>
        </is>
      </c>
      <c r="C4" s="9" t="inlineStr">
        <is>
          <t>Coût</t>
        </is>
      </c>
      <c r="D4" s="9" t="inlineStr">
        <is>
          <t>Impressions</t>
        </is>
      </c>
      <c r="E4" s="9" t="inlineStr">
        <is>
          <t>Clics</t>
        </is>
      </c>
      <c r="F4" s="9" t="inlineStr">
        <is>
          <t>Conversions Google</t>
        </is>
      </c>
      <c r="G4" s="9" t="inlineStr">
        <is>
          <t>Part perdue budget (moy.)</t>
        </is>
      </c>
      <c r="H4" s="9" t="inlineStr">
        <is>
          <t>Part perdue classement (moy.)</t>
        </is>
      </c>
      <c r="I4" s="9" t="inlineStr">
        <is>
          <t>Leads reçus</t>
        </is>
      </c>
      <c r="J4" s="9" t="inlineStr">
        <is>
          <t>Leads qualifiés A/B/C</t>
        </is>
      </c>
      <c r="K4" s="9" t="inlineStr">
        <is>
          <t>Soumissions</t>
        </is>
      </c>
      <c r="L4" s="9" t="inlineStr">
        <is>
          <t>Contrats gagnés</t>
        </is>
      </c>
      <c r="M4" s="9" t="inlineStr">
        <is>
          <t>Valeur des contrats</t>
        </is>
      </c>
      <c r="N4" s="9" t="inlineStr">
        <is>
          <t>CTR</t>
        </is>
      </c>
      <c r="O4" s="9" t="inlineStr">
        <is>
          <t>CPC moyen</t>
        </is>
      </c>
      <c r="P4" s="9" t="inlineStr">
        <is>
          <t>Taux de conversion</t>
        </is>
      </c>
      <c r="Q4" s="9" t="inlineStr">
        <is>
          <t>CPA Google (coût ÷ conv.)</t>
        </is>
      </c>
      <c r="R4" s="9" t="inlineStr">
        <is>
          <t>Coût par lead</t>
        </is>
      </c>
      <c r="S4" s="9" t="inlineStr">
        <is>
          <t>Coût par lead qualifié</t>
        </is>
      </c>
      <c r="T4" s="9" t="inlineStr">
        <is>
          <t>Coût par contrat</t>
        </is>
      </c>
      <c r="U4" s="9" t="inlineStr">
        <is>
          <t>% qualifiés</t>
        </is>
      </c>
      <c r="V4" s="9" t="inlineStr">
        <is>
          <t>Taux de conclusion (contrats ÷ soumissions)</t>
        </is>
      </c>
      <c r="W4" s="9" t="inlineStr">
        <is>
          <t>ROAS (valeur ÷ coût)</t>
        </is>
      </c>
    </row>
    <row r="5">
      <c r="A5" s="11" t="n">
        <v>46296</v>
      </c>
      <c r="B5" t="inlineStr">
        <is>
          <t>S-FR | Marque</t>
        </is>
      </c>
      <c r="C5" s="32">
        <f>SUMIFS('Saisie hebdo'!$E$5:$E$2000,'Saisie hebdo'!$B$5:$B$2000,$A5,'Saisie hebdo'!$C$5:$C$2000,$B5)</f>
        <v/>
      </c>
      <c r="D5" s="33">
        <f>SUMIFS('Saisie hebdo'!$F$5:$F$2000,'Saisie hebdo'!$B$5:$B$2000,$A5,'Saisie hebdo'!$C$5:$C$2000,$B5)</f>
        <v/>
      </c>
      <c r="E5" s="33">
        <f>SUMIFS('Saisie hebdo'!$G$5:$G$2000,'Saisie hebdo'!$B$5:$B$2000,$A5,'Saisie hebdo'!$C$5:$C$2000,$B5)</f>
        <v/>
      </c>
      <c r="F5" s="34">
        <f>SUMIFS('Saisie hebdo'!$H$5:$H$2000,'Saisie hebdo'!$B$5:$B$2000,$A5,'Saisie hebdo'!$C$5:$C$2000,$B5)</f>
        <v/>
      </c>
      <c r="G5" s="35">
        <f>IFERROR(AVERAGEIFS('Saisie hebdo'!$I$5:$I$2000,'Saisie hebdo'!$B$5:$B$2000,$A5,'Saisie hebdo'!$C$5:$C$2000,$B5),"")</f>
        <v/>
      </c>
      <c r="H5" s="35">
        <f>IFERROR(AVERAGEIFS('Saisie hebdo'!$J$5:$J$2000,'Saisie hebdo'!$B$5:$B$2000,$A5,'Saisie hebdo'!$C$5:$C$2000,$B5),"")</f>
        <v/>
      </c>
      <c r="I5" s="33">
        <f>SUMIFS('Saisie hebdo'!$K$5:$K$2000,'Saisie hebdo'!$B$5:$B$2000,$A5,'Saisie hebdo'!$C$5:$C$2000,$B5)</f>
        <v/>
      </c>
      <c r="J5" s="33">
        <f>SUMIFS('Saisie hebdo'!$L$5:$L$2000,'Saisie hebdo'!$B$5:$B$2000,$A5,'Saisie hebdo'!$C$5:$C$2000,$B5)</f>
        <v/>
      </c>
      <c r="K5" s="33">
        <f>SUMIFS('Saisie hebdo'!$M$5:$M$2000,'Saisie hebdo'!$B$5:$B$2000,$A5,'Saisie hebdo'!$C$5:$C$2000,$B5)</f>
        <v/>
      </c>
      <c r="L5" s="33">
        <f>SUMIFS('Saisie hebdo'!$N$5:$N$2000,'Saisie hebdo'!$B$5:$B$2000,$A5,'Saisie hebdo'!$C$5:$C$2000,$B5)</f>
        <v/>
      </c>
      <c r="M5" s="32">
        <f>SUMIFS('Saisie hebdo'!$O$5:$O$2000,'Saisie hebdo'!$B$5:$B$2000,$A5,'Saisie hebdo'!$C$5:$C$2000,$B5)</f>
        <v/>
      </c>
      <c r="N5" s="35">
        <f>IF(N(D5)=0,"",E5/D5)</f>
        <v/>
      </c>
      <c r="O5" s="32">
        <f>IF(N(E5)=0,"",C5/E5)</f>
        <v/>
      </c>
      <c r="P5" s="35">
        <f>IF(N(E5)=0,"",F5/E5)</f>
        <v/>
      </c>
      <c r="Q5" s="32">
        <f>IF(N(F5)=0,"",C5/F5)</f>
        <v/>
      </c>
      <c r="R5" s="32">
        <f>IF(N(I5)=0,"",C5/I5)</f>
        <v/>
      </c>
      <c r="S5" s="32">
        <f>IF(N(J5)=0,"",C5/J5)</f>
        <v/>
      </c>
      <c r="T5" s="32">
        <f>IF(N(L5)=0,"",C5/L5)</f>
        <v/>
      </c>
      <c r="U5" s="36">
        <f>IF(N(I5)=0,"",J5/I5)</f>
        <v/>
      </c>
      <c r="V5" s="36">
        <f>IF(N(K5)=0,"",L5/K5)</f>
        <v/>
      </c>
      <c r="W5" s="37">
        <f>IF(N(C5)=0,"",M5/C5)</f>
        <v/>
      </c>
    </row>
    <row r="6">
      <c r="A6" s="11" t="n">
        <v>46296</v>
      </c>
      <c r="B6" t="inlineStr">
        <is>
          <t>S-FR | Corporatif &amp; Fêtes</t>
        </is>
      </c>
      <c r="C6" s="32">
        <f>SUMIFS('Saisie hebdo'!$E$5:$E$2000,'Saisie hebdo'!$B$5:$B$2000,$A6,'Saisie hebdo'!$C$5:$C$2000,$B6)</f>
        <v/>
      </c>
      <c r="D6" s="33">
        <f>SUMIFS('Saisie hebdo'!$F$5:$F$2000,'Saisie hebdo'!$B$5:$B$2000,$A6,'Saisie hebdo'!$C$5:$C$2000,$B6)</f>
        <v/>
      </c>
      <c r="E6" s="33">
        <f>SUMIFS('Saisie hebdo'!$G$5:$G$2000,'Saisie hebdo'!$B$5:$B$2000,$A6,'Saisie hebdo'!$C$5:$C$2000,$B6)</f>
        <v/>
      </c>
      <c r="F6" s="34">
        <f>SUMIFS('Saisie hebdo'!$H$5:$H$2000,'Saisie hebdo'!$B$5:$B$2000,$A6,'Saisie hebdo'!$C$5:$C$2000,$B6)</f>
        <v/>
      </c>
      <c r="G6" s="35">
        <f>IFERROR(AVERAGEIFS('Saisie hebdo'!$I$5:$I$2000,'Saisie hebdo'!$B$5:$B$2000,$A6,'Saisie hebdo'!$C$5:$C$2000,$B6),"")</f>
        <v/>
      </c>
      <c r="H6" s="35">
        <f>IFERROR(AVERAGEIFS('Saisie hebdo'!$J$5:$J$2000,'Saisie hebdo'!$B$5:$B$2000,$A6,'Saisie hebdo'!$C$5:$C$2000,$B6),"")</f>
        <v/>
      </c>
      <c r="I6" s="33">
        <f>SUMIFS('Saisie hebdo'!$K$5:$K$2000,'Saisie hebdo'!$B$5:$B$2000,$A6,'Saisie hebdo'!$C$5:$C$2000,$B6)</f>
        <v/>
      </c>
      <c r="J6" s="33">
        <f>SUMIFS('Saisie hebdo'!$L$5:$L$2000,'Saisie hebdo'!$B$5:$B$2000,$A6,'Saisie hebdo'!$C$5:$C$2000,$B6)</f>
        <v/>
      </c>
      <c r="K6" s="33">
        <f>SUMIFS('Saisie hebdo'!$M$5:$M$2000,'Saisie hebdo'!$B$5:$B$2000,$A6,'Saisie hebdo'!$C$5:$C$2000,$B6)</f>
        <v/>
      </c>
      <c r="L6" s="33">
        <f>SUMIFS('Saisie hebdo'!$N$5:$N$2000,'Saisie hebdo'!$B$5:$B$2000,$A6,'Saisie hebdo'!$C$5:$C$2000,$B6)</f>
        <v/>
      </c>
      <c r="M6" s="32">
        <f>SUMIFS('Saisie hebdo'!$O$5:$O$2000,'Saisie hebdo'!$B$5:$B$2000,$A6,'Saisie hebdo'!$C$5:$C$2000,$B6)</f>
        <v/>
      </c>
      <c r="N6" s="35">
        <f>IF(N(D6)=0,"",E6/D6)</f>
        <v/>
      </c>
      <c r="O6" s="32">
        <f>IF(N(E6)=0,"",C6/E6)</f>
        <v/>
      </c>
      <c r="P6" s="35">
        <f>IF(N(E6)=0,"",F6/E6)</f>
        <v/>
      </c>
      <c r="Q6" s="32">
        <f>IF(N(F6)=0,"",C6/F6)</f>
        <v/>
      </c>
      <c r="R6" s="32">
        <f>IF(N(I6)=0,"",C6/I6)</f>
        <v/>
      </c>
      <c r="S6" s="32">
        <f>IF(N(J6)=0,"",C6/J6)</f>
        <v/>
      </c>
      <c r="T6" s="32">
        <f>IF(N(L6)=0,"",C6/L6)</f>
        <v/>
      </c>
      <c r="U6" s="36">
        <f>IF(N(I6)=0,"",J6/I6)</f>
        <v/>
      </c>
      <c r="V6" s="36">
        <f>IF(N(K6)=0,"",L6/K6)</f>
        <v/>
      </c>
      <c r="W6" s="37">
        <f>IF(N(C6)=0,"",M6/C6)</f>
        <v/>
      </c>
    </row>
    <row r="7">
      <c r="A7" s="11" t="n">
        <v>46296</v>
      </c>
      <c r="B7" t="inlineStr">
        <is>
          <t>S-FR | Événements privés</t>
        </is>
      </c>
      <c r="C7" s="32">
        <f>SUMIFS('Saisie hebdo'!$E$5:$E$2000,'Saisie hebdo'!$B$5:$B$2000,$A7,'Saisie hebdo'!$C$5:$C$2000,$B7)</f>
        <v/>
      </c>
      <c r="D7" s="33">
        <f>SUMIFS('Saisie hebdo'!$F$5:$F$2000,'Saisie hebdo'!$B$5:$B$2000,$A7,'Saisie hebdo'!$C$5:$C$2000,$B7)</f>
        <v/>
      </c>
      <c r="E7" s="33">
        <f>SUMIFS('Saisie hebdo'!$G$5:$G$2000,'Saisie hebdo'!$B$5:$B$2000,$A7,'Saisie hebdo'!$C$5:$C$2000,$B7)</f>
        <v/>
      </c>
      <c r="F7" s="34">
        <f>SUMIFS('Saisie hebdo'!$H$5:$H$2000,'Saisie hebdo'!$B$5:$B$2000,$A7,'Saisie hebdo'!$C$5:$C$2000,$B7)</f>
        <v/>
      </c>
      <c r="G7" s="35">
        <f>IFERROR(AVERAGEIFS('Saisie hebdo'!$I$5:$I$2000,'Saisie hebdo'!$B$5:$B$2000,$A7,'Saisie hebdo'!$C$5:$C$2000,$B7),"")</f>
        <v/>
      </c>
      <c r="H7" s="35">
        <f>IFERROR(AVERAGEIFS('Saisie hebdo'!$J$5:$J$2000,'Saisie hebdo'!$B$5:$B$2000,$A7,'Saisie hebdo'!$C$5:$C$2000,$B7),"")</f>
        <v/>
      </c>
      <c r="I7" s="33">
        <f>SUMIFS('Saisie hebdo'!$K$5:$K$2000,'Saisie hebdo'!$B$5:$B$2000,$A7,'Saisie hebdo'!$C$5:$C$2000,$B7)</f>
        <v/>
      </c>
      <c r="J7" s="33">
        <f>SUMIFS('Saisie hebdo'!$L$5:$L$2000,'Saisie hebdo'!$B$5:$B$2000,$A7,'Saisie hebdo'!$C$5:$C$2000,$B7)</f>
        <v/>
      </c>
      <c r="K7" s="33">
        <f>SUMIFS('Saisie hebdo'!$M$5:$M$2000,'Saisie hebdo'!$B$5:$B$2000,$A7,'Saisie hebdo'!$C$5:$C$2000,$B7)</f>
        <v/>
      </c>
      <c r="L7" s="33">
        <f>SUMIFS('Saisie hebdo'!$N$5:$N$2000,'Saisie hebdo'!$B$5:$B$2000,$A7,'Saisie hebdo'!$C$5:$C$2000,$B7)</f>
        <v/>
      </c>
      <c r="M7" s="32">
        <f>SUMIFS('Saisie hebdo'!$O$5:$O$2000,'Saisie hebdo'!$B$5:$B$2000,$A7,'Saisie hebdo'!$C$5:$C$2000,$B7)</f>
        <v/>
      </c>
      <c r="N7" s="35">
        <f>IF(N(D7)=0,"",E7/D7)</f>
        <v/>
      </c>
      <c r="O7" s="32">
        <f>IF(N(E7)=0,"",C7/E7)</f>
        <v/>
      </c>
      <c r="P7" s="35">
        <f>IF(N(E7)=0,"",F7/E7)</f>
        <v/>
      </c>
      <c r="Q7" s="32">
        <f>IF(N(F7)=0,"",C7/F7)</f>
        <v/>
      </c>
      <c r="R7" s="32">
        <f>IF(N(I7)=0,"",C7/I7)</f>
        <v/>
      </c>
      <c r="S7" s="32">
        <f>IF(N(J7)=0,"",C7/J7)</f>
        <v/>
      </c>
      <c r="T7" s="32">
        <f>IF(N(L7)=0,"",C7/L7)</f>
        <v/>
      </c>
      <c r="U7" s="36">
        <f>IF(N(I7)=0,"",J7/I7)</f>
        <v/>
      </c>
      <c r="V7" s="36">
        <f>IF(N(K7)=0,"",L7/K7)</f>
        <v/>
      </c>
      <c r="W7" s="37">
        <f>IF(N(C7)=0,"",M7/C7)</f>
        <v/>
      </c>
    </row>
    <row r="8">
      <c r="A8" s="11" t="n">
        <v>46296</v>
      </c>
      <c r="B8" t="inlineStr">
        <is>
          <t>S-EN | Corporate Montréal</t>
        </is>
      </c>
      <c r="C8" s="32">
        <f>SUMIFS('Saisie hebdo'!$E$5:$E$2000,'Saisie hebdo'!$B$5:$B$2000,$A8,'Saisie hebdo'!$C$5:$C$2000,$B8)</f>
        <v/>
      </c>
      <c r="D8" s="33">
        <f>SUMIFS('Saisie hebdo'!$F$5:$F$2000,'Saisie hebdo'!$B$5:$B$2000,$A8,'Saisie hebdo'!$C$5:$C$2000,$B8)</f>
        <v/>
      </c>
      <c r="E8" s="33">
        <f>SUMIFS('Saisie hebdo'!$G$5:$G$2000,'Saisie hebdo'!$B$5:$B$2000,$A8,'Saisie hebdo'!$C$5:$C$2000,$B8)</f>
        <v/>
      </c>
      <c r="F8" s="34">
        <f>SUMIFS('Saisie hebdo'!$H$5:$H$2000,'Saisie hebdo'!$B$5:$B$2000,$A8,'Saisie hebdo'!$C$5:$C$2000,$B8)</f>
        <v/>
      </c>
      <c r="G8" s="35">
        <f>IFERROR(AVERAGEIFS('Saisie hebdo'!$I$5:$I$2000,'Saisie hebdo'!$B$5:$B$2000,$A8,'Saisie hebdo'!$C$5:$C$2000,$B8),"")</f>
        <v/>
      </c>
      <c r="H8" s="35">
        <f>IFERROR(AVERAGEIFS('Saisie hebdo'!$J$5:$J$2000,'Saisie hebdo'!$B$5:$B$2000,$A8,'Saisie hebdo'!$C$5:$C$2000,$B8),"")</f>
        <v/>
      </c>
      <c r="I8" s="33">
        <f>SUMIFS('Saisie hebdo'!$K$5:$K$2000,'Saisie hebdo'!$B$5:$B$2000,$A8,'Saisie hebdo'!$C$5:$C$2000,$B8)</f>
        <v/>
      </c>
      <c r="J8" s="33">
        <f>SUMIFS('Saisie hebdo'!$L$5:$L$2000,'Saisie hebdo'!$B$5:$B$2000,$A8,'Saisie hebdo'!$C$5:$C$2000,$B8)</f>
        <v/>
      </c>
      <c r="K8" s="33">
        <f>SUMIFS('Saisie hebdo'!$M$5:$M$2000,'Saisie hebdo'!$B$5:$B$2000,$A8,'Saisie hebdo'!$C$5:$C$2000,$B8)</f>
        <v/>
      </c>
      <c r="L8" s="33">
        <f>SUMIFS('Saisie hebdo'!$N$5:$N$2000,'Saisie hebdo'!$B$5:$B$2000,$A8,'Saisie hebdo'!$C$5:$C$2000,$B8)</f>
        <v/>
      </c>
      <c r="M8" s="32">
        <f>SUMIFS('Saisie hebdo'!$O$5:$O$2000,'Saisie hebdo'!$B$5:$B$2000,$A8,'Saisie hebdo'!$C$5:$C$2000,$B8)</f>
        <v/>
      </c>
      <c r="N8" s="35">
        <f>IF(N(D8)=0,"",E8/D8)</f>
        <v/>
      </c>
      <c r="O8" s="32">
        <f>IF(N(E8)=0,"",C8/E8)</f>
        <v/>
      </c>
      <c r="P8" s="35">
        <f>IF(N(E8)=0,"",F8/E8)</f>
        <v/>
      </c>
      <c r="Q8" s="32">
        <f>IF(N(F8)=0,"",C8/F8)</f>
        <v/>
      </c>
      <c r="R8" s="32">
        <f>IF(N(I8)=0,"",C8/I8)</f>
        <v/>
      </c>
      <c r="S8" s="32">
        <f>IF(N(J8)=0,"",C8/J8)</f>
        <v/>
      </c>
      <c r="T8" s="32">
        <f>IF(N(L8)=0,"",C8/L8)</f>
        <v/>
      </c>
      <c r="U8" s="36">
        <f>IF(N(I8)=0,"",J8/I8)</f>
        <v/>
      </c>
      <c r="V8" s="36">
        <f>IF(N(K8)=0,"",L8/K8)</f>
        <v/>
      </c>
      <c r="W8" s="37">
        <f>IF(N(C8)=0,"",M8/C8)</f>
        <v/>
      </c>
    </row>
    <row r="9">
      <c r="A9" s="11" t="n">
        <v>46296</v>
      </c>
      <c r="B9" t="inlineStr">
        <is>
          <t>S-FR | Québec-Lévis (test)</t>
        </is>
      </c>
      <c r="C9" s="32">
        <f>SUMIFS('Saisie hebdo'!$E$5:$E$2000,'Saisie hebdo'!$B$5:$B$2000,$A9,'Saisie hebdo'!$C$5:$C$2000,$B9)</f>
        <v/>
      </c>
      <c r="D9" s="33">
        <f>SUMIFS('Saisie hebdo'!$F$5:$F$2000,'Saisie hebdo'!$B$5:$B$2000,$A9,'Saisie hebdo'!$C$5:$C$2000,$B9)</f>
        <v/>
      </c>
      <c r="E9" s="33">
        <f>SUMIFS('Saisie hebdo'!$G$5:$G$2000,'Saisie hebdo'!$B$5:$B$2000,$A9,'Saisie hebdo'!$C$5:$C$2000,$B9)</f>
        <v/>
      </c>
      <c r="F9" s="34">
        <f>SUMIFS('Saisie hebdo'!$H$5:$H$2000,'Saisie hebdo'!$B$5:$B$2000,$A9,'Saisie hebdo'!$C$5:$C$2000,$B9)</f>
        <v/>
      </c>
      <c r="G9" s="35">
        <f>IFERROR(AVERAGEIFS('Saisie hebdo'!$I$5:$I$2000,'Saisie hebdo'!$B$5:$B$2000,$A9,'Saisie hebdo'!$C$5:$C$2000,$B9),"")</f>
        <v/>
      </c>
      <c r="H9" s="35">
        <f>IFERROR(AVERAGEIFS('Saisie hebdo'!$J$5:$J$2000,'Saisie hebdo'!$B$5:$B$2000,$A9,'Saisie hebdo'!$C$5:$C$2000,$B9),"")</f>
        <v/>
      </c>
      <c r="I9" s="33">
        <f>SUMIFS('Saisie hebdo'!$K$5:$K$2000,'Saisie hebdo'!$B$5:$B$2000,$A9,'Saisie hebdo'!$C$5:$C$2000,$B9)</f>
        <v/>
      </c>
      <c r="J9" s="33">
        <f>SUMIFS('Saisie hebdo'!$L$5:$L$2000,'Saisie hebdo'!$B$5:$B$2000,$A9,'Saisie hebdo'!$C$5:$C$2000,$B9)</f>
        <v/>
      </c>
      <c r="K9" s="33">
        <f>SUMIFS('Saisie hebdo'!$M$5:$M$2000,'Saisie hebdo'!$B$5:$B$2000,$A9,'Saisie hebdo'!$C$5:$C$2000,$B9)</f>
        <v/>
      </c>
      <c r="L9" s="33">
        <f>SUMIFS('Saisie hebdo'!$N$5:$N$2000,'Saisie hebdo'!$B$5:$B$2000,$A9,'Saisie hebdo'!$C$5:$C$2000,$B9)</f>
        <v/>
      </c>
      <c r="M9" s="32">
        <f>SUMIFS('Saisie hebdo'!$O$5:$O$2000,'Saisie hebdo'!$B$5:$B$2000,$A9,'Saisie hebdo'!$C$5:$C$2000,$B9)</f>
        <v/>
      </c>
      <c r="N9" s="35">
        <f>IF(N(D9)=0,"",E9/D9)</f>
        <v/>
      </c>
      <c r="O9" s="32">
        <f>IF(N(E9)=0,"",C9/E9)</f>
        <v/>
      </c>
      <c r="P9" s="35">
        <f>IF(N(E9)=0,"",F9/E9)</f>
        <v/>
      </c>
      <c r="Q9" s="32">
        <f>IF(N(F9)=0,"",C9/F9)</f>
        <v/>
      </c>
      <c r="R9" s="32">
        <f>IF(N(I9)=0,"",C9/I9)</f>
        <v/>
      </c>
      <c r="S9" s="32">
        <f>IF(N(J9)=0,"",C9/J9)</f>
        <v/>
      </c>
      <c r="T9" s="32">
        <f>IF(N(L9)=0,"",C9/L9)</f>
        <v/>
      </c>
      <c r="U9" s="36">
        <f>IF(N(I9)=0,"",J9/I9)</f>
        <v/>
      </c>
      <c r="V9" s="36">
        <f>IF(N(K9)=0,"",L9/K9)</f>
        <v/>
      </c>
      <c r="W9" s="37">
        <f>IF(N(C9)=0,"",M9/C9)</f>
        <v/>
      </c>
    </row>
    <row r="10">
      <c r="A10" s="11" t="n">
        <v>46296</v>
      </c>
      <c r="B10" t="inlineStr">
        <is>
          <t>Demand Gen</t>
        </is>
      </c>
      <c r="C10" s="32">
        <f>SUMIFS('Saisie hebdo'!$E$5:$E$2000,'Saisie hebdo'!$B$5:$B$2000,$A10,'Saisie hebdo'!$C$5:$C$2000,$B10)</f>
        <v/>
      </c>
      <c r="D10" s="33">
        <f>SUMIFS('Saisie hebdo'!$F$5:$F$2000,'Saisie hebdo'!$B$5:$B$2000,$A10,'Saisie hebdo'!$C$5:$C$2000,$B10)</f>
        <v/>
      </c>
      <c r="E10" s="33">
        <f>SUMIFS('Saisie hebdo'!$G$5:$G$2000,'Saisie hebdo'!$B$5:$B$2000,$A10,'Saisie hebdo'!$C$5:$C$2000,$B10)</f>
        <v/>
      </c>
      <c r="F10" s="34">
        <f>SUMIFS('Saisie hebdo'!$H$5:$H$2000,'Saisie hebdo'!$B$5:$B$2000,$A10,'Saisie hebdo'!$C$5:$C$2000,$B10)</f>
        <v/>
      </c>
      <c r="G10" s="35">
        <f>IFERROR(AVERAGEIFS('Saisie hebdo'!$I$5:$I$2000,'Saisie hebdo'!$B$5:$B$2000,$A10,'Saisie hebdo'!$C$5:$C$2000,$B10),"")</f>
        <v/>
      </c>
      <c r="H10" s="35">
        <f>IFERROR(AVERAGEIFS('Saisie hebdo'!$J$5:$J$2000,'Saisie hebdo'!$B$5:$B$2000,$A10,'Saisie hebdo'!$C$5:$C$2000,$B10),"")</f>
        <v/>
      </c>
      <c r="I10" s="33">
        <f>SUMIFS('Saisie hebdo'!$K$5:$K$2000,'Saisie hebdo'!$B$5:$B$2000,$A10,'Saisie hebdo'!$C$5:$C$2000,$B10)</f>
        <v/>
      </c>
      <c r="J10" s="33">
        <f>SUMIFS('Saisie hebdo'!$L$5:$L$2000,'Saisie hebdo'!$B$5:$B$2000,$A10,'Saisie hebdo'!$C$5:$C$2000,$B10)</f>
        <v/>
      </c>
      <c r="K10" s="33">
        <f>SUMIFS('Saisie hebdo'!$M$5:$M$2000,'Saisie hebdo'!$B$5:$B$2000,$A10,'Saisie hebdo'!$C$5:$C$2000,$B10)</f>
        <v/>
      </c>
      <c r="L10" s="33">
        <f>SUMIFS('Saisie hebdo'!$N$5:$N$2000,'Saisie hebdo'!$B$5:$B$2000,$A10,'Saisie hebdo'!$C$5:$C$2000,$B10)</f>
        <v/>
      </c>
      <c r="M10" s="32">
        <f>SUMIFS('Saisie hebdo'!$O$5:$O$2000,'Saisie hebdo'!$B$5:$B$2000,$A10,'Saisie hebdo'!$C$5:$C$2000,$B10)</f>
        <v/>
      </c>
      <c r="N10" s="35">
        <f>IF(N(D10)=0,"",E10/D10)</f>
        <v/>
      </c>
      <c r="O10" s="32">
        <f>IF(N(E10)=0,"",C10/E10)</f>
        <v/>
      </c>
      <c r="P10" s="35">
        <f>IF(N(E10)=0,"",F10/E10)</f>
        <v/>
      </c>
      <c r="Q10" s="32">
        <f>IF(N(F10)=0,"",C10/F10)</f>
        <v/>
      </c>
      <c r="R10" s="32">
        <f>IF(N(I10)=0,"",C10/I10)</f>
        <v/>
      </c>
      <c r="S10" s="32">
        <f>IF(N(J10)=0,"",C10/J10)</f>
        <v/>
      </c>
      <c r="T10" s="32">
        <f>IF(N(L10)=0,"",C10/L10)</f>
        <v/>
      </c>
      <c r="U10" s="36">
        <f>IF(N(I10)=0,"",J10/I10)</f>
        <v/>
      </c>
      <c r="V10" s="36">
        <f>IF(N(K10)=0,"",L10/K10)</f>
        <v/>
      </c>
      <c r="W10" s="37">
        <f>IF(N(C10)=0,"",M10/C10)</f>
        <v/>
      </c>
    </row>
    <row r="11">
      <c r="A11" s="11" t="n">
        <v>46296</v>
      </c>
      <c r="B11" t="inlineStr">
        <is>
          <t>Microsoft Ads</t>
        </is>
      </c>
      <c r="C11" s="32">
        <f>SUMIFS('Saisie hebdo'!$E$5:$E$2000,'Saisie hebdo'!$B$5:$B$2000,$A11,'Saisie hebdo'!$C$5:$C$2000,$B11)</f>
        <v/>
      </c>
      <c r="D11" s="33">
        <f>SUMIFS('Saisie hebdo'!$F$5:$F$2000,'Saisie hebdo'!$B$5:$B$2000,$A11,'Saisie hebdo'!$C$5:$C$2000,$B11)</f>
        <v/>
      </c>
      <c r="E11" s="33">
        <f>SUMIFS('Saisie hebdo'!$G$5:$G$2000,'Saisie hebdo'!$B$5:$B$2000,$A11,'Saisie hebdo'!$C$5:$C$2000,$B11)</f>
        <v/>
      </c>
      <c r="F11" s="34">
        <f>SUMIFS('Saisie hebdo'!$H$5:$H$2000,'Saisie hebdo'!$B$5:$B$2000,$A11,'Saisie hebdo'!$C$5:$C$2000,$B11)</f>
        <v/>
      </c>
      <c r="G11" s="35">
        <f>IFERROR(AVERAGEIFS('Saisie hebdo'!$I$5:$I$2000,'Saisie hebdo'!$B$5:$B$2000,$A11,'Saisie hebdo'!$C$5:$C$2000,$B11),"")</f>
        <v/>
      </c>
      <c r="H11" s="35">
        <f>IFERROR(AVERAGEIFS('Saisie hebdo'!$J$5:$J$2000,'Saisie hebdo'!$B$5:$B$2000,$A11,'Saisie hebdo'!$C$5:$C$2000,$B11),"")</f>
        <v/>
      </c>
      <c r="I11" s="33">
        <f>SUMIFS('Saisie hebdo'!$K$5:$K$2000,'Saisie hebdo'!$B$5:$B$2000,$A11,'Saisie hebdo'!$C$5:$C$2000,$B11)</f>
        <v/>
      </c>
      <c r="J11" s="33">
        <f>SUMIFS('Saisie hebdo'!$L$5:$L$2000,'Saisie hebdo'!$B$5:$B$2000,$A11,'Saisie hebdo'!$C$5:$C$2000,$B11)</f>
        <v/>
      </c>
      <c r="K11" s="33">
        <f>SUMIFS('Saisie hebdo'!$M$5:$M$2000,'Saisie hebdo'!$B$5:$B$2000,$A11,'Saisie hebdo'!$C$5:$C$2000,$B11)</f>
        <v/>
      </c>
      <c r="L11" s="33">
        <f>SUMIFS('Saisie hebdo'!$N$5:$N$2000,'Saisie hebdo'!$B$5:$B$2000,$A11,'Saisie hebdo'!$C$5:$C$2000,$B11)</f>
        <v/>
      </c>
      <c r="M11" s="32">
        <f>SUMIFS('Saisie hebdo'!$O$5:$O$2000,'Saisie hebdo'!$B$5:$B$2000,$A11,'Saisie hebdo'!$C$5:$C$2000,$B11)</f>
        <v/>
      </c>
      <c r="N11" s="35">
        <f>IF(N(D11)=0,"",E11/D11)</f>
        <v/>
      </c>
      <c r="O11" s="32">
        <f>IF(N(E11)=0,"",C11/E11)</f>
        <v/>
      </c>
      <c r="P11" s="35">
        <f>IF(N(E11)=0,"",F11/E11)</f>
        <v/>
      </c>
      <c r="Q11" s="32">
        <f>IF(N(F11)=0,"",C11/F11)</f>
        <v/>
      </c>
      <c r="R11" s="32">
        <f>IF(N(I11)=0,"",C11/I11)</f>
        <v/>
      </c>
      <c r="S11" s="32">
        <f>IF(N(J11)=0,"",C11/J11)</f>
        <v/>
      </c>
      <c r="T11" s="32">
        <f>IF(N(L11)=0,"",C11/L11)</f>
        <v/>
      </c>
      <c r="U11" s="36">
        <f>IF(N(I11)=0,"",J11/I11)</f>
        <v/>
      </c>
      <c r="V11" s="36">
        <f>IF(N(K11)=0,"",L11/K11)</f>
        <v/>
      </c>
      <c r="W11" s="37">
        <f>IF(N(C11)=0,"",M11/C11)</f>
        <v/>
      </c>
    </row>
    <row r="12">
      <c r="A12" s="38" t="n">
        <v>46296</v>
      </c>
      <c r="B12" s="39" t="inlineStr">
        <is>
          <t>Total du compte</t>
        </is>
      </c>
      <c r="C12" s="40">
        <f>SUMIFS('Saisie hebdo'!$E$5:$E$2000,'Saisie hebdo'!$B$5:$B$2000,$A12)</f>
        <v/>
      </c>
      <c r="D12" s="41">
        <f>SUMIFS('Saisie hebdo'!$F$5:$F$2000,'Saisie hebdo'!$B$5:$B$2000,$A12)</f>
        <v/>
      </c>
      <c r="E12" s="41">
        <f>SUMIFS('Saisie hebdo'!$G$5:$G$2000,'Saisie hebdo'!$B$5:$B$2000,$A12)</f>
        <v/>
      </c>
      <c r="F12" s="42">
        <f>SUMIFS('Saisie hebdo'!$H$5:$H$2000,'Saisie hebdo'!$B$5:$B$2000,$A12)</f>
        <v/>
      </c>
      <c r="G12" s="43">
        <f>IFERROR(AVERAGEIFS('Saisie hebdo'!$I$5:$I$2000,'Saisie hebdo'!$B$5:$B$2000,$A12),"")</f>
        <v/>
      </c>
      <c r="H12" s="43">
        <f>IFERROR(AVERAGEIFS('Saisie hebdo'!$J$5:$J$2000,'Saisie hebdo'!$B$5:$B$2000,$A12),"")</f>
        <v/>
      </c>
      <c r="I12" s="41">
        <f>SUMIFS('Saisie hebdo'!$K$5:$K$2000,'Saisie hebdo'!$B$5:$B$2000,$A12)</f>
        <v/>
      </c>
      <c r="J12" s="41">
        <f>SUMIFS('Saisie hebdo'!$L$5:$L$2000,'Saisie hebdo'!$B$5:$B$2000,$A12)</f>
        <v/>
      </c>
      <c r="K12" s="41">
        <f>SUMIFS('Saisie hebdo'!$M$5:$M$2000,'Saisie hebdo'!$B$5:$B$2000,$A12)</f>
        <v/>
      </c>
      <c r="L12" s="41">
        <f>SUMIFS('Saisie hebdo'!$N$5:$N$2000,'Saisie hebdo'!$B$5:$B$2000,$A12)</f>
        <v/>
      </c>
      <c r="M12" s="40">
        <f>SUMIFS('Saisie hebdo'!$O$5:$O$2000,'Saisie hebdo'!$B$5:$B$2000,$A12)</f>
        <v/>
      </c>
      <c r="N12" s="43">
        <f>IF(N(D12)=0,"",E12/D12)</f>
        <v/>
      </c>
      <c r="O12" s="40">
        <f>IF(N(E12)=0,"",C12/E12)</f>
        <v/>
      </c>
      <c r="P12" s="43">
        <f>IF(N(E12)=0,"",F12/E12)</f>
        <v/>
      </c>
      <c r="Q12" s="40">
        <f>IF(N(F12)=0,"",C12/F12)</f>
        <v/>
      </c>
      <c r="R12" s="40">
        <f>IF(N(I12)=0,"",C12/I12)</f>
        <v/>
      </c>
      <c r="S12" s="40">
        <f>IF(N(J12)=0,"",C12/J12)</f>
        <v/>
      </c>
      <c r="T12" s="40">
        <f>IF(N(L12)=0,"",C12/L12)</f>
        <v/>
      </c>
      <c r="U12" s="44">
        <f>IF(N(I12)=0,"",J12/I12)</f>
        <v/>
      </c>
      <c r="V12" s="44">
        <f>IF(N(K12)=0,"",L12/K12)</f>
        <v/>
      </c>
      <c r="W12" s="45">
        <f>IF(N(C12)=0,"",M12/C12)</f>
        <v/>
      </c>
    </row>
    <row r="13">
      <c r="A13" s="11" t="n">
        <v>46327</v>
      </c>
      <c r="B13" t="inlineStr">
        <is>
          <t>S-FR | Marque</t>
        </is>
      </c>
      <c r="C13" s="32">
        <f>SUMIFS('Saisie hebdo'!$E$5:$E$2000,'Saisie hebdo'!$B$5:$B$2000,$A13,'Saisie hebdo'!$C$5:$C$2000,$B13)</f>
        <v/>
      </c>
      <c r="D13" s="33">
        <f>SUMIFS('Saisie hebdo'!$F$5:$F$2000,'Saisie hebdo'!$B$5:$B$2000,$A13,'Saisie hebdo'!$C$5:$C$2000,$B13)</f>
        <v/>
      </c>
      <c r="E13" s="33">
        <f>SUMIFS('Saisie hebdo'!$G$5:$G$2000,'Saisie hebdo'!$B$5:$B$2000,$A13,'Saisie hebdo'!$C$5:$C$2000,$B13)</f>
        <v/>
      </c>
      <c r="F13" s="34">
        <f>SUMIFS('Saisie hebdo'!$H$5:$H$2000,'Saisie hebdo'!$B$5:$B$2000,$A13,'Saisie hebdo'!$C$5:$C$2000,$B13)</f>
        <v/>
      </c>
      <c r="G13" s="35">
        <f>IFERROR(AVERAGEIFS('Saisie hebdo'!$I$5:$I$2000,'Saisie hebdo'!$B$5:$B$2000,$A13,'Saisie hebdo'!$C$5:$C$2000,$B13),"")</f>
        <v/>
      </c>
      <c r="H13" s="35">
        <f>IFERROR(AVERAGEIFS('Saisie hebdo'!$J$5:$J$2000,'Saisie hebdo'!$B$5:$B$2000,$A13,'Saisie hebdo'!$C$5:$C$2000,$B13),"")</f>
        <v/>
      </c>
      <c r="I13" s="33">
        <f>SUMIFS('Saisie hebdo'!$K$5:$K$2000,'Saisie hebdo'!$B$5:$B$2000,$A13,'Saisie hebdo'!$C$5:$C$2000,$B13)</f>
        <v/>
      </c>
      <c r="J13" s="33">
        <f>SUMIFS('Saisie hebdo'!$L$5:$L$2000,'Saisie hebdo'!$B$5:$B$2000,$A13,'Saisie hebdo'!$C$5:$C$2000,$B13)</f>
        <v/>
      </c>
      <c r="K13" s="33">
        <f>SUMIFS('Saisie hebdo'!$M$5:$M$2000,'Saisie hebdo'!$B$5:$B$2000,$A13,'Saisie hebdo'!$C$5:$C$2000,$B13)</f>
        <v/>
      </c>
      <c r="L13" s="33">
        <f>SUMIFS('Saisie hebdo'!$N$5:$N$2000,'Saisie hebdo'!$B$5:$B$2000,$A13,'Saisie hebdo'!$C$5:$C$2000,$B13)</f>
        <v/>
      </c>
      <c r="M13" s="32">
        <f>SUMIFS('Saisie hebdo'!$O$5:$O$2000,'Saisie hebdo'!$B$5:$B$2000,$A13,'Saisie hebdo'!$C$5:$C$2000,$B13)</f>
        <v/>
      </c>
      <c r="N13" s="35">
        <f>IF(N(D13)=0,"",E13/D13)</f>
        <v/>
      </c>
      <c r="O13" s="32">
        <f>IF(N(E13)=0,"",C13/E13)</f>
        <v/>
      </c>
      <c r="P13" s="35">
        <f>IF(N(E13)=0,"",F13/E13)</f>
        <v/>
      </c>
      <c r="Q13" s="32">
        <f>IF(N(F13)=0,"",C13/F13)</f>
        <v/>
      </c>
      <c r="R13" s="32">
        <f>IF(N(I13)=0,"",C13/I13)</f>
        <v/>
      </c>
      <c r="S13" s="32">
        <f>IF(N(J13)=0,"",C13/J13)</f>
        <v/>
      </c>
      <c r="T13" s="32">
        <f>IF(N(L13)=0,"",C13/L13)</f>
        <v/>
      </c>
      <c r="U13" s="36">
        <f>IF(N(I13)=0,"",J13/I13)</f>
        <v/>
      </c>
      <c r="V13" s="36">
        <f>IF(N(K13)=0,"",L13/K13)</f>
        <v/>
      </c>
      <c r="W13" s="37">
        <f>IF(N(C13)=0,"",M13/C13)</f>
        <v/>
      </c>
    </row>
    <row r="14">
      <c r="A14" s="11" t="n">
        <v>46327</v>
      </c>
      <c r="B14" t="inlineStr">
        <is>
          <t>S-FR | Corporatif &amp; Fêtes</t>
        </is>
      </c>
      <c r="C14" s="32">
        <f>SUMIFS('Saisie hebdo'!$E$5:$E$2000,'Saisie hebdo'!$B$5:$B$2000,$A14,'Saisie hebdo'!$C$5:$C$2000,$B14)</f>
        <v/>
      </c>
      <c r="D14" s="33">
        <f>SUMIFS('Saisie hebdo'!$F$5:$F$2000,'Saisie hebdo'!$B$5:$B$2000,$A14,'Saisie hebdo'!$C$5:$C$2000,$B14)</f>
        <v/>
      </c>
      <c r="E14" s="33">
        <f>SUMIFS('Saisie hebdo'!$G$5:$G$2000,'Saisie hebdo'!$B$5:$B$2000,$A14,'Saisie hebdo'!$C$5:$C$2000,$B14)</f>
        <v/>
      </c>
      <c r="F14" s="34">
        <f>SUMIFS('Saisie hebdo'!$H$5:$H$2000,'Saisie hebdo'!$B$5:$B$2000,$A14,'Saisie hebdo'!$C$5:$C$2000,$B14)</f>
        <v/>
      </c>
      <c r="G14" s="35">
        <f>IFERROR(AVERAGEIFS('Saisie hebdo'!$I$5:$I$2000,'Saisie hebdo'!$B$5:$B$2000,$A14,'Saisie hebdo'!$C$5:$C$2000,$B14),"")</f>
        <v/>
      </c>
      <c r="H14" s="35">
        <f>IFERROR(AVERAGEIFS('Saisie hebdo'!$J$5:$J$2000,'Saisie hebdo'!$B$5:$B$2000,$A14,'Saisie hebdo'!$C$5:$C$2000,$B14),"")</f>
        <v/>
      </c>
      <c r="I14" s="33">
        <f>SUMIFS('Saisie hebdo'!$K$5:$K$2000,'Saisie hebdo'!$B$5:$B$2000,$A14,'Saisie hebdo'!$C$5:$C$2000,$B14)</f>
        <v/>
      </c>
      <c r="J14" s="33">
        <f>SUMIFS('Saisie hebdo'!$L$5:$L$2000,'Saisie hebdo'!$B$5:$B$2000,$A14,'Saisie hebdo'!$C$5:$C$2000,$B14)</f>
        <v/>
      </c>
      <c r="K14" s="33">
        <f>SUMIFS('Saisie hebdo'!$M$5:$M$2000,'Saisie hebdo'!$B$5:$B$2000,$A14,'Saisie hebdo'!$C$5:$C$2000,$B14)</f>
        <v/>
      </c>
      <c r="L14" s="33">
        <f>SUMIFS('Saisie hebdo'!$N$5:$N$2000,'Saisie hebdo'!$B$5:$B$2000,$A14,'Saisie hebdo'!$C$5:$C$2000,$B14)</f>
        <v/>
      </c>
      <c r="M14" s="32">
        <f>SUMIFS('Saisie hebdo'!$O$5:$O$2000,'Saisie hebdo'!$B$5:$B$2000,$A14,'Saisie hebdo'!$C$5:$C$2000,$B14)</f>
        <v/>
      </c>
      <c r="N14" s="35">
        <f>IF(N(D14)=0,"",E14/D14)</f>
        <v/>
      </c>
      <c r="O14" s="32">
        <f>IF(N(E14)=0,"",C14/E14)</f>
        <v/>
      </c>
      <c r="P14" s="35">
        <f>IF(N(E14)=0,"",F14/E14)</f>
        <v/>
      </c>
      <c r="Q14" s="32">
        <f>IF(N(F14)=0,"",C14/F14)</f>
        <v/>
      </c>
      <c r="R14" s="32">
        <f>IF(N(I14)=0,"",C14/I14)</f>
        <v/>
      </c>
      <c r="S14" s="32">
        <f>IF(N(J14)=0,"",C14/J14)</f>
        <v/>
      </c>
      <c r="T14" s="32">
        <f>IF(N(L14)=0,"",C14/L14)</f>
        <v/>
      </c>
      <c r="U14" s="36">
        <f>IF(N(I14)=0,"",J14/I14)</f>
        <v/>
      </c>
      <c r="V14" s="36">
        <f>IF(N(K14)=0,"",L14/K14)</f>
        <v/>
      </c>
      <c r="W14" s="37">
        <f>IF(N(C14)=0,"",M14/C14)</f>
        <v/>
      </c>
    </row>
    <row r="15">
      <c r="A15" s="11" t="n">
        <v>46327</v>
      </c>
      <c r="B15" t="inlineStr">
        <is>
          <t>S-FR | Événements privés</t>
        </is>
      </c>
      <c r="C15" s="32">
        <f>SUMIFS('Saisie hebdo'!$E$5:$E$2000,'Saisie hebdo'!$B$5:$B$2000,$A15,'Saisie hebdo'!$C$5:$C$2000,$B15)</f>
        <v/>
      </c>
      <c r="D15" s="33">
        <f>SUMIFS('Saisie hebdo'!$F$5:$F$2000,'Saisie hebdo'!$B$5:$B$2000,$A15,'Saisie hebdo'!$C$5:$C$2000,$B15)</f>
        <v/>
      </c>
      <c r="E15" s="33">
        <f>SUMIFS('Saisie hebdo'!$G$5:$G$2000,'Saisie hebdo'!$B$5:$B$2000,$A15,'Saisie hebdo'!$C$5:$C$2000,$B15)</f>
        <v/>
      </c>
      <c r="F15" s="34">
        <f>SUMIFS('Saisie hebdo'!$H$5:$H$2000,'Saisie hebdo'!$B$5:$B$2000,$A15,'Saisie hebdo'!$C$5:$C$2000,$B15)</f>
        <v/>
      </c>
      <c r="G15" s="35">
        <f>IFERROR(AVERAGEIFS('Saisie hebdo'!$I$5:$I$2000,'Saisie hebdo'!$B$5:$B$2000,$A15,'Saisie hebdo'!$C$5:$C$2000,$B15),"")</f>
        <v/>
      </c>
      <c r="H15" s="35">
        <f>IFERROR(AVERAGEIFS('Saisie hebdo'!$J$5:$J$2000,'Saisie hebdo'!$B$5:$B$2000,$A15,'Saisie hebdo'!$C$5:$C$2000,$B15),"")</f>
        <v/>
      </c>
      <c r="I15" s="33">
        <f>SUMIFS('Saisie hebdo'!$K$5:$K$2000,'Saisie hebdo'!$B$5:$B$2000,$A15,'Saisie hebdo'!$C$5:$C$2000,$B15)</f>
        <v/>
      </c>
      <c r="J15" s="33">
        <f>SUMIFS('Saisie hebdo'!$L$5:$L$2000,'Saisie hebdo'!$B$5:$B$2000,$A15,'Saisie hebdo'!$C$5:$C$2000,$B15)</f>
        <v/>
      </c>
      <c r="K15" s="33">
        <f>SUMIFS('Saisie hebdo'!$M$5:$M$2000,'Saisie hebdo'!$B$5:$B$2000,$A15,'Saisie hebdo'!$C$5:$C$2000,$B15)</f>
        <v/>
      </c>
      <c r="L15" s="33">
        <f>SUMIFS('Saisie hebdo'!$N$5:$N$2000,'Saisie hebdo'!$B$5:$B$2000,$A15,'Saisie hebdo'!$C$5:$C$2000,$B15)</f>
        <v/>
      </c>
      <c r="M15" s="32">
        <f>SUMIFS('Saisie hebdo'!$O$5:$O$2000,'Saisie hebdo'!$B$5:$B$2000,$A15,'Saisie hebdo'!$C$5:$C$2000,$B15)</f>
        <v/>
      </c>
      <c r="N15" s="35">
        <f>IF(N(D15)=0,"",E15/D15)</f>
        <v/>
      </c>
      <c r="O15" s="32">
        <f>IF(N(E15)=0,"",C15/E15)</f>
        <v/>
      </c>
      <c r="P15" s="35">
        <f>IF(N(E15)=0,"",F15/E15)</f>
        <v/>
      </c>
      <c r="Q15" s="32">
        <f>IF(N(F15)=0,"",C15/F15)</f>
        <v/>
      </c>
      <c r="R15" s="32">
        <f>IF(N(I15)=0,"",C15/I15)</f>
        <v/>
      </c>
      <c r="S15" s="32">
        <f>IF(N(J15)=0,"",C15/J15)</f>
        <v/>
      </c>
      <c r="T15" s="32">
        <f>IF(N(L15)=0,"",C15/L15)</f>
        <v/>
      </c>
      <c r="U15" s="36">
        <f>IF(N(I15)=0,"",J15/I15)</f>
        <v/>
      </c>
      <c r="V15" s="36">
        <f>IF(N(K15)=0,"",L15/K15)</f>
        <v/>
      </c>
      <c r="W15" s="37">
        <f>IF(N(C15)=0,"",M15/C15)</f>
        <v/>
      </c>
    </row>
    <row r="16">
      <c r="A16" s="11" t="n">
        <v>46327</v>
      </c>
      <c r="B16" t="inlineStr">
        <is>
          <t>S-EN | Corporate Montréal</t>
        </is>
      </c>
      <c r="C16" s="32">
        <f>SUMIFS('Saisie hebdo'!$E$5:$E$2000,'Saisie hebdo'!$B$5:$B$2000,$A16,'Saisie hebdo'!$C$5:$C$2000,$B16)</f>
        <v/>
      </c>
      <c r="D16" s="33">
        <f>SUMIFS('Saisie hebdo'!$F$5:$F$2000,'Saisie hebdo'!$B$5:$B$2000,$A16,'Saisie hebdo'!$C$5:$C$2000,$B16)</f>
        <v/>
      </c>
      <c r="E16" s="33">
        <f>SUMIFS('Saisie hebdo'!$G$5:$G$2000,'Saisie hebdo'!$B$5:$B$2000,$A16,'Saisie hebdo'!$C$5:$C$2000,$B16)</f>
        <v/>
      </c>
      <c r="F16" s="34">
        <f>SUMIFS('Saisie hebdo'!$H$5:$H$2000,'Saisie hebdo'!$B$5:$B$2000,$A16,'Saisie hebdo'!$C$5:$C$2000,$B16)</f>
        <v/>
      </c>
      <c r="G16" s="35">
        <f>IFERROR(AVERAGEIFS('Saisie hebdo'!$I$5:$I$2000,'Saisie hebdo'!$B$5:$B$2000,$A16,'Saisie hebdo'!$C$5:$C$2000,$B16),"")</f>
        <v/>
      </c>
      <c r="H16" s="35">
        <f>IFERROR(AVERAGEIFS('Saisie hebdo'!$J$5:$J$2000,'Saisie hebdo'!$B$5:$B$2000,$A16,'Saisie hebdo'!$C$5:$C$2000,$B16),"")</f>
        <v/>
      </c>
      <c r="I16" s="33">
        <f>SUMIFS('Saisie hebdo'!$K$5:$K$2000,'Saisie hebdo'!$B$5:$B$2000,$A16,'Saisie hebdo'!$C$5:$C$2000,$B16)</f>
        <v/>
      </c>
      <c r="J16" s="33">
        <f>SUMIFS('Saisie hebdo'!$L$5:$L$2000,'Saisie hebdo'!$B$5:$B$2000,$A16,'Saisie hebdo'!$C$5:$C$2000,$B16)</f>
        <v/>
      </c>
      <c r="K16" s="33">
        <f>SUMIFS('Saisie hebdo'!$M$5:$M$2000,'Saisie hebdo'!$B$5:$B$2000,$A16,'Saisie hebdo'!$C$5:$C$2000,$B16)</f>
        <v/>
      </c>
      <c r="L16" s="33">
        <f>SUMIFS('Saisie hebdo'!$N$5:$N$2000,'Saisie hebdo'!$B$5:$B$2000,$A16,'Saisie hebdo'!$C$5:$C$2000,$B16)</f>
        <v/>
      </c>
      <c r="M16" s="32">
        <f>SUMIFS('Saisie hebdo'!$O$5:$O$2000,'Saisie hebdo'!$B$5:$B$2000,$A16,'Saisie hebdo'!$C$5:$C$2000,$B16)</f>
        <v/>
      </c>
      <c r="N16" s="35">
        <f>IF(N(D16)=0,"",E16/D16)</f>
        <v/>
      </c>
      <c r="O16" s="32">
        <f>IF(N(E16)=0,"",C16/E16)</f>
        <v/>
      </c>
      <c r="P16" s="35">
        <f>IF(N(E16)=0,"",F16/E16)</f>
        <v/>
      </c>
      <c r="Q16" s="32">
        <f>IF(N(F16)=0,"",C16/F16)</f>
        <v/>
      </c>
      <c r="R16" s="32">
        <f>IF(N(I16)=0,"",C16/I16)</f>
        <v/>
      </c>
      <c r="S16" s="32">
        <f>IF(N(J16)=0,"",C16/J16)</f>
        <v/>
      </c>
      <c r="T16" s="32">
        <f>IF(N(L16)=0,"",C16/L16)</f>
        <v/>
      </c>
      <c r="U16" s="36">
        <f>IF(N(I16)=0,"",J16/I16)</f>
        <v/>
      </c>
      <c r="V16" s="36">
        <f>IF(N(K16)=0,"",L16/K16)</f>
        <v/>
      </c>
      <c r="W16" s="37">
        <f>IF(N(C16)=0,"",M16/C16)</f>
        <v/>
      </c>
    </row>
    <row r="17">
      <c r="A17" s="11" t="n">
        <v>46327</v>
      </c>
      <c r="B17" t="inlineStr">
        <is>
          <t>S-FR | Québec-Lévis (test)</t>
        </is>
      </c>
      <c r="C17" s="32">
        <f>SUMIFS('Saisie hebdo'!$E$5:$E$2000,'Saisie hebdo'!$B$5:$B$2000,$A17,'Saisie hebdo'!$C$5:$C$2000,$B17)</f>
        <v/>
      </c>
      <c r="D17" s="33">
        <f>SUMIFS('Saisie hebdo'!$F$5:$F$2000,'Saisie hebdo'!$B$5:$B$2000,$A17,'Saisie hebdo'!$C$5:$C$2000,$B17)</f>
        <v/>
      </c>
      <c r="E17" s="33">
        <f>SUMIFS('Saisie hebdo'!$G$5:$G$2000,'Saisie hebdo'!$B$5:$B$2000,$A17,'Saisie hebdo'!$C$5:$C$2000,$B17)</f>
        <v/>
      </c>
      <c r="F17" s="34">
        <f>SUMIFS('Saisie hebdo'!$H$5:$H$2000,'Saisie hebdo'!$B$5:$B$2000,$A17,'Saisie hebdo'!$C$5:$C$2000,$B17)</f>
        <v/>
      </c>
      <c r="G17" s="35">
        <f>IFERROR(AVERAGEIFS('Saisie hebdo'!$I$5:$I$2000,'Saisie hebdo'!$B$5:$B$2000,$A17,'Saisie hebdo'!$C$5:$C$2000,$B17),"")</f>
        <v/>
      </c>
      <c r="H17" s="35">
        <f>IFERROR(AVERAGEIFS('Saisie hebdo'!$J$5:$J$2000,'Saisie hebdo'!$B$5:$B$2000,$A17,'Saisie hebdo'!$C$5:$C$2000,$B17),"")</f>
        <v/>
      </c>
      <c r="I17" s="33">
        <f>SUMIFS('Saisie hebdo'!$K$5:$K$2000,'Saisie hebdo'!$B$5:$B$2000,$A17,'Saisie hebdo'!$C$5:$C$2000,$B17)</f>
        <v/>
      </c>
      <c r="J17" s="33">
        <f>SUMIFS('Saisie hebdo'!$L$5:$L$2000,'Saisie hebdo'!$B$5:$B$2000,$A17,'Saisie hebdo'!$C$5:$C$2000,$B17)</f>
        <v/>
      </c>
      <c r="K17" s="33">
        <f>SUMIFS('Saisie hebdo'!$M$5:$M$2000,'Saisie hebdo'!$B$5:$B$2000,$A17,'Saisie hebdo'!$C$5:$C$2000,$B17)</f>
        <v/>
      </c>
      <c r="L17" s="33">
        <f>SUMIFS('Saisie hebdo'!$N$5:$N$2000,'Saisie hebdo'!$B$5:$B$2000,$A17,'Saisie hebdo'!$C$5:$C$2000,$B17)</f>
        <v/>
      </c>
      <c r="M17" s="32">
        <f>SUMIFS('Saisie hebdo'!$O$5:$O$2000,'Saisie hebdo'!$B$5:$B$2000,$A17,'Saisie hebdo'!$C$5:$C$2000,$B17)</f>
        <v/>
      </c>
      <c r="N17" s="35">
        <f>IF(N(D17)=0,"",E17/D17)</f>
        <v/>
      </c>
      <c r="O17" s="32">
        <f>IF(N(E17)=0,"",C17/E17)</f>
        <v/>
      </c>
      <c r="P17" s="35">
        <f>IF(N(E17)=0,"",F17/E17)</f>
        <v/>
      </c>
      <c r="Q17" s="32">
        <f>IF(N(F17)=0,"",C17/F17)</f>
        <v/>
      </c>
      <c r="R17" s="32">
        <f>IF(N(I17)=0,"",C17/I17)</f>
        <v/>
      </c>
      <c r="S17" s="32">
        <f>IF(N(J17)=0,"",C17/J17)</f>
        <v/>
      </c>
      <c r="T17" s="32">
        <f>IF(N(L17)=0,"",C17/L17)</f>
        <v/>
      </c>
      <c r="U17" s="36">
        <f>IF(N(I17)=0,"",J17/I17)</f>
        <v/>
      </c>
      <c r="V17" s="36">
        <f>IF(N(K17)=0,"",L17/K17)</f>
        <v/>
      </c>
      <c r="W17" s="37">
        <f>IF(N(C17)=0,"",M17/C17)</f>
        <v/>
      </c>
    </row>
    <row r="18">
      <c r="A18" s="11" t="n">
        <v>46327</v>
      </c>
      <c r="B18" t="inlineStr">
        <is>
          <t>Demand Gen</t>
        </is>
      </c>
      <c r="C18" s="32">
        <f>SUMIFS('Saisie hebdo'!$E$5:$E$2000,'Saisie hebdo'!$B$5:$B$2000,$A18,'Saisie hebdo'!$C$5:$C$2000,$B18)</f>
        <v/>
      </c>
      <c r="D18" s="33">
        <f>SUMIFS('Saisie hebdo'!$F$5:$F$2000,'Saisie hebdo'!$B$5:$B$2000,$A18,'Saisie hebdo'!$C$5:$C$2000,$B18)</f>
        <v/>
      </c>
      <c r="E18" s="33">
        <f>SUMIFS('Saisie hebdo'!$G$5:$G$2000,'Saisie hebdo'!$B$5:$B$2000,$A18,'Saisie hebdo'!$C$5:$C$2000,$B18)</f>
        <v/>
      </c>
      <c r="F18" s="34">
        <f>SUMIFS('Saisie hebdo'!$H$5:$H$2000,'Saisie hebdo'!$B$5:$B$2000,$A18,'Saisie hebdo'!$C$5:$C$2000,$B18)</f>
        <v/>
      </c>
      <c r="G18" s="35">
        <f>IFERROR(AVERAGEIFS('Saisie hebdo'!$I$5:$I$2000,'Saisie hebdo'!$B$5:$B$2000,$A18,'Saisie hebdo'!$C$5:$C$2000,$B18),"")</f>
        <v/>
      </c>
      <c r="H18" s="35">
        <f>IFERROR(AVERAGEIFS('Saisie hebdo'!$J$5:$J$2000,'Saisie hebdo'!$B$5:$B$2000,$A18,'Saisie hebdo'!$C$5:$C$2000,$B18),"")</f>
        <v/>
      </c>
      <c r="I18" s="33">
        <f>SUMIFS('Saisie hebdo'!$K$5:$K$2000,'Saisie hebdo'!$B$5:$B$2000,$A18,'Saisie hebdo'!$C$5:$C$2000,$B18)</f>
        <v/>
      </c>
      <c r="J18" s="33">
        <f>SUMIFS('Saisie hebdo'!$L$5:$L$2000,'Saisie hebdo'!$B$5:$B$2000,$A18,'Saisie hebdo'!$C$5:$C$2000,$B18)</f>
        <v/>
      </c>
      <c r="K18" s="33">
        <f>SUMIFS('Saisie hebdo'!$M$5:$M$2000,'Saisie hebdo'!$B$5:$B$2000,$A18,'Saisie hebdo'!$C$5:$C$2000,$B18)</f>
        <v/>
      </c>
      <c r="L18" s="33">
        <f>SUMIFS('Saisie hebdo'!$N$5:$N$2000,'Saisie hebdo'!$B$5:$B$2000,$A18,'Saisie hebdo'!$C$5:$C$2000,$B18)</f>
        <v/>
      </c>
      <c r="M18" s="32">
        <f>SUMIFS('Saisie hebdo'!$O$5:$O$2000,'Saisie hebdo'!$B$5:$B$2000,$A18,'Saisie hebdo'!$C$5:$C$2000,$B18)</f>
        <v/>
      </c>
      <c r="N18" s="35">
        <f>IF(N(D18)=0,"",E18/D18)</f>
        <v/>
      </c>
      <c r="O18" s="32">
        <f>IF(N(E18)=0,"",C18/E18)</f>
        <v/>
      </c>
      <c r="P18" s="35">
        <f>IF(N(E18)=0,"",F18/E18)</f>
        <v/>
      </c>
      <c r="Q18" s="32">
        <f>IF(N(F18)=0,"",C18/F18)</f>
        <v/>
      </c>
      <c r="R18" s="32">
        <f>IF(N(I18)=0,"",C18/I18)</f>
        <v/>
      </c>
      <c r="S18" s="32">
        <f>IF(N(J18)=0,"",C18/J18)</f>
        <v/>
      </c>
      <c r="T18" s="32">
        <f>IF(N(L18)=0,"",C18/L18)</f>
        <v/>
      </c>
      <c r="U18" s="36">
        <f>IF(N(I18)=0,"",J18/I18)</f>
        <v/>
      </c>
      <c r="V18" s="36">
        <f>IF(N(K18)=0,"",L18/K18)</f>
        <v/>
      </c>
      <c r="W18" s="37">
        <f>IF(N(C18)=0,"",M18/C18)</f>
        <v/>
      </c>
    </row>
    <row r="19">
      <c r="A19" s="11" t="n">
        <v>46327</v>
      </c>
      <c r="B19" t="inlineStr">
        <is>
          <t>Microsoft Ads</t>
        </is>
      </c>
      <c r="C19" s="32">
        <f>SUMIFS('Saisie hebdo'!$E$5:$E$2000,'Saisie hebdo'!$B$5:$B$2000,$A19,'Saisie hebdo'!$C$5:$C$2000,$B19)</f>
        <v/>
      </c>
      <c r="D19" s="33">
        <f>SUMIFS('Saisie hebdo'!$F$5:$F$2000,'Saisie hebdo'!$B$5:$B$2000,$A19,'Saisie hebdo'!$C$5:$C$2000,$B19)</f>
        <v/>
      </c>
      <c r="E19" s="33">
        <f>SUMIFS('Saisie hebdo'!$G$5:$G$2000,'Saisie hebdo'!$B$5:$B$2000,$A19,'Saisie hebdo'!$C$5:$C$2000,$B19)</f>
        <v/>
      </c>
      <c r="F19" s="34">
        <f>SUMIFS('Saisie hebdo'!$H$5:$H$2000,'Saisie hebdo'!$B$5:$B$2000,$A19,'Saisie hebdo'!$C$5:$C$2000,$B19)</f>
        <v/>
      </c>
      <c r="G19" s="35">
        <f>IFERROR(AVERAGEIFS('Saisie hebdo'!$I$5:$I$2000,'Saisie hebdo'!$B$5:$B$2000,$A19,'Saisie hebdo'!$C$5:$C$2000,$B19),"")</f>
        <v/>
      </c>
      <c r="H19" s="35">
        <f>IFERROR(AVERAGEIFS('Saisie hebdo'!$J$5:$J$2000,'Saisie hebdo'!$B$5:$B$2000,$A19,'Saisie hebdo'!$C$5:$C$2000,$B19),"")</f>
        <v/>
      </c>
      <c r="I19" s="33">
        <f>SUMIFS('Saisie hebdo'!$K$5:$K$2000,'Saisie hebdo'!$B$5:$B$2000,$A19,'Saisie hebdo'!$C$5:$C$2000,$B19)</f>
        <v/>
      </c>
      <c r="J19" s="33">
        <f>SUMIFS('Saisie hebdo'!$L$5:$L$2000,'Saisie hebdo'!$B$5:$B$2000,$A19,'Saisie hebdo'!$C$5:$C$2000,$B19)</f>
        <v/>
      </c>
      <c r="K19" s="33">
        <f>SUMIFS('Saisie hebdo'!$M$5:$M$2000,'Saisie hebdo'!$B$5:$B$2000,$A19,'Saisie hebdo'!$C$5:$C$2000,$B19)</f>
        <v/>
      </c>
      <c r="L19" s="33">
        <f>SUMIFS('Saisie hebdo'!$N$5:$N$2000,'Saisie hebdo'!$B$5:$B$2000,$A19,'Saisie hebdo'!$C$5:$C$2000,$B19)</f>
        <v/>
      </c>
      <c r="M19" s="32">
        <f>SUMIFS('Saisie hebdo'!$O$5:$O$2000,'Saisie hebdo'!$B$5:$B$2000,$A19,'Saisie hebdo'!$C$5:$C$2000,$B19)</f>
        <v/>
      </c>
      <c r="N19" s="35">
        <f>IF(N(D19)=0,"",E19/D19)</f>
        <v/>
      </c>
      <c r="O19" s="32">
        <f>IF(N(E19)=0,"",C19/E19)</f>
        <v/>
      </c>
      <c r="P19" s="35">
        <f>IF(N(E19)=0,"",F19/E19)</f>
        <v/>
      </c>
      <c r="Q19" s="32">
        <f>IF(N(F19)=0,"",C19/F19)</f>
        <v/>
      </c>
      <c r="R19" s="32">
        <f>IF(N(I19)=0,"",C19/I19)</f>
        <v/>
      </c>
      <c r="S19" s="32">
        <f>IF(N(J19)=0,"",C19/J19)</f>
        <v/>
      </c>
      <c r="T19" s="32">
        <f>IF(N(L19)=0,"",C19/L19)</f>
        <v/>
      </c>
      <c r="U19" s="36">
        <f>IF(N(I19)=0,"",J19/I19)</f>
        <v/>
      </c>
      <c r="V19" s="36">
        <f>IF(N(K19)=0,"",L19/K19)</f>
        <v/>
      </c>
      <c r="W19" s="37">
        <f>IF(N(C19)=0,"",M19/C19)</f>
        <v/>
      </c>
    </row>
    <row r="20">
      <c r="A20" s="38" t="n">
        <v>46327</v>
      </c>
      <c r="B20" s="39" t="inlineStr">
        <is>
          <t>Total du compte</t>
        </is>
      </c>
      <c r="C20" s="40">
        <f>SUMIFS('Saisie hebdo'!$E$5:$E$2000,'Saisie hebdo'!$B$5:$B$2000,$A20)</f>
        <v/>
      </c>
      <c r="D20" s="41">
        <f>SUMIFS('Saisie hebdo'!$F$5:$F$2000,'Saisie hebdo'!$B$5:$B$2000,$A20)</f>
        <v/>
      </c>
      <c r="E20" s="41">
        <f>SUMIFS('Saisie hebdo'!$G$5:$G$2000,'Saisie hebdo'!$B$5:$B$2000,$A20)</f>
        <v/>
      </c>
      <c r="F20" s="42">
        <f>SUMIFS('Saisie hebdo'!$H$5:$H$2000,'Saisie hebdo'!$B$5:$B$2000,$A20)</f>
        <v/>
      </c>
      <c r="G20" s="43">
        <f>IFERROR(AVERAGEIFS('Saisie hebdo'!$I$5:$I$2000,'Saisie hebdo'!$B$5:$B$2000,$A20),"")</f>
        <v/>
      </c>
      <c r="H20" s="43">
        <f>IFERROR(AVERAGEIFS('Saisie hebdo'!$J$5:$J$2000,'Saisie hebdo'!$B$5:$B$2000,$A20),"")</f>
        <v/>
      </c>
      <c r="I20" s="41">
        <f>SUMIFS('Saisie hebdo'!$K$5:$K$2000,'Saisie hebdo'!$B$5:$B$2000,$A20)</f>
        <v/>
      </c>
      <c r="J20" s="41">
        <f>SUMIFS('Saisie hebdo'!$L$5:$L$2000,'Saisie hebdo'!$B$5:$B$2000,$A20)</f>
        <v/>
      </c>
      <c r="K20" s="41">
        <f>SUMIFS('Saisie hebdo'!$M$5:$M$2000,'Saisie hebdo'!$B$5:$B$2000,$A20)</f>
        <v/>
      </c>
      <c r="L20" s="41">
        <f>SUMIFS('Saisie hebdo'!$N$5:$N$2000,'Saisie hebdo'!$B$5:$B$2000,$A20)</f>
        <v/>
      </c>
      <c r="M20" s="40">
        <f>SUMIFS('Saisie hebdo'!$O$5:$O$2000,'Saisie hebdo'!$B$5:$B$2000,$A20)</f>
        <v/>
      </c>
      <c r="N20" s="43">
        <f>IF(N(D20)=0,"",E20/D20)</f>
        <v/>
      </c>
      <c r="O20" s="40">
        <f>IF(N(E20)=0,"",C20/E20)</f>
        <v/>
      </c>
      <c r="P20" s="43">
        <f>IF(N(E20)=0,"",F20/E20)</f>
        <v/>
      </c>
      <c r="Q20" s="40">
        <f>IF(N(F20)=0,"",C20/F20)</f>
        <v/>
      </c>
      <c r="R20" s="40">
        <f>IF(N(I20)=0,"",C20/I20)</f>
        <v/>
      </c>
      <c r="S20" s="40">
        <f>IF(N(J20)=0,"",C20/J20)</f>
        <v/>
      </c>
      <c r="T20" s="40">
        <f>IF(N(L20)=0,"",C20/L20)</f>
        <v/>
      </c>
      <c r="U20" s="44">
        <f>IF(N(I20)=0,"",J20/I20)</f>
        <v/>
      </c>
      <c r="V20" s="44">
        <f>IF(N(K20)=0,"",L20/K20)</f>
        <v/>
      </c>
      <c r="W20" s="45">
        <f>IF(N(C20)=0,"",M20/C20)</f>
        <v/>
      </c>
    </row>
    <row r="21">
      <c r="A21" s="11" t="n">
        <v>46357</v>
      </c>
      <c r="B21" t="inlineStr">
        <is>
          <t>S-FR | Marque</t>
        </is>
      </c>
      <c r="C21" s="32">
        <f>SUMIFS('Saisie hebdo'!$E$5:$E$2000,'Saisie hebdo'!$B$5:$B$2000,$A21,'Saisie hebdo'!$C$5:$C$2000,$B21)</f>
        <v/>
      </c>
      <c r="D21" s="33">
        <f>SUMIFS('Saisie hebdo'!$F$5:$F$2000,'Saisie hebdo'!$B$5:$B$2000,$A21,'Saisie hebdo'!$C$5:$C$2000,$B21)</f>
        <v/>
      </c>
      <c r="E21" s="33">
        <f>SUMIFS('Saisie hebdo'!$G$5:$G$2000,'Saisie hebdo'!$B$5:$B$2000,$A21,'Saisie hebdo'!$C$5:$C$2000,$B21)</f>
        <v/>
      </c>
      <c r="F21" s="34">
        <f>SUMIFS('Saisie hebdo'!$H$5:$H$2000,'Saisie hebdo'!$B$5:$B$2000,$A21,'Saisie hebdo'!$C$5:$C$2000,$B21)</f>
        <v/>
      </c>
      <c r="G21" s="35">
        <f>IFERROR(AVERAGEIFS('Saisie hebdo'!$I$5:$I$2000,'Saisie hebdo'!$B$5:$B$2000,$A21,'Saisie hebdo'!$C$5:$C$2000,$B21),"")</f>
        <v/>
      </c>
      <c r="H21" s="35">
        <f>IFERROR(AVERAGEIFS('Saisie hebdo'!$J$5:$J$2000,'Saisie hebdo'!$B$5:$B$2000,$A21,'Saisie hebdo'!$C$5:$C$2000,$B21),"")</f>
        <v/>
      </c>
      <c r="I21" s="33">
        <f>SUMIFS('Saisie hebdo'!$K$5:$K$2000,'Saisie hebdo'!$B$5:$B$2000,$A21,'Saisie hebdo'!$C$5:$C$2000,$B21)</f>
        <v/>
      </c>
      <c r="J21" s="33">
        <f>SUMIFS('Saisie hebdo'!$L$5:$L$2000,'Saisie hebdo'!$B$5:$B$2000,$A21,'Saisie hebdo'!$C$5:$C$2000,$B21)</f>
        <v/>
      </c>
      <c r="K21" s="33">
        <f>SUMIFS('Saisie hebdo'!$M$5:$M$2000,'Saisie hebdo'!$B$5:$B$2000,$A21,'Saisie hebdo'!$C$5:$C$2000,$B21)</f>
        <v/>
      </c>
      <c r="L21" s="33">
        <f>SUMIFS('Saisie hebdo'!$N$5:$N$2000,'Saisie hebdo'!$B$5:$B$2000,$A21,'Saisie hebdo'!$C$5:$C$2000,$B21)</f>
        <v/>
      </c>
      <c r="M21" s="32">
        <f>SUMIFS('Saisie hebdo'!$O$5:$O$2000,'Saisie hebdo'!$B$5:$B$2000,$A21,'Saisie hebdo'!$C$5:$C$2000,$B21)</f>
        <v/>
      </c>
      <c r="N21" s="35">
        <f>IF(N(D21)=0,"",E21/D21)</f>
        <v/>
      </c>
      <c r="O21" s="32">
        <f>IF(N(E21)=0,"",C21/E21)</f>
        <v/>
      </c>
      <c r="P21" s="35">
        <f>IF(N(E21)=0,"",F21/E21)</f>
        <v/>
      </c>
      <c r="Q21" s="32">
        <f>IF(N(F21)=0,"",C21/F21)</f>
        <v/>
      </c>
      <c r="R21" s="32">
        <f>IF(N(I21)=0,"",C21/I21)</f>
        <v/>
      </c>
      <c r="S21" s="32">
        <f>IF(N(J21)=0,"",C21/J21)</f>
        <v/>
      </c>
      <c r="T21" s="32">
        <f>IF(N(L21)=0,"",C21/L21)</f>
        <v/>
      </c>
      <c r="U21" s="36">
        <f>IF(N(I21)=0,"",J21/I21)</f>
        <v/>
      </c>
      <c r="V21" s="36">
        <f>IF(N(K21)=0,"",L21/K21)</f>
        <v/>
      </c>
      <c r="W21" s="37">
        <f>IF(N(C21)=0,"",M21/C21)</f>
        <v/>
      </c>
    </row>
    <row r="22">
      <c r="A22" s="11" t="n">
        <v>46357</v>
      </c>
      <c r="B22" t="inlineStr">
        <is>
          <t>S-FR | Corporatif &amp; Fêtes</t>
        </is>
      </c>
      <c r="C22" s="32">
        <f>SUMIFS('Saisie hebdo'!$E$5:$E$2000,'Saisie hebdo'!$B$5:$B$2000,$A22,'Saisie hebdo'!$C$5:$C$2000,$B22)</f>
        <v/>
      </c>
      <c r="D22" s="33">
        <f>SUMIFS('Saisie hebdo'!$F$5:$F$2000,'Saisie hebdo'!$B$5:$B$2000,$A22,'Saisie hebdo'!$C$5:$C$2000,$B22)</f>
        <v/>
      </c>
      <c r="E22" s="33">
        <f>SUMIFS('Saisie hebdo'!$G$5:$G$2000,'Saisie hebdo'!$B$5:$B$2000,$A22,'Saisie hebdo'!$C$5:$C$2000,$B22)</f>
        <v/>
      </c>
      <c r="F22" s="34">
        <f>SUMIFS('Saisie hebdo'!$H$5:$H$2000,'Saisie hebdo'!$B$5:$B$2000,$A22,'Saisie hebdo'!$C$5:$C$2000,$B22)</f>
        <v/>
      </c>
      <c r="G22" s="35">
        <f>IFERROR(AVERAGEIFS('Saisie hebdo'!$I$5:$I$2000,'Saisie hebdo'!$B$5:$B$2000,$A22,'Saisie hebdo'!$C$5:$C$2000,$B22),"")</f>
        <v/>
      </c>
      <c r="H22" s="35">
        <f>IFERROR(AVERAGEIFS('Saisie hebdo'!$J$5:$J$2000,'Saisie hebdo'!$B$5:$B$2000,$A22,'Saisie hebdo'!$C$5:$C$2000,$B22),"")</f>
        <v/>
      </c>
      <c r="I22" s="33">
        <f>SUMIFS('Saisie hebdo'!$K$5:$K$2000,'Saisie hebdo'!$B$5:$B$2000,$A22,'Saisie hebdo'!$C$5:$C$2000,$B22)</f>
        <v/>
      </c>
      <c r="J22" s="33">
        <f>SUMIFS('Saisie hebdo'!$L$5:$L$2000,'Saisie hebdo'!$B$5:$B$2000,$A22,'Saisie hebdo'!$C$5:$C$2000,$B22)</f>
        <v/>
      </c>
      <c r="K22" s="33">
        <f>SUMIFS('Saisie hebdo'!$M$5:$M$2000,'Saisie hebdo'!$B$5:$B$2000,$A22,'Saisie hebdo'!$C$5:$C$2000,$B22)</f>
        <v/>
      </c>
      <c r="L22" s="33">
        <f>SUMIFS('Saisie hebdo'!$N$5:$N$2000,'Saisie hebdo'!$B$5:$B$2000,$A22,'Saisie hebdo'!$C$5:$C$2000,$B22)</f>
        <v/>
      </c>
      <c r="M22" s="32">
        <f>SUMIFS('Saisie hebdo'!$O$5:$O$2000,'Saisie hebdo'!$B$5:$B$2000,$A22,'Saisie hebdo'!$C$5:$C$2000,$B22)</f>
        <v/>
      </c>
      <c r="N22" s="35">
        <f>IF(N(D22)=0,"",E22/D22)</f>
        <v/>
      </c>
      <c r="O22" s="32">
        <f>IF(N(E22)=0,"",C22/E22)</f>
        <v/>
      </c>
      <c r="P22" s="35">
        <f>IF(N(E22)=0,"",F22/E22)</f>
        <v/>
      </c>
      <c r="Q22" s="32">
        <f>IF(N(F22)=0,"",C22/F22)</f>
        <v/>
      </c>
      <c r="R22" s="32">
        <f>IF(N(I22)=0,"",C22/I22)</f>
        <v/>
      </c>
      <c r="S22" s="32">
        <f>IF(N(J22)=0,"",C22/J22)</f>
        <v/>
      </c>
      <c r="T22" s="32">
        <f>IF(N(L22)=0,"",C22/L22)</f>
        <v/>
      </c>
      <c r="U22" s="36">
        <f>IF(N(I22)=0,"",J22/I22)</f>
        <v/>
      </c>
      <c r="V22" s="36">
        <f>IF(N(K22)=0,"",L22/K22)</f>
        <v/>
      </c>
      <c r="W22" s="37">
        <f>IF(N(C22)=0,"",M22/C22)</f>
        <v/>
      </c>
    </row>
    <row r="23">
      <c r="A23" s="11" t="n">
        <v>46357</v>
      </c>
      <c r="B23" t="inlineStr">
        <is>
          <t>S-FR | Événements privés</t>
        </is>
      </c>
      <c r="C23" s="32">
        <f>SUMIFS('Saisie hebdo'!$E$5:$E$2000,'Saisie hebdo'!$B$5:$B$2000,$A23,'Saisie hebdo'!$C$5:$C$2000,$B23)</f>
        <v/>
      </c>
      <c r="D23" s="33">
        <f>SUMIFS('Saisie hebdo'!$F$5:$F$2000,'Saisie hebdo'!$B$5:$B$2000,$A23,'Saisie hebdo'!$C$5:$C$2000,$B23)</f>
        <v/>
      </c>
      <c r="E23" s="33">
        <f>SUMIFS('Saisie hebdo'!$G$5:$G$2000,'Saisie hebdo'!$B$5:$B$2000,$A23,'Saisie hebdo'!$C$5:$C$2000,$B23)</f>
        <v/>
      </c>
      <c r="F23" s="34">
        <f>SUMIFS('Saisie hebdo'!$H$5:$H$2000,'Saisie hebdo'!$B$5:$B$2000,$A23,'Saisie hebdo'!$C$5:$C$2000,$B23)</f>
        <v/>
      </c>
      <c r="G23" s="35">
        <f>IFERROR(AVERAGEIFS('Saisie hebdo'!$I$5:$I$2000,'Saisie hebdo'!$B$5:$B$2000,$A23,'Saisie hebdo'!$C$5:$C$2000,$B23),"")</f>
        <v/>
      </c>
      <c r="H23" s="35">
        <f>IFERROR(AVERAGEIFS('Saisie hebdo'!$J$5:$J$2000,'Saisie hebdo'!$B$5:$B$2000,$A23,'Saisie hebdo'!$C$5:$C$2000,$B23),"")</f>
        <v/>
      </c>
      <c r="I23" s="33">
        <f>SUMIFS('Saisie hebdo'!$K$5:$K$2000,'Saisie hebdo'!$B$5:$B$2000,$A23,'Saisie hebdo'!$C$5:$C$2000,$B23)</f>
        <v/>
      </c>
      <c r="J23" s="33">
        <f>SUMIFS('Saisie hebdo'!$L$5:$L$2000,'Saisie hebdo'!$B$5:$B$2000,$A23,'Saisie hebdo'!$C$5:$C$2000,$B23)</f>
        <v/>
      </c>
      <c r="K23" s="33">
        <f>SUMIFS('Saisie hebdo'!$M$5:$M$2000,'Saisie hebdo'!$B$5:$B$2000,$A23,'Saisie hebdo'!$C$5:$C$2000,$B23)</f>
        <v/>
      </c>
      <c r="L23" s="33">
        <f>SUMIFS('Saisie hebdo'!$N$5:$N$2000,'Saisie hebdo'!$B$5:$B$2000,$A23,'Saisie hebdo'!$C$5:$C$2000,$B23)</f>
        <v/>
      </c>
      <c r="M23" s="32">
        <f>SUMIFS('Saisie hebdo'!$O$5:$O$2000,'Saisie hebdo'!$B$5:$B$2000,$A23,'Saisie hebdo'!$C$5:$C$2000,$B23)</f>
        <v/>
      </c>
      <c r="N23" s="35">
        <f>IF(N(D23)=0,"",E23/D23)</f>
        <v/>
      </c>
      <c r="O23" s="32">
        <f>IF(N(E23)=0,"",C23/E23)</f>
        <v/>
      </c>
      <c r="P23" s="35">
        <f>IF(N(E23)=0,"",F23/E23)</f>
        <v/>
      </c>
      <c r="Q23" s="32">
        <f>IF(N(F23)=0,"",C23/F23)</f>
        <v/>
      </c>
      <c r="R23" s="32">
        <f>IF(N(I23)=0,"",C23/I23)</f>
        <v/>
      </c>
      <c r="S23" s="32">
        <f>IF(N(J23)=0,"",C23/J23)</f>
        <v/>
      </c>
      <c r="T23" s="32">
        <f>IF(N(L23)=0,"",C23/L23)</f>
        <v/>
      </c>
      <c r="U23" s="36">
        <f>IF(N(I23)=0,"",J23/I23)</f>
        <v/>
      </c>
      <c r="V23" s="36">
        <f>IF(N(K23)=0,"",L23/K23)</f>
        <v/>
      </c>
      <c r="W23" s="37">
        <f>IF(N(C23)=0,"",M23/C23)</f>
        <v/>
      </c>
    </row>
    <row r="24">
      <c r="A24" s="11" t="n">
        <v>46357</v>
      </c>
      <c r="B24" t="inlineStr">
        <is>
          <t>S-EN | Corporate Montréal</t>
        </is>
      </c>
      <c r="C24" s="32">
        <f>SUMIFS('Saisie hebdo'!$E$5:$E$2000,'Saisie hebdo'!$B$5:$B$2000,$A24,'Saisie hebdo'!$C$5:$C$2000,$B24)</f>
        <v/>
      </c>
      <c r="D24" s="33">
        <f>SUMIFS('Saisie hebdo'!$F$5:$F$2000,'Saisie hebdo'!$B$5:$B$2000,$A24,'Saisie hebdo'!$C$5:$C$2000,$B24)</f>
        <v/>
      </c>
      <c r="E24" s="33">
        <f>SUMIFS('Saisie hebdo'!$G$5:$G$2000,'Saisie hebdo'!$B$5:$B$2000,$A24,'Saisie hebdo'!$C$5:$C$2000,$B24)</f>
        <v/>
      </c>
      <c r="F24" s="34">
        <f>SUMIFS('Saisie hebdo'!$H$5:$H$2000,'Saisie hebdo'!$B$5:$B$2000,$A24,'Saisie hebdo'!$C$5:$C$2000,$B24)</f>
        <v/>
      </c>
      <c r="G24" s="35">
        <f>IFERROR(AVERAGEIFS('Saisie hebdo'!$I$5:$I$2000,'Saisie hebdo'!$B$5:$B$2000,$A24,'Saisie hebdo'!$C$5:$C$2000,$B24),"")</f>
        <v/>
      </c>
      <c r="H24" s="35">
        <f>IFERROR(AVERAGEIFS('Saisie hebdo'!$J$5:$J$2000,'Saisie hebdo'!$B$5:$B$2000,$A24,'Saisie hebdo'!$C$5:$C$2000,$B24),"")</f>
        <v/>
      </c>
      <c r="I24" s="33">
        <f>SUMIFS('Saisie hebdo'!$K$5:$K$2000,'Saisie hebdo'!$B$5:$B$2000,$A24,'Saisie hebdo'!$C$5:$C$2000,$B24)</f>
        <v/>
      </c>
      <c r="J24" s="33">
        <f>SUMIFS('Saisie hebdo'!$L$5:$L$2000,'Saisie hebdo'!$B$5:$B$2000,$A24,'Saisie hebdo'!$C$5:$C$2000,$B24)</f>
        <v/>
      </c>
      <c r="K24" s="33">
        <f>SUMIFS('Saisie hebdo'!$M$5:$M$2000,'Saisie hebdo'!$B$5:$B$2000,$A24,'Saisie hebdo'!$C$5:$C$2000,$B24)</f>
        <v/>
      </c>
      <c r="L24" s="33">
        <f>SUMIFS('Saisie hebdo'!$N$5:$N$2000,'Saisie hebdo'!$B$5:$B$2000,$A24,'Saisie hebdo'!$C$5:$C$2000,$B24)</f>
        <v/>
      </c>
      <c r="M24" s="32">
        <f>SUMIFS('Saisie hebdo'!$O$5:$O$2000,'Saisie hebdo'!$B$5:$B$2000,$A24,'Saisie hebdo'!$C$5:$C$2000,$B24)</f>
        <v/>
      </c>
      <c r="N24" s="35">
        <f>IF(N(D24)=0,"",E24/D24)</f>
        <v/>
      </c>
      <c r="O24" s="32">
        <f>IF(N(E24)=0,"",C24/E24)</f>
        <v/>
      </c>
      <c r="P24" s="35">
        <f>IF(N(E24)=0,"",F24/E24)</f>
        <v/>
      </c>
      <c r="Q24" s="32">
        <f>IF(N(F24)=0,"",C24/F24)</f>
        <v/>
      </c>
      <c r="R24" s="32">
        <f>IF(N(I24)=0,"",C24/I24)</f>
        <v/>
      </c>
      <c r="S24" s="32">
        <f>IF(N(J24)=0,"",C24/J24)</f>
        <v/>
      </c>
      <c r="T24" s="32">
        <f>IF(N(L24)=0,"",C24/L24)</f>
        <v/>
      </c>
      <c r="U24" s="36">
        <f>IF(N(I24)=0,"",J24/I24)</f>
        <v/>
      </c>
      <c r="V24" s="36">
        <f>IF(N(K24)=0,"",L24/K24)</f>
        <v/>
      </c>
      <c r="W24" s="37">
        <f>IF(N(C24)=0,"",M24/C24)</f>
        <v/>
      </c>
    </row>
    <row r="25">
      <c r="A25" s="11" t="n">
        <v>46357</v>
      </c>
      <c r="B25" t="inlineStr">
        <is>
          <t>S-FR | Québec-Lévis (test)</t>
        </is>
      </c>
      <c r="C25" s="32">
        <f>SUMIFS('Saisie hebdo'!$E$5:$E$2000,'Saisie hebdo'!$B$5:$B$2000,$A25,'Saisie hebdo'!$C$5:$C$2000,$B25)</f>
        <v/>
      </c>
      <c r="D25" s="33">
        <f>SUMIFS('Saisie hebdo'!$F$5:$F$2000,'Saisie hebdo'!$B$5:$B$2000,$A25,'Saisie hebdo'!$C$5:$C$2000,$B25)</f>
        <v/>
      </c>
      <c r="E25" s="33">
        <f>SUMIFS('Saisie hebdo'!$G$5:$G$2000,'Saisie hebdo'!$B$5:$B$2000,$A25,'Saisie hebdo'!$C$5:$C$2000,$B25)</f>
        <v/>
      </c>
      <c r="F25" s="34">
        <f>SUMIFS('Saisie hebdo'!$H$5:$H$2000,'Saisie hebdo'!$B$5:$B$2000,$A25,'Saisie hebdo'!$C$5:$C$2000,$B25)</f>
        <v/>
      </c>
      <c r="G25" s="35">
        <f>IFERROR(AVERAGEIFS('Saisie hebdo'!$I$5:$I$2000,'Saisie hebdo'!$B$5:$B$2000,$A25,'Saisie hebdo'!$C$5:$C$2000,$B25),"")</f>
        <v/>
      </c>
      <c r="H25" s="35">
        <f>IFERROR(AVERAGEIFS('Saisie hebdo'!$J$5:$J$2000,'Saisie hebdo'!$B$5:$B$2000,$A25,'Saisie hebdo'!$C$5:$C$2000,$B25),"")</f>
        <v/>
      </c>
      <c r="I25" s="33">
        <f>SUMIFS('Saisie hebdo'!$K$5:$K$2000,'Saisie hebdo'!$B$5:$B$2000,$A25,'Saisie hebdo'!$C$5:$C$2000,$B25)</f>
        <v/>
      </c>
      <c r="J25" s="33">
        <f>SUMIFS('Saisie hebdo'!$L$5:$L$2000,'Saisie hebdo'!$B$5:$B$2000,$A25,'Saisie hebdo'!$C$5:$C$2000,$B25)</f>
        <v/>
      </c>
      <c r="K25" s="33">
        <f>SUMIFS('Saisie hebdo'!$M$5:$M$2000,'Saisie hebdo'!$B$5:$B$2000,$A25,'Saisie hebdo'!$C$5:$C$2000,$B25)</f>
        <v/>
      </c>
      <c r="L25" s="33">
        <f>SUMIFS('Saisie hebdo'!$N$5:$N$2000,'Saisie hebdo'!$B$5:$B$2000,$A25,'Saisie hebdo'!$C$5:$C$2000,$B25)</f>
        <v/>
      </c>
      <c r="M25" s="32">
        <f>SUMIFS('Saisie hebdo'!$O$5:$O$2000,'Saisie hebdo'!$B$5:$B$2000,$A25,'Saisie hebdo'!$C$5:$C$2000,$B25)</f>
        <v/>
      </c>
      <c r="N25" s="35">
        <f>IF(N(D25)=0,"",E25/D25)</f>
        <v/>
      </c>
      <c r="O25" s="32">
        <f>IF(N(E25)=0,"",C25/E25)</f>
        <v/>
      </c>
      <c r="P25" s="35">
        <f>IF(N(E25)=0,"",F25/E25)</f>
        <v/>
      </c>
      <c r="Q25" s="32">
        <f>IF(N(F25)=0,"",C25/F25)</f>
        <v/>
      </c>
      <c r="R25" s="32">
        <f>IF(N(I25)=0,"",C25/I25)</f>
        <v/>
      </c>
      <c r="S25" s="32">
        <f>IF(N(J25)=0,"",C25/J25)</f>
        <v/>
      </c>
      <c r="T25" s="32">
        <f>IF(N(L25)=0,"",C25/L25)</f>
        <v/>
      </c>
      <c r="U25" s="36">
        <f>IF(N(I25)=0,"",J25/I25)</f>
        <v/>
      </c>
      <c r="V25" s="36">
        <f>IF(N(K25)=0,"",L25/K25)</f>
        <v/>
      </c>
      <c r="W25" s="37">
        <f>IF(N(C25)=0,"",M25/C25)</f>
        <v/>
      </c>
    </row>
    <row r="26">
      <c r="A26" s="11" t="n">
        <v>46357</v>
      </c>
      <c r="B26" t="inlineStr">
        <is>
          <t>Demand Gen</t>
        </is>
      </c>
      <c r="C26" s="32">
        <f>SUMIFS('Saisie hebdo'!$E$5:$E$2000,'Saisie hebdo'!$B$5:$B$2000,$A26,'Saisie hebdo'!$C$5:$C$2000,$B26)</f>
        <v/>
      </c>
      <c r="D26" s="33">
        <f>SUMIFS('Saisie hebdo'!$F$5:$F$2000,'Saisie hebdo'!$B$5:$B$2000,$A26,'Saisie hebdo'!$C$5:$C$2000,$B26)</f>
        <v/>
      </c>
      <c r="E26" s="33">
        <f>SUMIFS('Saisie hebdo'!$G$5:$G$2000,'Saisie hebdo'!$B$5:$B$2000,$A26,'Saisie hebdo'!$C$5:$C$2000,$B26)</f>
        <v/>
      </c>
      <c r="F26" s="34">
        <f>SUMIFS('Saisie hebdo'!$H$5:$H$2000,'Saisie hebdo'!$B$5:$B$2000,$A26,'Saisie hebdo'!$C$5:$C$2000,$B26)</f>
        <v/>
      </c>
      <c r="G26" s="35">
        <f>IFERROR(AVERAGEIFS('Saisie hebdo'!$I$5:$I$2000,'Saisie hebdo'!$B$5:$B$2000,$A26,'Saisie hebdo'!$C$5:$C$2000,$B26),"")</f>
        <v/>
      </c>
      <c r="H26" s="35">
        <f>IFERROR(AVERAGEIFS('Saisie hebdo'!$J$5:$J$2000,'Saisie hebdo'!$B$5:$B$2000,$A26,'Saisie hebdo'!$C$5:$C$2000,$B26),"")</f>
        <v/>
      </c>
      <c r="I26" s="33">
        <f>SUMIFS('Saisie hebdo'!$K$5:$K$2000,'Saisie hebdo'!$B$5:$B$2000,$A26,'Saisie hebdo'!$C$5:$C$2000,$B26)</f>
        <v/>
      </c>
      <c r="J26" s="33">
        <f>SUMIFS('Saisie hebdo'!$L$5:$L$2000,'Saisie hebdo'!$B$5:$B$2000,$A26,'Saisie hebdo'!$C$5:$C$2000,$B26)</f>
        <v/>
      </c>
      <c r="K26" s="33">
        <f>SUMIFS('Saisie hebdo'!$M$5:$M$2000,'Saisie hebdo'!$B$5:$B$2000,$A26,'Saisie hebdo'!$C$5:$C$2000,$B26)</f>
        <v/>
      </c>
      <c r="L26" s="33">
        <f>SUMIFS('Saisie hebdo'!$N$5:$N$2000,'Saisie hebdo'!$B$5:$B$2000,$A26,'Saisie hebdo'!$C$5:$C$2000,$B26)</f>
        <v/>
      </c>
      <c r="M26" s="32">
        <f>SUMIFS('Saisie hebdo'!$O$5:$O$2000,'Saisie hebdo'!$B$5:$B$2000,$A26,'Saisie hebdo'!$C$5:$C$2000,$B26)</f>
        <v/>
      </c>
      <c r="N26" s="35">
        <f>IF(N(D26)=0,"",E26/D26)</f>
        <v/>
      </c>
      <c r="O26" s="32">
        <f>IF(N(E26)=0,"",C26/E26)</f>
        <v/>
      </c>
      <c r="P26" s="35">
        <f>IF(N(E26)=0,"",F26/E26)</f>
        <v/>
      </c>
      <c r="Q26" s="32">
        <f>IF(N(F26)=0,"",C26/F26)</f>
        <v/>
      </c>
      <c r="R26" s="32">
        <f>IF(N(I26)=0,"",C26/I26)</f>
        <v/>
      </c>
      <c r="S26" s="32">
        <f>IF(N(J26)=0,"",C26/J26)</f>
        <v/>
      </c>
      <c r="T26" s="32">
        <f>IF(N(L26)=0,"",C26/L26)</f>
        <v/>
      </c>
      <c r="U26" s="36">
        <f>IF(N(I26)=0,"",J26/I26)</f>
        <v/>
      </c>
      <c r="V26" s="36">
        <f>IF(N(K26)=0,"",L26/K26)</f>
        <v/>
      </c>
      <c r="W26" s="37">
        <f>IF(N(C26)=0,"",M26/C26)</f>
        <v/>
      </c>
    </row>
    <row r="27">
      <c r="A27" s="11" t="n">
        <v>46357</v>
      </c>
      <c r="B27" t="inlineStr">
        <is>
          <t>Microsoft Ads</t>
        </is>
      </c>
      <c r="C27" s="32">
        <f>SUMIFS('Saisie hebdo'!$E$5:$E$2000,'Saisie hebdo'!$B$5:$B$2000,$A27,'Saisie hebdo'!$C$5:$C$2000,$B27)</f>
        <v/>
      </c>
      <c r="D27" s="33">
        <f>SUMIFS('Saisie hebdo'!$F$5:$F$2000,'Saisie hebdo'!$B$5:$B$2000,$A27,'Saisie hebdo'!$C$5:$C$2000,$B27)</f>
        <v/>
      </c>
      <c r="E27" s="33">
        <f>SUMIFS('Saisie hebdo'!$G$5:$G$2000,'Saisie hebdo'!$B$5:$B$2000,$A27,'Saisie hebdo'!$C$5:$C$2000,$B27)</f>
        <v/>
      </c>
      <c r="F27" s="34">
        <f>SUMIFS('Saisie hebdo'!$H$5:$H$2000,'Saisie hebdo'!$B$5:$B$2000,$A27,'Saisie hebdo'!$C$5:$C$2000,$B27)</f>
        <v/>
      </c>
      <c r="G27" s="35">
        <f>IFERROR(AVERAGEIFS('Saisie hebdo'!$I$5:$I$2000,'Saisie hebdo'!$B$5:$B$2000,$A27,'Saisie hebdo'!$C$5:$C$2000,$B27),"")</f>
        <v/>
      </c>
      <c r="H27" s="35">
        <f>IFERROR(AVERAGEIFS('Saisie hebdo'!$J$5:$J$2000,'Saisie hebdo'!$B$5:$B$2000,$A27,'Saisie hebdo'!$C$5:$C$2000,$B27),"")</f>
        <v/>
      </c>
      <c r="I27" s="33">
        <f>SUMIFS('Saisie hebdo'!$K$5:$K$2000,'Saisie hebdo'!$B$5:$B$2000,$A27,'Saisie hebdo'!$C$5:$C$2000,$B27)</f>
        <v/>
      </c>
      <c r="J27" s="33">
        <f>SUMIFS('Saisie hebdo'!$L$5:$L$2000,'Saisie hebdo'!$B$5:$B$2000,$A27,'Saisie hebdo'!$C$5:$C$2000,$B27)</f>
        <v/>
      </c>
      <c r="K27" s="33">
        <f>SUMIFS('Saisie hebdo'!$M$5:$M$2000,'Saisie hebdo'!$B$5:$B$2000,$A27,'Saisie hebdo'!$C$5:$C$2000,$B27)</f>
        <v/>
      </c>
      <c r="L27" s="33">
        <f>SUMIFS('Saisie hebdo'!$N$5:$N$2000,'Saisie hebdo'!$B$5:$B$2000,$A27,'Saisie hebdo'!$C$5:$C$2000,$B27)</f>
        <v/>
      </c>
      <c r="M27" s="32">
        <f>SUMIFS('Saisie hebdo'!$O$5:$O$2000,'Saisie hebdo'!$B$5:$B$2000,$A27,'Saisie hebdo'!$C$5:$C$2000,$B27)</f>
        <v/>
      </c>
      <c r="N27" s="35">
        <f>IF(N(D27)=0,"",E27/D27)</f>
        <v/>
      </c>
      <c r="O27" s="32">
        <f>IF(N(E27)=0,"",C27/E27)</f>
        <v/>
      </c>
      <c r="P27" s="35">
        <f>IF(N(E27)=0,"",F27/E27)</f>
        <v/>
      </c>
      <c r="Q27" s="32">
        <f>IF(N(F27)=0,"",C27/F27)</f>
        <v/>
      </c>
      <c r="R27" s="32">
        <f>IF(N(I27)=0,"",C27/I27)</f>
        <v/>
      </c>
      <c r="S27" s="32">
        <f>IF(N(J27)=0,"",C27/J27)</f>
        <v/>
      </c>
      <c r="T27" s="32">
        <f>IF(N(L27)=0,"",C27/L27)</f>
        <v/>
      </c>
      <c r="U27" s="36">
        <f>IF(N(I27)=0,"",J27/I27)</f>
        <v/>
      </c>
      <c r="V27" s="36">
        <f>IF(N(K27)=0,"",L27/K27)</f>
        <v/>
      </c>
      <c r="W27" s="37">
        <f>IF(N(C27)=0,"",M27/C27)</f>
        <v/>
      </c>
    </row>
    <row r="28">
      <c r="A28" s="38" t="n">
        <v>46357</v>
      </c>
      <c r="B28" s="39" t="inlineStr">
        <is>
          <t>Total du compte</t>
        </is>
      </c>
      <c r="C28" s="40">
        <f>SUMIFS('Saisie hebdo'!$E$5:$E$2000,'Saisie hebdo'!$B$5:$B$2000,$A28)</f>
        <v/>
      </c>
      <c r="D28" s="41">
        <f>SUMIFS('Saisie hebdo'!$F$5:$F$2000,'Saisie hebdo'!$B$5:$B$2000,$A28)</f>
        <v/>
      </c>
      <c r="E28" s="41">
        <f>SUMIFS('Saisie hebdo'!$G$5:$G$2000,'Saisie hebdo'!$B$5:$B$2000,$A28)</f>
        <v/>
      </c>
      <c r="F28" s="42">
        <f>SUMIFS('Saisie hebdo'!$H$5:$H$2000,'Saisie hebdo'!$B$5:$B$2000,$A28)</f>
        <v/>
      </c>
      <c r="G28" s="43">
        <f>IFERROR(AVERAGEIFS('Saisie hebdo'!$I$5:$I$2000,'Saisie hebdo'!$B$5:$B$2000,$A28),"")</f>
        <v/>
      </c>
      <c r="H28" s="43">
        <f>IFERROR(AVERAGEIFS('Saisie hebdo'!$J$5:$J$2000,'Saisie hebdo'!$B$5:$B$2000,$A28),"")</f>
        <v/>
      </c>
      <c r="I28" s="41">
        <f>SUMIFS('Saisie hebdo'!$K$5:$K$2000,'Saisie hebdo'!$B$5:$B$2000,$A28)</f>
        <v/>
      </c>
      <c r="J28" s="41">
        <f>SUMIFS('Saisie hebdo'!$L$5:$L$2000,'Saisie hebdo'!$B$5:$B$2000,$A28)</f>
        <v/>
      </c>
      <c r="K28" s="41">
        <f>SUMIFS('Saisie hebdo'!$M$5:$M$2000,'Saisie hebdo'!$B$5:$B$2000,$A28)</f>
        <v/>
      </c>
      <c r="L28" s="41">
        <f>SUMIFS('Saisie hebdo'!$N$5:$N$2000,'Saisie hebdo'!$B$5:$B$2000,$A28)</f>
        <v/>
      </c>
      <c r="M28" s="40">
        <f>SUMIFS('Saisie hebdo'!$O$5:$O$2000,'Saisie hebdo'!$B$5:$B$2000,$A28)</f>
        <v/>
      </c>
      <c r="N28" s="43">
        <f>IF(N(D28)=0,"",E28/D28)</f>
        <v/>
      </c>
      <c r="O28" s="40">
        <f>IF(N(E28)=0,"",C28/E28)</f>
        <v/>
      </c>
      <c r="P28" s="43">
        <f>IF(N(E28)=0,"",F28/E28)</f>
        <v/>
      </c>
      <c r="Q28" s="40">
        <f>IF(N(F28)=0,"",C28/F28)</f>
        <v/>
      </c>
      <c r="R28" s="40">
        <f>IF(N(I28)=0,"",C28/I28)</f>
        <v/>
      </c>
      <c r="S28" s="40">
        <f>IF(N(J28)=0,"",C28/J28)</f>
        <v/>
      </c>
      <c r="T28" s="40">
        <f>IF(N(L28)=0,"",C28/L28)</f>
        <v/>
      </c>
      <c r="U28" s="44">
        <f>IF(N(I28)=0,"",J28/I28)</f>
        <v/>
      </c>
      <c r="V28" s="44">
        <f>IF(N(K28)=0,"",L28/K28)</f>
        <v/>
      </c>
      <c r="W28" s="45">
        <f>IF(N(C28)=0,"",M28/C28)</f>
        <v/>
      </c>
    </row>
    <row r="29">
      <c r="A29" s="11" t="n">
        <v>46388</v>
      </c>
      <c r="B29" t="inlineStr">
        <is>
          <t>S-FR | Marque</t>
        </is>
      </c>
      <c r="C29" s="32">
        <f>SUMIFS('Saisie hebdo'!$E$5:$E$2000,'Saisie hebdo'!$B$5:$B$2000,$A29,'Saisie hebdo'!$C$5:$C$2000,$B29)</f>
        <v/>
      </c>
      <c r="D29" s="33">
        <f>SUMIFS('Saisie hebdo'!$F$5:$F$2000,'Saisie hebdo'!$B$5:$B$2000,$A29,'Saisie hebdo'!$C$5:$C$2000,$B29)</f>
        <v/>
      </c>
      <c r="E29" s="33">
        <f>SUMIFS('Saisie hebdo'!$G$5:$G$2000,'Saisie hebdo'!$B$5:$B$2000,$A29,'Saisie hebdo'!$C$5:$C$2000,$B29)</f>
        <v/>
      </c>
      <c r="F29" s="34">
        <f>SUMIFS('Saisie hebdo'!$H$5:$H$2000,'Saisie hebdo'!$B$5:$B$2000,$A29,'Saisie hebdo'!$C$5:$C$2000,$B29)</f>
        <v/>
      </c>
      <c r="G29" s="35">
        <f>IFERROR(AVERAGEIFS('Saisie hebdo'!$I$5:$I$2000,'Saisie hebdo'!$B$5:$B$2000,$A29,'Saisie hebdo'!$C$5:$C$2000,$B29),"")</f>
        <v/>
      </c>
      <c r="H29" s="35">
        <f>IFERROR(AVERAGEIFS('Saisie hebdo'!$J$5:$J$2000,'Saisie hebdo'!$B$5:$B$2000,$A29,'Saisie hebdo'!$C$5:$C$2000,$B29),"")</f>
        <v/>
      </c>
      <c r="I29" s="33">
        <f>SUMIFS('Saisie hebdo'!$K$5:$K$2000,'Saisie hebdo'!$B$5:$B$2000,$A29,'Saisie hebdo'!$C$5:$C$2000,$B29)</f>
        <v/>
      </c>
      <c r="J29" s="33">
        <f>SUMIFS('Saisie hebdo'!$L$5:$L$2000,'Saisie hebdo'!$B$5:$B$2000,$A29,'Saisie hebdo'!$C$5:$C$2000,$B29)</f>
        <v/>
      </c>
      <c r="K29" s="33">
        <f>SUMIFS('Saisie hebdo'!$M$5:$M$2000,'Saisie hebdo'!$B$5:$B$2000,$A29,'Saisie hebdo'!$C$5:$C$2000,$B29)</f>
        <v/>
      </c>
      <c r="L29" s="33">
        <f>SUMIFS('Saisie hebdo'!$N$5:$N$2000,'Saisie hebdo'!$B$5:$B$2000,$A29,'Saisie hebdo'!$C$5:$C$2000,$B29)</f>
        <v/>
      </c>
      <c r="M29" s="32">
        <f>SUMIFS('Saisie hebdo'!$O$5:$O$2000,'Saisie hebdo'!$B$5:$B$2000,$A29,'Saisie hebdo'!$C$5:$C$2000,$B29)</f>
        <v/>
      </c>
      <c r="N29" s="35">
        <f>IF(N(D29)=0,"",E29/D29)</f>
        <v/>
      </c>
      <c r="O29" s="32">
        <f>IF(N(E29)=0,"",C29/E29)</f>
        <v/>
      </c>
      <c r="P29" s="35">
        <f>IF(N(E29)=0,"",F29/E29)</f>
        <v/>
      </c>
      <c r="Q29" s="32">
        <f>IF(N(F29)=0,"",C29/F29)</f>
        <v/>
      </c>
      <c r="R29" s="32">
        <f>IF(N(I29)=0,"",C29/I29)</f>
        <v/>
      </c>
      <c r="S29" s="32">
        <f>IF(N(J29)=0,"",C29/J29)</f>
        <v/>
      </c>
      <c r="T29" s="32">
        <f>IF(N(L29)=0,"",C29/L29)</f>
        <v/>
      </c>
      <c r="U29" s="36">
        <f>IF(N(I29)=0,"",J29/I29)</f>
        <v/>
      </c>
      <c r="V29" s="36">
        <f>IF(N(K29)=0,"",L29/K29)</f>
        <v/>
      </c>
      <c r="W29" s="37">
        <f>IF(N(C29)=0,"",M29/C29)</f>
        <v/>
      </c>
    </row>
    <row r="30">
      <c r="A30" s="11" t="n">
        <v>46388</v>
      </c>
      <c r="B30" t="inlineStr">
        <is>
          <t>S-FR | Corporatif &amp; Fêtes</t>
        </is>
      </c>
      <c r="C30" s="32">
        <f>SUMIFS('Saisie hebdo'!$E$5:$E$2000,'Saisie hebdo'!$B$5:$B$2000,$A30,'Saisie hebdo'!$C$5:$C$2000,$B30)</f>
        <v/>
      </c>
      <c r="D30" s="33">
        <f>SUMIFS('Saisie hebdo'!$F$5:$F$2000,'Saisie hebdo'!$B$5:$B$2000,$A30,'Saisie hebdo'!$C$5:$C$2000,$B30)</f>
        <v/>
      </c>
      <c r="E30" s="33">
        <f>SUMIFS('Saisie hebdo'!$G$5:$G$2000,'Saisie hebdo'!$B$5:$B$2000,$A30,'Saisie hebdo'!$C$5:$C$2000,$B30)</f>
        <v/>
      </c>
      <c r="F30" s="34">
        <f>SUMIFS('Saisie hebdo'!$H$5:$H$2000,'Saisie hebdo'!$B$5:$B$2000,$A30,'Saisie hebdo'!$C$5:$C$2000,$B30)</f>
        <v/>
      </c>
      <c r="G30" s="35">
        <f>IFERROR(AVERAGEIFS('Saisie hebdo'!$I$5:$I$2000,'Saisie hebdo'!$B$5:$B$2000,$A30,'Saisie hebdo'!$C$5:$C$2000,$B30),"")</f>
        <v/>
      </c>
      <c r="H30" s="35">
        <f>IFERROR(AVERAGEIFS('Saisie hebdo'!$J$5:$J$2000,'Saisie hebdo'!$B$5:$B$2000,$A30,'Saisie hebdo'!$C$5:$C$2000,$B30),"")</f>
        <v/>
      </c>
      <c r="I30" s="33">
        <f>SUMIFS('Saisie hebdo'!$K$5:$K$2000,'Saisie hebdo'!$B$5:$B$2000,$A30,'Saisie hebdo'!$C$5:$C$2000,$B30)</f>
        <v/>
      </c>
      <c r="J30" s="33">
        <f>SUMIFS('Saisie hebdo'!$L$5:$L$2000,'Saisie hebdo'!$B$5:$B$2000,$A30,'Saisie hebdo'!$C$5:$C$2000,$B30)</f>
        <v/>
      </c>
      <c r="K30" s="33">
        <f>SUMIFS('Saisie hebdo'!$M$5:$M$2000,'Saisie hebdo'!$B$5:$B$2000,$A30,'Saisie hebdo'!$C$5:$C$2000,$B30)</f>
        <v/>
      </c>
      <c r="L30" s="33">
        <f>SUMIFS('Saisie hebdo'!$N$5:$N$2000,'Saisie hebdo'!$B$5:$B$2000,$A30,'Saisie hebdo'!$C$5:$C$2000,$B30)</f>
        <v/>
      </c>
      <c r="M30" s="32">
        <f>SUMIFS('Saisie hebdo'!$O$5:$O$2000,'Saisie hebdo'!$B$5:$B$2000,$A30,'Saisie hebdo'!$C$5:$C$2000,$B30)</f>
        <v/>
      </c>
      <c r="N30" s="35">
        <f>IF(N(D30)=0,"",E30/D30)</f>
        <v/>
      </c>
      <c r="O30" s="32">
        <f>IF(N(E30)=0,"",C30/E30)</f>
        <v/>
      </c>
      <c r="P30" s="35">
        <f>IF(N(E30)=0,"",F30/E30)</f>
        <v/>
      </c>
      <c r="Q30" s="32">
        <f>IF(N(F30)=0,"",C30/F30)</f>
        <v/>
      </c>
      <c r="R30" s="32">
        <f>IF(N(I30)=0,"",C30/I30)</f>
        <v/>
      </c>
      <c r="S30" s="32">
        <f>IF(N(J30)=0,"",C30/J30)</f>
        <v/>
      </c>
      <c r="T30" s="32">
        <f>IF(N(L30)=0,"",C30/L30)</f>
        <v/>
      </c>
      <c r="U30" s="36">
        <f>IF(N(I30)=0,"",J30/I30)</f>
        <v/>
      </c>
      <c r="V30" s="36">
        <f>IF(N(K30)=0,"",L30/K30)</f>
        <v/>
      </c>
      <c r="W30" s="37">
        <f>IF(N(C30)=0,"",M30/C30)</f>
        <v/>
      </c>
    </row>
    <row r="31">
      <c r="A31" s="11" t="n">
        <v>46388</v>
      </c>
      <c r="B31" t="inlineStr">
        <is>
          <t>S-FR | Événements privés</t>
        </is>
      </c>
      <c r="C31" s="32">
        <f>SUMIFS('Saisie hebdo'!$E$5:$E$2000,'Saisie hebdo'!$B$5:$B$2000,$A31,'Saisie hebdo'!$C$5:$C$2000,$B31)</f>
        <v/>
      </c>
      <c r="D31" s="33">
        <f>SUMIFS('Saisie hebdo'!$F$5:$F$2000,'Saisie hebdo'!$B$5:$B$2000,$A31,'Saisie hebdo'!$C$5:$C$2000,$B31)</f>
        <v/>
      </c>
      <c r="E31" s="33">
        <f>SUMIFS('Saisie hebdo'!$G$5:$G$2000,'Saisie hebdo'!$B$5:$B$2000,$A31,'Saisie hebdo'!$C$5:$C$2000,$B31)</f>
        <v/>
      </c>
      <c r="F31" s="34">
        <f>SUMIFS('Saisie hebdo'!$H$5:$H$2000,'Saisie hebdo'!$B$5:$B$2000,$A31,'Saisie hebdo'!$C$5:$C$2000,$B31)</f>
        <v/>
      </c>
      <c r="G31" s="35">
        <f>IFERROR(AVERAGEIFS('Saisie hebdo'!$I$5:$I$2000,'Saisie hebdo'!$B$5:$B$2000,$A31,'Saisie hebdo'!$C$5:$C$2000,$B31),"")</f>
        <v/>
      </c>
      <c r="H31" s="35">
        <f>IFERROR(AVERAGEIFS('Saisie hebdo'!$J$5:$J$2000,'Saisie hebdo'!$B$5:$B$2000,$A31,'Saisie hebdo'!$C$5:$C$2000,$B31),"")</f>
        <v/>
      </c>
      <c r="I31" s="33">
        <f>SUMIFS('Saisie hebdo'!$K$5:$K$2000,'Saisie hebdo'!$B$5:$B$2000,$A31,'Saisie hebdo'!$C$5:$C$2000,$B31)</f>
        <v/>
      </c>
      <c r="J31" s="33">
        <f>SUMIFS('Saisie hebdo'!$L$5:$L$2000,'Saisie hebdo'!$B$5:$B$2000,$A31,'Saisie hebdo'!$C$5:$C$2000,$B31)</f>
        <v/>
      </c>
      <c r="K31" s="33">
        <f>SUMIFS('Saisie hebdo'!$M$5:$M$2000,'Saisie hebdo'!$B$5:$B$2000,$A31,'Saisie hebdo'!$C$5:$C$2000,$B31)</f>
        <v/>
      </c>
      <c r="L31" s="33">
        <f>SUMIFS('Saisie hebdo'!$N$5:$N$2000,'Saisie hebdo'!$B$5:$B$2000,$A31,'Saisie hebdo'!$C$5:$C$2000,$B31)</f>
        <v/>
      </c>
      <c r="M31" s="32">
        <f>SUMIFS('Saisie hebdo'!$O$5:$O$2000,'Saisie hebdo'!$B$5:$B$2000,$A31,'Saisie hebdo'!$C$5:$C$2000,$B31)</f>
        <v/>
      </c>
      <c r="N31" s="35">
        <f>IF(N(D31)=0,"",E31/D31)</f>
        <v/>
      </c>
      <c r="O31" s="32">
        <f>IF(N(E31)=0,"",C31/E31)</f>
        <v/>
      </c>
      <c r="P31" s="35">
        <f>IF(N(E31)=0,"",F31/E31)</f>
        <v/>
      </c>
      <c r="Q31" s="32">
        <f>IF(N(F31)=0,"",C31/F31)</f>
        <v/>
      </c>
      <c r="R31" s="32">
        <f>IF(N(I31)=0,"",C31/I31)</f>
        <v/>
      </c>
      <c r="S31" s="32">
        <f>IF(N(J31)=0,"",C31/J31)</f>
        <v/>
      </c>
      <c r="T31" s="32">
        <f>IF(N(L31)=0,"",C31/L31)</f>
        <v/>
      </c>
      <c r="U31" s="36">
        <f>IF(N(I31)=0,"",J31/I31)</f>
        <v/>
      </c>
      <c r="V31" s="36">
        <f>IF(N(K31)=0,"",L31/K31)</f>
        <v/>
      </c>
      <c r="W31" s="37">
        <f>IF(N(C31)=0,"",M31/C31)</f>
        <v/>
      </c>
    </row>
    <row r="32">
      <c r="A32" s="11" t="n">
        <v>46388</v>
      </c>
      <c r="B32" t="inlineStr">
        <is>
          <t>S-EN | Corporate Montréal</t>
        </is>
      </c>
      <c r="C32" s="32">
        <f>SUMIFS('Saisie hebdo'!$E$5:$E$2000,'Saisie hebdo'!$B$5:$B$2000,$A32,'Saisie hebdo'!$C$5:$C$2000,$B32)</f>
        <v/>
      </c>
      <c r="D32" s="33">
        <f>SUMIFS('Saisie hebdo'!$F$5:$F$2000,'Saisie hebdo'!$B$5:$B$2000,$A32,'Saisie hebdo'!$C$5:$C$2000,$B32)</f>
        <v/>
      </c>
      <c r="E32" s="33">
        <f>SUMIFS('Saisie hebdo'!$G$5:$G$2000,'Saisie hebdo'!$B$5:$B$2000,$A32,'Saisie hebdo'!$C$5:$C$2000,$B32)</f>
        <v/>
      </c>
      <c r="F32" s="34">
        <f>SUMIFS('Saisie hebdo'!$H$5:$H$2000,'Saisie hebdo'!$B$5:$B$2000,$A32,'Saisie hebdo'!$C$5:$C$2000,$B32)</f>
        <v/>
      </c>
      <c r="G32" s="35">
        <f>IFERROR(AVERAGEIFS('Saisie hebdo'!$I$5:$I$2000,'Saisie hebdo'!$B$5:$B$2000,$A32,'Saisie hebdo'!$C$5:$C$2000,$B32),"")</f>
        <v/>
      </c>
      <c r="H32" s="35">
        <f>IFERROR(AVERAGEIFS('Saisie hebdo'!$J$5:$J$2000,'Saisie hebdo'!$B$5:$B$2000,$A32,'Saisie hebdo'!$C$5:$C$2000,$B32),"")</f>
        <v/>
      </c>
      <c r="I32" s="33">
        <f>SUMIFS('Saisie hebdo'!$K$5:$K$2000,'Saisie hebdo'!$B$5:$B$2000,$A32,'Saisie hebdo'!$C$5:$C$2000,$B32)</f>
        <v/>
      </c>
      <c r="J32" s="33">
        <f>SUMIFS('Saisie hebdo'!$L$5:$L$2000,'Saisie hebdo'!$B$5:$B$2000,$A32,'Saisie hebdo'!$C$5:$C$2000,$B32)</f>
        <v/>
      </c>
      <c r="K32" s="33">
        <f>SUMIFS('Saisie hebdo'!$M$5:$M$2000,'Saisie hebdo'!$B$5:$B$2000,$A32,'Saisie hebdo'!$C$5:$C$2000,$B32)</f>
        <v/>
      </c>
      <c r="L32" s="33">
        <f>SUMIFS('Saisie hebdo'!$N$5:$N$2000,'Saisie hebdo'!$B$5:$B$2000,$A32,'Saisie hebdo'!$C$5:$C$2000,$B32)</f>
        <v/>
      </c>
      <c r="M32" s="32">
        <f>SUMIFS('Saisie hebdo'!$O$5:$O$2000,'Saisie hebdo'!$B$5:$B$2000,$A32,'Saisie hebdo'!$C$5:$C$2000,$B32)</f>
        <v/>
      </c>
      <c r="N32" s="35">
        <f>IF(N(D32)=0,"",E32/D32)</f>
        <v/>
      </c>
      <c r="O32" s="32">
        <f>IF(N(E32)=0,"",C32/E32)</f>
        <v/>
      </c>
      <c r="P32" s="35">
        <f>IF(N(E32)=0,"",F32/E32)</f>
        <v/>
      </c>
      <c r="Q32" s="32">
        <f>IF(N(F32)=0,"",C32/F32)</f>
        <v/>
      </c>
      <c r="R32" s="32">
        <f>IF(N(I32)=0,"",C32/I32)</f>
        <v/>
      </c>
      <c r="S32" s="32">
        <f>IF(N(J32)=0,"",C32/J32)</f>
        <v/>
      </c>
      <c r="T32" s="32">
        <f>IF(N(L32)=0,"",C32/L32)</f>
        <v/>
      </c>
      <c r="U32" s="36">
        <f>IF(N(I32)=0,"",J32/I32)</f>
        <v/>
      </c>
      <c r="V32" s="36">
        <f>IF(N(K32)=0,"",L32/K32)</f>
        <v/>
      </c>
      <c r="W32" s="37">
        <f>IF(N(C32)=0,"",M32/C32)</f>
        <v/>
      </c>
    </row>
    <row r="33">
      <c r="A33" s="11" t="n">
        <v>46388</v>
      </c>
      <c r="B33" t="inlineStr">
        <is>
          <t>S-FR | Québec-Lévis (test)</t>
        </is>
      </c>
      <c r="C33" s="32">
        <f>SUMIFS('Saisie hebdo'!$E$5:$E$2000,'Saisie hebdo'!$B$5:$B$2000,$A33,'Saisie hebdo'!$C$5:$C$2000,$B33)</f>
        <v/>
      </c>
      <c r="D33" s="33">
        <f>SUMIFS('Saisie hebdo'!$F$5:$F$2000,'Saisie hebdo'!$B$5:$B$2000,$A33,'Saisie hebdo'!$C$5:$C$2000,$B33)</f>
        <v/>
      </c>
      <c r="E33" s="33">
        <f>SUMIFS('Saisie hebdo'!$G$5:$G$2000,'Saisie hebdo'!$B$5:$B$2000,$A33,'Saisie hebdo'!$C$5:$C$2000,$B33)</f>
        <v/>
      </c>
      <c r="F33" s="34">
        <f>SUMIFS('Saisie hebdo'!$H$5:$H$2000,'Saisie hebdo'!$B$5:$B$2000,$A33,'Saisie hebdo'!$C$5:$C$2000,$B33)</f>
        <v/>
      </c>
      <c r="G33" s="35">
        <f>IFERROR(AVERAGEIFS('Saisie hebdo'!$I$5:$I$2000,'Saisie hebdo'!$B$5:$B$2000,$A33,'Saisie hebdo'!$C$5:$C$2000,$B33),"")</f>
        <v/>
      </c>
      <c r="H33" s="35">
        <f>IFERROR(AVERAGEIFS('Saisie hebdo'!$J$5:$J$2000,'Saisie hebdo'!$B$5:$B$2000,$A33,'Saisie hebdo'!$C$5:$C$2000,$B33),"")</f>
        <v/>
      </c>
      <c r="I33" s="33">
        <f>SUMIFS('Saisie hebdo'!$K$5:$K$2000,'Saisie hebdo'!$B$5:$B$2000,$A33,'Saisie hebdo'!$C$5:$C$2000,$B33)</f>
        <v/>
      </c>
      <c r="J33" s="33">
        <f>SUMIFS('Saisie hebdo'!$L$5:$L$2000,'Saisie hebdo'!$B$5:$B$2000,$A33,'Saisie hebdo'!$C$5:$C$2000,$B33)</f>
        <v/>
      </c>
      <c r="K33" s="33">
        <f>SUMIFS('Saisie hebdo'!$M$5:$M$2000,'Saisie hebdo'!$B$5:$B$2000,$A33,'Saisie hebdo'!$C$5:$C$2000,$B33)</f>
        <v/>
      </c>
      <c r="L33" s="33">
        <f>SUMIFS('Saisie hebdo'!$N$5:$N$2000,'Saisie hebdo'!$B$5:$B$2000,$A33,'Saisie hebdo'!$C$5:$C$2000,$B33)</f>
        <v/>
      </c>
      <c r="M33" s="32">
        <f>SUMIFS('Saisie hebdo'!$O$5:$O$2000,'Saisie hebdo'!$B$5:$B$2000,$A33,'Saisie hebdo'!$C$5:$C$2000,$B33)</f>
        <v/>
      </c>
      <c r="N33" s="35">
        <f>IF(N(D33)=0,"",E33/D33)</f>
        <v/>
      </c>
      <c r="O33" s="32">
        <f>IF(N(E33)=0,"",C33/E33)</f>
        <v/>
      </c>
      <c r="P33" s="35">
        <f>IF(N(E33)=0,"",F33/E33)</f>
        <v/>
      </c>
      <c r="Q33" s="32">
        <f>IF(N(F33)=0,"",C33/F33)</f>
        <v/>
      </c>
      <c r="R33" s="32">
        <f>IF(N(I33)=0,"",C33/I33)</f>
        <v/>
      </c>
      <c r="S33" s="32">
        <f>IF(N(J33)=0,"",C33/J33)</f>
        <v/>
      </c>
      <c r="T33" s="32">
        <f>IF(N(L33)=0,"",C33/L33)</f>
        <v/>
      </c>
      <c r="U33" s="36">
        <f>IF(N(I33)=0,"",J33/I33)</f>
        <v/>
      </c>
      <c r="V33" s="36">
        <f>IF(N(K33)=0,"",L33/K33)</f>
        <v/>
      </c>
      <c r="W33" s="37">
        <f>IF(N(C33)=0,"",M33/C33)</f>
        <v/>
      </c>
    </row>
    <row r="34">
      <c r="A34" s="11" t="n">
        <v>46388</v>
      </c>
      <c r="B34" t="inlineStr">
        <is>
          <t>Demand Gen</t>
        </is>
      </c>
      <c r="C34" s="32">
        <f>SUMIFS('Saisie hebdo'!$E$5:$E$2000,'Saisie hebdo'!$B$5:$B$2000,$A34,'Saisie hebdo'!$C$5:$C$2000,$B34)</f>
        <v/>
      </c>
      <c r="D34" s="33">
        <f>SUMIFS('Saisie hebdo'!$F$5:$F$2000,'Saisie hebdo'!$B$5:$B$2000,$A34,'Saisie hebdo'!$C$5:$C$2000,$B34)</f>
        <v/>
      </c>
      <c r="E34" s="33">
        <f>SUMIFS('Saisie hebdo'!$G$5:$G$2000,'Saisie hebdo'!$B$5:$B$2000,$A34,'Saisie hebdo'!$C$5:$C$2000,$B34)</f>
        <v/>
      </c>
      <c r="F34" s="34">
        <f>SUMIFS('Saisie hebdo'!$H$5:$H$2000,'Saisie hebdo'!$B$5:$B$2000,$A34,'Saisie hebdo'!$C$5:$C$2000,$B34)</f>
        <v/>
      </c>
      <c r="G34" s="35">
        <f>IFERROR(AVERAGEIFS('Saisie hebdo'!$I$5:$I$2000,'Saisie hebdo'!$B$5:$B$2000,$A34,'Saisie hebdo'!$C$5:$C$2000,$B34),"")</f>
        <v/>
      </c>
      <c r="H34" s="35">
        <f>IFERROR(AVERAGEIFS('Saisie hebdo'!$J$5:$J$2000,'Saisie hebdo'!$B$5:$B$2000,$A34,'Saisie hebdo'!$C$5:$C$2000,$B34),"")</f>
        <v/>
      </c>
      <c r="I34" s="33">
        <f>SUMIFS('Saisie hebdo'!$K$5:$K$2000,'Saisie hebdo'!$B$5:$B$2000,$A34,'Saisie hebdo'!$C$5:$C$2000,$B34)</f>
        <v/>
      </c>
      <c r="J34" s="33">
        <f>SUMIFS('Saisie hebdo'!$L$5:$L$2000,'Saisie hebdo'!$B$5:$B$2000,$A34,'Saisie hebdo'!$C$5:$C$2000,$B34)</f>
        <v/>
      </c>
      <c r="K34" s="33">
        <f>SUMIFS('Saisie hebdo'!$M$5:$M$2000,'Saisie hebdo'!$B$5:$B$2000,$A34,'Saisie hebdo'!$C$5:$C$2000,$B34)</f>
        <v/>
      </c>
      <c r="L34" s="33">
        <f>SUMIFS('Saisie hebdo'!$N$5:$N$2000,'Saisie hebdo'!$B$5:$B$2000,$A34,'Saisie hebdo'!$C$5:$C$2000,$B34)</f>
        <v/>
      </c>
      <c r="M34" s="32">
        <f>SUMIFS('Saisie hebdo'!$O$5:$O$2000,'Saisie hebdo'!$B$5:$B$2000,$A34,'Saisie hebdo'!$C$5:$C$2000,$B34)</f>
        <v/>
      </c>
      <c r="N34" s="35">
        <f>IF(N(D34)=0,"",E34/D34)</f>
        <v/>
      </c>
      <c r="O34" s="32">
        <f>IF(N(E34)=0,"",C34/E34)</f>
        <v/>
      </c>
      <c r="P34" s="35">
        <f>IF(N(E34)=0,"",F34/E34)</f>
        <v/>
      </c>
      <c r="Q34" s="32">
        <f>IF(N(F34)=0,"",C34/F34)</f>
        <v/>
      </c>
      <c r="R34" s="32">
        <f>IF(N(I34)=0,"",C34/I34)</f>
        <v/>
      </c>
      <c r="S34" s="32">
        <f>IF(N(J34)=0,"",C34/J34)</f>
        <v/>
      </c>
      <c r="T34" s="32">
        <f>IF(N(L34)=0,"",C34/L34)</f>
        <v/>
      </c>
      <c r="U34" s="36">
        <f>IF(N(I34)=0,"",J34/I34)</f>
        <v/>
      </c>
      <c r="V34" s="36">
        <f>IF(N(K34)=0,"",L34/K34)</f>
        <v/>
      </c>
      <c r="W34" s="37">
        <f>IF(N(C34)=0,"",M34/C34)</f>
        <v/>
      </c>
    </row>
    <row r="35">
      <c r="A35" s="11" t="n">
        <v>46388</v>
      </c>
      <c r="B35" t="inlineStr">
        <is>
          <t>Microsoft Ads</t>
        </is>
      </c>
      <c r="C35" s="32">
        <f>SUMIFS('Saisie hebdo'!$E$5:$E$2000,'Saisie hebdo'!$B$5:$B$2000,$A35,'Saisie hebdo'!$C$5:$C$2000,$B35)</f>
        <v/>
      </c>
      <c r="D35" s="33">
        <f>SUMIFS('Saisie hebdo'!$F$5:$F$2000,'Saisie hebdo'!$B$5:$B$2000,$A35,'Saisie hebdo'!$C$5:$C$2000,$B35)</f>
        <v/>
      </c>
      <c r="E35" s="33">
        <f>SUMIFS('Saisie hebdo'!$G$5:$G$2000,'Saisie hebdo'!$B$5:$B$2000,$A35,'Saisie hebdo'!$C$5:$C$2000,$B35)</f>
        <v/>
      </c>
      <c r="F35" s="34">
        <f>SUMIFS('Saisie hebdo'!$H$5:$H$2000,'Saisie hebdo'!$B$5:$B$2000,$A35,'Saisie hebdo'!$C$5:$C$2000,$B35)</f>
        <v/>
      </c>
      <c r="G35" s="35">
        <f>IFERROR(AVERAGEIFS('Saisie hebdo'!$I$5:$I$2000,'Saisie hebdo'!$B$5:$B$2000,$A35,'Saisie hebdo'!$C$5:$C$2000,$B35),"")</f>
        <v/>
      </c>
      <c r="H35" s="35">
        <f>IFERROR(AVERAGEIFS('Saisie hebdo'!$J$5:$J$2000,'Saisie hebdo'!$B$5:$B$2000,$A35,'Saisie hebdo'!$C$5:$C$2000,$B35),"")</f>
        <v/>
      </c>
      <c r="I35" s="33">
        <f>SUMIFS('Saisie hebdo'!$K$5:$K$2000,'Saisie hebdo'!$B$5:$B$2000,$A35,'Saisie hebdo'!$C$5:$C$2000,$B35)</f>
        <v/>
      </c>
      <c r="J35" s="33">
        <f>SUMIFS('Saisie hebdo'!$L$5:$L$2000,'Saisie hebdo'!$B$5:$B$2000,$A35,'Saisie hebdo'!$C$5:$C$2000,$B35)</f>
        <v/>
      </c>
      <c r="K35" s="33">
        <f>SUMIFS('Saisie hebdo'!$M$5:$M$2000,'Saisie hebdo'!$B$5:$B$2000,$A35,'Saisie hebdo'!$C$5:$C$2000,$B35)</f>
        <v/>
      </c>
      <c r="L35" s="33">
        <f>SUMIFS('Saisie hebdo'!$N$5:$N$2000,'Saisie hebdo'!$B$5:$B$2000,$A35,'Saisie hebdo'!$C$5:$C$2000,$B35)</f>
        <v/>
      </c>
      <c r="M35" s="32">
        <f>SUMIFS('Saisie hebdo'!$O$5:$O$2000,'Saisie hebdo'!$B$5:$B$2000,$A35,'Saisie hebdo'!$C$5:$C$2000,$B35)</f>
        <v/>
      </c>
      <c r="N35" s="35">
        <f>IF(N(D35)=0,"",E35/D35)</f>
        <v/>
      </c>
      <c r="O35" s="32">
        <f>IF(N(E35)=0,"",C35/E35)</f>
        <v/>
      </c>
      <c r="P35" s="35">
        <f>IF(N(E35)=0,"",F35/E35)</f>
        <v/>
      </c>
      <c r="Q35" s="32">
        <f>IF(N(F35)=0,"",C35/F35)</f>
        <v/>
      </c>
      <c r="R35" s="32">
        <f>IF(N(I35)=0,"",C35/I35)</f>
        <v/>
      </c>
      <c r="S35" s="32">
        <f>IF(N(J35)=0,"",C35/J35)</f>
        <v/>
      </c>
      <c r="T35" s="32">
        <f>IF(N(L35)=0,"",C35/L35)</f>
        <v/>
      </c>
      <c r="U35" s="36">
        <f>IF(N(I35)=0,"",J35/I35)</f>
        <v/>
      </c>
      <c r="V35" s="36">
        <f>IF(N(K35)=0,"",L35/K35)</f>
        <v/>
      </c>
      <c r="W35" s="37">
        <f>IF(N(C35)=0,"",M35/C35)</f>
        <v/>
      </c>
    </row>
    <row r="36">
      <c r="A36" s="38" t="n">
        <v>46388</v>
      </c>
      <c r="B36" s="39" t="inlineStr">
        <is>
          <t>Total du compte</t>
        </is>
      </c>
      <c r="C36" s="40">
        <f>SUMIFS('Saisie hebdo'!$E$5:$E$2000,'Saisie hebdo'!$B$5:$B$2000,$A36)</f>
        <v/>
      </c>
      <c r="D36" s="41">
        <f>SUMIFS('Saisie hebdo'!$F$5:$F$2000,'Saisie hebdo'!$B$5:$B$2000,$A36)</f>
        <v/>
      </c>
      <c r="E36" s="41">
        <f>SUMIFS('Saisie hebdo'!$G$5:$G$2000,'Saisie hebdo'!$B$5:$B$2000,$A36)</f>
        <v/>
      </c>
      <c r="F36" s="42">
        <f>SUMIFS('Saisie hebdo'!$H$5:$H$2000,'Saisie hebdo'!$B$5:$B$2000,$A36)</f>
        <v/>
      </c>
      <c r="G36" s="43">
        <f>IFERROR(AVERAGEIFS('Saisie hebdo'!$I$5:$I$2000,'Saisie hebdo'!$B$5:$B$2000,$A36),"")</f>
        <v/>
      </c>
      <c r="H36" s="43">
        <f>IFERROR(AVERAGEIFS('Saisie hebdo'!$J$5:$J$2000,'Saisie hebdo'!$B$5:$B$2000,$A36),"")</f>
        <v/>
      </c>
      <c r="I36" s="41">
        <f>SUMIFS('Saisie hebdo'!$K$5:$K$2000,'Saisie hebdo'!$B$5:$B$2000,$A36)</f>
        <v/>
      </c>
      <c r="J36" s="41">
        <f>SUMIFS('Saisie hebdo'!$L$5:$L$2000,'Saisie hebdo'!$B$5:$B$2000,$A36)</f>
        <v/>
      </c>
      <c r="K36" s="41">
        <f>SUMIFS('Saisie hebdo'!$M$5:$M$2000,'Saisie hebdo'!$B$5:$B$2000,$A36)</f>
        <v/>
      </c>
      <c r="L36" s="41">
        <f>SUMIFS('Saisie hebdo'!$N$5:$N$2000,'Saisie hebdo'!$B$5:$B$2000,$A36)</f>
        <v/>
      </c>
      <c r="M36" s="40">
        <f>SUMIFS('Saisie hebdo'!$O$5:$O$2000,'Saisie hebdo'!$B$5:$B$2000,$A36)</f>
        <v/>
      </c>
      <c r="N36" s="43">
        <f>IF(N(D36)=0,"",E36/D36)</f>
        <v/>
      </c>
      <c r="O36" s="40">
        <f>IF(N(E36)=0,"",C36/E36)</f>
        <v/>
      </c>
      <c r="P36" s="43">
        <f>IF(N(E36)=0,"",F36/E36)</f>
        <v/>
      </c>
      <c r="Q36" s="40">
        <f>IF(N(F36)=0,"",C36/F36)</f>
        <v/>
      </c>
      <c r="R36" s="40">
        <f>IF(N(I36)=0,"",C36/I36)</f>
        <v/>
      </c>
      <c r="S36" s="40">
        <f>IF(N(J36)=0,"",C36/J36)</f>
        <v/>
      </c>
      <c r="T36" s="40">
        <f>IF(N(L36)=0,"",C36/L36)</f>
        <v/>
      </c>
      <c r="U36" s="44">
        <f>IF(N(I36)=0,"",J36/I36)</f>
        <v/>
      </c>
      <c r="V36" s="44">
        <f>IF(N(K36)=0,"",L36/K36)</f>
        <v/>
      </c>
      <c r="W36" s="45">
        <f>IF(N(C36)=0,"",M36/C36)</f>
        <v/>
      </c>
    </row>
    <row r="37">
      <c r="A37" s="11" t="n">
        <v>46419</v>
      </c>
      <c r="B37" t="inlineStr">
        <is>
          <t>S-FR | Marque</t>
        </is>
      </c>
      <c r="C37" s="32">
        <f>SUMIFS('Saisie hebdo'!$E$5:$E$2000,'Saisie hebdo'!$B$5:$B$2000,$A37,'Saisie hebdo'!$C$5:$C$2000,$B37)</f>
        <v/>
      </c>
      <c r="D37" s="33">
        <f>SUMIFS('Saisie hebdo'!$F$5:$F$2000,'Saisie hebdo'!$B$5:$B$2000,$A37,'Saisie hebdo'!$C$5:$C$2000,$B37)</f>
        <v/>
      </c>
      <c r="E37" s="33">
        <f>SUMIFS('Saisie hebdo'!$G$5:$G$2000,'Saisie hebdo'!$B$5:$B$2000,$A37,'Saisie hebdo'!$C$5:$C$2000,$B37)</f>
        <v/>
      </c>
      <c r="F37" s="34">
        <f>SUMIFS('Saisie hebdo'!$H$5:$H$2000,'Saisie hebdo'!$B$5:$B$2000,$A37,'Saisie hebdo'!$C$5:$C$2000,$B37)</f>
        <v/>
      </c>
      <c r="G37" s="35">
        <f>IFERROR(AVERAGEIFS('Saisie hebdo'!$I$5:$I$2000,'Saisie hebdo'!$B$5:$B$2000,$A37,'Saisie hebdo'!$C$5:$C$2000,$B37),"")</f>
        <v/>
      </c>
      <c r="H37" s="35">
        <f>IFERROR(AVERAGEIFS('Saisie hebdo'!$J$5:$J$2000,'Saisie hebdo'!$B$5:$B$2000,$A37,'Saisie hebdo'!$C$5:$C$2000,$B37),"")</f>
        <v/>
      </c>
      <c r="I37" s="33">
        <f>SUMIFS('Saisie hebdo'!$K$5:$K$2000,'Saisie hebdo'!$B$5:$B$2000,$A37,'Saisie hebdo'!$C$5:$C$2000,$B37)</f>
        <v/>
      </c>
      <c r="J37" s="33">
        <f>SUMIFS('Saisie hebdo'!$L$5:$L$2000,'Saisie hebdo'!$B$5:$B$2000,$A37,'Saisie hebdo'!$C$5:$C$2000,$B37)</f>
        <v/>
      </c>
      <c r="K37" s="33">
        <f>SUMIFS('Saisie hebdo'!$M$5:$M$2000,'Saisie hebdo'!$B$5:$B$2000,$A37,'Saisie hebdo'!$C$5:$C$2000,$B37)</f>
        <v/>
      </c>
      <c r="L37" s="33">
        <f>SUMIFS('Saisie hebdo'!$N$5:$N$2000,'Saisie hebdo'!$B$5:$B$2000,$A37,'Saisie hebdo'!$C$5:$C$2000,$B37)</f>
        <v/>
      </c>
      <c r="M37" s="32">
        <f>SUMIFS('Saisie hebdo'!$O$5:$O$2000,'Saisie hebdo'!$B$5:$B$2000,$A37,'Saisie hebdo'!$C$5:$C$2000,$B37)</f>
        <v/>
      </c>
      <c r="N37" s="35">
        <f>IF(N(D37)=0,"",E37/D37)</f>
        <v/>
      </c>
      <c r="O37" s="32">
        <f>IF(N(E37)=0,"",C37/E37)</f>
        <v/>
      </c>
      <c r="P37" s="35">
        <f>IF(N(E37)=0,"",F37/E37)</f>
        <v/>
      </c>
      <c r="Q37" s="32">
        <f>IF(N(F37)=0,"",C37/F37)</f>
        <v/>
      </c>
      <c r="R37" s="32">
        <f>IF(N(I37)=0,"",C37/I37)</f>
        <v/>
      </c>
      <c r="S37" s="32">
        <f>IF(N(J37)=0,"",C37/J37)</f>
        <v/>
      </c>
      <c r="T37" s="32">
        <f>IF(N(L37)=0,"",C37/L37)</f>
        <v/>
      </c>
      <c r="U37" s="36">
        <f>IF(N(I37)=0,"",J37/I37)</f>
        <v/>
      </c>
      <c r="V37" s="36">
        <f>IF(N(K37)=0,"",L37/K37)</f>
        <v/>
      </c>
      <c r="W37" s="37">
        <f>IF(N(C37)=0,"",M37/C37)</f>
        <v/>
      </c>
    </row>
    <row r="38">
      <c r="A38" s="11" t="n">
        <v>46419</v>
      </c>
      <c r="B38" t="inlineStr">
        <is>
          <t>S-FR | Corporatif &amp; Fêtes</t>
        </is>
      </c>
      <c r="C38" s="32">
        <f>SUMIFS('Saisie hebdo'!$E$5:$E$2000,'Saisie hebdo'!$B$5:$B$2000,$A38,'Saisie hebdo'!$C$5:$C$2000,$B38)</f>
        <v/>
      </c>
      <c r="D38" s="33">
        <f>SUMIFS('Saisie hebdo'!$F$5:$F$2000,'Saisie hebdo'!$B$5:$B$2000,$A38,'Saisie hebdo'!$C$5:$C$2000,$B38)</f>
        <v/>
      </c>
      <c r="E38" s="33">
        <f>SUMIFS('Saisie hebdo'!$G$5:$G$2000,'Saisie hebdo'!$B$5:$B$2000,$A38,'Saisie hebdo'!$C$5:$C$2000,$B38)</f>
        <v/>
      </c>
      <c r="F38" s="34">
        <f>SUMIFS('Saisie hebdo'!$H$5:$H$2000,'Saisie hebdo'!$B$5:$B$2000,$A38,'Saisie hebdo'!$C$5:$C$2000,$B38)</f>
        <v/>
      </c>
      <c r="G38" s="35">
        <f>IFERROR(AVERAGEIFS('Saisie hebdo'!$I$5:$I$2000,'Saisie hebdo'!$B$5:$B$2000,$A38,'Saisie hebdo'!$C$5:$C$2000,$B38),"")</f>
        <v/>
      </c>
      <c r="H38" s="35">
        <f>IFERROR(AVERAGEIFS('Saisie hebdo'!$J$5:$J$2000,'Saisie hebdo'!$B$5:$B$2000,$A38,'Saisie hebdo'!$C$5:$C$2000,$B38),"")</f>
        <v/>
      </c>
      <c r="I38" s="33">
        <f>SUMIFS('Saisie hebdo'!$K$5:$K$2000,'Saisie hebdo'!$B$5:$B$2000,$A38,'Saisie hebdo'!$C$5:$C$2000,$B38)</f>
        <v/>
      </c>
      <c r="J38" s="33">
        <f>SUMIFS('Saisie hebdo'!$L$5:$L$2000,'Saisie hebdo'!$B$5:$B$2000,$A38,'Saisie hebdo'!$C$5:$C$2000,$B38)</f>
        <v/>
      </c>
      <c r="K38" s="33">
        <f>SUMIFS('Saisie hebdo'!$M$5:$M$2000,'Saisie hebdo'!$B$5:$B$2000,$A38,'Saisie hebdo'!$C$5:$C$2000,$B38)</f>
        <v/>
      </c>
      <c r="L38" s="33">
        <f>SUMIFS('Saisie hebdo'!$N$5:$N$2000,'Saisie hebdo'!$B$5:$B$2000,$A38,'Saisie hebdo'!$C$5:$C$2000,$B38)</f>
        <v/>
      </c>
      <c r="M38" s="32">
        <f>SUMIFS('Saisie hebdo'!$O$5:$O$2000,'Saisie hebdo'!$B$5:$B$2000,$A38,'Saisie hebdo'!$C$5:$C$2000,$B38)</f>
        <v/>
      </c>
      <c r="N38" s="35">
        <f>IF(N(D38)=0,"",E38/D38)</f>
        <v/>
      </c>
      <c r="O38" s="32">
        <f>IF(N(E38)=0,"",C38/E38)</f>
        <v/>
      </c>
      <c r="P38" s="35">
        <f>IF(N(E38)=0,"",F38/E38)</f>
        <v/>
      </c>
      <c r="Q38" s="32">
        <f>IF(N(F38)=0,"",C38/F38)</f>
        <v/>
      </c>
      <c r="R38" s="32">
        <f>IF(N(I38)=0,"",C38/I38)</f>
        <v/>
      </c>
      <c r="S38" s="32">
        <f>IF(N(J38)=0,"",C38/J38)</f>
        <v/>
      </c>
      <c r="T38" s="32">
        <f>IF(N(L38)=0,"",C38/L38)</f>
        <v/>
      </c>
      <c r="U38" s="36">
        <f>IF(N(I38)=0,"",J38/I38)</f>
        <v/>
      </c>
      <c r="V38" s="36">
        <f>IF(N(K38)=0,"",L38/K38)</f>
        <v/>
      </c>
      <c r="W38" s="37">
        <f>IF(N(C38)=0,"",M38/C38)</f>
        <v/>
      </c>
    </row>
    <row r="39">
      <c r="A39" s="11" t="n">
        <v>46419</v>
      </c>
      <c r="B39" t="inlineStr">
        <is>
          <t>S-FR | Événements privés</t>
        </is>
      </c>
      <c r="C39" s="32">
        <f>SUMIFS('Saisie hebdo'!$E$5:$E$2000,'Saisie hebdo'!$B$5:$B$2000,$A39,'Saisie hebdo'!$C$5:$C$2000,$B39)</f>
        <v/>
      </c>
      <c r="D39" s="33">
        <f>SUMIFS('Saisie hebdo'!$F$5:$F$2000,'Saisie hebdo'!$B$5:$B$2000,$A39,'Saisie hebdo'!$C$5:$C$2000,$B39)</f>
        <v/>
      </c>
      <c r="E39" s="33">
        <f>SUMIFS('Saisie hebdo'!$G$5:$G$2000,'Saisie hebdo'!$B$5:$B$2000,$A39,'Saisie hebdo'!$C$5:$C$2000,$B39)</f>
        <v/>
      </c>
      <c r="F39" s="34">
        <f>SUMIFS('Saisie hebdo'!$H$5:$H$2000,'Saisie hebdo'!$B$5:$B$2000,$A39,'Saisie hebdo'!$C$5:$C$2000,$B39)</f>
        <v/>
      </c>
      <c r="G39" s="35">
        <f>IFERROR(AVERAGEIFS('Saisie hebdo'!$I$5:$I$2000,'Saisie hebdo'!$B$5:$B$2000,$A39,'Saisie hebdo'!$C$5:$C$2000,$B39),"")</f>
        <v/>
      </c>
      <c r="H39" s="35">
        <f>IFERROR(AVERAGEIFS('Saisie hebdo'!$J$5:$J$2000,'Saisie hebdo'!$B$5:$B$2000,$A39,'Saisie hebdo'!$C$5:$C$2000,$B39),"")</f>
        <v/>
      </c>
      <c r="I39" s="33">
        <f>SUMIFS('Saisie hebdo'!$K$5:$K$2000,'Saisie hebdo'!$B$5:$B$2000,$A39,'Saisie hebdo'!$C$5:$C$2000,$B39)</f>
        <v/>
      </c>
      <c r="J39" s="33">
        <f>SUMIFS('Saisie hebdo'!$L$5:$L$2000,'Saisie hebdo'!$B$5:$B$2000,$A39,'Saisie hebdo'!$C$5:$C$2000,$B39)</f>
        <v/>
      </c>
      <c r="K39" s="33">
        <f>SUMIFS('Saisie hebdo'!$M$5:$M$2000,'Saisie hebdo'!$B$5:$B$2000,$A39,'Saisie hebdo'!$C$5:$C$2000,$B39)</f>
        <v/>
      </c>
      <c r="L39" s="33">
        <f>SUMIFS('Saisie hebdo'!$N$5:$N$2000,'Saisie hebdo'!$B$5:$B$2000,$A39,'Saisie hebdo'!$C$5:$C$2000,$B39)</f>
        <v/>
      </c>
      <c r="M39" s="32">
        <f>SUMIFS('Saisie hebdo'!$O$5:$O$2000,'Saisie hebdo'!$B$5:$B$2000,$A39,'Saisie hebdo'!$C$5:$C$2000,$B39)</f>
        <v/>
      </c>
      <c r="N39" s="35">
        <f>IF(N(D39)=0,"",E39/D39)</f>
        <v/>
      </c>
      <c r="O39" s="32">
        <f>IF(N(E39)=0,"",C39/E39)</f>
        <v/>
      </c>
      <c r="P39" s="35">
        <f>IF(N(E39)=0,"",F39/E39)</f>
        <v/>
      </c>
      <c r="Q39" s="32">
        <f>IF(N(F39)=0,"",C39/F39)</f>
        <v/>
      </c>
      <c r="R39" s="32">
        <f>IF(N(I39)=0,"",C39/I39)</f>
        <v/>
      </c>
      <c r="S39" s="32">
        <f>IF(N(J39)=0,"",C39/J39)</f>
        <v/>
      </c>
      <c r="T39" s="32">
        <f>IF(N(L39)=0,"",C39/L39)</f>
        <v/>
      </c>
      <c r="U39" s="36">
        <f>IF(N(I39)=0,"",J39/I39)</f>
        <v/>
      </c>
      <c r="V39" s="36">
        <f>IF(N(K39)=0,"",L39/K39)</f>
        <v/>
      </c>
      <c r="W39" s="37">
        <f>IF(N(C39)=0,"",M39/C39)</f>
        <v/>
      </c>
    </row>
    <row r="40">
      <c r="A40" s="11" t="n">
        <v>46419</v>
      </c>
      <c r="B40" t="inlineStr">
        <is>
          <t>S-EN | Corporate Montréal</t>
        </is>
      </c>
      <c r="C40" s="32">
        <f>SUMIFS('Saisie hebdo'!$E$5:$E$2000,'Saisie hebdo'!$B$5:$B$2000,$A40,'Saisie hebdo'!$C$5:$C$2000,$B40)</f>
        <v/>
      </c>
      <c r="D40" s="33">
        <f>SUMIFS('Saisie hebdo'!$F$5:$F$2000,'Saisie hebdo'!$B$5:$B$2000,$A40,'Saisie hebdo'!$C$5:$C$2000,$B40)</f>
        <v/>
      </c>
      <c r="E40" s="33">
        <f>SUMIFS('Saisie hebdo'!$G$5:$G$2000,'Saisie hebdo'!$B$5:$B$2000,$A40,'Saisie hebdo'!$C$5:$C$2000,$B40)</f>
        <v/>
      </c>
      <c r="F40" s="34">
        <f>SUMIFS('Saisie hebdo'!$H$5:$H$2000,'Saisie hebdo'!$B$5:$B$2000,$A40,'Saisie hebdo'!$C$5:$C$2000,$B40)</f>
        <v/>
      </c>
      <c r="G40" s="35">
        <f>IFERROR(AVERAGEIFS('Saisie hebdo'!$I$5:$I$2000,'Saisie hebdo'!$B$5:$B$2000,$A40,'Saisie hebdo'!$C$5:$C$2000,$B40),"")</f>
        <v/>
      </c>
      <c r="H40" s="35">
        <f>IFERROR(AVERAGEIFS('Saisie hebdo'!$J$5:$J$2000,'Saisie hebdo'!$B$5:$B$2000,$A40,'Saisie hebdo'!$C$5:$C$2000,$B40),"")</f>
        <v/>
      </c>
      <c r="I40" s="33">
        <f>SUMIFS('Saisie hebdo'!$K$5:$K$2000,'Saisie hebdo'!$B$5:$B$2000,$A40,'Saisie hebdo'!$C$5:$C$2000,$B40)</f>
        <v/>
      </c>
      <c r="J40" s="33">
        <f>SUMIFS('Saisie hebdo'!$L$5:$L$2000,'Saisie hebdo'!$B$5:$B$2000,$A40,'Saisie hebdo'!$C$5:$C$2000,$B40)</f>
        <v/>
      </c>
      <c r="K40" s="33">
        <f>SUMIFS('Saisie hebdo'!$M$5:$M$2000,'Saisie hebdo'!$B$5:$B$2000,$A40,'Saisie hebdo'!$C$5:$C$2000,$B40)</f>
        <v/>
      </c>
      <c r="L40" s="33">
        <f>SUMIFS('Saisie hebdo'!$N$5:$N$2000,'Saisie hebdo'!$B$5:$B$2000,$A40,'Saisie hebdo'!$C$5:$C$2000,$B40)</f>
        <v/>
      </c>
      <c r="M40" s="32">
        <f>SUMIFS('Saisie hebdo'!$O$5:$O$2000,'Saisie hebdo'!$B$5:$B$2000,$A40,'Saisie hebdo'!$C$5:$C$2000,$B40)</f>
        <v/>
      </c>
      <c r="N40" s="35">
        <f>IF(N(D40)=0,"",E40/D40)</f>
        <v/>
      </c>
      <c r="O40" s="32">
        <f>IF(N(E40)=0,"",C40/E40)</f>
        <v/>
      </c>
      <c r="P40" s="35">
        <f>IF(N(E40)=0,"",F40/E40)</f>
        <v/>
      </c>
      <c r="Q40" s="32">
        <f>IF(N(F40)=0,"",C40/F40)</f>
        <v/>
      </c>
      <c r="R40" s="32">
        <f>IF(N(I40)=0,"",C40/I40)</f>
        <v/>
      </c>
      <c r="S40" s="32">
        <f>IF(N(J40)=0,"",C40/J40)</f>
        <v/>
      </c>
      <c r="T40" s="32">
        <f>IF(N(L40)=0,"",C40/L40)</f>
        <v/>
      </c>
      <c r="U40" s="36">
        <f>IF(N(I40)=0,"",J40/I40)</f>
        <v/>
      </c>
      <c r="V40" s="36">
        <f>IF(N(K40)=0,"",L40/K40)</f>
        <v/>
      </c>
      <c r="W40" s="37">
        <f>IF(N(C40)=0,"",M40/C40)</f>
        <v/>
      </c>
    </row>
    <row r="41">
      <c r="A41" s="11" t="n">
        <v>46419</v>
      </c>
      <c r="B41" t="inlineStr">
        <is>
          <t>S-FR | Québec-Lévis (test)</t>
        </is>
      </c>
      <c r="C41" s="32">
        <f>SUMIFS('Saisie hebdo'!$E$5:$E$2000,'Saisie hebdo'!$B$5:$B$2000,$A41,'Saisie hebdo'!$C$5:$C$2000,$B41)</f>
        <v/>
      </c>
      <c r="D41" s="33">
        <f>SUMIFS('Saisie hebdo'!$F$5:$F$2000,'Saisie hebdo'!$B$5:$B$2000,$A41,'Saisie hebdo'!$C$5:$C$2000,$B41)</f>
        <v/>
      </c>
      <c r="E41" s="33">
        <f>SUMIFS('Saisie hebdo'!$G$5:$G$2000,'Saisie hebdo'!$B$5:$B$2000,$A41,'Saisie hebdo'!$C$5:$C$2000,$B41)</f>
        <v/>
      </c>
      <c r="F41" s="34">
        <f>SUMIFS('Saisie hebdo'!$H$5:$H$2000,'Saisie hebdo'!$B$5:$B$2000,$A41,'Saisie hebdo'!$C$5:$C$2000,$B41)</f>
        <v/>
      </c>
      <c r="G41" s="35">
        <f>IFERROR(AVERAGEIFS('Saisie hebdo'!$I$5:$I$2000,'Saisie hebdo'!$B$5:$B$2000,$A41,'Saisie hebdo'!$C$5:$C$2000,$B41),"")</f>
        <v/>
      </c>
      <c r="H41" s="35">
        <f>IFERROR(AVERAGEIFS('Saisie hebdo'!$J$5:$J$2000,'Saisie hebdo'!$B$5:$B$2000,$A41,'Saisie hebdo'!$C$5:$C$2000,$B41),"")</f>
        <v/>
      </c>
      <c r="I41" s="33">
        <f>SUMIFS('Saisie hebdo'!$K$5:$K$2000,'Saisie hebdo'!$B$5:$B$2000,$A41,'Saisie hebdo'!$C$5:$C$2000,$B41)</f>
        <v/>
      </c>
      <c r="J41" s="33">
        <f>SUMIFS('Saisie hebdo'!$L$5:$L$2000,'Saisie hebdo'!$B$5:$B$2000,$A41,'Saisie hebdo'!$C$5:$C$2000,$B41)</f>
        <v/>
      </c>
      <c r="K41" s="33">
        <f>SUMIFS('Saisie hebdo'!$M$5:$M$2000,'Saisie hebdo'!$B$5:$B$2000,$A41,'Saisie hebdo'!$C$5:$C$2000,$B41)</f>
        <v/>
      </c>
      <c r="L41" s="33">
        <f>SUMIFS('Saisie hebdo'!$N$5:$N$2000,'Saisie hebdo'!$B$5:$B$2000,$A41,'Saisie hebdo'!$C$5:$C$2000,$B41)</f>
        <v/>
      </c>
      <c r="M41" s="32">
        <f>SUMIFS('Saisie hebdo'!$O$5:$O$2000,'Saisie hebdo'!$B$5:$B$2000,$A41,'Saisie hebdo'!$C$5:$C$2000,$B41)</f>
        <v/>
      </c>
      <c r="N41" s="35">
        <f>IF(N(D41)=0,"",E41/D41)</f>
        <v/>
      </c>
      <c r="O41" s="32">
        <f>IF(N(E41)=0,"",C41/E41)</f>
        <v/>
      </c>
      <c r="P41" s="35">
        <f>IF(N(E41)=0,"",F41/E41)</f>
        <v/>
      </c>
      <c r="Q41" s="32">
        <f>IF(N(F41)=0,"",C41/F41)</f>
        <v/>
      </c>
      <c r="R41" s="32">
        <f>IF(N(I41)=0,"",C41/I41)</f>
        <v/>
      </c>
      <c r="S41" s="32">
        <f>IF(N(J41)=0,"",C41/J41)</f>
        <v/>
      </c>
      <c r="T41" s="32">
        <f>IF(N(L41)=0,"",C41/L41)</f>
        <v/>
      </c>
      <c r="U41" s="36">
        <f>IF(N(I41)=0,"",J41/I41)</f>
        <v/>
      </c>
      <c r="V41" s="36">
        <f>IF(N(K41)=0,"",L41/K41)</f>
        <v/>
      </c>
      <c r="W41" s="37">
        <f>IF(N(C41)=0,"",M41/C41)</f>
        <v/>
      </c>
    </row>
    <row r="42">
      <c r="A42" s="11" t="n">
        <v>46419</v>
      </c>
      <c r="B42" t="inlineStr">
        <is>
          <t>Demand Gen</t>
        </is>
      </c>
      <c r="C42" s="32">
        <f>SUMIFS('Saisie hebdo'!$E$5:$E$2000,'Saisie hebdo'!$B$5:$B$2000,$A42,'Saisie hebdo'!$C$5:$C$2000,$B42)</f>
        <v/>
      </c>
      <c r="D42" s="33">
        <f>SUMIFS('Saisie hebdo'!$F$5:$F$2000,'Saisie hebdo'!$B$5:$B$2000,$A42,'Saisie hebdo'!$C$5:$C$2000,$B42)</f>
        <v/>
      </c>
      <c r="E42" s="33">
        <f>SUMIFS('Saisie hebdo'!$G$5:$G$2000,'Saisie hebdo'!$B$5:$B$2000,$A42,'Saisie hebdo'!$C$5:$C$2000,$B42)</f>
        <v/>
      </c>
      <c r="F42" s="34">
        <f>SUMIFS('Saisie hebdo'!$H$5:$H$2000,'Saisie hebdo'!$B$5:$B$2000,$A42,'Saisie hebdo'!$C$5:$C$2000,$B42)</f>
        <v/>
      </c>
      <c r="G42" s="35">
        <f>IFERROR(AVERAGEIFS('Saisie hebdo'!$I$5:$I$2000,'Saisie hebdo'!$B$5:$B$2000,$A42,'Saisie hebdo'!$C$5:$C$2000,$B42),"")</f>
        <v/>
      </c>
      <c r="H42" s="35">
        <f>IFERROR(AVERAGEIFS('Saisie hebdo'!$J$5:$J$2000,'Saisie hebdo'!$B$5:$B$2000,$A42,'Saisie hebdo'!$C$5:$C$2000,$B42),"")</f>
        <v/>
      </c>
      <c r="I42" s="33">
        <f>SUMIFS('Saisie hebdo'!$K$5:$K$2000,'Saisie hebdo'!$B$5:$B$2000,$A42,'Saisie hebdo'!$C$5:$C$2000,$B42)</f>
        <v/>
      </c>
      <c r="J42" s="33">
        <f>SUMIFS('Saisie hebdo'!$L$5:$L$2000,'Saisie hebdo'!$B$5:$B$2000,$A42,'Saisie hebdo'!$C$5:$C$2000,$B42)</f>
        <v/>
      </c>
      <c r="K42" s="33">
        <f>SUMIFS('Saisie hebdo'!$M$5:$M$2000,'Saisie hebdo'!$B$5:$B$2000,$A42,'Saisie hebdo'!$C$5:$C$2000,$B42)</f>
        <v/>
      </c>
      <c r="L42" s="33">
        <f>SUMIFS('Saisie hebdo'!$N$5:$N$2000,'Saisie hebdo'!$B$5:$B$2000,$A42,'Saisie hebdo'!$C$5:$C$2000,$B42)</f>
        <v/>
      </c>
      <c r="M42" s="32">
        <f>SUMIFS('Saisie hebdo'!$O$5:$O$2000,'Saisie hebdo'!$B$5:$B$2000,$A42,'Saisie hebdo'!$C$5:$C$2000,$B42)</f>
        <v/>
      </c>
      <c r="N42" s="35">
        <f>IF(N(D42)=0,"",E42/D42)</f>
        <v/>
      </c>
      <c r="O42" s="32">
        <f>IF(N(E42)=0,"",C42/E42)</f>
        <v/>
      </c>
      <c r="P42" s="35">
        <f>IF(N(E42)=0,"",F42/E42)</f>
        <v/>
      </c>
      <c r="Q42" s="32">
        <f>IF(N(F42)=0,"",C42/F42)</f>
        <v/>
      </c>
      <c r="R42" s="32">
        <f>IF(N(I42)=0,"",C42/I42)</f>
        <v/>
      </c>
      <c r="S42" s="32">
        <f>IF(N(J42)=0,"",C42/J42)</f>
        <v/>
      </c>
      <c r="T42" s="32">
        <f>IF(N(L42)=0,"",C42/L42)</f>
        <v/>
      </c>
      <c r="U42" s="36">
        <f>IF(N(I42)=0,"",J42/I42)</f>
        <v/>
      </c>
      <c r="V42" s="36">
        <f>IF(N(K42)=0,"",L42/K42)</f>
        <v/>
      </c>
      <c r="W42" s="37">
        <f>IF(N(C42)=0,"",M42/C42)</f>
        <v/>
      </c>
    </row>
    <row r="43">
      <c r="A43" s="11" t="n">
        <v>46419</v>
      </c>
      <c r="B43" t="inlineStr">
        <is>
          <t>Microsoft Ads</t>
        </is>
      </c>
      <c r="C43" s="32">
        <f>SUMIFS('Saisie hebdo'!$E$5:$E$2000,'Saisie hebdo'!$B$5:$B$2000,$A43,'Saisie hebdo'!$C$5:$C$2000,$B43)</f>
        <v/>
      </c>
      <c r="D43" s="33">
        <f>SUMIFS('Saisie hebdo'!$F$5:$F$2000,'Saisie hebdo'!$B$5:$B$2000,$A43,'Saisie hebdo'!$C$5:$C$2000,$B43)</f>
        <v/>
      </c>
      <c r="E43" s="33">
        <f>SUMIFS('Saisie hebdo'!$G$5:$G$2000,'Saisie hebdo'!$B$5:$B$2000,$A43,'Saisie hebdo'!$C$5:$C$2000,$B43)</f>
        <v/>
      </c>
      <c r="F43" s="34">
        <f>SUMIFS('Saisie hebdo'!$H$5:$H$2000,'Saisie hebdo'!$B$5:$B$2000,$A43,'Saisie hebdo'!$C$5:$C$2000,$B43)</f>
        <v/>
      </c>
      <c r="G43" s="35">
        <f>IFERROR(AVERAGEIFS('Saisie hebdo'!$I$5:$I$2000,'Saisie hebdo'!$B$5:$B$2000,$A43,'Saisie hebdo'!$C$5:$C$2000,$B43),"")</f>
        <v/>
      </c>
      <c r="H43" s="35">
        <f>IFERROR(AVERAGEIFS('Saisie hebdo'!$J$5:$J$2000,'Saisie hebdo'!$B$5:$B$2000,$A43,'Saisie hebdo'!$C$5:$C$2000,$B43),"")</f>
        <v/>
      </c>
      <c r="I43" s="33">
        <f>SUMIFS('Saisie hebdo'!$K$5:$K$2000,'Saisie hebdo'!$B$5:$B$2000,$A43,'Saisie hebdo'!$C$5:$C$2000,$B43)</f>
        <v/>
      </c>
      <c r="J43" s="33">
        <f>SUMIFS('Saisie hebdo'!$L$5:$L$2000,'Saisie hebdo'!$B$5:$B$2000,$A43,'Saisie hebdo'!$C$5:$C$2000,$B43)</f>
        <v/>
      </c>
      <c r="K43" s="33">
        <f>SUMIFS('Saisie hebdo'!$M$5:$M$2000,'Saisie hebdo'!$B$5:$B$2000,$A43,'Saisie hebdo'!$C$5:$C$2000,$B43)</f>
        <v/>
      </c>
      <c r="L43" s="33">
        <f>SUMIFS('Saisie hebdo'!$N$5:$N$2000,'Saisie hebdo'!$B$5:$B$2000,$A43,'Saisie hebdo'!$C$5:$C$2000,$B43)</f>
        <v/>
      </c>
      <c r="M43" s="32">
        <f>SUMIFS('Saisie hebdo'!$O$5:$O$2000,'Saisie hebdo'!$B$5:$B$2000,$A43,'Saisie hebdo'!$C$5:$C$2000,$B43)</f>
        <v/>
      </c>
      <c r="N43" s="35">
        <f>IF(N(D43)=0,"",E43/D43)</f>
        <v/>
      </c>
      <c r="O43" s="32">
        <f>IF(N(E43)=0,"",C43/E43)</f>
        <v/>
      </c>
      <c r="P43" s="35">
        <f>IF(N(E43)=0,"",F43/E43)</f>
        <v/>
      </c>
      <c r="Q43" s="32">
        <f>IF(N(F43)=0,"",C43/F43)</f>
        <v/>
      </c>
      <c r="R43" s="32">
        <f>IF(N(I43)=0,"",C43/I43)</f>
        <v/>
      </c>
      <c r="S43" s="32">
        <f>IF(N(J43)=0,"",C43/J43)</f>
        <v/>
      </c>
      <c r="T43" s="32">
        <f>IF(N(L43)=0,"",C43/L43)</f>
        <v/>
      </c>
      <c r="U43" s="36">
        <f>IF(N(I43)=0,"",J43/I43)</f>
        <v/>
      </c>
      <c r="V43" s="36">
        <f>IF(N(K43)=0,"",L43/K43)</f>
        <v/>
      </c>
      <c r="W43" s="37">
        <f>IF(N(C43)=0,"",M43/C43)</f>
        <v/>
      </c>
    </row>
    <row r="44">
      <c r="A44" s="38" t="n">
        <v>46419</v>
      </c>
      <c r="B44" s="39" t="inlineStr">
        <is>
          <t>Total du compte</t>
        </is>
      </c>
      <c r="C44" s="40">
        <f>SUMIFS('Saisie hebdo'!$E$5:$E$2000,'Saisie hebdo'!$B$5:$B$2000,$A44)</f>
        <v/>
      </c>
      <c r="D44" s="41">
        <f>SUMIFS('Saisie hebdo'!$F$5:$F$2000,'Saisie hebdo'!$B$5:$B$2000,$A44)</f>
        <v/>
      </c>
      <c r="E44" s="41">
        <f>SUMIFS('Saisie hebdo'!$G$5:$G$2000,'Saisie hebdo'!$B$5:$B$2000,$A44)</f>
        <v/>
      </c>
      <c r="F44" s="42">
        <f>SUMIFS('Saisie hebdo'!$H$5:$H$2000,'Saisie hebdo'!$B$5:$B$2000,$A44)</f>
        <v/>
      </c>
      <c r="G44" s="43">
        <f>IFERROR(AVERAGEIFS('Saisie hebdo'!$I$5:$I$2000,'Saisie hebdo'!$B$5:$B$2000,$A44),"")</f>
        <v/>
      </c>
      <c r="H44" s="43">
        <f>IFERROR(AVERAGEIFS('Saisie hebdo'!$J$5:$J$2000,'Saisie hebdo'!$B$5:$B$2000,$A44),"")</f>
        <v/>
      </c>
      <c r="I44" s="41">
        <f>SUMIFS('Saisie hebdo'!$K$5:$K$2000,'Saisie hebdo'!$B$5:$B$2000,$A44)</f>
        <v/>
      </c>
      <c r="J44" s="41">
        <f>SUMIFS('Saisie hebdo'!$L$5:$L$2000,'Saisie hebdo'!$B$5:$B$2000,$A44)</f>
        <v/>
      </c>
      <c r="K44" s="41">
        <f>SUMIFS('Saisie hebdo'!$M$5:$M$2000,'Saisie hebdo'!$B$5:$B$2000,$A44)</f>
        <v/>
      </c>
      <c r="L44" s="41">
        <f>SUMIFS('Saisie hebdo'!$N$5:$N$2000,'Saisie hebdo'!$B$5:$B$2000,$A44)</f>
        <v/>
      </c>
      <c r="M44" s="40">
        <f>SUMIFS('Saisie hebdo'!$O$5:$O$2000,'Saisie hebdo'!$B$5:$B$2000,$A44)</f>
        <v/>
      </c>
      <c r="N44" s="43">
        <f>IF(N(D44)=0,"",E44/D44)</f>
        <v/>
      </c>
      <c r="O44" s="40">
        <f>IF(N(E44)=0,"",C44/E44)</f>
        <v/>
      </c>
      <c r="P44" s="43">
        <f>IF(N(E44)=0,"",F44/E44)</f>
        <v/>
      </c>
      <c r="Q44" s="40">
        <f>IF(N(F44)=0,"",C44/F44)</f>
        <v/>
      </c>
      <c r="R44" s="40">
        <f>IF(N(I44)=0,"",C44/I44)</f>
        <v/>
      </c>
      <c r="S44" s="40">
        <f>IF(N(J44)=0,"",C44/J44)</f>
        <v/>
      </c>
      <c r="T44" s="40">
        <f>IF(N(L44)=0,"",C44/L44)</f>
        <v/>
      </c>
      <c r="U44" s="44">
        <f>IF(N(I44)=0,"",J44/I44)</f>
        <v/>
      </c>
      <c r="V44" s="44">
        <f>IF(N(K44)=0,"",L44/K44)</f>
        <v/>
      </c>
      <c r="W44" s="45">
        <f>IF(N(C44)=0,"",M44/C44)</f>
        <v/>
      </c>
    </row>
    <row r="45">
      <c r="A45" s="11" t="n">
        <v>46447</v>
      </c>
      <c r="B45" t="inlineStr">
        <is>
          <t>S-FR | Marque</t>
        </is>
      </c>
      <c r="C45" s="32">
        <f>SUMIFS('Saisie hebdo'!$E$5:$E$2000,'Saisie hebdo'!$B$5:$B$2000,$A45,'Saisie hebdo'!$C$5:$C$2000,$B45)</f>
        <v/>
      </c>
      <c r="D45" s="33">
        <f>SUMIFS('Saisie hebdo'!$F$5:$F$2000,'Saisie hebdo'!$B$5:$B$2000,$A45,'Saisie hebdo'!$C$5:$C$2000,$B45)</f>
        <v/>
      </c>
      <c r="E45" s="33">
        <f>SUMIFS('Saisie hebdo'!$G$5:$G$2000,'Saisie hebdo'!$B$5:$B$2000,$A45,'Saisie hebdo'!$C$5:$C$2000,$B45)</f>
        <v/>
      </c>
      <c r="F45" s="34">
        <f>SUMIFS('Saisie hebdo'!$H$5:$H$2000,'Saisie hebdo'!$B$5:$B$2000,$A45,'Saisie hebdo'!$C$5:$C$2000,$B45)</f>
        <v/>
      </c>
      <c r="G45" s="35">
        <f>IFERROR(AVERAGEIFS('Saisie hebdo'!$I$5:$I$2000,'Saisie hebdo'!$B$5:$B$2000,$A45,'Saisie hebdo'!$C$5:$C$2000,$B45),"")</f>
        <v/>
      </c>
      <c r="H45" s="35">
        <f>IFERROR(AVERAGEIFS('Saisie hebdo'!$J$5:$J$2000,'Saisie hebdo'!$B$5:$B$2000,$A45,'Saisie hebdo'!$C$5:$C$2000,$B45),"")</f>
        <v/>
      </c>
      <c r="I45" s="33">
        <f>SUMIFS('Saisie hebdo'!$K$5:$K$2000,'Saisie hebdo'!$B$5:$B$2000,$A45,'Saisie hebdo'!$C$5:$C$2000,$B45)</f>
        <v/>
      </c>
      <c r="J45" s="33">
        <f>SUMIFS('Saisie hebdo'!$L$5:$L$2000,'Saisie hebdo'!$B$5:$B$2000,$A45,'Saisie hebdo'!$C$5:$C$2000,$B45)</f>
        <v/>
      </c>
      <c r="K45" s="33">
        <f>SUMIFS('Saisie hebdo'!$M$5:$M$2000,'Saisie hebdo'!$B$5:$B$2000,$A45,'Saisie hebdo'!$C$5:$C$2000,$B45)</f>
        <v/>
      </c>
      <c r="L45" s="33">
        <f>SUMIFS('Saisie hebdo'!$N$5:$N$2000,'Saisie hebdo'!$B$5:$B$2000,$A45,'Saisie hebdo'!$C$5:$C$2000,$B45)</f>
        <v/>
      </c>
      <c r="M45" s="32">
        <f>SUMIFS('Saisie hebdo'!$O$5:$O$2000,'Saisie hebdo'!$B$5:$B$2000,$A45,'Saisie hebdo'!$C$5:$C$2000,$B45)</f>
        <v/>
      </c>
      <c r="N45" s="35">
        <f>IF(N(D45)=0,"",E45/D45)</f>
        <v/>
      </c>
      <c r="O45" s="32">
        <f>IF(N(E45)=0,"",C45/E45)</f>
        <v/>
      </c>
      <c r="P45" s="35">
        <f>IF(N(E45)=0,"",F45/E45)</f>
        <v/>
      </c>
      <c r="Q45" s="32">
        <f>IF(N(F45)=0,"",C45/F45)</f>
        <v/>
      </c>
      <c r="R45" s="32">
        <f>IF(N(I45)=0,"",C45/I45)</f>
        <v/>
      </c>
      <c r="S45" s="32">
        <f>IF(N(J45)=0,"",C45/J45)</f>
        <v/>
      </c>
      <c r="T45" s="32">
        <f>IF(N(L45)=0,"",C45/L45)</f>
        <v/>
      </c>
      <c r="U45" s="36">
        <f>IF(N(I45)=0,"",J45/I45)</f>
        <v/>
      </c>
      <c r="V45" s="36">
        <f>IF(N(K45)=0,"",L45/K45)</f>
        <v/>
      </c>
      <c r="W45" s="37">
        <f>IF(N(C45)=0,"",M45/C45)</f>
        <v/>
      </c>
    </row>
    <row r="46">
      <c r="A46" s="11" t="n">
        <v>46447</v>
      </c>
      <c r="B46" t="inlineStr">
        <is>
          <t>S-FR | Corporatif &amp; Fêtes</t>
        </is>
      </c>
      <c r="C46" s="32">
        <f>SUMIFS('Saisie hebdo'!$E$5:$E$2000,'Saisie hebdo'!$B$5:$B$2000,$A46,'Saisie hebdo'!$C$5:$C$2000,$B46)</f>
        <v/>
      </c>
      <c r="D46" s="33">
        <f>SUMIFS('Saisie hebdo'!$F$5:$F$2000,'Saisie hebdo'!$B$5:$B$2000,$A46,'Saisie hebdo'!$C$5:$C$2000,$B46)</f>
        <v/>
      </c>
      <c r="E46" s="33">
        <f>SUMIFS('Saisie hebdo'!$G$5:$G$2000,'Saisie hebdo'!$B$5:$B$2000,$A46,'Saisie hebdo'!$C$5:$C$2000,$B46)</f>
        <v/>
      </c>
      <c r="F46" s="34">
        <f>SUMIFS('Saisie hebdo'!$H$5:$H$2000,'Saisie hebdo'!$B$5:$B$2000,$A46,'Saisie hebdo'!$C$5:$C$2000,$B46)</f>
        <v/>
      </c>
      <c r="G46" s="35">
        <f>IFERROR(AVERAGEIFS('Saisie hebdo'!$I$5:$I$2000,'Saisie hebdo'!$B$5:$B$2000,$A46,'Saisie hebdo'!$C$5:$C$2000,$B46),"")</f>
        <v/>
      </c>
      <c r="H46" s="35">
        <f>IFERROR(AVERAGEIFS('Saisie hebdo'!$J$5:$J$2000,'Saisie hebdo'!$B$5:$B$2000,$A46,'Saisie hebdo'!$C$5:$C$2000,$B46),"")</f>
        <v/>
      </c>
      <c r="I46" s="33">
        <f>SUMIFS('Saisie hebdo'!$K$5:$K$2000,'Saisie hebdo'!$B$5:$B$2000,$A46,'Saisie hebdo'!$C$5:$C$2000,$B46)</f>
        <v/>
      </c>
      <c r="J46" s="33">
        <f>SUMIFS('Saisie hebdo'!$L$5:$L$2000,'Saisie hebdo'!$B$5:$B$2000,$A46,'Saisie hebdo'!$C$5:$C$2000,$B46)</f>
        <v/>
      </c>
      <c r="K46" s="33">
        <f>SUMIFS('Saisie hebdo'!$M$5:$M$2000,'Saisie hebdo'!$B$5:$B$2000,$A46,'Saisie hebdo'!$C$5:$C$2000,$B46)</f>
        <v/>
      </c>
      <c r="L46" s="33">
        <f>SUMIFS('Saisie hebdo'!$N$5:$N$2000,'Saisie hebdo'!$B$5:$B$2000,$A46,'Saisie hebdo'!$C$5:$C$2000,$B46)</f>
        <v/>
      </c>
      <c r="M46" s="32">
        <f>SUMIFS('Saisie hebdo'!$O$5:$O$2000,'Saisie hebdo'!$B$5:$B$2000,$A46,'Saisie hebdo'!$C$5:$C$2000,$B46)</f>
        <v/>
      </c>
      <c r="N46" s="35">
        <f>IF(N(D46)=0,"",E46/D46)</f>
        <v/>
      </c>
      <c r="O46" s="32">
        <f>IF(N(E46)=0,"",C46/E46)</f>
        <v/>
      </c>
      <c r="P46" s="35">
        <f>IF(N(E46)=0,"",F46/E46)</f>
        <v/>
      </c>
      <c r="Q46" s="32">
        <f>IF(N(F46)=0,"",C46/F46)</f>
        <v/>
      </c>
      <c r="R46" s="32">
        <f>IF(N(I46)=0,"",C46/I46)</f>
        <v/>
      </c>
      <c r="S46" s="32">
        <f>IF(N(J46)=0,"",C46/J46)</f>
        <v/>
      </c>
      <c r="T46" s="32">
        <f>IF(N(L46)=0,"",C46/L46)</f>
        <v/>
      </c>
      <c r="U46" s="36">
        <f>IF(N(I46)=0,"",J46/I46)</f>
        <v/>
      </c>
      <c r="V46" s="36">
        <f>IF(N(K46)=0,"",L46/K46)</f>
        <v/>
      </c>
      <c r="W46" s="37">
        <f>IF(N(C46)=0,"",M46/C46)</f>
        <v/>
      </c>
    </row>
    <row r="47">
      <c r="A47" s="11" t="n">
        <v>46447</v>
      </c>
      <c r="B47" t="inlineStr">
        <is>
          <t>S-FR | Événements privés</t>
        </is>
      </c>
      <c r="C47" s="32">
        <f>SUMIFS('Saisie hebdo'!$E$5:$E$2000,'Saisie hebdo'!$B$5:$B$2000,$A47,'Saisie hebdo'!$C$5:$C$2000,$B47)</f>
        <v/>
      </c>
      <c r="D47" s="33">
        <f>SUMIFS('Saisie hebdo'!$F$5:$F$2000,'Saisie hebdo'!$B$5:$B$2000,$A47,'Saisie hebdo'!$C$5:$C$2000,$B47)</f>
        <v/>
      </c>
      <c r="E47" s="33">
        <f>SUMIFS('Saisie hebdo'!$G$5:$G$2000,'Saisie hebdo'!$B$5:$B$2000,$A47,'Saisie hebdo'!$C$5:$C$2000,$B47)</f>
        <v/>
      </c>
      <c r="F47" s="34">
        <f>SUMIFS('Saisie hebdo'!$H$5:$H$2000,'Saisie hebdo'!$B$5:$B$2000,$A47,'Saisie hebdo'!$C$5:$C$2000,$B47)</f>
        <v/>
      </c>
      <c r="G47" s="35">
        <f>IFERROR(AVERAGEIFS('Saisie hebdo'!$I$5:$I$2000,'Saisie hebdo'!$B$5:$B$2000,$A47,'Saisie hebdo'!$C$5:$C$2000,$B47),"")</f>
        <v/>
      </c>
      <c r="H47" s="35">
        <f>IFERROR(AVERAGEIFS('Saisie hebdo'!$J$5:$J$2000,'Saisie hebdo'!$B$5:$B$2000,$A47,'Saisie hebdo'!$C$5:$C$2000,$B47),"")</f>
        <v/>
      </c>
      <c r="I47" s="33">
        <f>SUMIFS('Saisie hebdo'!$K$5:$K$2000,'Saisie hebdo'!$B$5:$B$2000,$A47,'Saisie hebdo'!$C$5:$C$2000,$B47)</f>
        <v/>
      </c>
      <c r="J47" s="33">
        <f>SUMIFS('Saisie hebdo'!$L$5:$L$2000,'Saisie hebdo'!$B$5:$B$2000,$A47,'Saisie hebdo'!$C$5:$C$2000,$B47)</f>
        <v/>
      </c>
      <c r="K47" s="33">
        <f>SUMIFS('Saisie hebdo'!$M$5:$M$2000,'Saisie hebdo'!$B$5:$B$2000,$A47,'Saisie hebdo'!$C$5:$C$2000,$B47)</f>
        <v/>
      </c>
      <c r="L47" s="33">
        <f>SUMIFS('Saisie hebdo'!$N$5:$N$2000,'Saisie hebdo'!$B$5:$B$2000,$A47,'Saisie hebdo'!$C$5:$C$2000,$B47)</f>
        <v/>
      </c>
      <c r="M47" s="32">
        <f>SUMIFS('Saisie hebdo'!$O$5:$O$2000,'Saisie hebdo'!$B$5:$B$2000,$A47,'Saisie hebdo'!$C$5:$C$2000,$B47)</f>
        <v/>
      </c>
      <c r="N47" s="35">
        <f>IF(N(D47)=0,"",E47/D47)</f>
        <v/>
      </c>
      <c r="O47" s="32">
        <f>IF(N(E47)=0,"",C47/E47)</f>
        <v/>
      </c>
      <c r="P47" s="35">
        <f>IF(N(E47)=0,"",F47/E47)</f>
        <v/>
      </c>
      <c r="Q47" s="32">
        <f>IF(N(F47)=0,"",C47/F47)</f>
        <v/>
      </c>
      <c r="R47" s="32">
        <f>IF(N(I47)=0,"",C47/I47)</f>
        <v/>
      </c>
      <c r="S47" s="32">
        <f>IF(N(J47)=0,"",C47/J47)</f>
        <v/>
      </c>
      <c r="T47" s="32">
        <f>IF(N(L47)=0,"",C47/L47)</f>
        <v/>
      </c>
      <c r="U47" s="36">
        <f>IF(N(I47)=0,"",J47/I47)</f>
        <v/>
      </c>
      <c r="V47" s="36">
        <f>IF(N(K47)=0,"",L47/K47)</f>
        <v/>
      </c>
      <c r="W47" s="37">
        <f>IF(N(C47)=0,"",M47/C47)</f>
        <v/>
      </c>
    </row>
    <row r="48">
      <c r="A48" s="11" t="n">
        <v>46447</v>
      </c>
      <c r="B48" t="inlineStr">
        <is>
          <t>S-EN | Corporate Montréal</t>
        </is>
      </c>
      <c r="C48" s="32">
        <f>SUMIFS('Saisie hebdo'!$E$5:$E$2000,'Saisie hebdo'!$B$5:$B$2000,$A48,'Saisie hebdo'!$C$5:$C$2000,$B48)</f>
        <v/>
      </c>
      <c r="D48" s="33">
        <f>SUMIFS('Saisie hebdo'!$F$5:$F$2000,'Saisie hebdo'!$B$5:$B$2000,$A48,'Saisie hebdo'!$C$5:$C$2000,$B48)</f>
        <v/>
      </c>
      <c r="E48" s="33">
        <f>SUMIFS('Saisie hebdo'!$G$5:$G$2000,'Saisie hebdo'!$B$5:$B$2000,$A48,'Saisie hebdo'!$C$5:$C$2000,$B48)</f>
        <v/>
      </c>
      <c r="F48" s="34">
        <f>SUMIFS('Saisie hebdo'!$H$5:$H$2000,'Saisie hebdo'!$B$5:$B$2000,$A48,'Saisie hebdo'!$C$5:$C$2000,$B48)</f>
        <v/>
      </c>
      <c r="G48" s="35">
        <f>IFERROR(AVERAGEIFS('Saisie hebdo'!$I$5:$I$2000,'Saisie hebdo'!$B$5:$B$2000,$A48,'Saisie hebdo'!$C$5:$C$2000,$B48),"")</f>
        <v/>
      </c>
      <c r="H48" s="35">
        <f>IFERROR(AVERAGEIFS('Saisie hebdo'!$J$5:$J$2000,'Saisie hebdo'!$B$5:$B$2000,$A48,'Saisie hebdo'!$C$5:$C$2000,$B48),"")</f>
        <v/>
      </c>
      <c r="I48" s="33">
        <f>SUMIFS('Saisie hebdo'!$K$5:$K$2000,'Saisie hebdo'!$B$5:$B$2000,$A48,'Saisie hebdo'!$C$5:$C$2000,$B48)</f>
        <v/>
      </c>
      <c r="J48" s="33">
        <f>SUMIFS('Saisie hebdo'!$L$5:$L$2000,'Saisie hebdo'!$B$5:$B$2000,$A48,'Saisie hebdo'!$C$5:$C$2000,$B48)</f>
        <v/>
      </c>
      <c r="K48" s="33">
        <f>SUMIFS('Saisie hebdo'!$M$5:$M$2000,'Saisie hebdo'!$B$5:$B$2000,$A48,'Saisie hebdo'!$C$5:$C$2000,$B48)</f>
        <v/>
      </c>
      <c r="L48" s="33">
        <f>SUMIFS('Saisie hebdo'!$N$5:$N$2000,'Saisie hebdo'!$B$5:$B$2000,$A48,'Saisie hebdo'!$C$5:$C$2000,$B48)</f>
        <v/>
      </c>
      <c r="M48" s="32">
        <f>SUMIFS('Saisie hebdo'!$O$5:$O$2000,'Saisie hebdo'!$B$5:$B$2000,$A48,'Saisie hebdo'!$C$5:$C$2000,$B48)</f>
        <v/>
      </c>
      <c r="N48" s="35">
        <f>IF(N(D48)=0,"",E48/D48)</f>
        <v/>
      </c>
      <c r="O48" s="32">
        <f>IF(N(E48)=0,"",C48/E48)</f>
        <v/>
      </c>
      <c r="P48" s="35">
        <f>IF(N(E48)=0,"",F48/E48)</f>
        <v/>
      </c>
      <c r="Q48" s="32">
        <f>IF(N(F48)=0,"",C48/F48)</f>
        <v/>
      </c>
      <c r="R48" s="32">
        <f>IF(N(I48)=0,"",C48/I48)</f>
        <v/>
      </c>
      <c r="S48" s="32">
        <f>IF(N(J48)=0,"",C48/J48)</f>
        <v/>
      </c>
      <c r="T48" s="32">
        <f>IF(N(L48)=0,"",C48/L48)</f>
        <v/>
      </c>
      <c r="U48" s="36">
        <f>IF(N(I48)=0,"",J48/I48)</f>
        <v/>
      </c>
      <c r="V48" s="36">
        <f>IF(N(K48)=0,"",L48/K48)</f>
        <v/>
      </c>
      <c r="W48" s="37">
        <f>IF(N(C48)=0,"",M48/C48)</f>
        <v/>
      </c>
    </row>
    <row r="49">
      <c r="A49" s="11" t="n">
        <v>46447</v>
      </c>
      <c r="B49" t="inlineStr">
        <is>
          <t>S-FR | Québec-Lévis (test)</t>
        </is>
      </c>
      <c r="C49" s="32">
        <f>SUMIFS('Saisie hebdo'!$E$5:$E$2000,'Saisie hebdo'!$B$5:$B$2000,$A49,'Saisie hebdo'!$C$5:$C$2000,$B49)</f>
        <v/>
      </c>
      <c r="D49" s="33">
        <f>SUMIFS('Saisie hebdo'!$F$5:$F$2000,'Saisie hebdo'!$B$5:$B$2000,$A49,'Saisie hebdo'!$C$5:$C$2000,$B49)</f>
        <v/>
      </c>
      <c r="E49" s="33">
        <f>SUMIFS('Saisie hebdo'!$G$5:$G$2000,'Saisie hebdo'!$B$5:$B$2000,$A49,'Saisie hebdo'!$C$5:$C$2000,$B49)</f>
        <v/>
      </c>
      <c r="F49" s="34">
        <f>SUMIFS('Saisie hebdo'!$H$5:$H$2000,'Saisie hebdo'!$B$5:$B$2000,$A49,'Saisie hebdo'!$C$5:$C$2000,$B49)</f>
        <v/>
      </c>
      <c r="G49" s="35">
        <f>IFERROR(AVERAGEIFS('Saisie hebdo'!$I$5:$I$2000,'Saisie hebdo'!$B$5:$B$2000,$A49,'Saisie hebdo'!$C$5:$C$2000,$B49),"")</f>
        <v/>
      </c>
      <c r="H49" s="35">
        <f>IFERROR(AVERAGEIFS('Saisie hebdo'!$J$5:$J$2000,'Saisie hebdo'!$B$5:$B$2000,$A49,'Saisie hebdo'!$C$5:$C$2000,$B49),"")</f>
        <v/>
      </c>
      <c r="I49" s="33">
        <f>SUMIFS('Saisie hebdo'!$K$5:$K$2000,'Saisie hebdo'!$B$5:$B$2000,$A49,'Saisie hebdo'!$C$5:$C$2000,$B49)</f>
        <v/>
      </c>
      <c r="J49" s="33">
        <f>SUMIFS('Saisie hebdo'!$L$5:$L$2000,'Saisie hebdo'!$B$5:$B$2000,$A49,'Saisie hebdo'!$C$5:$C$2000,$B49)</f>
        <v/>
      </c>
      <c r="K49" s="33">
        <f>SUMIFS('Saisie hebdo'!$M$5:$M$2000,'Saisie hebdo'!$B$5:$B$2000,$A49,'Saisie hebdo'!$C$5:$C$2000,$B49)</f>
        <v/>
      </c>
      <c r="L49" s="33">
        <f>SUMIFS('Saisie hebdo'!$N$5:$N$2000,'Saisie hebdo'!$B$5:$B$2000,$A49,'Saisie hebdo'!$C$5:$C$2000,$B49)</f>
        <v/>
      </c>
      <c r="M49" s="32">
        <f>SUMIFS('Saisie hebdo'!$O$5:$O$2000,'Saisie hebdo'!$B$5:$B$2000,$A49,'Saisie hebdo'!$C$5:$C$2000,$B49)</f>
        <v/>
      </c>
      <c r="N49" s="35">
        <f>IF(N(D49)=0,"",E49/D49)</f>
        <v/>
      </c>
      <c r="O49" s="32">
        <f>IF(N(E49)=0,"",C49/E49)</f>
        <v/>
      </c>
      <c r="P49" s="35">
        <f>IF(N(E49)=0,"",F49/E49)</f>
        <v/>
      </c>
      <c r="Q49" s="32">
        <f>IF(N(F49)=0,"",C49/F49)</f>
        <v/>
      </c>
      <c r="R49" s="32">
        <f>IF(N(I49)=0,"",C49/I49)</f>
        <v/>
      </c>
      <c r="S49" s="32">
        <f>IF(N(J49)=0,"",C49/J49)</f>
        <v/>
      </c>
      <c r="T49" s="32">
        <f>IF(N(L49)=0,"",C49/L49)</f>
        <v/>
      </c>
      <c r="U49" s="36">
        <f>IF(N(I49)=0,"",J49/I49)</f>
        <v/>
      </c>
      <c r="V49" s="36">
        <f>IF(N(K49)=0,"",L49/K49)</f>
        <v/>
      </c>
      <c r="W49" s="37">
        <f>IF(N(C49)=0,"",M49/C49)</f>
        <v/>
      </c>
    </row>
    <row r="50">
      <c r="A50" s="11" t="n">
        <v>46447</v>
      </c>
      <c r="B50" t="inlineStr">
        <is>
          <t>Demand Gen</t>
        </is>
      </c>
      <c r="C50" s="32">
        <f>SUMIFS('Saisie hebdo'!$E$5:$E$2000,'Saisie hebdo'!$B$5:$B$2000,$A50,'Saisie hebdo'!$C$5:$C$2000,$B50)</f>
        <v/>
      </c>
      <c r="D50" s="33">
        <f>SUMIFS('Saisie hebdo'!$F$5:$F$2000,'Saisie hebdo'!$B$5:$B$2000,$A50,'Saisie hebdo'!$C$5:$C$2000,$B50)</f>
        <v/>
      </c>
      <c r="E50" s="33">
        <f>SUMIFS('Saisie hebdo'!$G$5:$G$2000,'Saisie hebdo'!$B$5:$B$2000,$A50,'Saisie hebdo'!$C$5:$C$2000,$B50)</f>
        <v/>
      </c>
      <c r="F50" s="34">
        <f>SUMIFS('Saisie hebdo'!$H$5:$H$2000,'Saisie hebdo'!$B$5:$B$2000,$A50,'Saisie hebdo'!$C$5:$C$2000,$B50)</f>
        <v/>
      </c>
      <c r="G50" s="35">
        <f>IFERROR(AVERAGEIFS('Saisie hebdo'!$I$5:$I$2000,'Saisie hebdo'!$B$5:$B$2000,$A50,'Saisie hebdo'!$C$5:$C$2000,$B50),"")</f>
        <v/>
      </c>
      <c r="H50" s="35">
        <f>IFERROR(AVERAGEIFS('Saisie hebdo'!$J$5:$J$2000,'Saisie hebdo'!$B$5:$B$2000,$A50,'Saisie hebdo'!$C$5:$C$2000,$B50),"")</f>
        <v/>
      </c>
      <c r="I50" s="33">
        <f>SUMIFS('Saisie hebdo'!$K$5:$K$2000,'Saisie hebdo'!$B$5:$B$2000,$A50,'Saisie hebdo'!$C$5:$C$2000,$B50)</f>
        <v/>
      </c>
      <c r="J50" s="33">
        <f>SUMIFS('Saisie hebdo'!$L$5:$L$2000,'Saisie hebdo'!$B$5:$B$2000,$A50,'Saisie hebdo'!$C$5:$C$2000,$B50)</f>
        <v/>
      </c>
      <c r="K50" s="33">
        <f>SUMIFS('Saisie hebdo'!$M$5:$M$2000,'Saisie hebdo'!$B$5:$B$2000,$A50,'Saisie hebdo'!$C$5:$C$2000,$B50)</f>
        <v/>
      </c>
      <c r="L50" s="33">
        <f>SUMIFS('Saisie hebdo'!$N$5:$N$2000,'Saisie hebdo'!$B$5:$B$2000,$A50,'Saisie hebdo'!$C$5:$C$2000,$B50)</f>
        <v/>
      </c>
      <c r="M50" s="32">
        <f>SUMIFS('Saisie hebdo'!$O$5:$O$2000,'Saisie hebdo'!$B$5:$B$2000,$A50,'Saisie hebdo'!$C$5:$C$2000,$B50)</f>
        <v/>
      </c>
      <c r="N50" s="35">
        <f>IF(N(D50)=0,"",E50/D50)</f>
        <v/>
      </c>
      <c r="O50" s="32">
        <f>IF(N(E50)=0,"",C50/E50)</f>
        <v/>
      </c>
      <c r="P50" s="35">
        <f>IF(N(E50)=0,"",F50/E50)</f>
        <v/>
      </c>
      <c r="Q50" s="32">
        <f>IF(N(F50)=0,"",C50/F50)</f>
        <v/>
      </c>
      <c r="R50" s="32">
        <f>IF(N(I50)=0,"",C50/I50)</f>
        <v/>
      </c>
      <c r="S50" s="32">
        <f>IF(N(J50)=0,"",C50/J50)</f>
        <v/>
      </c>
      <c r="T50" s="32">
        <f>IF(N(L50)=0,"",C50/L50)</f>
        <v/>
      </c>
      <c r="U50" s="36">
        <f>IF(N(I50)=0,"",J50/I50)</f>
        <v/>
      </c>
      <c r="V50" s="36">
        <f>IF(N(K50)=0,"",L50/K50)</f>
        <v/>
      </c>
      <c r="W50" s="37">
        <f>IF(N(C50)=0,"",M50/C50)</f>
        <v/>
      </c>
    </row>
    <row r="51">
      <c r="A51" s="11" t="n">
        <v>46447</v>
      </c>
      <c r="B51" t="inlineStr">
        <is>
          <t>Microsoft Ads</t>
        </is>
      </c>
      <c r="C51" s="32">
        <f>SUMIFS('Saisie hebdo'!$E$5:$E$2000,'Saisie hebdo'!$B$5:$B$2000,$A51,'Saisie hebdo'!$C$5:$C$2000,$B51)</f>
        <v/>
      </c>
      <c r="D51" s="33">
        <f>SUMIFS('Saisie hebdo'!$F$5:$F$2000,'Saisie hebdo'!$B$5:$B$2000,$A51,'Saisie hebdo'!$C$5:$C$2000,$B51)</f>
        <v/>
      </c>
      <c r="E51" s="33">
        <f>SUMIFS('Saisie hebdo'!$G$5:$G$2000,'Saisie hebdo'!$B$5:$B$2000,$A51,'Saisie hebdo'!$C$5:$C$2000,$B51)</f>
        <v/>
      </c>
      <c r="F51" s="34">
        <f>SUMIFS('Saisie hebdo'!$H$5:$H$2000,'Saisie hebdo'!$B$5:$B$2000,$A51,'Saisie hebdo'!$C$5:$C$2000,$B51)</f>
        <v/>
      </c>
      <c r="G51" s="35">
        <f>IFERROR(AVERAGEIFS('Saisie hebdo'!$I$5:$I$2000,'Saisie hebdo'!$B$5:$B$2000,$A51,'Saisie hebdo'!$C$5:$C$2000,$B51),"")</f>
        <v/>
      </c>
      <c r="H51" s="35">
        <f>IFERROR(AVERAGEIFS('Saisie hebdo'!$J$5:$J$2000,'Saisie hebdo'!$B$5:$B$2000,$A51,'Saisie hebdo'!$C$5:$C$2000,$B51),"")</f>
        <v/>
      </c>
      <c r="I51" s="33">
        <f>SUMIFS('Saisie hebdo'!$K$5:$K$2000,'Saisie hebdo'!$B$5:$B$2000,$A51,'Saisie hebdo'!$C$5:$C$2000,$B51)</f>
        <v/>
      </c>
      <c r="J51" s="33">
        <f>SUMIFS('Saisie hebdo'!$L$5:$L$2000,'Saisie hebdo'!$B$5:$B$2000,$A51,'Saisie hebdo'!$C$5:$C$2000,$B51)</f>
        <v/>
      </c>
      <c r="K51" s="33">
        <f>SUMIFS('Saisie hebdo'!$M$5:$M$2000,'Saisie hebdo'!$B$5:$B$2000,$A51,'Saisie hebdo'!$C$5:$C$2000,$B51)</f>
        <v/>
      </c>
      <c r="L51" s="33">
        <f>SUMIFS('Saisie hebdo'!$N$5:$N$2000,'Saisie hebdo'!$B$5:$B$2000,$A51,'Saisie hebdo'!$C$5:$C$2000,$B51)</f>
        <v/>
      </c>
      <c r="M51" s="32">
        <f>SUMIFS('Saisie hebdo'!$O$5:$O$2000,'Saisie hebdo'!$B$5:$B$2000,$A51,'Saisie hebdo'!$C$5:$C$2000,$B51)</f>
        <v/>
      </c>
      <c r="N51" s="35">
        <f>IF(N(D51)=0,"",E51/D51)</f>
        <v/>
      </c>
      <c r="O51" s="32">
        <f>IF(N(E51)=0,"",C51/E51)</f>
        <v/>
      </c>
      <c r="P51" s="35">
        <f>IF(N(E51)=0,"",F51/E51)</f>
        <v/>
      </c>
      <c r="Q51" s="32">
        <f>IF(N(F51)=0,"",C51/F51)</f>
        <v/>
      </c>
      <c r="R51" s="32">
        <f>IF(N(I51)=0,"",C51/I51)</f>
        <v/>
      </c>
      <c r="S51" s="32">
        <f>IF(N(J51)=0,"",C51/J51)</f>
        <v/>
      </c>
      <c r="T51" s="32">
        <f>IF(N(L51)=0,"",C51/L51)</f>
        <v/>
      </c>
      <c r="U51" s="36">
        <f>IF(N(I51)=0,"",J51/I51)</f>
        <v/>
      </c>
      <c r="V51" s="36">
        <f>IF(N(K51)=0,"",L51/K51)</f>
        <v/>
      </c>
      <c r="W51" s="37">
        <f>IF(N(C51)=0,"",M51/C51)</f>
        <v/>
      </c>
    </row>
    <row r="52">
      <c r="A52" s="38" t="n">
        <v>46447</v>
      </c>
      <c r="B52" s="39" t="inlineStr">
        <is>
          <t>Total du compte</t>
        </is>
      </c>
      <c r="C52" s="40">
        <f>SUMIFS('Saisie hebdo'!$E$5:$E$2000,'Saisie hebdo'!$B$5:$B$2000,$A52)</f>
        <v/>
      </c>
      <c r="D52" s="41">
        <f>SUMIFS('Saisie hebdo'!$F$5:$F$2000,'Saisie hebdo'!$B$5:$B$2000,$A52)</f>
        <v/>
      </c>
      <c r="E52" s="41">
        <f>SUMIFS('Saisie hebdo'!$G$5:$G$2000,'Saisie hebdo'!$B$5:$B$2000,$A52)</f>
        <v/>
      </c>
      <c r="F52" s="42">
        <f>SUMIFS('Saisie hebdo'!$H$5:$H$2000,'Saisie hebdo'!$B$5:$B$2000,$A52)</f>
        <v/>
      </c>
      <c r="G52" s="43">
        <f>IFERROR(AVERAGEIFS('Saisie hebdo'!$I$5:$I$2000,'Saisie hebdo'!$B$5:$B$2000,$A52),"")</f>
        <v/>
      </c>
      <c r="H52" s="43">
        <f>IFERROR(AVERAGEIFS('Saisie hebdo'!$J$5:$J$2000,'Saisie hebdo'!$B$5:$B$2000,$A52),"")</f>
        <v/>
      </c>
      <c r="I52" s="41">
        <f>SUMIFS('Saisie hebdo'!$K$5:$K$2000,'Saisie hebdo'!$B$5:$B$2000,$A52)</f>
        <v/>
      </c>
      <c r="J52" s="41">
        <f>SUMIFS('Saisie hebdo'!$L$5:$L$2000,'Saisie hebdo'!$B$5:$B$2000,$A52)</f>
        <v/>
      </c>
      <c r="K52" s="41">
        <f>SUMIFS('Saisie hebdo'!$M$5:$M$2000,'Saisie hebdo'!$B$5:$B$2000,$A52)</f>
        <v/>
      </c>
      <c r="L52" s="41">
        <f>SUMIFS('Saisie hebdo'!$N$5:$N$2000,'Saisie hebdo'!$B$5:$B$2000,$A52)</f>
        <v/>
      </c>
      <c r="M52" s="40">
        <f>SUMIFS('Saisie hebdo'!$O$5:$O$2000,'Saisie hebdo'!$B$5:$B$2000,$A52)</f>
        <v/>
      </c>
      <c r="N52" s="43">
        <f>IF(N(D52)=0,"",E52/D52)</f>
        <v/>
      </c>
      <c r="O52" s="40">
        <f>IF(N(E52)=0,"",C52/E52)</f>
        <v/>
      </c>
      <c r="P52" s="43">
        <f>IF(N(E52)=0,"",F52/E52)</f>
        <v/>
      </c>
      <c r="Q52" s="40">
        <f>IF(N(F52)=0,"",C52/F52)</f>
        <v/>
      </c>
      <c r="R52" s="40">
        <f>IF(N(I52)=0,"",C52/I52)</f>
        <v/>
      </c>
      <c r="S52" s="40">
        <f>IF(N(J52)=0,"",C52/J52)</f>
        <v/>
      </c>
      <c r="T52" s="40">
        <f>IF(N(L52)=0,"",C52/L52)</f>
        <v/>
      </c>
      <c r="U52" s="44">
        <f>IF(N(I52)=0,"",J52/I52)</f>
        <v/>
      </c>
      <c r="V52" s="44">
        <f>IF(N(K52)=0,"",L52/K52)</f>
        <v/>
      </c>
      <c r="W52" s="45">
        <f>IF(N(C52)=0,"",M52/C52)</f>
        <v/>
      </c>
    </row>
    <row r="53">
      <c r="A53" s="11" t="n">
        <v>46478</v>
      </c>
      <c r="B53" t="inlineStr">
        <is>
          <t>S-FR | Marque</t>
        </is>
      </c>
      <c r="C53" s="32">
        <f>SUMIFS('Saisie hebdo'!$E$5:$E$2000,'Saisie hebdo'!$B$5:$B$2000,$A53,'Saisie hebdo'!$C$5:$C$2000,$B53)</f>
        <v/>
      </c>
      <c r="D53" s="33">
        <f>SUMIFS('Saisie hebdo'!$F$5:$F$2000,'Saisie hebdo'!$B$5:$B$2000,$A53,'Saisie hebdo'!$C$5:$C$2000,$B53)</f>
        <v/>
      </c>
      <c r="E53" s="33">
        <f>SUMIFS('Saisie hebdo'!$G$5:$G$2000,'Saisie hebdo'!$B$5:$B$2000,$A53,'Saisie hebdo'!$C$5:$C$2000,$B53)</f>
        <v/>
      </c>
      <c r="F53" s="34">
        <f>SUMIFS('Saisie hebdo'!$H$5:$H$2000,'Saisie hebdo'!$B$5:$B$2000,$A53,'Saisie hebdo'!$C$5:$C$2000,$B53)</f>
        <v/>
      </c>
      <c r="G53" s="35">
        <f>IFERROR(AVERAGEIFS('Saisie hebdo'!$I$5:$I$2000,'Saisie hebdo'!$B$5:$B$2000,$A53,'Saisie hebdo'!$C$5:$C$2000,$B53),"")</f>
        <v/>
      </c>
      <c r="H53" s="35">
        <f>IFERROR(AVERAGEIFS('Saisie hebdo'!$J$5:$J$2000,'Saisie hebdo'!$B$5:$B$2000,$A53,'Saisie hebdo'!$C$5:$C$2000,$B53),"")</f>
        <v/>
      </c>
      <c r="I53" s="33">
        <f>SUMIFS('Saisie hebdo'!$K$5:$K$2000,'Saisie hebdo'!$B$5:$B$2000,$A53,'Saisie hebdo'!$C$5:$C$2000,$B53)</f>
        <v/>
      </c>
      <c r="J53" s="33">
        <f>SUMIFS('Saisie hebdo'!$L$5:$L$2000,'Saisie hebdo'!$B$5:$B$2000,$A53,'Saisie hebdo'!$C$5:$C$2000,$B53)</f>
        <v/>
      </c>
      <c r="K53" s="33">
        <f>SUMIFS('Saisie hebdo'!$M$5:$M$2000,'Saisie hebdo'!$B$5:$B$2000,$A53,'Saisie hebdo'!$C$5:$C$2000,$B53)</f>
        <v/>
      </c>
      <c r="L53" s="33">
        <f>SUMIFS('Saisie hebdo'!$N$5:$N$2000,'Saisie hebdo'!$B$5:$B$2000,$A53,'Saisie hebdo'!$C$5:$C$2000,$B53)</f>
        <v/>
      </c>
      <c r="M53" s="32">
        <f>SUMIFS('Saisie hebdo'!$O$5:$O$2000,'Saisie hebdo'!$B$5:$B$2000,$A53,'Saisie hebdo'!$C$5:$C$2000,$B53)</f>
        <v/>
      </c>
      <c r="N53" s="35">
        <f>IF(N(D53)=0,"",E53/D53)</f>
        <v/>
      </c>
      <c r="O53" s="32">
        <f>IF(N(E53)=0,"",C53/E53)</f>
        <v/>
      </c>
      <c r="P53" s="35">
        <f>IF(N(E53)=0,"",F53/E53)</f>
        <v/>
      </c>
      <c r="Q53" s="32">
        <f>IF(N(F53)=0,"",C53/F53)</f>
        <v/>
      </c>
      <c r="R53" s="32">
        <f>IF(N(I53)=0,"",C53/I53)</f>
        <v/>
      </c>
      <c r="S53" s="32">
        <f>IF(N(J53)=0,"",C53/J53)</f>
        <v/>
      </c>
      <c r="T53" s="32">
        <f>IF(N(L53)=0,"",C53/L53)</f>
        <v/>
      </c>
      <c r="U53" s="36">
        <f>IF(N(I53)=0,"",J53/I53)</f>
        <v/>
      </c>
      <c r="V53" s="36">
        <f>IF(N(K53)=0,"",L53/K53)</f>
        <v/>
      </c>
      <c r="W53" s="37">
        <f>IF(N(C53)=0,"",M53/C53)</f>
        <v/>
      </c>
    </row>
    <row r="54">
      <c r="A54" s="11" t="n">
        <v>46478</v>
      </c>
      <c r="B54" t="inlineStr">
        <is>
          <t>S-FR | Corporatif &amp; Fêtes</t>
        </is>
      </c>
      <c r="C54" s="32">
        <f>SUMIFS('Saisie hebdo'!$E$5:$E$2000,'Saisie hebdo'!$B$5:$B$2000,$A54,'Saisie hebdo'!$C$5:$C$2000,$B54)</f>
        <v/>
      </c>
      <c r="D54" s="33">
        <f>SUMIFS('Saisie hebdo'!$F$5:$F$2000,'Saisie hebdo'!$B$5:$B$2000,$A54,'Saisie hebdo'!$C$5:$C$2000,$B54)</f>
        <v/>
      </c>
      <c r="E54" s="33">
        <f>SUMIFS('Saisie hebdo'!$G$5:$G$2000,'Saisie hebdo'!$B$5:$B$2000,$A54,'Saisie hebdo'!$C$5:$C$2000,$B54)</f>
        <v/>
      </c>
      <c r="F54" s="34">
        <f>SUMIFS('Saisie hebdo'!$H$5:$H$2000,'Saisie hebdo'!$B$5:$B$2000,$A54,'Saisie hebdo'!$C$5:$C$2000,$B54)</f>
        <v/>
      </c>
      <c r="G54" s="35">
        <f>IFERROR(AVERAGEIFS('Saisie hebdo'!$I$5:$I$2000,'Saisie hebdo'!$B$5:$B$2000,$A54,'Saisie hebdo'!$C$5:$C$2000,$B54),"")</f>
        <v/>
      </c>
      <c r="H54" s="35">
        <f>IFERROR(AVERAGEIFS('Saisie hebdo'!$J$5:$J$2000,'Saisie hebdo'!$B$5:$B$2000,$A54,'Saisie hebdo'!$C$5:$C$2000,$B54),"")</f>
        <v/>
      </c>
      <c r="I54" s="33">
        <f>SUMIFS('Saisie hebdo'!$K$5:$K$2000,'Saisie hebdo'!$B$5:$B$2000,$A54,'Saisie hebdo'!$C$5:$C$2000,$B54)</f>
        <v/>
      </c>
      <c r="J54" s="33">
        <f>SUMIFS('Saisie hebdo'!$L$5:$L$2000,'Saisie hebdo'!$B$5:$B$2000,$A54,'Saisie hebdo'!$C$5:$C$2000,$B54)</f>
        <v/>
      </c>
      <c r="K54" s="33">
        <f>SUMIFS('Saisie hebdo'!$M$5:$M$2000,'Saisie hebdo'!$B$5:$B$2000,$A54,'Saisie hebdo'!$C$5:$C$2000,$B54)</f>
        <v/>
      </c>
      <c r="L54" s="33">
        <f>SUMIFS('Saisie hebdo'!$N$5:$N$2000,'Saisie hebdo'!$B$5:$B$2000,$A54,'Saisie hebdo'!$C$5:$C$2000,$B54)</f>
        <v/>
      </c>
      <c r="M54" s="32">
        <f>SUMIFS('Saisie hebdo'!$O$5:$O$2000,'Saisie hebdo'!$B$5:$B$2000,$A54,'Saisie hebdo'!$C$5:$C$2000,$B54)</f>
        <v/>
      </c>
      <c r="N54" s="35">
        <f>IF(N(D54)=0,"",E54/D54)</f>
        <v/>
      </c>
      <c r="O54" s="32">
        <f>IF(N(E54)=0,"",C54/E54)</f>
        <v/>
      </c>
      <c r="P54" s="35">
        <f>IF(N(E54)=0,"",F54/E54)</f>
        <v/>
      </c>
      <c r="Q54" s="32">
        <f>IF(N(F54)=0,"",C54/F54)</f>
        <v/>
      </c>
      <c r="R54" s="32">
        <f>IF(N(I54)=0,"",C54/I54)</f>
        <v/>
      </c>
      <c r="S54" s="32">
        <f>IF(N(J54)=0,"",C54/J54)</f>
        <v/>
      </c>
      <c r="T54" s="32">
        <f>IF(N(L54)=0,"",C54/L54)</f>
        <v/>
      </c>
      <c r="U54" s="36">
        <f>IF(N(I54)=0,"",J54/I54)</f>
        <v/>
      </c>
      <c r="V54" s="36">
        <f>IF(N(K54)=0,"",L54/K54)</f>
        <v/>
      </c>
      <c r="W54" s="37">
        <f>IF(N(C54)=0,"",M54/C54)</f>
        <v/>
      </c>
    </row>
    <row r="55">
      <c r="A55" s="11" t="n">
        <v>46478</v>
      </c>
      <c r="B55" t="inlineStr">
        <is>
          <t>S-FR | Événements privés</t>
        </is>
      </c>
      <c r="C55" s="32">
        <f>SUMIFS('Saisie hebdo'!$E$5:$E$2000,'Saisie hebdo'!$B$5:$B$2000,$A55,'Saisie hebdo'!$C$5:$C$2000,$B55)</f>
        <v/>
      </c>
      <c r="D55" s="33">
        <f>SUMIFS('Saisie hebdo'!$F$5:$F$2000,'Saisie hebdo'!$B$5:$B$2000,$A55,'Saisie hebdo'!$C$5:$C$2000,$B55)</f>
        <v/>
      </c>
      <c r="E55" s="33">
        <f>SUMIFS('Saisie hebdo'!$G$5:$G$2000,'Saisie hebdo'!$B$5:$B$2000,$A55,'Saisie hebdo'!$C$5:$C$2000,$B55)</f>
        <v/>
      </c>
      <c r="F55" s="34">
        <f>SUMIFS('Saisie hebdo'!$H$5:$H$2000,'Saisie hebdo'!$B$5:$B$2000,$A55,'Saisie hebdo'!$C$5:$C$2000,$B55)</f>
        <v/>
      </c>
      <c r="G55" s="35">
        <f>IFERROR(AVERAGEIFS('Saisie hebdo'!$I$5:$I$2000,'Saisie hebdo'!$B$5:$B$2000,$A55,'Saisie hebdo'!$C$5:$C$2000,$B55),"")</f>
        <v/>
      </c>
      <c r="H55" s="35">
        <f>IFERROR(AVERAGEIFS('Saisie hebdo'!$J$5:$J$2000,'Saisie hebdo'!$B$5:$B$2000,$A55,'Saisie hebdo'!$C$5:$C$2000,$B55),"")</f>
        <v/>
      </c>
      <c r="I55" s="33">
        <f>SUMIFS('Saisie hebdo'!$K$5:$K$2000,'Saisie hebdo'!$B$5:$B$2000,$A55,'Saisie hebdo'!$C$5:$C$2000,$B55)</f>
        <v/>
      </c>
      <c r="J55" s="33">
        <f>SUMIFS('Saisie hebdo'!$L$5:$L$2000,'Saisie hebdo'!$B$5:$B$2000,$A55,'Saisie hebdo'!$C$5:$C$2000,$B55)</f>
        <v/>
      </c>
      <c r="K55" s="33">
        <f>SUMIFS('Saisie hebdo'!$M$5:$M$2000,'Saisie hebdo'!$B$5:$B$2000,$A55,'Saisie hebdo'!$C$5:$C$2000,$B55)</f>
        <v/>
      </c>
      <c r="L55" s="33">
        <f>SUMIFS('Saisie hebdo'!$N$5:$N$2000,'Saisie hebdo'!$B$5:$B$2000,$A55,'Saisie hebdo'!$C$5:$C$2000,$B55)</f>
        <v/>
      </c>
      <c r="M55" s="32">
        <f>SUMIFS('Saisie hebdo'!$O$5:$O$2000,'Saisie hebdo'!$B$5:$B$2000,$A55,'Saisie hebdo'!$C$5:$C$2000,$B55)</f>
        <v/>
      </c>
      <c r="N55" s="35">
        <f>IF(N(D55)=0,"",E55/D55)</f>
        <v/>
      </c>
      <c r="O55" s="32">
        <f>IF(N(E55)=0,"",C55/E55)</f>
        <v/>
      </c>
      <c r="P55" s="35">
        <f>IF(N(E55)=0,"",F55/E55)</f>
        <v/>
      </c>
      <c r="Q55" s="32">
        <f>IF(N(F55)=0,"",C55/F55)</f>
        <v/>
      </c>
      <c r="R55" s="32">
        <f>IF(N(I55)=0,"",C55/I55)</f>
        <v/>
      </c>
      <c r="S55" s="32">
        <f>IF(N(J55)=0,"",C55/J55)</f>
        <v/>
      </c>
      <c r="T55" s="32">
        <f>IF(N(L55)=0,"",C55/L55)</f>
        <v/>
      </c>
      <c r="U55" s="36">
        <f>IF(N(I55)=0,"",J55/I55)</f>
        <v/>
      </c>
      <c r="V55" s="36">
        <f>IF(N(K55)=0,"",L55/K55)</f>
        <v/>
      </c>
      <c r="W55" s="37">
        <f>IF(N(C55)=0,"",M55/C55)</f>
        <v/>
      </c>
    </row>
    <row r="56">
      <c r="A56" s="11" t="n">
        <v>46478</v>
      </c>
      <c r="B56" t="inlineStr">
        <is>
          <t>S-EN | Corporate Montréal</t>
        </is>
      </c>
      <c r="C56" s="32">
        <f>SUMIFS('Saisie hebdo'!$E$5:$E$2000,'Saisie hebdo'!$B$5:$B$2000,$A56,'Saisie hebdo'!$C$5:$C$2000,$B56)</f>
        <v/>
      </c>
      <c r="D56" s="33">
        <f>SUMIFS('Saisie hebdo'!$F$5:$F$2000,'Saisie hebdo'!$B$5:$B$2000,$A56,'Saisie hebdo'!$C$5:$C$2000,$B56)</f>
        <v/>
      </c>
      <c r="E56" s="33">
        <f>SUMIFS('Saisie hebdo'!$G$5:$G$2000,'Saisie hebdo'!$B$5:$B$2000,$A56,'Saisie hebdo'!$C$5:$C$2000,$B56)</f>
        <v/>
      </c>
      <c r="F56" s="34">
        <f>SUMIFS('Saisie hebdo'!$H$5:$H$2000,'Saisie hebdo'!$B$5:$B$2000,$A56,'Saisie hebdo'!$C$5:$C$2000,$B56)</f>
        <v/>
      </c>
      <c r="G56" s="35">
        <f>IFERROR(AVERAGEIFS('Saisie hebdo'!$I$5:$I$2000,'Saisie hebdo'!$B$5:$B$2000,$A56,'Saisie hebdo'!$C$5:$C$2000,$B56),"")</f>
        <v/>
      </c>
      <c r="H56" s="35">
        <f>IFERROR(AVERAGEIFS('Saisie hebdo'!$J$5:$J$2000,'Saisie hebdo'!$B$5:$B$2000,$A56,'Saisie hebdo'!$C$5:$C$2000,$B56),"")</f>
        <v/>
      </c>
      <c r="I56" s="33">
        <f>SUMIFS('Saisie hebdo'!$K$5:$K$2000,'Saisie hebdo'!$B$5:$B$2000,$A56,'Saisie hebdo'!$C$5:$C$2000,$B56)</f>
        <v/>
      </c>
      <c r="J56" s="33">
        <f>SUMIFS('Saisie hebdo'!$L$5:$L$2000,'Saisie hebdo'!$B$5:$B$2000,$A56,'Saisie hebdo'!$C$5:$C$2000,$B56)</f>
        <v/>
      </c>
      <c r="K56" s="33">
        <f>SUMIFS('Saisie hebdo'!$M$5:$M$2000,'Saisie hebdo'!$B$5:$B$2000,$A56,'Saisie hebdo'!$C$5:$C$2000,$B56)</f>
        <v/>
      </c>
      <c r="L56" s="33">
        <f>SUMIFS('Saisie hebdo'!$N$5:$N$2000,'Saisie hebdo'!$B$5:$B$2000,$A56,'Saisie hebdo'!$C$5:$C$2000,$B56)</f>
        <v/>
      </c>
      <c r="M56" s="32">
        <f>SUMIFS('Saisie hebdo'!$O$5:$O$2000,'Saisie hebdo'!$B$5:$B$2000,$A56,'Saisie hebdo'!$C$5:$C$2000,$B56)</f>
        <v/>
      </c>
      <c r="N56" s="35">
        <f>IF(N(D56)=0,"",E56/D56)</f>
        <v/>
      </c>
      <c r="O56" s="32">
        <f>IF(N(E56)=0,"",C56/E56)</f>
        <v/>
      </c>
      <c r="P56" s="35">
        <f>IF(N(E56)=0,"",F56/E56)</f>
        <v/>
      </c>
      <c r="Q56" s="32">
        <f>IF(N(F56)=0,"",C56/F56)</f>
        <v/>
      </c>
      <c r="R56" s="32">
        <f>IF(N(I56)=0,"",C56/I56)</f>
        <v/>
      </c>
      <c r="S56" s="32">
        <f>IF(N(J56)=0,"",C56/J56)</f>
        <v/>
      </c>
      <c r="T56" s="32">
        <f>IF(N(L56)=0,"",C56/L56)</f>
        <v/>
      </c>
      <c r="U56" s="36">
        <f>IF(N(I56)=0,"",J56/I56)</f>
        <v/>
      </c>
      <c r="V56" s="36">
        <f>IF(N(K56)=0,"",L56/K56)</f>
        <v/>
      </c>
      <c r="W56" s="37">
        <f>IF(N(C56)=0,"",M56/C56)</f>
        <v/>
      </c>
    </row>
    <row r="57">
      <c r="A57" s="11" t="n">
        <v>46478</v>
      </c>
      <c r="B57" t="inlineStr">
        <is>
          <t>S-FR | Québec-Lévis (test)</t>
        </is>
      </c>
      <c r="C57" s="32">
        <f>SUMIFS('Saisie hebdo'!$E$5:$E$2000,'Saisie hebdo'!$B$5:$B$2000,$A57,'Saisie hebdo'!$C$5:$C$2000,$B57)</f>
        <v/>
      </c>
      <c r="D57" s="33">
        <f>SUMIFS('Saisie hebdo'!$F$5:$F$2000,'Saisie hebdo'!$B$5:$B$2000,$A57,'Saisie hebdo'!$C$5:$C$2000,$B57)</f>
        <v/>
      </c>
      <c r="E57" s="33">
        <f>SUMIFS('Saisie hebdo'!$G$5:$G$2000,'Saisie hebdo'!$B$5:$B$2000,$A57,'Saisie hebdo'!$C$5:$C$2000,$B57)</f>
        <v/>
      </c>
      <c r="F57" s="34">
        <f>SUMIFS('Saisie hebdo'!$H$5:$H$2000,'Saisie hebdo'!$B$5:$B$2000,$A57,'Saisie hebdo'!$C$5:$C$2000,$B57)</f>
        <v/>
      </c>
      <c r="G57" s="35">
        <f>IFERROR(AVERAGEIFS('Saisie hebdo'!$I$5:$I$2000,'Saisie hebdo'!$B$5:$B$2000,$A57,'Saisie hebdo'!$C$5:$C$2000,$B57),"")</f>
        <v/>
      </c>
      <c r="H57" s="35">
        <f>IFERROR(AVERAGEIFS('Saisie hebdo'!$J$5:$J$2000,'Saisie hebdo'!$B$5:$B$2000,$A57,'Saisie hebdo'!$C$5:$C$2000,$B57),"")</f>
        <v/>
      </c>
      <c r="I57" s="33">
        <f>SUMIFS('Saisie hebdo'!$K$5:$K$2000,'Saisie hebdo'!$B$5:$B$2000,$A57,'Saisie hebdo'!$C$5:$C$2000,$B57)</f>
        <v/>
      </c>
      <c r="J57" s="33">
        <f>SUMIFS('Saisie hebdo'!$L$5:$L$2000,'Saisie hebdo'!$B$5:$B$2000,$A57,'Saisie hebdo'!$C$5:$C$2000,$B57)</f>
        <v/>
      </c>
      <c r="K57" s="33">
        <f>SUMIFS('Saisie hebdo'!$M$5:$M$2000,'Saisie hebdo'!$B$5:$B$2000,$A57,'Saisie hebdo'!$C$5:$C$2000,$B57)</f>
        <v/>
      </c>
      <c r="L57" s="33">
        <f>SUMIFS('Saisie hebdo'!$N$5:$N$2000,'Saisie hebdo'!$B$5:$B$2000,$A57,'Saisie hebdo'!$C$5:$C$2000,$B57)</f>
        <v/>
      </c>
      <c r="M57" s="32">
        <f>SUMIFS('Saisie hebdo'!$O$5:$O$2000,'Saisie hebdo'!$B$5:$B$2000,$A57,'Saisie hebdo'!$C$5:$C$2000,$B57)</f>
        <v/>
      </c>
      <c r="N57" s="35">
        <f>IF(N(D57)=0,"",E57/D57)</f>
        <v/>
      </c>
      <c r="O57" s="32">
        <f>IF(N(E57)=0,"",C57/E57)</f>
        <v/>
      </c>
      <c r="P57" s="35">
        <f>IF(N(E57)=0,"",F57/E57)</f>
        <v/>
      </c>
      <c r="Q57" s="32">
        <f>IF(N(F57)=0,"",C57/F57)</f>
        <v/>
      </c>
      <c r="R57" s="32">
        <f>IF(N(I57)=0,"",C57/I57)</f>
        <v/>
      </c>
      <c r="S57" s="32">
        <f>IF(N(J57)=0,"",C57/J57)</f>
        <v/>
      </c>
      <c r="T57" s="32">
        <f>IF(N(L57)=0,"",C57/L57)</f>
        <v/>
      </c>
      <c r="U57" s="36">
        <f>IF(N(I57)=0,"",J57/I57)</f>
        <v/>
      </c>
      <c r="V57" s="36">
        <f>IF(N(K57)=0,"",L57/K57)</f>
        <v/>
      </c>
      <c r="W57" s="37">
        <f>IF(N(C57)=0,"",M57/C57)</f>
        <v/>
      </c>
    </row>
    <row r="58">
      <c r="A58" s="11" t="n">
        <v>46478</v>
      </c>
      <c r="B58" t="inlineStr">
        <is>
          <t>Demand Gen</t>
        </is>
      </c>
      <c r="C58" s="32">
        <f>SUMIFS('Saisie hebdo'!$E$5:$E$2000,'Saisie hebdo'!$B$5:$B$2000,$A58,'Saisie hebdo'!$C$5:$C$2000,$B58)</f>
        <v/>
      </c>
      <c r="D58" s="33">
        <f>SUMIFS('Saisie hebdo'!$F$5:$F$2000,'Saisie hebdo'!$B$5:$B$2000,$A58,'Saisie hebdo'!$C$5:$C$2000,$B58)</f>
        <v/>
      </c>
      <c r="E58" s="33">
        <f>SUMIFS('Saisie hebdo'!$G$5:$G$2000,'Saisie hebdo'!$B$5:$B$2000,$A58,'Saisie hebdo'!$C$5:$C$2000,$B58)</f>
        <v/>
      </c>
      <c r="F58" s="34">
        <f>SUMIFS('Saisie hebdo'!$H$5:$H$2000,'Saisie hebdo'!$B$5:$B$2000,$A58,'Saisie hebdo'!$C$5:$C$2000,$B58)</f>
        <v/>
      </c>
      <c r="G58" s="35">
        <f>IFERROR(AVERAGEIFS('Saisie hebdo'!$I$5:$I$2000,'Saisie hebdo'!$B$5:$B$2000,$A58,'Saisie hebdo'!$C$5:$C$2000,$B58),"")</f>
        <v/>
      </c>
      <c r="H58" s="35">
        <f>IFERROR(AVERAGEIFS('Saisie hebdo'!$J$5:$J$2000,'Saisie hebdo'!$B$5:$B$2000,$A58,'Saisie hebdo'!$C$5:$C$2000,$B58),"")</f>
        <v/>
      </c>
      <c r="I58" s="33">
        <f>SUMIFS('Saisie hebdo'!$K$5:$K$2000,'Saisie hebdo'!$B$5:$B$2000,$A58,'Saisie hebdo'!$C$5:$C$2000,$B58)</f>
        <v/>
      </c>
      <c r="J58" s="33">
        <f>SUMIFS('Saisie hebdo'!$L$5:$L$2000,'Saisie hebdo'!$B$5:$B$2000,$A58,'Saisie hebdo'!$C$5:$C$2000,$B58)</f>
        <v/>
      </c>
      <c r="K58" s="33">
        <f>SUMIFS('Saisie hebdo'!$M$5:$M$2000,'Saisie hebdo'!$B$5:$B$2000,$A58,'Saisie hebdo'!$C$5:$C$2000,$B58)</f>
        <v/>
      </c>
      <c r="L58" s="33">
        <f>SUMIFS('Saisie hebdo'!$N$5:$N$2000,'Saisie hebdo'!$B$5:$B$2000,$A58,'Saisie hebdo'!$C$5:$C$2000,$B58)</f>
        <v/>
      </c>
      <c r="M58" s="32">
        <f>SUMIFS('Saisie hebdo'!$O$5:$O$2000,'Saisie hebdo'!$B$5:$B$2000,$A58,'Saisie hebdo'!$C$5:$C$2000,$B58)</f>
        <v/>
      </c>
      <c r="N58" s="35">
        <f>IF(N(D58)=0,"",E58/D58)</f>
        <v/>
      </c>
      <c r="O58" s="32">
        <f>IF(N(E58)=0,"",C58/E58)</f>
        <v/>
      </c>
      <c r="P58" s="35">
        <f>IF(N(E58)=0,"",F58/E58)</f>
        <v/>
      </c>
      <c r="Q58" s="32">
        <f>IF(N(F58)=0,"",C58/F58)</f>
        <v/>
      </c>
      <c r="R58" s="32">
        <f>IF(N(I58)=0,"",C58/I58)</f>
        <v/>
      </c>
      <c r="S58" s="32">
        <f>IF(N(J58)=0,"",C58/J58)</f>
        <v/>
      </c>
      <c r="T58" s="32">
        <f>IF(N(L58)=0,"",C58/L58)</f>
        <v/>
      </c>
      <c r="U58" s="36">
        <f>IF(N(I58)=0,"",J58/I58)</f>
        <v/>
      </c>
      <c r="V58" s="36">
        <f>IF(N(K58)=0,"",L58/K58)</f>
        <v/>
      </c>
      <c r="W58" s="37">
        <f>IF(N(C58)=0,"",M58/C58)</f>
        <v/>
      </c>
    </row>
    <row r="59">
      <c r="A59" s="11" t="n">
        <v>46478</v>
      </c>
      <c r="B59" t="inlineStr">
        <is>
          <t>Microsoft Ads</t>
        </is>
      </c>
      <c r="C59" s="32">
        <f>SUMIFS('Saisie hebdo'!$E$5:$E$2000,'Saisie hebdo'!$B$5:$B$2000,$A59,'Saisie hebdo'!$C$5:$C$2000,$B59)</f>
        <v/>
      </c>
      <c r="D59" s="33">
        <f>SUMIFS('Saisie hebdo'!$F$5:$F$2000,'Saisie hebdo'!$B$5:$B$2000,$A59,'Saisie hebdo'!$C$5:$C$2000,$B59)</f>
        <v/>
      </c>
      <c r="E59" s="33">
        <f>SUMIFS('Saisie hebdo'!$G$5:$G$2000,'Saisie hebdo'!$B$5:$B$2000,$A59,'Saisie hebdo'!$C$5:$C$2000,$B59)</f>
        <v/>
      </c>
      <c r="F59" s="34">
        <f>SUMIFS('Saisie hebdo'!$H$5:$H$2000,'Saisie hebdo'!$B$5:$B$2000,$A59,'Saisie hebdo'!$C$5:$C$2000,$B59)</f>
        <v/>
      </c>
      <c r="G59" s="35">
        <f>IFERROR(AVERAGEIFS('Saisie hebdo'!$I$5:$I$2000,'Saisie hebdo'!$B$5:$B$2000,$A59,'Saisie hebdo'!$C$5:$C$2000,$B59),"")</f>
        <v/>
      </c>
      <c r="H59" s="35">
        <f>IFERROR(AVERAGEIFS('Saisie hebdo'!$J$5:$J$2000,'Saisie hebdo'!$B$5:$B$2000,$A59,'Saisie hebdo'!$C$5:$C$2000,$B59),"")</f>
        <v/>
      </c>
      <c r="I59" s="33">
        <f>SUMIFS('Saisie hebdo'!$K$5:$K$2000,'Saisie hebdo'!$B$5:$B$2000,$A59,'Saisie hebdo'!$C$5:$C$2000,$B59)</f>
        <v/>
      </c>
      <c r="J59" s="33">
        <f>SUMIFS('Saisie hebdo'!$L$5:$L$2000,'Saisie hebdo'!$B$5:$B$2000,$A59,'Saisie hebdo'!$C$5:$C$2000,$B59)</f>
        <v/>
      </c>
      <c r="K59" s="33">
        <f>SUMIFS('Saisie hebdo'!$M$5:$M$2000,'Saisie hebdo'!$B$5:$B$2000,$A59,'Saisie hebdo'!$C$5:$C$2000,$B59)</f>
        <v/>
      </c>
      <c r="L59" s="33">
        <f>SUMIFS('Saisie hebdo'!$N$5:$N$2000,'Saisie hebdo'!$B$5:$B$2000,$A59,'Saisie hebdo'!$C$5:$C$2000,$B59)</f>
        <v/>
      </c>
      <c r="M59" s="32">
        <f>SUMIFS('Saisie hebdo'!$O$5:$O$2000,'Saisie hebdo'!$B$5:$B$2000,$A59,'Saisie hebdo'!$C$5:$C$2000,$B59)</f>
        <v/>
      </c>
      <c r="N59" s="35">
        <f>IF(N(D59)=0,"",E59/D59)</f>
        <v/>
      </c>
      <c r="O59" s="32">
        <f>IF(N(E59)=0,"",C59/E59)</f>
        <v/>
      </c>
      <c r="P59" s="35">
        <f>IF(N(E59)=0,"",F59/E59)</f>
        <v/>
      </c>
      <c r="Q59" s="32">
        <f>IF(N(F59)=0,"",C59/F59)</f>
        <v/>
      </c>
      <c r="R59" s="32">
        <f>IF(N(I59)=0,"",C59/I59)</f>
        <v/>
      </c>
      <c r="S59" s="32">
        <f>IF(N(J59)=0,"",C59/J59)</f>
        <v/>
      </c>
      <c r="T59" s="32">
        <f>IF(N(L59)=0,"",C59/L59)</f>
        <v/>
      </c>
      <c r="U59" s="36">
        <f>IF(N(I59)=0,"",J59/I59)</f>
        <v/>
      </c>
      <c r="V59" s="36">
        <f>IF(N(K59)=0,"",L59/K59)</f>
        <v/>
      </c>
      <c r="W59" s="37">
        <f>IF(N(C59)=0,"",M59/C59)</f>
        <v/>
      </c>
    </row>
    <row r="60">
      <c r="A60" s="38" t="n">
        <v>46478</v>
      </c>
      <c r="B60" s="39" t="inlineStr">
        <is>
          <t>Total du compte</t>
        </is>
      </c>
      <c r="C60" s="40">
        <f>SUMIFS('Saisie hebdo'!$E$5:$E$2000,'Saisie hebdo'!$B$5:$B$2000,$A60)</f>
        <v/>
      </c>
      <c r="D60" s="41">
        <f>SUMIFS('Saisie hebdo'!$F$5:$F$2000,'Saisie hebdo'!$B$5:$B$2000,$A60)</f>
        <v/>
      </c>
      <c r="E60" s="41">
        <f>SUMIFS('Saisie hebdo'!$G$5:$G$2000,'Saisie hebdo'!$B$5:$B$2000,$A60)</f>
        <v/>
      </c>
      <c r="F60" s="42">
        <f>SUMIFS('Saisie hebdo'!$H$5:$H$2000,'Saisie hebdo'!$B$5:$B$2000,$A60)</f>
        <v/>
      </c>
      <c r="G60" s="43">
        <f>IFERROR(AVERAGEIFS('Saisie hebdo'!$I$5:$I$2000,'Saisie hebdo'!$B$5:$B$2000,$A60),"")</f>
        <v/>
      </c>
      <c r="H60" s="43">
        <f>IFERROR(AVERAGEIFS('Saisie hebdo'!$J$5:$J$2000,'Saisie hebdo'!$B$5:$B$2000,$A60),"")</f>
        <v/>
      </c>
      <c r="I60" s="41">
        <f>SUMIFS('Saisie hebdo'!$K$5:$K$2000,'Saisie hebdo'!$B$5:$B$2000,$A60)</f>
        <v/>
      </c>
      <c r="J60" s="41">
        <f>SUMIFS('Saisie hebdo'!$L$5:$L$2000,'Saisie hebdo'!$B$5:$B$2000,$A60)</f>
        <v/>
      </c>
      <c r="K60" s="41">
        <f>SUMIFS('Saisie hebdo'!$M$5:$M$2000,'Saisie hebdo'!$B$5:$B$2000,$A60)</f>
        <v/>
      </c>
      <c r="L60" s="41">
        <f>SUMIFS('Saisie hebdo'!$N$5:$N$2000,'Saisie hebdo'!$B$5:$B$2000,$A60)</f>
        <v/>
      </c>
      <c r="M60" s="40">
        <f>SUMIFS('Saisie hebdo'!$O$5:$O$2000,'Saisie hebdo'!$B$5:$B$2000,$A60)</f>
        <v/>
      </c>
      <c r="N60" s="43">
        <f>IF(N(D60)=0,"",E60/D60)</f>
        <v/>
      </c>
      <c r="O60" s="40">
        <f>IF(N(E60)=0,"",C60/E60)</f>
        <v/>
      </c>
      <c r="P60" s="43">
        <f>IF(N(E60)=0,"",F60/E60)</f>
        <v/>
      </c>
      <c r="Q60" s="40">
        <f>IF(N(F60)=0,"",C60/F60)</f>
        <v/>
      </c>
      <c r="R60" s="40">
        <f>IF(N(I60)=0,"",C60/I60)</f>
        <v/>
      </c>
      <c r="S60" s="40">
        <f>IF(N(J60)=0,"",C60/J60)</f>
        <v/>
      </c>
      <c r="T60" s="40">
        <f>IF(N(L60)=0,"",C60/L60)</f>
        <v/>
      </c>
      <c r="U60" s="44">
        <f>IF(N(I60)=0,"",J60/I60)</f>
        <v/>
      </c>
      <c r="V60" s="44">
        <f>IF(N(K60)=0,"",L60/K60)</f>
        <v/>
      </c>
      <c r="W60" s="45">
        <f>IF(N(C60)=0,"",M60/C60)</f>
        <v/>
      </c>
    </row>
    <row r="61">
      <c r="A61" s="11" t="n">
        <v>46508</v>
      </c>
      <c r="B61" t="inlineStr">
        <is>
          <t>S-FR | Marque</t>
        </is>
      </c>
      <c r="C61" s="32">
        <f>SUMIFS('Saisie hebdo'!$E$5:$E$2000,'Saisie hebdo'!$B$5:$B$2000,$A61,'Saisie hebdo'!$C$5:$C$2000,$B61)</f>
        <v/>
      </c>
      <c r="D61" s="33">
        <f>SUMIFS('Saisie hebdo'!$F$5:$F$2000,'Saisie hebdo'!$B$5:$B$2000,$A61,'Saisie hebdo'!$C$5:$C$2000,$B61)</f>
        <v/>
      </c>
      <c r="E61" s="33">
        <f>SUMIFS('Saisie hebdo'!$G$5:$G$2000,'Saisie hebdo'!$B$5:$B$2000,$A61,'Saisie hebdo'!$C$5:$C$2000,$B61)</f>
        <v/>
      </c>
      <c r="F61" s="34">
        <f>SUMIFS('Saisie hebdo'!$H$5:$H$2000,'Saisie hebdo'!$B$5:$B$2000,$A61,'Saisie hebdo'!$C$5:$C$2000,$B61)</f>
        <v/>
      </c>
      <c r="G61" s="35">
        <f>IFERROR(AVERAGEIFS('Saisie hebdo'!$I$5:$I$2000,'Saisie hebdo'!$B$5:$B$2000,$A61,'Saisie hebdo'!$C$5:$C$2000,$B61),"")</f>
        <v/>
      </c>
      <c r="H61" s="35">
        <f>IFERROR(AVERAGEIFS('Saisie hebdo'!$J$5:$J$2000,'Saisie hebdo'!$B$5:$B$2000,$A61,'Saisie hebdo'!$C$5:$C$2000,$B61),"")</f>
        <v/>
      </c>
      <c r="I61" s="33">
        <f>SUMIFS('Saisie hebdo'!$K$5:$K$2000,'Saisie hebdo'!$B$5:$B$2000,$A61,'Saisie hebdo'!$C$5:$C$2000,$B61)</f>
        <v/>
      </c>
      <c r="J61" s="33">
        <f>SUMIFS('Saisie hebdo'!$L$5:$L$2000,'Saisie hebdo'!$B$5:$B$2000,$A61,'Saisie hebdo'!$C$5:$C$2000,$B61)</f>
        <v/>
      </c>
      <c r="K61" s="33">
        <f>SUMIFS('Saisie hebdo'!$M$5:$M$2000,'Saisie hebdo'!$B$5:$B$2000,$A61,'Saisie hebdo'!$C$5:$C$2000,$B61)</f>
        <v/>
      </c>
      <c r="L61" s="33">
        <f>SUMIFS('Saisie hebdo'!$N$5:$N$2000,'Saisie hebdo'!$B$5:$B$2000,$A61,'Saisie hebdo'!$C$5:$C$2000,$B61)</f>
        <v/>
      </c>
      <c r="M61" s="32">
        <f>SUMIFS('Saisie hebdo'!$O$5:$O$2000,'Saisie hebdo'!$B$5:$B$2000,$A61,'Saisie hebdo'!$C$5:$C$2000,$B61)</f>
        <v/>
      </c>
      <c r="N61" s="35">
        <f>IF(N(D61)=0,"",E61/D61)</f>
        <v/>
      </c>
      <c r="O61" s="32">
        <f>IF(N(E61)=0,"",C61/E61)</f>
        <v/>
      </c>
      <c r="P61" s="35">
        <f>IF(N(E61)=0,"",F61/E61)</f>
        <v/>
      </c>
      <c r="Q61" s="32">
        <f>IF(N(F61)=0,"",C61/F61)</f>
        <v/>
      </c>
      <c r="R61" s="32">
        <f>IF(N(I61)=0,"",C61/I61)</f>
        <v/>
      </c>
      <c r="S61" s="32">
        <f>IF(N(J61)=0,"",C61/J61)</f>
        <v/>
      </c>
      <c r="T61" s="32">
        <f>IF(N(L61)=0,"",C61/L61)</f>
        <v/>
      </c>
      <c r="U61" s="36">
        <f>IF(N(I61)=0,"",J61/I61)</f>
        <v/>
      </c>
      <c r="V61" s="36">
        <f>IF(N(K61)=0,"",L61/K61)</f>
        <v/>
      </c>
      <c r="W61" s="37">
        <f>IF(N(C61)=0,"",M61/C61)</f>
        <v/>
      </c>
    </row>
    <row r="62">
      <c r="A62" s="11" t="n">
        <v>46508</v>
      </c>
      <c r="B62" t="inlineStr">
        <is>
          <t>S-FR | Corporatif &amp; Fêtes</t>
        </is>
      </c>
      <c r="C62" s="32">
        <f>SUMIFS('Saisie hebdo'!$E$5:$E$2000,'Saisie hebdo'!$B$5:$B$2000,$A62,'Saisie hebdo'!$C$5:$C$2000,$B62)</f>
        <v/>
      </c>
      <c r="D62" s="33">
        <f>SUMIFS('Saisie hebdo'!$F$5:$F$2000,'Saisie hebdo'!$B$5:$B$2000,$A62,'Saisie hebdo'!$C$5:$C$2000,$B62)</f>
        <v/>
      </c>
      <c r="E62" s="33">
        <f>SUMIFS('Saisie hebdo'!$G$5:$G$2000,'Saisie hebdo'!$B$5:$B$2000,$A62,'Saisie hebdo'!$C$5:$C$2000,$B62)</f>
        <v/>
      </c>
      <c r="F62" s="34">
        <f>SUMIFS('Saisie hebdo'!$H$5:$H$2000,'Saisie hebdo'!$B$5:$B$2000,$A62,'Saisie hebdo'!$C$5:$C$2000,$B62)</f>
        <v/>
      </c>
      <c r="G62" s="35">
        <f>IFERROR(AVERAGEIFS('Saisie hebdo'!$I$5:$I$2000,'Saisie hebdo'!$B$5:$B$2000,$A62,'Saisie hebdo'!$C$5:$C$2000,$B62),"")</f>
        <v/>
      </c>
      <c r="H62" s="35">
        <f>IFERROR(AVERAGEIFS('Saisie hebdo'!$J$5:$J$2000,'Saisie hebdo'!$B$5:$B$2000,$A62,'Saisie hebdo'!$C$5:$C$2000,$B62),"")</f>
        <v/>
      </c>
      <c r="I62" s="33">
        <f>SUMIFS('Saisie hebdo'!$K$5:$K$2000,'Saisie hebdo'!$B$5:$B$2000,$A62,'Saisie hebdo'!$C$5:$C$2000,$B62)</f>
        <v/>
      </c>
      <c r="J62" s="33">
        <f>SUMIFS('Saisie hebdo'!$L$5:$L$2000,'Saisie hebdo'!$B$5:$B$2000,$A62,'Saisie hebdo'!$C$5:$C$2000,$B62)</f>
        <v/>
      </c>
      <c r="K62" s="33">
        <f>SUMIFS('Saisie hebdo'!$M$5:$M$2000,'Saisie hebdo'!$B$5:$B$2000,$A62,'Saisie hebdo'!$C$5:$C$2000,$B62)</f>
        <v/>
      </c>
      <c r="L62" s="33">
        <f>SUMIFS('Saisie hebdo'!$N$5:$N$2000,'Saisie hebdo'!$B$5:$B$2000,$A62,'Saisie hebdo'!$C$5:$C$2000,$B62)</f>
        <v/>
      </c>
      <c r="M62" s="32">
        <f>SUMIFS('Saisie hebdo'!$O$5:$O$2000,'Saisie hebdo'!$B$5:$B$2000,$A62,'Saisie hebdo'!$C$5:$C$2000,$B62)</f>
        <v/>
      </c>
      <c r="N62" s="35">
        <f>IF(N(D62)=0,"",E62/D62)</f>
        <v/>
      </c>
      <c r="O62" s="32">
        <f>IF(N(E62)=0,"",C62/E62)</f>
        <v/>
      </c>
      <c r="P62" s="35">
        <f>IF(N(E62)=0,"",F62/E62)</f>
        <v/>
      </c>
      <c r="Q62" s="32">
        <f>IF(N(F62)=0,"",C62/F62)</f>
        <v/>
      </c>
      <c r="R62" s="32">
        <f>IF(N(I62)=0,"",C62/I62)</f>
        <v/>
      </c>
      <c r="S62" s="32">
        <f>IF(N(J62)=0,"",C62/J62)</f>
        <v/>
      </c>
      <c r="T62" s="32">
        <f>IF(N(L62)=0,"",C62/L62)</f>
        <v/>
      </c>
      <c r="U62" s="36">
        <f>IF(N(I62)=0,"",J62/I62)</f>
        <v/>
      </c>
      <c r="V62" s="36">
        <f>IF(N(K62)=0,"",L62/K62)</f>
        <v/>
      </c>
      <c r="W62" s="37">
        <f>IF(N(C62)=0,"",M62/C62)</f>
        <v/>
      </c>
    </row>
    <row r="63">
      <c r="A63" s="11" t="n">
        <v>46508</v>
      </c>
      <c r="B63" t="inlineStr">
        <is>
          <t>S-FR | Événements privés</t>
        </is>
      </c>
      <c r="C63" s="32">
        <f>SUMIFS('Saisie hebdo'!$E$5:$E$2000,'Saisie hebdo'!$B$5:$B$2000,$A63,'Saisie hebdo'!$C$5:$C$2000,$B63)</f>
        <v/>
      </c>
      <c r="D63" s="33">
        <f>SUMIFS('Saisie hebdo'!$F$5:$F$2000,'Saisie hebdo'!$B$5:$B$2000,$A63,'Saisie hebdo'!$C$5:$C$2000,$B63)</f>
        <v/>
      </c>
      <c r="E63" s="33">
        <f>SUMIFS('Saisie hebdo'!$G$5:$G$2000,'Saisie hebdo'!$B$5:$B$2000,$A63,'Saisie hebdo'!$C$5:$C$2000,$B63)</f>
        <v/>
      </c>
      <c r="F63" s="34">
        <f>SUMIFS('Saisie hebdo'!$H$5:$H$2000,'Saisie hebdo'!$B$5:$B$2000,$A63,'Saisie hebdo'!$C$5:$C$2000,$B63)</f>
        <v/>
      </c>
      <c r="G63" s="35">
        <f>IFERROR(AVERAGEIFS('Saisie hebdo'!$I$5:$I$2000,'Saisie hebdo'!$B$5:$B$2000,$A63,'Saisie hebdo'!$C$5:$C$2000,$B63),"")</f>
        <v/>
      </c>
      <c r="H63" s="35">
        <f>IFERROR(AVERAGEIFS('Saisie hebdo'!$J$5:$J$2000,'Saisie hebdo'!$B$5:$B$2000,$A63,'Saisie hebdo'!$C$5:$C$2000,$B63),"")</f>
        <v/>
      </c>
      <c r="I63" s="33">
        <f>SUMIFS('Saisie hebdo'!$K$5:$K$2000,'Saisie hebdo'!$B$5:$B$2000,$A63,'Saisie hebdo'!$C$5:$C$2000,$B63)</f>
        <v/>
      </c>
      <c r="J63" s="33">
        <f>SUMIFS('Saisie hebdo'!$L$5:$L$2000,'Saisie hebdo'!$B$5:$B$2000,$A63,'Saisie hebdo'!$C$5:$C$2000,$B63)</f>
        <v/>
      </c>
      <c r="K63" s="33">
        <f>SUMIFS('Saisie hebdo'!$M$5:$M$2000,'Saisie hebdo'!$B$5:$B$2000,$A63,'Saisie hebdo'!$C$5:$C$2000,$B63)</f>
        <v/>
      </c>
      <c r="L63" s="33">
        <f>SUMIFS('Saisie hebdo'!$N$5:$N$2000,'Saisie hebdo'!$B$5:$B$2000,$A63,'Saisie hebdo'!$C$5:$C$2000,$B63)</f>
        <v/>
      </c>
      <c r="M63" s="32">
        <f>SUMIFS('Saisie hebdo'!$O$5:$O$2000,'Saisie hebdo'!$B$5:$B$2000,$A63,'Saisie hebdo'!$C$5:$C$2000,$B63)</f>
        <v/>
      </c>
      <c r="N63" s="35">
        <f>IF(N(D63)=0,"",E63/D63)</f>
        <v/>
      </c>
      <c r="O63" s="32">
        <f>IF(N(E63)=0,"",C63/E63)</f>
        <v/>
      </c>
      <c r="P63" s="35">
        <f>IF(N(E63)=0,"",F63/E63)</f>
        <v/>
      </c>
      <c r="Q63" s="32">
        <f>IF(N(F63)=0,"",C63/F63)</f>
        <v/>
      </c>
      <c r="R63" s="32">
        <f>IF(N(I63)=0,"",C63/I63)</f>
        <v/>
      </c>
      <c r="S63" s="32">
        <f>IF(N(J63)=0,"",C63/J63)</f>
        <v/>
      </c>
      <c r="T63" s="32">
        <f>IF(N(L63)=0,"",C63/L63)</f>
        <v/>
      </c>
      <c r="U63" s="36">
        <f>IF(N(I63)=0,"",J63/I63)</f>
        <v/>
      </c>
      <c r="V63" s="36">
        <f>IF(N(K63)=0,"",L63/K63)</f>
        <v/>
      </c>
      <c r="W63" s="37">
        <f>IF(N(C63)=0,"",M63/C63)</f>
        <v/>
      </c>
    </row>
    <row r="64">
      <c r="A64" s="11" t="n">
        <v>46508</v>
      </c>
      <c r="B64" t="inlineStr">
        <is>
          <t>S-EN | Corporate Montréal</t>
        </is>
      </c>
      <c r="C64" s="32">
        <f>SUMIFS('Saisie hebdo'!$E$5:$E$2000,'Saisie hebdo'!$B$5:$B$2000,$A64,'Saisie hebdo'!$C$5:$C$2000,$B64)</f>
        <v/>
      </c>
      <c r="D64" s="33">
        <f>SUMIFS('Saisie hebdo'!$F$5:$F$2000,'Saisie hebdo'!$B$5:$B$2000,$A64,'Saisie hebdo'!$C$5:$C$2000,$B64)</f>
        <v/>
      </c>
      <c r="E64" s="33">
        <f>SUMIFS('Saisie hebdo'!$G$5:$G$2000,'Saisie hebdo'!$B$5:$B$2000,$A64,'Saisie hebdo'!$C$5:$C$2000,$B64)</f>
        <v/>
      </c>
      <c r="F64" s="34">
        <f>SUMIFS('Saisie hebdo'!$H$5:$H$2000,'Saisie hebdo'!$B$5:$B$2000,$A64,'Saisie hebdo'!$C$5:$C$2000,$B64)</f>
        <v/>
      </c>
      <c r="G64" s="35">
        <f>IFERROR(AVERAGEIFS('Saisie hebdo'!$I$5:$I$2000,'Saisie hebdo'!$B$5:$B$2000,$A64,'Saisie hebdo'!$C$5:$C$2000,$B64),"")</f>
        <v/>
      </c>
      <c r="H64" s="35">
        <f>IFERROR(AVERAGEIFS('Saisie hebdo'!$J$5:$J$2000,'Saisie hebdo'!$B$5:$B$2000,$A64,'Saisie hebdo'!$C$5:$C$2000,$B64),"")</f>
        <v/>
      </c>
      <c r="I64" s="33">
        <f>SUMIFS('Saisie hebdo'!$K$5:$K$2000,'Saisie hebdo'!$B$5:$B$2000,$A64,'Saisie hebdo'!$C$5:$C$2000,$B64)</f>
        <v/>
      </c>
      <c r="J64" s="33">
        <f>SUMIFS('Saisie hebdo'!$L$5:$L$2000,'Saisie hebdo'!$B$5:$B$2000,$A64,'Saisie hebdo'!$C$5:$C$2000,$B64)</f>
        <v/>
      </c>
      <c r="K64" s="33">
        <f>SUMIFS('Saisie hebdo'!$M$5:$M$2000,'Saisie hebdo'!$B$5:$B$2000,$A64,'Saisie hebdo'!$C$5:$C$2000,$B64)</f>
        <v/>
      </c>
      <c r="L64" s="33">
        <f>SUMIFS('Saisie hebdo'!$N$5:$N$2000,'Saisie hebdo'!$B$5:$B$2000,$A64,'Saisie hebdo'!$C$5:$C$2000,$B64)</f>
        <v/>
      </c>
      <c r="M64" s="32">
        <f>SUMIFS('Saisie hebdo'!$O$5:$O$2000,'Saisie hebdo'!$B$5:$B$2000,$A64,'Saisie hebdo'!$C$5:$C$2000,$B64)</f>
        <v/>
      </c>
      <c r="N64" s="35">
        <f>IF(N(D64)=0,"",E64/D64)</f>
        <v/>
      </c>
      <c r="O64" s="32">
        <f>IF(N(E64)=0,"",C64/E64)</f>
        <v/>
      </c>
      <c r="P64" s="35">
        <f>IF(N(E64)=0,"",F64/E64)</f>
        <v/>
      </c>
      <c r="Q64" s="32">
        <f>IF(N(F64)=0,"",C64/F64)</f>
        <v/>
      </c>
      <c r="R64" s="32">
        <f>IF(N(I64)=0,"",C64/I64)</f>
        <v/>
      </c>
      <c r="S64" s="32">
        <f>IF(N(J64)=0,"",C64/J64)</f>
        <v/>
      </c>
      <c r="T64" s="32">
        <f>IF(N(L64)=0,"",C64/L64)</f>
        <v/>
      </c>
      <c r="U64" s="36">
        <f>IF(N(I64)=0,"",J64/I64)</f>
        <v/>
      </c>
      <c r="V64" s="36">
        <f>IF(N(K64)=0,"",L64/K64)</f>
        <v/>
      </c>
      <c r="W64" s="37">
        <f>IF(N(C64)=0,"",M64/C64)</f>
        <v/>
      </c>
    </row>
    <row r="65">
      <c r="A65" s="11" t="n">
        <v>46508</v>
      </c>
      <c r="B65" t="inlineStr">
        <is>
          <t>S-FR | Québec-Lévis (test)</t>
        </is>
      </c>
      <c r="C65" s="32">
        <f>SUMIFS('Saisie hebdo'!$E$5:$E$2000,'Saisie hebdo'!$B$5:$B$2000,$A65,'Saisie hebdo'!$C$5:$C$2000,$B65)</f>
        <v/>
      </c>
      <c r="D65" s="33">
        <f>SUMIFS('Saisie hebdo'!$F$5:$F$2000,'Saisie hebdo'!$B$5:$B$2000,$A65,'Saisie hebdo'!$C$5:$C$2000,$B65)</f>
        <v/>
      </c>
      <c r="E65" s="33">
        <f>SUMIFS('Saisie hebdo'!$G$5:$G$2000,'Saisie hebdo'!$B$5:$B$2000,$A65,'Saisie hebdo'!$C$5:$C$2000,$B65)</f>
        <v/>
      </c>
      <c r="F65" s="34">
        <f>SUMIFS('Saisie hebdo'!$H$5:$H$2000,'Saisie hebdo'!$B$5:$B$2000,$A65,'Saisie hebdo'!$C$5:$C$2000,$B65)</f>
        <v/>
      </c>
      <c r="G65" s="35">
        <f>IFERROR(AVERAGEIFS('Saisie hebdo'!$I$5:$I$2000,'Saisie hebdo'!$B$5:$B$2000,$A65,'Saisie hebdo'!$C$5:$C$2000,$B65),"")</f>
        <v/>
      </c>
      <c r="H65" s="35">
        <f>IFERROR(AVERAGEIFS('Saisie hebdo'!$J$5:$J$2000,'Saisie hebdo'!$B$5:$B$2000,$A65,'Saisie hebdo'!$C$5:$C$2000,$B65),"")</f>
        <v/>
      </c>
      <c r="I65" s="33">
        <f>SUMIFS('Saisie hebdo'!$K$5:$K$2000,'Saisie hebdo'!$B$5:$B$2000,$A65,'Saisie hebdo'!$C$5:$C$2000,$B65)</f>
        <v/>
      </c>
      <c r="J65" s="33">
        <f>SUMIFS('Saisie hebdo'!$L$5:$L$2000,'Saisie hebdo'!$B$5:$B$2000,$A65,'Saisie hebdo'!$C$5:$C$2000,$B65)</f>
        <v/>
      </c>
      <c r="K65" s="33">
        <f>SUMIFS('Saisie hebdo'!$M$5:$M$2000,'Saisie hebdo'!$B$5:$B$2000,$A65,'Saisie hebdo'!$C$5:$C$2000,$B65)</f>
        <v/>
      </c>
      <c r="L65" s="33">
        <f>SUMIFS('Saisie hebdo'!$N$5:$N$2000,'Saisie hebdo'!$B$5:$B$2000,$A65,'Saisie hebdo'!$C$5:$C$2000,$B65)</f>
        <v/>
      </c>
      <c r="M65" s="32">
        <f>SUMIFS('Saisie hebdo'!$O$5:$O$2000,'Saisie hebdo'!$B$5:$B$2000,$A65,'Saisie hebdo'!$C$5:$C$2000,$B65)</f>
        <v/>
      </c>
      <c r="N65" s="35">
        <f>IF(N(D65)=0,"",E65/D65)</f>
        <v/>
      </c>
      <c r="O65" s="32">
        <f>IF(N(E65)=0,"",C65/E65)</f>
        <v/>
      </c>
      <c r="P65" s="35">
        <f>IF(N(E65)=0,"",F65/E65)</f>
        <v/>
      </c>
      <c r="Q65" s="32">
        <f>IF(N(F65)=0,"",C65/F65)</f>
        <v/>
      </c>
      <c r="R65" s="32">
        <f>IF(N(I65)=0,"",C65/I65)</f>
        <v/>
      </c>
      <c r="S65" s="32">
        <f>IF(N(J65)=0,"",C65/J65)</f>
        <v/>
      </c>
      <c r="T65" s="32">
        <f>IF(N(L65)=0,"",C65/L65)</f>
        <v/>
      </c>
      <c r="U65" s="36">
        <f>IF(N(I65)=0,"",J65/I65)</f>
        <v/>
      </c>
      <c r="V65" s="36">
        <f>IF(N(K65)=0,"",L65/K65)</f>
        <v/>
      </c>
      <c r="W65" s="37">
        <f>IF(N(C65)=0,"",M65/C65)</f>
        <v/>
      </c>
    </row>
    <row r="66">
      <c r="A66" s="11" t="n">
        <v>46508</v>
      </c>
      <c r="B66" t="inlineStr">
        <is>
          <t>Demand Gen</t>
        </is>
      </c>
      <c r="C66" s="32">
        <f>SUMIFS('Saisie hebdo'!$E$5:$E$2000,'Saisie hebdo'!$B$5:$B$2000,$A66,'Saisie hebdo'!$C$5:$C$2000,$B66)</f>
        <v/>
      </c>
      <c r="D66" s="33">
        <f>SUMIFS('Saisie hebdo'!$F$5:$F$2000,'Saisie hebdo'!$B$5:$B$2000,$A66,'Saisie hebdo'!$C$5:$C$2000,$B66)</f>
        <v/>
      </c>
      <c r="E66" s="33">
        <f>SUMIFS('Saisie hebdo'!$G$5:$G$2000,'Saisie hebdo'!$B$5:$B$2000,$A66,'Saisie hebdo'!$C$5:$C$2000,$B66)</f>
        <v/>
      </c>
      <c r="F66" s="34">
        <f>SUMIFS('Saisie hebdo'!$H$5:$H$2000,'Saisie hebdo'!$B$5:$B$2000,$A66,'Saisie hebdo'!$C$5:$C$2000,$B66)</f>
        <v/>
      </c>
      <c r="G66" s="35">
        <f>IFERROR(AVERAGEIFS('Saisie hebdo'!$I$5:$I$2000,'Saisie hebdo'!$B$5:$B$2000,$A66,'Saisie hebdo'!$C$5:$C$2000,$B66),"")</f>
        <v/>
      </c>
      <c r="H66" s="35">
        <f>IFERROR(AVERAGEIFS('Saisie hebdo'!$J$5:$J$2000,'Saisie hebdo'!$B$5:$B$2000,$A66,'Saisie hebdo'!$C$5:$C$2000,$B66),"")</f>
        <v/>
      </c>
      <c r="I66" s="33">
        <f>SUMIFS('Saisie hebdo'!$K$5:$K$2000,'Saisie hebdo'!$B$5:$B$2000,$A66,'Saisie hebdo'!$C$5:$C$2000,$B66)</f>
        <v/>
      </c>
      <c r="J66" s="33">
        <f>SUMIFS('Saisie hebdo'!$L$5:$L$2000,'Saisie hebdo'!$B$5:$B$2000,$A66,'Saisie hebdo'!$C$5:$C$2000,$B66)</f>
        <v/>
      </c>
      <c r="K66" s="33">
        <f>SUMIFS('Saisie hebdo'!$M$5:$M$2000,'Saisie hebdo'!$B$5:$B$2000,$A66,'Saisie hebdo'!$C$5:$C$2000,$B66)</f>
        <v/>
      </c>
      <c r="L66" s="33">
        <f>SUMIFS('Saisie hebdo'!$N$5:$N$2000,'Saisie hebdo'!$B$5:$B$2000,$A66,'Saisie hebdo'!$C$5:$C$2000,$B66)</f>
        <v/>
      </c>
      <c r="M66" s="32">
        <f>SUMIFS('Saisie hebdo'!$O$5:$O$2000,'Saisie hebdo'!$B$5:$B$2000,$A66,'Saisie hebdo'!$C$5:$C$2000,$B66)</f>
        <v/>
      </c>
      <c r="N66" s="35">
        <f>IF(N(D66)=0,"",E66/D66)</f>
        <v/>
      </c>
      <c r="O66" s="32">
        <f>IF(N(E66)=0,"",C66/E66)</f>
        <v/>
      </c>
      <c r="P66" s="35">
        <f>IF(N(E66)=0,"",F66/E66)</f>
        <v/>
      </c>
      <c r="Q66" s="32">
        <f>IF(N(F66)=0,"",C66/F66)</f>
        <v/>
      </c>
      <c r="R66" s="32">
        <f>IF(N(I66)=0,"",C66/I66)</f>
        <v/>
      </c>
      <c r="S66" s="32">
        <f>IF(N(J66)=0,"",C66/J66)</f>
        <v/>
      </c>
      <c r="T66" s="32">
        <f>IF(N(L66)=0,"",C66/L66)</f>
        <v/>
      </c>
      <c r="U66" s="36">
        <f>IF(N(I66)=0,"",J66/I66)</f>
        <v/>
      </c>
      <c r="V66" s="36">
        <f>IF(N(K66)=0,"",L66/K66)</f>
        <v/>
      </c>
      <c r="W66" s="37">
        <f>IF(N(C66)=0,"",M66/C66)</f>
        <v/>
      </c>
    </row>
    <row r="67">
      <c r="A67" s="11" t="n">
        <v>46508</v>
      </c>
      <c r="B67" t="inlineStr">
        <is>
          <t>Microsoft Ads</t>
        </is>
      </c>
      <c r="C67" s="32">
        <f>SUMIFS('Saisie hebdo'!$E$5:$E$2000,'Saisie hebdo'!$B$5:$B$2000,$A67,'Saisie hebdo'!$C$5:$C$2000,$B67)</f>
        <v/>
      </c>
      <c r="D67" s="33">
        <f>SUMIFS('Saisie hebdo'!$F$5:$F$2000,'Saisie hebdo'!$B$5:$B$2000,$A67,'Saisie hebdo'!$C$5:$C$2000,$B67)</f>
        <v/>
      </c>
      <c r="E67" s="33">
        <f>SUMIFS('Saisie hebdo'!$G$5:$G$2000,'Saisie hebdo'!$B$5:$B$2000,$A67,'Saisie hebdo'!$C$5:$C$2000,$B67)</f>
        <v/>
      </c>
      <c r="F67" s="34">
        <f>SUMIFS('Saisie hebdo'!$H$5:$H$2000,'Saisie hebdo'!$B$5:$B$2000,$A67,'Saisie hebdo'!$C$5:$C$2000,$B67)</f>
        <v/>
      </c>
      <c r="G67" s="35">
        <f>IFERROR(AVERAGEIFS('Saisie hebdo'!$I$5:$I$2000,'Saisie hebdo'!$B$5:$B$2000,$A67,'Saisie hebdo'!$C$5:$C$2000,$B67),"")</f>
        <v/>
      </c>
      <c r="H67" s="35">
        <f>IFERROR(AVERAGEIFS('Saisie hebdo'!$J$5:$J$2000,'Saisie hebdo'!$B$5:$B$2000,$A67,'Saisie hebdo'!$C$5:$C$2000,$B67),"")</f>
        <v/>
      </c>
      <c r="I67" s="33">
        <f>SUMIFS('Saisie hebdo'!$K$5:$K$2000,'Saisie hebdo'!$B$5:$B$2000,$A67,'Saisie hebdo'!$C$5:$C$2000,$B67)</f>
        <v/>
      </c>
      <c r="J67" s="33">
        <f>SUMIFS('Saisie hebdo'!$L$5:$L$2000,'Saisie hebdo'!$B$5:$B$2000,$A67,'Saisie hebdo'!$C$5:$C$2000,$B67)</f>
        <v/>
      </c>
      <c r="K67" s="33">
        <f>SUMIFS('Saisie hebdo'!$M$5:$M$2000,'Saisie hebdo'!$B$5:$B$2000,$A67,'Saisie hebdo'!$C$5:$C$2000,$B67)</f>
        <v/>
      </c>
      <c r="L67" s="33">
        <f>SUMIFS('Saisie hebdo'!$N$5:$N$2000,'Saisie hebdo'!$B$5:$B$2000,$A67,'Saisie hebdo'!$C$5:$C$2000,$B67)</f>
        <v/>
      </c>
      <c r="M67" s="32">
        <f>SUMIFS('Saisie hebdo'!$O$5:$O$2000,'Saisie hebdo'!$B$5:$B$2000,$A67,'Saisie hebdo'!$C$5:$C$2000,$B67)</f>
        <v/>
      </c>
      <c r="N67" s="35">
        <f>IF(N(D67)=0,"",E67/D67)</f>
        <v/>
      </c>
      <c r="O67" s="32">
        <f>IF(N(E67)=0,"",C67/E67)</f>
        <v/>
      </c>
      <c r="P67" s="35">
        <f>IF(N(E67)=0,"",F67/E67)</f>
        <v/>
      </c>
      <c r="Q67" s="32">
        <f>IF(N(F67)=0,"",C67/F67)</f>
        <v/>
      </c>
      <c r="R67" s="32">
        <f>IF(N(I67)=0,"",C67/I67)</f>
        <v/>
      </c>
      <c r="S67" s="32">
        <f>IF(N(J67)=0,"",C67/J67)</f>
        <v/>
      </c>
      <c r="T67" s="32">
        <f>IF(N(L67)=0,"",C67/L67)</f>
        <v/>
      </c>
      <c r="U67" s="36">
        <f>IF(N(I67)=0,"",J67/I67)</f>
        <v/>
      </c>
      <c r="V67" s="36">
        <f>IF(N(K67)=0,"",L67/K67)</f>
        <v/>
      </c>
      <c r="W67" s="37">
        <f>IF(N(C67)=0,"",M67/C67)</f>
        <v/>
      </c>
    </row>
    <row r="68">
      <c r="A68" s="38" t="n">
        <v>46508</v>
      </c>
      <c r="B68" s="39" t="inlineStr">
        <is>
          <t>Total du compte</t>
        </is>
      </c>
      <c r="C68" s="40">
        <f>SUMIFS('Saisie hebdo'!$E$5:$E$2000,'Saisie hebdo'!$B$5:$B$2000,$A68)</f>
        <v/>
      </c>
      <c r="D68" s="41">
        <f>SUMIFS('Saisie hebdo'!$F$5:$F$2000,'Saisie hebdo'!$B$5:$B$2000,$A68)</f>
        <v/>
      </c>
      <c r="E68" s="41">
        <f>SUMIFS('Saisie hebdo'!$G$5:$G$2000,'Saisie hebdo'!$B$5:$B$2000,$A68)</f>
        <v/>
      </c>
      <c r="F68" s="42">
        <f>SUMIFS('Saisie hebdo'!$H$5:$H$2000,'Saisie hebdo'!$B$5:$B$2000,$A68)</f>
        <v/>
      </c>
      <c r="G68" s="43">
        <f>IFERROR(AVERAGEIFS('Saisie hebdo'!$I$5:$I$2000,'Saisie hebdo'!$B$5:$B$2000,$A68),"")</f>
        <v/>
      </c>
      <c r="H68" s="43">
        <f>IFERROR(AVERAGEIFS('Saisie hebdo'!$J$5:$J$2000,'Saisie hebdo'!$B$5:$B$2000,$A68),"")</f>
        <v/>
      </c>
      <c r="I68" s="41">
        <f>SUMIFS('Saisie hebdo'!$K$5:$K$2000,'Saisie hebdo'!$B$5:$B$2000,$A68)</f>
        <v/>
      </c>
      <c r="J68" s="41">
        <f>SUMIFS('Saisie hebdo'!$L$5:$L$2000,'Saisie hebdo'!$B$5:$B$2000,$A68)</f>
        <v/>
      </c>
      <c r="K68" s="41">
        <f>SUMIFS('Saisie hebdo'!$M$5:$M$2000,'Saisie hebdo'!$B$5:$B$2000,$A68)</f>
        <v/>
      </c>
      <c r="L68" s="41">
        <f>SUMIFS('Saisie hebdo'!$N$5:$N$2000,'Saisie hebdo'!$B$5:$B$2000,$A68)</f>
        <v/>
      </c>
      <c r="M68" s="40">
        <f>SUMIFS('Saisie hebdo'!$O$5:$O$2000,'Saisie hebdo'!$B$5:$B$2000,$A68)</f>
        <v/>
      </c>
      <c r="N68" s="43">
        <f>IF(N(D68)=0,"",E68/D68)</f>
        <v/>
      </c>
      <c r="O68" s="40">
        <f>IF(N(E68)=0,"",C68/E68)</f>
        <v/>
      </c>
      <c r="P68" s="43">
        <f>IF(N(E68)=0,"",F68/E68)</f>
        <v/>
      </c>
      <c r="Q68" s="40">
        <f>IF(N(F68)=0,"",C68/F68)</f>
        <v/>
      </c>
      <c r="R68" s="40">
        <f>IF(N(I68)=0,"",C68/I68)</f>
        <v/>
      </c>
      <c r="S68" s="40">
        <f>IF(N(J68)=0,"",C68/J68)</f>
        <v/>
      </c>
      <c r="T68" s="40">
        <f>IF(N(L68)=0,"",C68/L68)</f>
        <v/>
      </c>
      <c r="U68" s="44">
        <f>IF(N(I68)=0,"",J68/I68)</f>
        <v/>
      </c>
      <c r="V68" s="44">
        <f>IF(N(K68)=0,"",L68/K68)</f>
        <v/>
      </c>
      <c r="W68" s="45">
        <f>IF(N(C68)=0,"",M68/C68)</f>
        <v/>
      </c>
    </row>
    <row r="69">
      <c r="A69" s="11" t="n">
        <v>46539</v>
      </c>
      <c r="B69" t="inlineStr">
        <is>
          <t>S-FR | Marque</t>
        </is>
      </c>
      <c r="C69" s="32">
        <f>SUMIFS('Saisie hebdo'!$E$5:$E$2000,'Saisie hebdo'!$B$5:$B$2000,$A69,'Saisie hebdo'!$C$5:$C$2000,$B69)</f>
        <v/>
      </c>
      <c r="D69" s="33">
        <f>SUMIFS('Saisie hebdo'!$F$5:$F$2000,'Saisie hebdo'!$B$5:$B$2000,$A69,'Saisie hebdo'!$C$5:$C$2000,$B69)</f>
        <v/>
      </c>
      <c r="E69" s="33">
        <f>SUMIFS('Saisie hebdo'!$G$5:$G$2000,'Saisie hebdo'!$B$5:$B$2000,$A69,'Saisie hebdo'!$C$5:$C$2000,$B69)</f>
        <v/>
      </c>
      <c r="F69" s="34">
        <f>SUMIFS('Saisie hebdo'!$H$5:$H$2000,'Saisie hebdo'!$B$5:$B$2000,$A69,'Saisie hebdo'!$C$5:$C$2000,$B69)</f>
        <v/>
      </c>
      <c r="G69" s="35">
        <f>IFERROR(AVERAGEIFS('Saisie hebdo'!$I$5:$I$2000,'Saisie hebdo'!$B$5:$B$2000,$A69,'Saisie hebdo'!$C$5:$C$2000,$B69),"")</f>
        <v/>
      </c>
      <c r="H69" s="35">
        <f>IFERROR(AVERAGEIFS('Saisie hebdo'!$J$5:$J$2000,'Saisie hebdo'!$B$5:$B$2000,$A69,'Saisie hebdo'!$C$5:$C$2000,$B69),"")</f>
        <v/>
      </c>
      <c r="I69" s="33">
        <f>SUMIFS('Saisie hebdo'!$K$5:$K$2000,'Saisie hebdo'!$B$5:$B$2000,$A69,'Saisie hebdo'!$C$5:$C$2000,$B69)</f>
        <v/>
      </c>
      <c r="J69" s="33">
        <f>SUMIFS('Saisie hebdo'!$L$5:$L$2000,'Saisie hebdo'!$B$5:$B$2000,$A69,'Saisie hebdo'!$C$5:$C$2000,$B69)</f>
        <v/>
      </c>
      <c r="K69" s="33">
        <f>SUMIFS('Saisie hebdo'!$M$5:$M$2000,'Saisie hebdo'!$B$5:$B$2000,$A69,'Saisie hebdo'!$C$5:$C$2000,$B69)</f>
        <v/>
      </c>
      <c r="L69" s="33">
        <f>SUMIFS('Saisie hebdo'!$N$5:$N$2000,'Saisie hebdo'!$B$5:$B$2000,$A69,'Saisie hebdo'!$C$5:$C$2000,$B69)</f>
        <v/>
      </c>
      <c r="M69" s="32">
        <f>SUMIFS('Saisie hebdo'!$O$5:$O$2000,'Saisie hebdo'!$B$5:$B$2000,$A69,'Saisie hebdo'!$C$5:$C$2000,$B69)</f>
        <v/>
      </c>
      <c r="N69" s="35">
        <f>IF(N(D69)=0,"",E69/D69)</f>
        <v/>
      </c>
      <c r="O69" s="32">
        <f>IF(N(E69)=0,"",C69/E69)</f>
        <v/>
      </c>
      <c r="P69" s="35">
        <f>IF(N(E69)=0,"",F69/E69)</f>
        <v/>
      </c>
      <c r="Q69" s="32">
        <f>IF(N(F69)=0,"",C69/F69)</f>
        <v/>
      </c>
      <c r="R69" s="32">
        <f>IF(N(I69)=0,"",C69/I69)</f>
        <v/>
      </c>
      <c r="S69" s="32">
        <f>IF(N(J69)=0,"",C69/J69)</f>
        <v/>
      </c>
      <c r="T69" s="32">
        <f>IF(N(L69)=0,"",C69/L69)</f>
        <v/>
      </c>
      <c r="U69" s="36">
        <f>IF(N(I69)=0,"",J69/I69)</f>
        <v/>
      </c>
      <c r="V69" s="36">
        <f>IF(N(K69)=0,"",L69/K69)</f>
        <v/>
      </c>
      <c r="W69" s="37">
        <f>IF(N(C69)=0,"",M69/C69)</f>
        <v/>
      </c>
    </row>
    <row r="70">
      <c r="A70" s="11" t="n">
        <v>46539</v>
      </c>
      <c r="B70" t="inlineStr">
        <is>
          <t>S-FR | Corporatif &amp; Fêtes</t>
        </is>
      </c>
      <c r="C70" s="32">
        <f>SUMIFS('Saisie hebdo'!$E$5:$E$2000,'Saisie hebdo'!$B$5:$B$2000,$A70,'Saisie hebdo'!$C$5:$C$2000,$B70)</f>
        <v/>
      </c>
      <c r="D70" s="33">
        <f>SUMIFS('Saisie hebdo'!$F$5:$F$2000,'Saisie hebdo'!$B$5:$B$2000,$A70,'Saisie hebdo'!$C$5:$C$2000,$B70)</f>
        <v/>
      </c>
      <c r="E70" s="33">
        <f>SUMIFS('Saisie hebdo'!$G$5:$G$2000,'Saisie hebdo'!$B$5:$B$2000,$A70,'Saisie hebdo'!$C$5:$C$2000,$B70)</f>
        <v/>
      </c>
      <c r="F70" s="34">
        <f>SUMIFS('Saisie hebdo'!$H$5:$H$2000,'Saisie hebdo'!$B$5:$B$2000,$A70,'Saisie hebdo'!$C$5:$C$2000,$B70)</f>
        <v/>
      </c>
      <c r="G70" s="35">
        <f>IFERROR(AVERAGEIFS('Saisie hebdo'!$I$5:$I$2000,'Saisie hebdo'!$B$5:$B$2000,$A70,'Saisie hebdo'!$C$5:$C$2000,$B70),"")</f>
        <v/>
      </c>
      <c r="H70" s="35">
        <f>IFERROR(AVERAGEIFS('Saisie hebdo'!$J$5:$J$2000,'Saisie hebdo'!$B$5:$B$2000,$A70,'Saisie hebdo'!$C$5:$C$2000,$B70),"")</f>
        <v/>
      </c>
      <c r="I70" s="33">
        <f>SUMIFS('Saisie hebdo'!$K$5:$K$2000,'Saisie hebdo'!$B$5:$B$2000,$A70,'Saisie hebdo'!$C$5:$C$2000,$B70)</f>
        <v/>
      </c>
      <c r="J70" s="33">
        <f>SUMIFS('Saisie hebdo'!$L$5:$L$2000,'Saisie hebdo'!$B$5:$B$2000,$A70,'Saisie hebdo'!$C$5:$C$2000,$B70)</f>
        <v/>
      </c>
      <c r="K70" s="33">
        <f>SUMIFS('Saisie hebdo'!$M$5:$M$2000,'Saisie hebdo'!$B$5:$B$2000,$A70,'Saisie hebdo'!$C$5:$C$2000,$B70)</f>
        <v/>
      </c>
      <c r="L70" s="33">
        <f>SUMIFS('Saisie hebdo'!$N$5:$N$2000,'Saisie hebdo'!$B$5:$B$2000,$A70,'Saisie hebdo'!$C$5:$C$2000,$B70)</f>
        <v/>
      </c>
      <c r="M70" s="32">
        <f>SUMIFS('Saisie hebdo'!$O$5:$O$2000,'Saisie hebdo'!$B$5:$B$2000,$A70,'Saisie hebdo'!$C$5:$C$2000,$B70)</f>
        <v/>
      </c>
      <c r="N70" s="35">
        <f>IF(N(D70)=0,"",E70/D70)</f>
        <v/>
      </c>
      <c r="O70" s="32">
        <f>IF(N(E70)=0,"",C70/E70)</f>
        <v/>
      </c>
      <c r="P70" s="35">
        <f>IF(N(E70)=0,"",F70/E70)</f>
        <v/>
      </c>
      <c r="Q70" s="32">
        <f>IF(N(F70)=0,"",C70/F70)</f>
        <v/>
      </c>
      <c r="R70" s="32">
        <f>IF(N(I70)=0,"",C70/I70)</f>
        <v/>
      </c>
      <c r="S70" s="32">
        <f>IF(N(J70)=0,"",C70/J70)</f>
        <v/>
      </c>
      <c r="T70" s="32">
        <f>IF(N(L70)=0,"",C70/L70)</f>
        <v/>
      </c>
      <c r="U70" s="36">
        <f>IF(N(I70)=0,"",J70/I70)</f>
        <v/>
      </c>
      <c r="V70" s="36">
        <f>IF(N(K70)=0,"",L70/K70)</f>
        <v/>
      </c>
      <c r="W70" s="37">
        <f>IF(N(C70)=0,"",M70/C70)</f>
        <v/>
      </c>
    </row>
    <row r="71">
      <c r="A71" s="11" t="n">
        <v>46539</v>
      </c>
      <c r="B71" t="inlineStr">
        <is>
          <t>S-FR | Événements privés</t>
        </is>
      </c>
      <c r="C71" s="32">
        <f>SUMIFS('Saisie hebdo'!$E$5:$E$2000,'Saisie hebdo'!$B$5:$B$2000,$A71,'Saisie hebdo'!$C$5:$C$2000,$B71)</f>
        <v/>
      </c>
      <c r="D71" s="33">
        <f>SUMIFS('Saisie hebdo'!$F$5:$F$2000,'Saisie hebdo'!$B$5:$B$2000,$A71,'Saisie hebdo'!$C$5:$C$2000,$B71)</f>
        <v/>
      </c>
      <c r="E71" s="33">
        <f>SUMIFS('Saisie hebdo'!$G$5:$G$2000,'Saisie hebdo'!$B$5:$B$2000,$A71,'Saisie hebdo'!$C$5:$C$2000,$B71)</f>
        <v/>
      </c>
      <c r="F71" s="34">
        <f>SUMIFS('Saisie hebdo'!$H$5:$H$2000,'Saisie hebdo'!$B$5:$B$2000,$A71,'Saisie hebdo'!$C$5:$C$2000,$B71)</f>
        <v/>
      </c>
      <c r="G71" s="35">
        <f>IFERROR(AVERAGEIFS('Saisie hebdo'!$I$5:$I$2000,'Saisie hebdo'!$B$5:$B$2000,$A71,'Saisie hebdo'!$C$5:$C$2000,$B71),"")</f>
        <v/>
      </c>
      <c r="H71" s="35">
        <f>IFERROR(AVERAGEIFS('Saisie hebdo'!$J$5:$J$2000,'Saisie hebdo'!$B$5:$B$2000,$A71,'Saisie hebdo'!$C$5:$C$2000,$B71),"")</f>
        <v/>
      </c>
      <c r="I71" s="33">
        <f>SUMIFS('Saisie hebdo'!$K$5:$K$2000,'Saisie hebdo'!$B$5:$B$2000,$A71,'Saisie hebdo'!$C$5:$C$2000,$B71)</f>
        <v/>
      </c>
      <c r="J71" s="33">
        <f>SUMIFS('Saisie hebdo'!$L$5:$L$2000,'Saisie hebdo'!$B$5:$B$2000,$A71,'Saisie hebdo'!$C$5:$C$2000,$B71)</f>
        <v/>
      </c>
      <c r="K71" s="33">
        <f>SUMIFS('Saisie hebdo'!$M$5:$M$2000,'Saisie hebdo'!$B$5:$B$2000,$A71,'Saisie hebdo'!$C$5:$C$2000,$B71)</f>
        <v/>
      </c>
      <c r="L71" s="33">
        <f>SUMIFS('Saisie hebdo'!$N$5:$N$2000,'Saisie hebdo'!$B$5:$B$2000,$A71,'Saisie hebdo'!$C$5:$C$2000,$B71)</f>
        <v/>
      </c>
      <c r="M71" s="32">
        <f>SUMIFS('Saisie hebdo'!$O$5:$O$2000,'Saisie hebdo'!$B$5:$B$2000,$A71,'Saisie hebdo'!$C$5:$C$2000,$B71)</f>
        <v/>
      </c>
      <c r="N71" s="35">
        <f>IF(N(D71)=0,"",E71/D71)</f>
        <v/>
      </c>
      <c r="O71" s="32">
        <f>IF(N(E71)=0,"",C71/E71)</f>
        <v/>
      </c>
      <c r="P71" s="35">
        <f>IF(N(E71)=0,"",F71/E71)</f>
        <v/>
      </c>
      <c r="Q71" s="32">
        <f>IF(N(F71)=0,"",C71/F71)</f>
        <v/>
      </c>
      <c r="R71" s="32">
        <f>IF(N(I71)=0,"",C71/I71)</f>
        <v/>
      </c>
      <c r="S71" s="32">
        <f>IF(N(J71)=0,"",C71/J71)</f>
        <v/>
      </c>
      <c r="T71" s="32">
        <f>IF(N(L71)=0,"",C71/L71)</f>
        <v/>
      </c>
      <c r="U71" s="36">
        <f>IF(N(I71)=0,"",J71/I71)</f>
        <v/>
      </c>
      <c r="V71" s="36">
        <f>IF(N(K71)=0,"",L71/K71)</f>
        <v/>
      </c>
      <c r="W71" s="37">
        <f>IF(N(C71)=0,"",M71/C71)</f>
        <v/>
      </c>
    </row>
    <row r="72">
      <c r="A72" s="11" t="n">
        <v>46539</v>
      </c>
      <c r="B72" t="inlineStr">
        <is>
          <t>S-EN | Corporate Montréal</t>
        </is>
      </c>
      <c r="C72" s="32">
        <f>SUMIFS('Saisie hebdo'!$E$5:$E$2000,'Saisie hebdo'!$B$5:$B$2000,$A72,'Saisie hebdo'!$C$5:$C$2000,$B72)</f>
        <v/>
      </c>
      <c r="D72" s="33">
        <f>SUMIFS('Saisie hebdo'!$F$5:$F$2000,'Saisie hebdo'!$B$5:$B$2000,$A72,'Saisie hebdo'!$C$5:$C$2000,$B72)</f>
        <v/>
      </c>
      <c r="E72" s="33">
        <f>SUMIFS('Saisie hebdo'!$G$5:$G$2000,'Saisie hebdo'!$B$5:$B$2000,$A72,'Saisie hebdo'!$C$5:$C$2000,$B72)</f>
        <v/>
      </c>
      <c r="F72" s="34">
        <f>SUMIFS('Saisie hebdo'!$H$5:$H$2000,'Saisie hebdo'!$B$5:$B$2000,$A72,'Saisie hebdo'!$C$5:$C$2000,$B72)</f>
        <v/>
      </c>
      <c r="G72" s="35">
        <f>IFERROR(AVERAGEIFS('Saisie hebdo'!$I$5:$I$2000,'Saisie hebdo'!$B$5:$B$2000,$A72,'Saisie hebdo'!$C$5:$C$2000,$B72),"")</f>
        <v/>
      </c>
      <c r="H72" s="35">
        <f>IFERROR(AVERAGEIFS('Saisie hebdo'!$J$5:$J$2000,'Saisie hebdo'!$B$5:$B$2000,$A72,'Saisie hebdo'!$C$5:$C$2000,$B72),"")</f>
        <v/>
      </c>
      <c r="I72" s="33">
        <f>SUMIFS('Saisie hebdo'!$K$5:$K$2000,'Saisie hebdo'!$B$5:$B$2000,$A72,'Saisie hebdo'!$C$5:$C$2000,$B72)</f>
        <v/>
      </c>
      <c r="J72" s="33">
        <f>SUMIFS('Saisie hebdo'!$L$5:$L$2000,'Saisie hebdo'!$B$5:$B$2000,$A72,'Saisie hebdo'!$C$5:$C$2000,$B72)</f>
        <v/>
      </c>
      <c r="K72" s="33">
        <f>SUMIFS('Saisie hebdo'!$M$5:$M$2000,'Saisie hebdo'!$B$5:$B$2000,$A72,'Saisie hebdo'!$C$5:$C$2000,$B72)</f>
        <v/>
      </c>
      <c r="L72" s="33">
        <f>SUMIFS('Saisie hebdo'!$N$5:$N$2000,'Saisie hebdo'!$B$5:$B$2000,$A72,'Saisie hebdo'!$C$5:$C$2000,$B72)</f>
        <v/>
      </c>
      <c r="M72" s="32">
        <f>SUMIFS('Saisie hebdo'!$O$5:$O$2000,'Saisie hebdo'!$B$5:$B$2000,$A72,'Saisie hebdo'!$C$5:$C$2000,$B72)</f>
        <v/>
      </c>
      <c r="N72" s="35">
        <f>IF(N(D72)=0,"",E72/D72)</f>
        <v/>
      </c>
      <c r="O72" s="32">
        <f>IF(N(E72)=0,"",C72/E72)</f>
        <v/>
      </c>
      <c r="P72" s="35">
        <f>IF(N(E72)=0,"",F72/E72)</f>
        <v/>
      </c>
      <c r="Q72" s="32">
        <f>IF(N(F72)=0,"",C72/F72)</f>
        <v/>
      </c>
      <c r="R72" s="32">
        <f>IF(N(I72)=0,"",C72/I72)</f>
        <v/>
      </c>
      <c r="S72" s="32">
        <f>IF(N(J72)=0,"",C72/J72)</f>
        <v/>
      </c>
      <c r="T72" s="32">
        <f>IF(N(L72)=0,"",C72/L72)</f>
        <v/>
      </c>
      <c r="U72" s="36">
        <f>IF(N(I72)=0,"",J72/I72)</f>
        <v/>
      </c>
      <c r="V72" s="36">
        <f>IF(N(K72)=0,"",L72/K72)</f>
        <v/>
      </c>
      <c r="W72" s="37">
        <f>IF(N(C72)=0,"",M72/C72)</f>
        <v/>
      </c>
    </row>
    <row r="73">
      <c r="A73" s="11" t="n">
        <v>46539</v>
      </c>
      <c r="B73" t="inlineStr">
        <is>
          <t>S-FR | Québec-Lévis (test)</t>
        </is>
      </c>
      <c r="C73" s="32">
        <f>SUMIFS('Saisie hebdo'!$E$5:$E$2000,'Saisie hebdo'!$B$5:$B$2000,$A73,'Saisie hebdo'!$C$5:$C$2000,$B73)</f>
        <v/>
      </c>
      <c r="D73" s="33">
        <f>SUMIFS('Saisie hebdo'!$F$5:$F$2000,'Saisie hebdo'!$B$5:$B$2000,$A73,'Saisie hebdo'!$C$5:$C$2000,$B73)</f>
        <v/>
      </c>
      <c r="E73" s="33">
        <f>SUMIFS('Saisie hebdo'!$G$5:$G$2000,'Saisie hebdo'!$B$5:$B$2000,$A73,'Saisie hebdo'!$C$5:$C$2000,$B73)</f>
        <v/>
      </c>
      <c r="F73" s="34">
        <f>SUMIFS('Saisie hebdo'!$H$5:$H$2000,'Saisie hebdo'!$B$5:$B$2000,$A73,'Saisie hebdo'!$C$5:$C$2000,$B73)</f>
        <v/>
      </c>
      <c r="G73" s="35">
        <f>IFERROR(AVERAGEIFS('Saisie hebdo'!$I$5:$I$2000,'Saisie hebdo'!$B$5:$B$2000,$A73,'Saisie hebdo'!$C$5:$C$2000,$B73),"")</f>
        <v/>
      </c>
      <c r="H73" s="35">
        <f>IFERROR(AVERAGEIFS('Saisie hebdo'!$J$5:$J$2000,'Saisie hebdo'!$B$5:$B$2000,$A73,'Saisie hebdo'!$C$5:$C$2000,$B73),"")</f>
        <v/>
      </c>
      <c r="I73" s="33">
        <f>SUMIFS('Saisie hebdo'!$K$5:$K$2000,'Saisie hebdo'!$B$5:$B$2000,$A73,'Saisie hebdo'!$C$5:$C$2000,$B73)</f>
        <v/>
      </c>
      <c r="J73" s="33">
        <f>SUMIFS('Saisie hebdo'!$L$5:$L$2000,'Saisie hebdo'!$B$5:$B$2000,$A73,'Saisie hebdo'!$C$5:$C$2000,$B73)</f>
        <v/>
      </c>
      <c r="K73" s="33">
        <f>SUMIFS('Saisie hebdo'!$M$5:$M$2000,'Saisie hebdo'!$B$5:$B$2000,$A73,'Saisie hebdo'!$C$5:$C$2000,$B73)</f>
        <v/>
      </c>
      <c r="L73" s="33">
        <f>SUMIFS('Saisie hebdo'!$N$5:$N$2000,'Saisie hebdo'!$B$5:$B$2000,$A73,'Saisie hebdo'!$C$5:$C$2000,$B73)</f>
        <v/>
      </c>
      <c r="M73" s="32">
        <f>SUMIFS('Saisie hebdo'!$O$5:$O$2000,'Saisie hebdo'!$B$5:$B$2000,$A73,'Saisie hebdo'!$C$5:$C$2000,$B73)</f>
        <v/>
      </c>
      <c r="N73" s="35">
        <f>IF(N(D73)=0,"",E73/D73)</f>
        <v/>
      </c>
      <c r="O73" s="32">
        <f>IF(N(E73)=0,"",C73/E73)</f>
        <v/>
      </c>
      <c r="P73" s="35">
        <f>IF(N(E73)=0,"",F73/E73)</f>
        <v/>
      </c>
      <c r="Q73" s="32">
        <f>IF(N(F73)=0,"",C73/F73)</f>
        <v/>
      </c>
      <c r="R73" s="32">
        <f>IF(N(I73)=0,"",C73/I73)</f>
        <v/>
      </c>
      <c r="S73" s="32">
        <f>IF(N(J73)=0,"",C73/J73)</f>
        <v/>
      </c>
      <c r="T73" s="32">
        <f>IF(N(L73)=0,"",C73/L73)</f>
        <v/>
      </c>
      <c r="U73" s="36">
        <f>IF(N(I73)=0,"",J73/I73)</f>
        <v/>
      </c>
      <c r="V73" s="36">
        <f>IF(N(K73)=0,"",L73/K73)</f>
        <v/>
      </c>
      <c r="W73" s="37">
        <f>IF(N(C73)=0,"",M73/C73)</f>
        <v/>
      </c>
    </row>
    <row r="74">
      <c r="A74" s="11" t="n">
        <v>46539</v>
      </c>
      <c r="B74" t="inlineStr">
        <is>
          <t>Demand Gen</t>
        </is>
      </c>
      <c r="C74" s="32">
        <f>SUMIFS('Saisie hebdo'!$E$5:$E$2000,'Saisie hebdo'!$B$5:$B$2000,$A74,'Saisie hebdo'!$C$5:$C$2000,$B74)</f>
        <v/>
      </c>
      <c r="D74" s="33">
        <f>SUMIFS('Saisie hebdo'!$F$5:$F$2000,'Saisie hebdo'!$B$5:$B$2000,$A74,'Saisie hebdo'!$C$5:$C$2000,$B74)</f>
        <v/>
      </c>
      <c r="E74" s="33">
        <f>SUMIFS('Saisie hebdo'!$G$5:$G$2000,'Saisie hebdo'!$B$5:$B$2000,$A74,'Saisie hebdo'!$C$5:$C$2000,$B74)</f>
        <v/>
      </c>
      <c r="F74" s="34">
        <f>SUMIFS('Saisie hebdo'!$H$5:$H$2000,'Saisie hebdo'!$B$5:$B$2000,$A74,'Saisie hebdo'!$C$5:$C$2000,$B74)</f>
        <v/>
      </c>
      <c r="G74" s="35">
        <f>IFERROR(AVERAGEIFS('Saisie hebdo'!$I$5:$I$2000,'Saisie hebdo'!$B$5:$B$2000,$A74,'Saisie hebdo'!$C$5:$C$2000,$B74),"")</f>
        <v/>
      </c>
      <c r="H74" s="35">
        <f>IFERROR(AVERAGEIFS('Saisie hebdo'!$J$5:$J$2000,'Saisie hebdo'!$B$5:$B$2000,$A74,'Saisie hebdo'!$C$5:$C$2000,$B74),"")</f>
        <v/>
      </c>
      <c r="I74" s="33">
        <f>SUMIFS('Saisie hebdo'!$K$5:$K$2000,'Saisie hebdo'!$B$5:$B$2000,$A74,'Saisie hebdo'!$C$5:$C$2000,$B74)</f>
        <v/>
      </c>
      <c r="J74" s="33">
        <f>SUMIFS('Saisie hebdo'!$L$5:$L$2000,'Saisie hebdo'!$B$5:$B$2000,$A74,'Saisie hebdo'!$C$5:$C$2000,$B74)</f>
        <v/>
      </c>
      <c r="K74" s="33">
        <f>SUMIFS('Saisie hebdo'!$M$5:$M$2000,'Saisie hebdo'!$B$5:$B$2000,$A74,'Saisie hebdo'!$C$5:$C$2000,$B74)</f>
        <v/>
      </c>
      <c r="L74" s="33">
        <f>SUMIFS('Saisie hebdo'!$N$5:$N$2000,'Saisie hebdo'!$B$5:$B$2000,$A74,'Saisie hebdo'!$C$5:$C$2000,$B74)</f>
        <v/>
      </c>
      <c r="M74" s="32">
        <f>SUMIFS('Saisie hebdo'!$O$5:$O$2000,'Saisie hebdo'!$B$5:$B$2000,$A74,'Saisie hebdo'!$C$5:$C$2000,$B74)</f>
        <v/>
      </c>
      <c r="N74" s="35">
        <f>IF(N(D74)=0,"",E74/D74)</f>
        <v/>
      </c>
      <c r="O74" s="32">
        <f>IF(N(E74)=0,"",C74/E74)</f>
        <v/>
      </c>
      <c r="P74" s="35">
        <f>IF(N(E74)=0,"",F74/E74)</f>
        <v/>
      </c>
      <c r="Q74" s="32">
        <f>IF(N(F74)=0,"",C74/F74)</f>
        <v/>
      </c>
      <c r="R74" s="32">
        <f>IF(N(I74)=0,"",C74/I74)</f>
        <v/>
      </c>
      <c r="S74" s="32">
        <f>IF(N(J74)=0,"",C74/J74)</f>
        <v/>
      </c>
      <c r="T74" s="32">
        <f>IF(N(L74)=0,"",C74/L74)</f>
        <v/>
      </c>
      <c r="U74" s="36">
        <f>IF(N(I74)=0,"",J74/I74)</f>
        <v/>
      </c>
      <c r="V74" s="36">
        <f>IF(N(K74)=0,"",L74/K74)</f>
        <v/>
      </c>
      <c r="W74" s="37">
        <f>IF(N(C74)=0,"",M74/C74)</f>
        <v/>
      </c>
    </row>
    <row r="75">
      <c r="A75" s="11" t="n">
        <v>46539</v>
      </c>
      <c r="B75" t="inlineStr">
        <is>
          <t>Microsoft Ads</t>
        </is>
      </c>
      <c r="C75" s="32">
        <f>SUMIFS('Saisie hebdo'!$E$5:$E$2000,'Saisie hebdo'!$B$5:$B$2000,$A75,'Saisie hebdo'!$C$5:$C$2000,$B75)</f>
        <v/>
      </c>
      <c r="D75" s="33">
        <f>SUMIFS('Saisie hebdo'!$F$5:$F$2000,'Saisie hebdo'!$B$5:$B$2000,$A75,'Saisie hebdo'!$C$5:$C$2000,$B75)</f>
        <v/>
      </c>
      <c r="E75" s="33">
        <f>SUMIFS('Saisie hebdo'!$G$5:$G$2000,'Saisie hebdo'!$B$5:$B$2000,$A75,'Saisie hebdo'!$C$5:$C$2000,$B75)</f>
        <v/>
      </c>
      <c r="F75" s="34">
        <f>SUMIFS('Saisie hebdo'!$H$5:$H$2000,'Saisie hebdo'!$B$5:$B$2000,$A75,'Saisie hebdo'!$C$5:$C$2000,$B75)</f>
        <v/>
      </c>
      <c r="G75" s="35">
        <f>IFERROR(AVERAGEIFS('Saisie hebdo'!$I$5:$I$2000,'Saisie hebdo'!$B$5:$B$2000,$A75,'Saisie hebdo'!$C$5:$C$2000,$B75),"")</f>
        <v/>
      </c>
      <c r="H75" s="35">
        <f>IFERROR(AVERAGEIFS('Saisie hebdo'!$J$5:$J$2000,'Saisie hebdo'!$B$5:$B$2000,$A75,'Saisie hebdo'!$C$5:$C$2000,$B75),"")</f>
        <v/>
      </c>
      <c r="I75" s="33">
        <f>SUMIFS('Saisie hebdo'!$K$5:$K$2000,'Saisie hebdo'!$B$5:$B$2000,$A75,'Saisie hebdo'!$C$5:$C$2000,$B75)</f>
        <v/>
      </c>
      <c r="J75" s="33">
        <f>SUMIFS('Saisie hebdo'!$L$5:$L$2000,'Saisie hebdo'!$B$5:$B$2000,$A75,'Saisie hebdo'!$C$5:$C$2000,$B75)</f>
        <v/>
      </c>
      <c r="K75" s="33">
        <f>SUMIFS('Saisie hebdo'!$M$5:$M$2000,'Saisie hebdo'!$B$5:$B$2000,$A75,'Saisie hebdo'!$C$5:$C$2000,$B75)</f>
        <v/>
      </c>
      <c r="L75" s="33">
        <f>SUMIFS('Saisie hebdo'!$N$5:$N$2000,'Saisie hebdo'!$B$5:$B$2000,$A75,'Saisie hebdo'!$C$5:$C$2000,$B75)</f>
        <v/>
      </c>
      <c r="M75" s="32">
        <f>SUMIFS('Saisie hebdo'!$O$5:$O$2000,'Saisie hebdo'!$B$5:$B$2000,$A75,'Saisie hebdo'!$C$5:$C$2000,$B75)</f>
        <v/>
      </c>
      <c r="N75" s="35">
        <f>IF(N(D75)=0,"",E75/D75)</f>
        <v/>
      </c>
      <c r="O75" s="32">
        <f>IF(N(E75)=0,"",C75/E75)</f>
        <v/>
      </c>
      <c r="P75" s="35">
        <f>IF(N(E75)=0,"",F75/E75)</f>
        <v/>
      </c>
      <c r="Q75" s="32">
        <f>IF(N(F75)=0,"",C75/F75)</f>
        <v/>
      </c>
      <c r="R75" s="32">
        <f>IF(N(I75)=0,"",C75/I75)</f>
        <v/>
      </c>
      <c r="S75" s="32">
        <f>IF(N(J75)=0,"",C75/J75)</f>
        <v/>
      </c>
      <c r="T75" s="32">
        <f>IF(N(L75)=0,"",C75/L75)</f>
        <v/>
      </c>
      <c r="U75" s="36">
        <f>IF(N(I75)=0,"",J75/I75)</f>
        <v/>
      </c>
      <c r="V75" s="36">
        <f>IF(N(K75)=0,"",L75/K75)</f>
        <v/>
      </c>
      <c r="W75" s="37">
        <f>IF(N(C75)=0,"",M75/C75)</f>
        <v/>
      </c>
    </row>
    <row r="76">
      <c r="A76" s="38" t="n">
        <v>46539</v>
      </c>
      <c r="B76" s="39" t="inlineStr">
        <is>
          <t>Total du compte</t>
        </is>
      </c>
      <c r="C76" s="40">
        <f>SUMIFS('Saisie hebdo'!$E$5:$E$2000,'Saisie hebdo'!$B$5:$B$2000,$A76)</f>
        <v/>
      </c>
      <c r="D76" s="41">
        <f>SUMIFS('Saisie hebdo'!$F$5:$F$2000,'Saisie hebdo'!$B$5:$B$2000,$A76)</f>
        <v/>
      </c>
      <c r="E76" s="41">
        <f>SUMIFS('Saisie hebdo'!$G$5:$G$2000,'Saisie hebdo'!$B$5:$B$2000,$A76)</f>
        <v/>
      </c>
      <c r="F76" s="42">
        <f>SUMIFS('Saisie hebdo'!$H$5:$H$2000,'Saisie hebdo'!$B$5:$B$2000,$A76)</f>
        <v/>
      </c>
      <c r="G76" s="43">
        <f>IFERROR(AVERAGEIFS('Saisie hebdo'!$I$5:$I$2000,'Saisie hebdo'!$B$5:$B$2000,$A76),"")</f>
        <v/>
      </c>
      <c r="H76" s="43">
        <f>IFERROR(AVERAGEIFS('Saisie hebdo'!$J$5:$J$2000,'Saisie hebdo'!$B$5:$B$2000,$A76),"")</f>
        <v/>
      </c>
      <c r="I76" s="41">
        <f>SUMIFS('Saisie hebdo'!$K$5:$K$2000,'Saisie hebdo'!$B$5:$B$2000,$A76)</f>
        <v/>
      </c>
      <c r="J76" s="41">
        <f>SUMIFS('Saisie hebdo'!$L$5:$L$2000,'Saisie hebdo'!$B$5:$B$2000,$A76)</f>
        <v/>
      </c>
      <c r="K76" s="41">
        <f>SUMIFS('Saisie hebdo'!$M$5:$M$2000,'Saisie hebdo'!$B$5:$B$2000,$A76)</f>
        <v/>
      </c>
      <c r="L76" s="41">
        <f>SUMIFS('Saisie hebdo'!$N$5:$N$2000,'Saisie hebdo'!$B$5:$B$2000,$A76)</f>
        <v/>
      </c>
      <c r="M76" s="40">
        <f>SUMIFS('Saisie hebdo'!$O$5:$O$2000,'Saisie hebdo'!$B$5:$B$2000,$A76)</f>
        <v/>
      </c>
      <c r="N76" s="43">
        <f>IF(N(D76)=0,"",E76/D76)</f>
        <v/>
      </c>
      <c r="O76" s="40">
        <f>IF(N(E76)=0,"",C76/E76)</f>
        <v/>
      </c>
      <c r="P76" s="43">
        <f>IF(N(E76)=0,"",F76/E76)</f>
        <v/>
      </c>
      <c r="Q76" s="40">
        <f>IF(N(F76)=0,"",C76/F76)</f>
        <v/>
      </c>
      <c r="R76" s="40">
        <f>IF(N(I76)=0,"",C76/I76)</f>
        <v/>
      </c>
      <c r="S76" s="40">
        <f>IF(N(J76)=0,"",C76/J76)</f>
        <v/>
      </c>
      <c r="T76" s="40">
        <f>IF(N(L76)=0,"",C76/L76)</f>
        <v/>
      </c>
      <c r="U76" s="44">
        <f>IF(N(I76)=0,"",J76/I76)</f>
        <v/>
      </c>
      <c r="V76" s="44">
        <f>IF(N(K76)=0,"",L76/K76)</f>
        <v/>
      </c>
      <c r="W76" s="45">
        <f>IF(N(C76)=0,"",M76/C76)</f>
        <v/>
      </c>
    </row>
    <row r="77">
      <c r="A77" s="11" t="n">
        <v>46569</v>
      </c>
      <c r="B77" t="inlineStr">
        <is>
          <t>S-FR | Marque</t>
        </is>
      </c>
      <c r="C77" s="32">
        <f>SUMIFS('Saisie hebdo'!$E$5:$E$2000,'Saisie hebdo'!$B$5:$B$2000,$A77,'Saisie hebdo'!$C$5:$C$2000,$B77)</f>
        <v/>
      </c>
      <c r="D77" s="33">
        <f>SUMIFS('Saisie hebdo'!$F$5:$F$2000,'Saisie hebdo'!$B$5:$B$2000,$A77,'Saisie hebdo'!$C$5:$C$2000,$B77)</f>
        <v/>
      </c>
      <c r="E77" s="33">
        <f>SUMIFS('Saisie hebdo'!$G$5:$G$2000,'Saisie hebdo'!$B$5:$B$2000,$A77,'Saisie hebdo'!$C$5:$C$2000,$B77)</f>
        <v/>
      </c>
      <c r="F77" s="34">
        <f>SUMIFS('Saisie hebdo'!$H$5:$H$2000,'Saisie hebdo'!$B$5:$B$2000,$A77,'Saisie hebdo'!$C$5:$C$2000,$B77)</f>
        <v/>
      </c>
      <c r="G77" s="35">
        <f>IFERROR(AVERAGEIFS('Saisie hebdo'!$I$5:$I$2000,'Saisie hebdo'!$B$5:$B$2000,$A77,'Saisie hebdo'!$C$5:$C$2000,$B77),"")</f>
        <v/>
      </c>
      <c r="H77" s="35">
        <f>IFERROR(AVERAGEIFS('Saisie hebdo'!$J$5:$J$2000,'Saisie hebdo'!$B$5:$B$2000,$A77,'Saisie hebdo'!$C$5:$C$2000,$B77),"")</f>
        <v/>
      </c>
      <c r="I77" s="33">
        <f>SUMIFS('Saisie hebdo'!$K$5:$K$2000,'Saisie hebdo'!$B$5:$B$2000,$A77,'Saisie hebdo'!$C$5:$C$2000,$B77)</f>
        <v/>
      </c>
      <c r="J77" s="33">
        <f>SUMIFS('Saisie hebdo'!$L$5:$L$2000,'Saisie hebdo'!$B$5:$B$2000,$A77,'Saisie hebdo'!$C$5:$C$2000,$B77)</f>
        <v/>
      </c>
      <c r="K77" s="33">
        <f>SUMIFS('Saisie hebdo'!$M$5:$M$2000,'Saisie hebdo'!$B$5:$B$2000,$A77,'Saisie hebdo'!$C$5:$C$2000,$B77)</f>
        <v/>
      </c>
      <c r="L77" s="33">
        <f>SUMIFS('Saisie hebdo'!$N$5:$N$2000,'Saisie hebdo'!$B$5:$B$2000,$A77,'Saisie hebdo'!$C$5:$C$2000,$B77)</f>
        <v/>
      </c>
      <c r="M77" s="32">
        <f>SUMIFS('Saisie hebdo'!$O$5:$O$2000,'Saisie hebdo'!$B$5:$B$2000,$A77,'Saisie hebdo'!$C$5:$C$2000,$B77)</f>
        <v/>
      </c>
      <c r="N77" s="35">
        <f>IF(N(D77)=0,"",E77/D77)</f>
        <v/>
      </c>
      <c r="O77" s="32">
        <f>IF(N(E77)=0,"",C77/E77)</f>
        <v/>
      </c>
      <c r="P77" s="35">
        <f>IF(N(E77)=0,"",F77/E77)</f>
        <v/>
      </c>
      <c r="Q77" s="32">
        <f>IF(N(F77)=0,"",C77/F77)</f>
        <v/>
      </c>
      <c r="R77" s="32">
        <f>IF(N(I77)=0,"",C77/I77)</f>
        <v/>
      </c>
      <c r="S77" s="32">
        <f>IF(N(J77)=0,"",C77/J77)</f>
        <v/>
      </c>
      <c r="T77" s="32">
        <f>IF(N(L77)=0,"",C77/L77)</f>
        <v/>
      </c>
      <c r="U77" s="36">
        <f>IF(N(I77)=0,"",J77/I77)</f>
        <v/>
      </c>
      <c r="V77" s="36">
        <f>IF(N(K77)=0,"",L77/K77)</f>
        <v/>
      </c>
      <c r="W77" s="37">
        <f>IF(N(C77)=0,"",M77/C77)</f>
        <v/>
      </c>
    </row>
    <row r="78">
      <c r="A78" s="11" t="n">
        <v>46569</v>
      </c>
      <c r="B78" t="inlineStr">
        <is>
          <t>S-FR | Corporatif &amp; Fêtes</t>
        </is>
      </c>
      <c r="C78" s="32">
        <f>SUMIFS('Saisie hebdo'!$E$5:$E$2000,'Saisie hebdo'!$B$5:$B$2000,$A78,'Saisie hebdo'!$C$5:$C$2000,$B78)</f>
        <v/>
      </c>
      <c r="D78" s="33">
        <f>SUMIFS('Saisie hebdo'!$F$5:$F$2000,'Saisie hebdo'!$B$5:$B$2000,$A78,'Saisie hebdo'!$C$5:$C$2000,$B78)</f>
        <v/>
      </c>
      <c r="E78" s="33">
        <f>SUMIFS('Saisie hebdo'!$G$5:$G$2000,'Saisie hebdo'!$B$5:$B$2000,$A78,'Saisie hebdo'!$C$5:$C$2000,$B78)</f>
        <v/>
      </c>
      <c r="F78" s="34">
        <f>SUMIFS('Saisie hebdo'!$H$5:$H$2000,'Saisie hebdo'!$B$5:$B$2000,$A78,'Saisie hebdo'!$C$5:$C$2000,$B78)</f>
        <v/>
      </c>
      <c r="G78" s="35">
        <f>IFERROR(AVERAGEIFS('Saisie hebdo'!$I$5:$I$2000,'Saisie hebdo'!$B$5:$B$2000,$A78,'Saisie hebdo'!$C$5:$C$2000,$B78),"")</f>
        <v/>
      </c>
      <c r="H78" s="35">
        <f>IFERROR(AVERAGEIFS('Saisie hebdo'!$J$5:$J$2000,'Saisie hebdo'!$B$5:$B$2000,$A78,'Saisie hebdo'!$C$5:$C$2000,$B78),"")</f>
        <v/>
      </c>
      <c r="I78" s="33">
        <f>SUMIFS('Saisie hebdo'!$K$5:$K$2000,'Saisie hebdo'!$B$5:$B$2000,$A78,'Saisie hebdo'!$C$5:$C$2000,$B78)</f>
        <v/>
      </c>
      <c r="J78" s="33">
        <f>SUMIFS('Saisie hebdo'!$L$5:$L$2000,'Saisie hebdo'!$B$5:$B$2000,$A78,'Saisie hebdo'!$C$5:$C$2000,$B78)</f>
        <v/>
      </c>
      <c r="K78" s="33">
        <f>SUMIFS('Saisie hebdo'!$M$5:$M$2000,'Saisie hebdo'!$B$5:$B$2000,$A78,'Saisie hebdo'!$C$5:$C$2000,$B78)</f>
        <v/>
      </c>
      <c r="L78" s="33">
        <f>SUMIFS('Saisie hebdo'!$N$5:$N$2000,'Saisie hebdo'!$B$5:$B$2000,$A78,'Saisie hebdo'!$C$5:$C$2000,$B78)</f>
        <v/>
      </c>
      <c r="M78" s="32">
        <f>SUMIFS('Saisie hebdo'!$O$5:$O$2000,'Saisie hebdo'!$B$5:$B$2000,$A78,'Saisie hebdo'!$C$5:$C$2000,$B78)</f>
        <v/>
      </c>
      <c r="N78" s="35">
        <f>IF(N(D78)=0,"",E78/D78)</f>
        <v/>
      </c>
      <c r="O78" s="32">
        <f>IF(N(E78)=0,"",C78/E78)</f>
        <v/>
      </c>
      <c r="P78" s="35">
        <f>IF(N(E78)=0,"",F78/E78)</f>
        <v/>
      </c>
      <c r="Q78" s="32">
        <f>IF(N(F78)=0,"",C78/F78)</f>
        <v/>
      </c>
      <c r="R78" s="32">
        <f>IF(N(I78)=0,"",C78/I78)</f>
        <v/>
      </c>
      <c r="S78" s="32">
        <f>IF(N(J78)=0,"",C78/J78)</f>
        <v/>
      </c>
      <c r="T78" s="32">
        <f>IF(N(L78)=0,"",C78/L78)</f>
        <v/>
      </c>
      <c r="U78" s="36">
        <f>IF(N(I78)=0,"",J78/I78)</f>
        <v/>
      </c>
      <c r="V78" s="36">
        <f>IF(N(K78)=0,"",L78/K78)</f>
        <v/>
      </c>
      <c r="W78" s="37">
        <f>IF(N(C78)=0,"",M78/C78)</f>
        <v/>
      </c>
    </row>
    <row r="79">
      <c r="A79" s="11" t="n">
        <v>46569</v>
      </c>
      <c r="B79" t="inlineStr">
        <is>
          <t>S-FR | Événements privés</t>
        </is>
      </c>
      <c r="C79" s="32">
        <f>SUMIFS('Saisie hebdo'!$E$5:$E$2000,'Saisie hebdo'!$B$5:$B$2000,$A79,'Saisie hebdo'!$C$5:$C$2000,$B79)</f>
        <v/>
      </c>
      <c r="D79" s="33">
        <f>SUMIFS('Saisie hebdo'!$F$5:$F$2000,'Saisie hebdo'!$B$5:$B$2000,$A79,'Saisie hebdo'!$C$5:$C$2000,$B79)</f>
        <v/>
      </c>
      <c r="E79" s="33">
        <f>SUMIFS('Saisie hebdo'!$G$5:$G$2000,'Saisie hebdo'!$B$5:$B$2000,$A79,'Saisie hebdo'!$C$5:$C$2000,$B79)</f>
        <v/>
      </c>
      <c r="F79" s="34">
        <f>SUMIFS('Saisie hebdo'!$H$5:$H$2000,'Saisie hebdo'!$B$5:$B$2000,$A79,'Saisie hebdo'!$C$5:$C$2000,$B79)</f>
        <v/>
      </c>
      <c r="G79" s="35">
        <f>IFERROR(AVERAGEIFS('Saisie hebdo'!$I$5:$I$2000,'Saisie hebdo'!$B$5:$B$2000,$A79,'Saisie hebdo'!$C$5:$C$2000,$B79),"")</f>
        <v/>
      </c>
      <c r="H79" s="35">
        <f>IFERROR(AVERAGEIFS('Saisie hebdo'!$J$5:$J$2000,'Saisie hebdo'!$B$5:$B$2000,$A79,'Saisie hebdo'!$C$5:$C$2000,$B79),"")</f>
        <v/>
      </c>
      <c r="I79" s="33">
        <f>SUMIFS('Saisie hebdo'!$K$5:$K$2000,'Saisie hebdo'!$B$5:$B$2000,$A79,'Saisie hebdo'!$C$5:$C$2000,$B79)</f>
        <v/>
      </c>
      <c r="J79" s="33">
        <f>SUMIFS('Saisie hebdo'!$L$5:$L$2000,'Saisie hebdo'!$B$5:$B$2000,$A79,'Saisie hebdo'!$C$5:$C$2000,$B79)</f>
        <v/>
      </c>
      <c r="K79" s="33">
        <f>SUMIFS('Saisie hebdo'!$M$5:$M$2000,'Saisie hebdo'!$B$5:$B$2000,$A79,'Saisie hebdo'!$C$5:$C$2000,$B79)</f>
        <v/>
      </c>
      <c r="L79" s="33">
        <f>SUMIFS('Saisie hebdo'!$N$5:$N$2000,'Saisie hebdo'!$B$5:$B$2000,$A79,'Saisie hebdo'!$C$5:$C$2000,$B79)</f>
        <v/>
      </c>
      <c r="M79" s="32">
        <f>SUMIFS('Saisie hebdo'!$O$5:$O$2000,'Saisie hebdo'!$B$5:$B$2000,$A79,'Saisie hebdo'!$C$5:$C$2000,$B79)</f>
        <v/>
      </c>
      <c r="N79" s="35">
        <f>IF(N(D79)=0,"",E79/D79)</f>
        <v/>
      </c>
      <c r="O79" s="32">
        <f>IF(N(E79)=0,"",C79/E79)</f>
        <v/>
      </c>
      <c r="P79" s="35">
        <f>IF(N(E79)=0,"",F79/E79)</f>
        <v/>
      </c>
      <c r="Q79" s="32">
        <f>IF(N(F79)=0,"",C79/F79)</f>
        <v/>
      </c>
      <c r="R79" s="32">
        <f>IF(N(I79)=0,"",C79/I79)</f>
        <v/>
      </c>
      <c r="S79" s="32">
        <f>IF(N(J79)=0,"",C79/J79)</f>
        <v/>
      </c>
      <c r="T79" s="32">
        <f>IF(N(L79)=0,"",C79/L79)</f>
        <v/>
      </c>
      <c r="U79" s="36">
        <f>IF(N(I79)=0,"",J79/I79)</f>
        <v/>
      </c>
      <c r="V79" s="36">
        <f>IF(N(K79)=0,"",L79/K79)</f>
        <v/>
      </c>
      <c r="W79" s="37">
        <f>IF(N(C79)=0,"",M79/C79)</f>
        <v/>
      </c>
    </row>
    <row r="80">
      <c r="A80" s="11" t="n">
        <v>46569</v>
      </c>
      <c r="B80" t="inlineStr">
        <is>
          <t>S-EN | Corporate Montréal</t>
        </is>
      </c>
      <c r="C80" s="32">
        <f>SUMIFS('Saisie hebdo'!$E$5:$E$2000,'Saisie hebdo'!$B$5:$B$2000,$A80,'Saisie hebdo'!$C$5:$C$2000,$B80)</f>
        <v/>
      </c>
      <c r="D80" s="33">
        <f>SUMIFS('Saisie hebdo'!$F$5:$F$2000,'Saisie hebdo'!$B$5:$B$2000,$A80,'Saisie hebdo'!$C$5:$C$2000,$B80)</f>
        <v/>
      </c>
      <c r="E80" s="33">
        <f>SUMIFS('Saisie hebdo'!$G$5:$G$2000,'Saisie hebdo'!$B$5:$B$2000,$A80,'Saisie hebdo'!$C$5:$C$2000,$B80)</f>
        <v/>
      </c>
      <c r="F80" s="34">
        <f>SUMIFS('Saisie hebdo'!$H$5:$H$2000,'Saisie hebdo'!$B$5:$B$2000,$A80,'Saisie hebdo'!$C$5:$C$2000,$B80)</f>
        <v/>
      </c>
      <c r="G80" s="35">
        <f>IFERROR(AVERAGEIFS('Saisie hebdo'!$I$5:$I$2000,'Saisie hebdo'!$B$5:$B$2000,$A80,'Saisie hebdo'!$C$5:$C$2000,$B80),"")</f>
        <v/>
      </c>
      <c r="H80" s="35">
        <f>IFERROR(AVERAGEIFS('Saisie hebdo'!$J$5:$J$2000,'Saisie hebdo'!$B$5:$B$2000,$A80,'Saisie hebdo'!$C$5:$C$2000,$B80),"")</f>
        <v/>
      </c>
      <c r="I80" s="33">
        <f>SUMIFS('Saisie hebdo'!$K$5:$K$2000,'Saisie hebdo'!$B$5:$B$2000,$A80,'Saisie hebdo'!$C$5:$C$2000,$B80)</f>
        <v/>
      </c>
      <c r="J80" s="33">
        <f>SUMIFS('Saisie hebdo'!$L$5:$L$2000,'Saisie hebdo'!$B$5:$B$2000,$A80,'Saisie hebdo'!$C$5:$C$2000,$B80)</f>
        <v/>
      </c>
      <c r="K80" s="33">
        <f>SUMIFS('Saisie hebdo'!$M$5:$M$2000,'Saisie hebdo'!$B$5:$B$2000,$A80,'Saisie hebdo'!$C$5:$C$2000,$B80)</f>
        <v/>
      </c>
      <c r="L80" s="33">
        <f>SUMIFS('Saisie hebdo'!$N$5:$N$2000,'Saisie hebdo'!$B$5:$B$2000,$A80,'Saisie hebdo'!$C$5:$C$2000,$B80)</f>
        <v/>
      </c>
      <c r="M80" s="32">
        <f>SUMIFS('Saisie hebdo'!$O$5:$O$2000,'Saisie hebdo'!$B$5:$B$2000,$A80,'Saisie hebdo'!$C$5:$C$2000,$B80)</f>
        <v/>
      </c>
      <c r="N80" s="35">
        <f>IF(N(D80)=0,"",E80/D80)</f>
        <v/>
      </c>
      <c r="O80" s="32">
        <f>IF(N(E80)=0,"",C80/E80)</f>
        <v/>
      </c>
      <c r="P80" s="35">
        <f>IF(N(E80)=0,"",F80/E80)</f>
        <v/>
      </c>
      <c r="Q80" s="32">
        <f>IF(N(F80)=0,"",C80/F80)</f>
        <v/>
      </c>
      <c r="R80" s="32">
        <f>IF(N(I80)=0,"",C80/I80)</f>
        <v/>
      </c>
      <c r="S80" s="32">
        <f>IF(N(J80)=0,"",C80/J80)</f>
        <v/>
      </c>
      <c r="T80" s="32">
        <f>IF(N(L80)=0,"",C80/L80)</f>
        <v/>
      </c>
      <c r="U80" s="36">
        <f>IF(N(I80)=0,"",J80/I80)</f>
        <v/>
      </c>
      <c r="V80" s="36">
        <f>IF(N(K80)=0,"",L80/K80)</f>
        <v/>
      </c>
      <c r="W80" s="37">
        <f>IF(N(C80)=0,"",M80/C80)</f>
        <v/>
      </c>
    </row>
    <row r="81">
      <c r="A81" s="11" t="n">
        <v>46569</v>
      </c>
      <c r="B81" t="inlineStr">
        <is>
          <t>S-FR | Québec-Lévis (test)</t>
        </is>
      </c>
      <c r="C81" s="32">
        <f>SUMIFS('Saisie hebdo'!$E$5:$E$2000,'Saisie hebdo'!$B$5:$B$2000,$A81,'Saisie hebdo'!$C$5:$C$2000,$B81)</f>
        <v/>
      </c>
      <c r="D81" s="33">
        <f>SUMIFS('Saisie hebdo'!$F$5:$F$2000,'Saisie hebdo'!$B$5:$B$2000,$A81,'Saisie hebdo'!$C$5:$C$2000,$B81)</f>
        <v/>
      </c>
      <c r="E81" s="33">
        <f>SUMIFS('Saisie hebdo'!$G$5:$G$2000,'Saisie hebdo'!$B$5:$B$2000,$A81,'Saisie hebdo'!$C$5:$C$2000,$B81)</f>
        <v/>
      </c>
      <c r="F81" s="34">
        <f>SUMIFS('Saisie hebdo'!$H$5:$H$2000,'Saisie hebdo'!$B$5:$B$2000,$A81,'Saisie hebdo'!$C$5:$C$2000,$B81)</f>
        <v/>
      </c>
      <c r="G81" s="35">
        <f>IFERROR(AVERAGEIFS('Saisie hebdo'!$I$5:$I$2000,'Saisie hebdo'!$B$5:$B$2000,$A81,'Saisie hebdo'!$C$5:$C$2000,$B81),"")</f>
        <v/>
      </c>
      <c r="H81" s="35">
        <f>IFERROR(AVERAGEIFS('Saisie hebdo'!$J$5:$J$2000,'Saisie hebdo'!$B$5:$B$2000,$A81,'Saisie hebdo'!$C$5:$C$2000,$B81),"")</f>
        <v/>
      </c>
      <c r="I81" s="33">
        <f>SUMIFS('Saisie hebdo'!$K$5:$K$2000,'Saisie hebdo'!$B$5:$B$2000,$A81,'Saisie hebdo'!$C$5:$C$2000,$B81)</f>
        <v/>
      </c>
      <c r="J81" s="33">
        <f>SUMIFS('Saisie hebdo'!$L$5:$L$2000,'Saisie hebdo'!$B$5:$B$2000,$A81,'Saisie hebdo'!$C$5:$C$2000,$B81)</f>
        <v/>
      </c>
      <c r="K81" s="33">
        <f>SUMIFS('Saisie hebdo'!$M$5:$M$2000,'Saisie hebdo'!$B$5:$B$2000,$A81,'Saisie hebdo'!$C$5:$C$2000,$B81)</f>
        <v/>
      </c>
      <c r="L81" s="33">
        <f>SUMIFS('Saisie hebdo'!$N$5:$N$2000,'Saisie hebdo'!$B$5:$B$2000,$A81,'Saisie hebdo'!$C$5:$C$2000,$B81)</f>
        <v/>
      </c>
      <c r="M81" s="32">
        <f>SUMIFS('Saisie hebdo'!$O$5:$O$2000,'Saisie hebdo'!$B$5:$B$2000,$A81,'Saisie hebdo'!$C$5:$C$2000,$B81)</f>
        <v/>
      </c>
      <c r="N81" s="35">
        <f>IF(N(D81)=0,"",E81/D81)</f>
        <v/>
      </c>
      <c r="O81" s="32">
        <f>IF(N(E81)=0,"",C81/E81)</f>
        <v/>
      </c>
      <c r="P81" s="35">
        <f>IF(N(E81)=0,"",F81/E81)</f>
        <v/>
      </c>
      <c r="Q81" s="32">
        <f>IF(N(F81)=0,"",C81/F81)</f>
        <v/>
      </c>
      <c r="R81" s="32">
        <f>IF(N(I81)=0,"",C81/I81)</f>
        <v/>
      </c>
      <c r="S81" s="32">
        <f>IF(N(J81)=0,"",C81/J81)</f>
        <v/>
      </c>
      <c r="T81" s="32">
        <f>IF(N(L81)=0,"",C81/L81)</f>
        <v/>
      </c>
      <c r="U81" s="36">
        <f>IF(N(I81)=0,"",J81/I81)</f>
        <v/>
      </c>
      <c r="V81" s="36">
        <f>IF(N(K81)=0,"",L81/K81)</f>
        <v/>
      </c>
      <c r="W81" s="37">
        <f>IF(N(C81)=0,"",M81/C81)</f>
        <v/>
      </c>
    </row>
    <row r="82">
      <c r="A82" s="11" t="n">
        <v>46569</v>
      </c>
      <c r="B82" t="inlineStr">
        <is>
          <t>Demand Gen</t>
        </is>
      </c>
      <c r="C82" s="32">
        <f>SUMIFS('Saisie hebdo'!$E$5:$E$2000,'Saisie hebdo'!$B$5:$B$2000,$A82,'Saisie hebdo'!$C$5:$C$2000,$B82)</f>
        <v/>
      </c>
      <c r="D82" s="33">
        <f>SUMIFS('Saisie hebdo'!$F$5:$F$2000,'Saisie hebdo'!$B$5:$B$2000,$A82,'Saisie hebdo'!$C$5:$C$2000,$B82)</f>
        <v/>
      </c>
      <c r="E82" s="33">
        <f>SUMIFS('Saisie hebdo'!$G$5:$G$2000,'Saisie hebdo'!$B$5:$B$2000,$A82,'Saisie hebdo'!$C$5:$C$2000,$B82)</f>
        <v/>
      </c>
      <c r="F82" s="34">
        <f>SUMIFS('Saisie hebdo'!$H$5:$H$2000,'Saisie hebdo'!$B$5:$B$2000,$A82,'Saisie hebdo'!$C$5:$C$2000,$B82)</f>
        <v/>
      </c>
      <c r="G82" s="35">
        <f>IFERROR(AVERAGEIFS('Saisie hebdo'!$I$5:$I$2000,'Saisie hebdo'!$B$5:$B$2000,$A82,'Saisie hebdo'!$C$5:$C$2000,$B82),"")</f>
        <v/>
      </c>
      <c r="H82" s="35">
        <f>IFERROR(AVERAGEIFS('Saisie hebdo'!$J$5:$J$2000,'Saisie hebdo'!$B$5:$B$2000,$A82,'Saisie hebdo'!$C$5:$C$2000,$B82),"")</f>
        <v/>
      </c>
      <c r="I82" s="33">
        <f>SUMIFS('Saisie hebdo'!$K$5:$K$2000,'Saisie hebdo'!$B$5:$B$2000,$A82,'Saisie hebdo'!$C$5:$C$2000,$B82)</f>
        <v/>
      </c>
      <c r="J82" s="33">
        <f>SUMIFS('Saisie hebdo'!$L$5:$L$2000,'Saisie hebdo'!$B$5:$B$2000,$A82,'Saisie hebdo'!$C$5:$C$2000,$B82)</f>
        <v/>
      </c>
      <c r="K82" s="33">
        <f>SUMIFS('Saisie hebdo'!$M$5:$M$2000,'Saisie hebdo'!$B$5:$B$2000,$A82,'Saisie hebdo'!$C$5:$C$2000,$B82)</f>
        <v/>
      </c>
      <c r="L82" s="33">
        <f>SUMIFS('Saisie hebdo'!$N$5:$N$2000,'Saisie hebdo'!$B$5:$B$2000,$A82,'Saisie hebdo'!$C$5:$C$2000,$B82)</f>
        <v/>
      </c>
      <c r="M82" s="32">
        <f>SUMIFS('Saisie hebdo'!$O$5:$O$2000,'Saisie hebdo'!$B$5:$B$2000,$A82,'Saisie hebdo'!$C$5:$C$2000,$B82)</f>
        <v/>
      </c>
      <c r="N82" s="35">
        <f>IF(N(D82)=0,"",E82/D82)</f>
        <v/>
      </c>
      <c r="O82" s="32">
        <f>IF(N(E82)=0,"",C82/E82)</f>
        <v/>
      </c>
      <c r="P82" s="35">
        <f>IF(N(E82)=0,"",F82/E82)</f>
        <v/>
      </c>
      <c r="Q82" s="32">
        <f>IF(N(F82)=0,"",C82/F82)</f>
        <v/>
      </c>
      <c r="R82" s="32">
        <f>IF(N(I82)=0,"",C82/I82)</f>
        <v/>
      </c>
      <c r="S82" s="32">
        <f>IF(N(J82)=0,"",C82/J82)</f>
        <v/>
      </c>
      <c r="T82" s="32">
        <f>IF(N(L82)=0,"",C82/L82)</f>
        <v/>
      </c>
      <c r="U82" s="36">
        <f>IF(N(I82)=0,"",J82/I82)</f>
        <v/>
      </c>
      <c r="V82" s="36">
        <f>IF(N(K82)=0,"",L82/K82)</f>
        <v/>
      </c>
      <c r="W82" s="37">
        <f>IF(N(C82)=0,"",M82/C82)</f>
        <v/>
      </c>
    </row>
    <row r="83">
      <c r="A83" s="11" t="n">
        <v>46569</v>
      </c>
      <c r="B83" t="inlineStr">
        <is>
          <t>Microsoft Ads</t>
        </is>
      </c>
      <c r="C83" s="32">
        <f>SUMIFS('Saisie hebdo'!$E$5:$E$2000,'Saisie hebdo'!$B$5:$B$2000,$A83,'Saisie hebdo'!$C$5:$C$2000,$B83)</f>
        <v/>
      </c>
      <c r="D83" s="33">
        <f>SUMIFS('Saisie hebdo'!$F$5:$F$2000,'Saisie hebdo'!$B$5:$B$2000,$A83,'Saisie hebdo'!$C$5:$C$2000,$B83)</f>
        <v/>
      </c>
      <c r="E83" s="33">
        <f>SUMIFS('Saisie hebdo'!$G$5:$G$2000,'Saisie hebdo'!$B$5:$B$2000,$A83,'Saisie hebdo'!$C$5:$C$2000,$B83)</f>
        <v/>
      </c>
      <c r="F83" s="34">
        <f>SUMIFS('Saisie hebdo'!$H$5:$H$2000,'Saisie hebdo'!$B$5:$B$2000,$A83,'Saisie hebdo'!$C$5:$C$2000,$B83)</f>
        <v/>
      </c>
      <c r="G83" s="35">
        <f>IFERROR(AVERAGEIFS('Saisie hebdo'!$I$5:$I$2000,'Saisie hebdo'!$B$5:$B$2000,$A83,'Saisie hebdo'!$C$5:$C$2000,$B83),"")</f>
        <v/>
      </c>
      <c r="H83" s="35">
        <f>IFERROR(AVERAGEIFS('Saisie hebdo'!$J$5:$J$2000,'Saisie hebdo'!$B$5:$B$2000,$A83,'Saisie hebdo'!$C$5:$C$2000,$B83),"")</f>
        <v/>
      </c>
      <c r="I83" s="33">
        <f>SUMIFS('Saisie hebdo'!$K$5:$K$2000,'Saisie hebdo'!$B$5:$B$2000,$A83,'Saisie hebdo'!$C$5:$C$2000,$B83)</f>
        <v/>
      </c>
      <c r="J83" s="33">
        <f>SUMIFS('Saisie hebdo'!$L$5:$L$2000,'Saisie hebdo'!$B$5:$B$2000,$A83,'Saisie hebdo'!$C$5:$C$2000,$B83)</f>
        <v/>
      </c>
      <c r="K83" s="33">
        <f>SUMIFS('Saisie hebdo'!$M$5:$M$2000,'Saisie hebdo'!$B$5:$B$2000,$A83,'Saisie hebdo'!$C$5:$C$2000,$B83)</f>
        <v/>
      </c>
      <c r="L83" s="33">
        <f>SUMIFS('Saisie hebdo'!$N$5:$N$2000,'Saisie hebdo'!$B$5:$B$2000,$A83,'Saisie hebdo'!$C$5:$C$2000,$B83)</f>
        <v/>
      </c>
      <c r="M83" s="32">
        <f>SUMIFS('Saisie hebdo'!$O$5:$O$2000,'Saisie hebdo'!$B$5:$B$2000,$A83,'Saisie hebdo'!$C$5:$C$2000,$B83)</f>
        <v/>
      </c>
      <c r="N83" s="35">
        <f>IF(N(D83)=0,"",E83/D83)</f>
        <v/>
      </c>
      <c r="O83" s="32">
        <f>IF(N(E83)=0,"",C83/E83)</f>
        <v/>
      </c>
      <c r="P83" s="35">
        <f>IF(N(E83)=0,"",F83/E83)</f>
        <v/>
      </c>
      <c r="Q83" s="32">
        <f>IF(N(F83)=0,"",C83/F83)</f>
        <v/>
      </c>
      <c r="R83" s="32">
        <f>IF(N(I83)=0,"",C83/I83)</f>
        <v/>
      </c>
      <c r="S83" s="32">
        <f>IF(N(J83)=0,"",C83/J83)</f>
        <v/>
      </c>
      <c r="T83" s="32">
        <f>IF(N(L83)=0,"",C83/L83)</f>
        <v/>
      </c>
      <c r="U83" s="36">
        <f>IF(N(I83)=0,"",J83/I83)</f>
        <v/>
      </c>
      <c r="V83" s="36">
        <f>IF(N(K83)=0,"",L83/K83)</f>
        <v/>
      </c>
      <c r="W83" s="37">
        <f>IF(N(C83)=0,"",M83/C83)</f>
        <v/>
      </c>
    </row>
    <row r="84">
      <c r="A84" s="38" t="n">
        <v>46569</v>
      </c>
      <c r="B84" s="39" t="inlineStr">
        <is>
          <t>Total du compte</t>
        </is>
      </c>
      <c r="C84" s="40">
        <f>SUMIFS('Saisie hebdo'!$E$5:$E$2000,'Saisie hebdo'!$B$5:$B$2000,$A84)</f>
        <v/>
      </c>
      <c r="D84" s="41">
        <f>SUMIFS('Saisie hebdo'!$F$5:$F$2000,'Saisie hebdo'!$B$5:$B$2000,$A84)</f>
        <v/>
      </c>
      <c r="E84" s="41">
        <f>SUMIFS('Saisie hebdo'!$G$5:$G$2000,'Saisie hebdo'!$B$5:$B$2000,$A84)</f>
        <v/>
      </c>
      <c r="F84" s="42">
        <f>SUMIFS('Saisie hebdo'!$H$5:$H$2000,'Saisie hebdo'!$B$5:$B$2000,$A84)</f>
        <v/>
      </c>
      <c r="G84" s="43">
        <f>IFERROR(AVERAGEIFS('Saisie hebdo'!$I$5:$I$2000,'Saisie hebdo'!$B$5:$B$2000,$A84),"")</f>
        <v/>
      </c>
      <c r="H84" s="43">
        <f>IFERROR(AVERAGEIFS('Saisie hebdo'!$J$5:$J$2000,'Saisie hebdo'!$B$5:$B$2000,$A84),"")</f>
        <v/>
      </c>
      <c r="I84" s="41">
        <f>SUMIFS('Saisie hebdo'!$K$5:$K$2000,'Saisie hebdo'!$B$5:$B$2000,$A84)</f>
        <v/>
      </c>
      <c r="J84" s="41">
        <f>SUMIFS('Saisie hebdo'!$L$5:$L$2000,'Saisie hebdo'!$B$5:$B$2000,$A84)</f>
        <v/>
      </c>
      <c r="K84" s="41">
        <f>SUMIFS('Saisie hebdo'!$M$5:$M$2000,'Saisie hebdo'!$B$5:$B$2000,$A84)</f>
        <v/>
      </c>
      <c r="L84" s="41">
        <f>SUMIFS('Saisie hebdo'!$N$5:$N$2000,'Saisie hebdo'!$B$5:$B$2000,$A84)</f>
        <v/>
      </c>
      <c r="M84" s="40">
        <f>SUMIFS('Saisie hebdo'!$O$5:$O$2000,'Saisie hebdo'!$B$5:$B$2000,$A84)</f>
        <v/>
      </c>
      <c r="N84" s="43">
        <f>IF(N(D84)=0,"",E84/D84)</f>
        <v/>
      </c>
      <c r="O84" s="40">
        <f>IF(N(E84)=0,"",C84/E84)</f>
        <v/>
      </c>
      <c r="P84" s="43">
        <f>IF(N(E84)=0,"",F84/E84)</f>
        <v/>
      </c>
      <c r="Q84" s="40">
        <f>IF(N(F84)=0,"",C84/F84)</f>
        <v/>
      </c>
      <c r="R84" s="40">
        <f>IF(N(I84)=0,"",C84/I84)</f>
        <v/>
      </c>
      <c r="S84" s="40">
        <f>IF(N(J84)=0,"",C84/J84)</f>
        <v/>
      </c>
      <c r="T84" s="40">
        <f>IF(N(L84)=0,"",C84/L84)</f>
        <v/>
      </c>
      <c r="U84" s="44">
        <f>IF(N(I84)=0,"",J84/I84)</f>
        <v/>
      </c>
      <c r="V84" s="44">
        <f>IF(N(K84)=0,"",L84/K84)</f>
        <v/>
      </c>
      <c r="W84" s="45">
        <f>IF(N(C84)=0,"",M84/C84)</f>
        <v/>
      </c>
    </row>
    <row r="85">
      <c r="A85" s="11" t="n">
        <v>46600</v>
      </c>
      <c r="B85" t="inlineStr">
        <is>
          <t>S-FR | Marque</t>
        </is>
      </c>
      <c r="C85" s="32">
        <f>SUMIFS('Saisie hebdo'!$E$5:$E$2000,'Saisie hebdo'!$B$5:$B$2000,$A85,'Saisie hebdo'!$C$5:$C$2000,$B85)</f>
        <v/>
      </c>
      <c r="D85" s="33">
        <f>SUMIFS('Saisie hebdo'!$F$5:$F$2000,'Saisie hebdo'!$B$5:$B$2000,$A85,'Saisie hebdo'!$C$5:$C$2000,$B85)</f>
        <v/>
      </c>
      <c r="E85" s="33">
        <f>SUMIFS('Saisie hebdo'!$G$5:$G$2000,'Saisie hebdo'!$B$5:$B$2000,$A85,'Saisie hebdo'!$C$5:$C$2000,$B85)</f>
        <v/>
      </c>
      <c r="F85" s="34">
        <f>SUMIFS('Saisie hebdo'!$H$5:$H$2000,'Saisie hebdo'!$B$5:$B$2000,$A85,'Saisie hebdo'!$C$5:$C$2000,$B85)</f>
        <v/>
      </c>
      <c r="G85" s="35">
        <f>IFERROR(AVERAGEIFS('Saisie hebdo'!$I$5:$I$2000,'Saisie hebdo'!$B$5:$B$2000,$A85,'Saisie hebdo'!$C$5:$C$2000,$B85),"")</f>
        <v/>
      </c>
      <c r="H85" s="35">
        <f>IFERROR(AVERAGEIFS('Saisie hebdo'!$J$5:$J$2000,'Saisie hebdo'!$B$5:$B$2000,$A85,'Saisie hebdo'!$C$5:$C$2000,$B85),"")</f>
        <v/>
      </c>
      <c r="I85" s="33">
        <f>SUMIFS('Saisie hebdo'!$K$5:$K$2000,'Saisie hebdo'!$B$5:$B$2000,$A85,'Saisie hebdo'!$C$5:$C$2000,$B85)</f>
        <v/>
      </c>
      <c r="J85" s="33">
        <f>SUMIFS('Saisie hebdo'!$L$5:$L$2000,'Saisie hebdo'!$B$5:$B$2000,$A85,'Saisie hebdo'!$C$5:$C$2000,$B85)</f>
        <v/>
      </c>
      <c r="K85" s="33">
        <f>SUMIFS('Saisie hebdo'!$M$5:$M$2000,'Saisie hebdo'!$B$5:$B$2000,$A85,'Saisie hebdo'!$C$5:$C$2000,$B85)</f>
        <v/>
      </c>
      <c r="L85" s="33">
        <f>SUMIFS('Saisie hebdo'!$N$5:$N$2000,'Saisie hebdo'!$B$5:$B$2000,$A85,'Saisie hebdo'!$C$5:$C$2000,$B85)</f>
        <v/>
      </c>
      <c r="M85" s="32">
        <f>SUMIFS('Saisie hebdo'!$O$5:$O$2000,'Saisie hebdo'!$B$5:$B$2000,$A85,'Saisie hebdo'!$C$5:$C$2000,$B85)</f>
        <v/>
      </c>
      <c r="N85" s="35">
        <f>IF(N(D85)=0,"",E85/D85)</f>
        <v/>
      </c>
      <c r="O85" s="32">
        <f>IF(N(E85)=0,"",C85/E85)</f>
        <v/>
      </c>
      <c r="P85" s="35">
        <f>IF(N(E85)=0,"",F85/E85)</f>
        <v/>
      </c>
      <c r="Q85" s="32">
        <f>IF(N(F85)=0,"",C85/F85)</f>
        <v/>
      </c>
      <c r="R85" s="32">
        <f>IF(N(I85)=0,"",C85/I85)</f>
        <v/>
      </c>
      <c r="S85" s="32">
        <f>IF(N(J85)=0,"",C85/J85)</f>
        <v/>
      </c>
      <c r="T85" s="32">
        <f>IF(N(L85)=0,"",C85/L85)</f>
        <v/>
      </c>
      <c r="U85" s="36">
        <f>IF(N(I85)=0,"",J85/I85)</f>
        <v/>
      </c>
      <c r="V85" s="36">
        <f>IF(N(K85)=0,"",L85/K85)</f>
        <v/>
      </c>
      <c r="W85" s="37">
        <f>IF(N(C85)=0,"",M85/C85)</f>
        <v/>
      </c>
    </row>
    <row r="86">
      <c r="A86" s="11" t="n">
        <v>46600</v>
      </c>
      <c r="B86" t="inlineStr">
        <is>
          <t>S-FR | Corporatif &amp; Fêtes</t>
        </is>
      </c>
      <c r="C86" s="32">
        <f>SUMIFS('Saisie hebdo'!$E$5:$E$2000,'Saisie hebdo'!$B$5:$B$2000,$A86,'Saisie hebdo'!$C$5:$C$2000,$B86)</f>
        <v/>
      </c>
      <c r="D86" s="33">
        <f>SUMIFS('Saisie hebdo'!$F$5:$F$2000,'Saisie hebdo'!$B$5:$B$2000,$A86,'Saisie hebdo'!$C$5:$C$2000,$B86)</f>
        <v/>
      </c>
      <c r="E86" s="33">
        <f>SUMIFS('Saisie hebdo'!$G$5:$G$2000,'Saisie hebdo'!$B$5:$B$2000,$A86,'Saisie hebdo'!$C$5:$C$2000,$B86)</f>
        <v/>
      </c>
      <c r="F86" s="34">
        <f>SUMIFS('Saisie hebdo'!$H$5:$H$2000,'Saisie hebdo'!$B$5:$B$2000,$A86,'Saisie hebdo'!$C$5:$C$2000,$B86)</f>
        <v/>
      </c>
      <c r="G86" s="35">
        <f>IFERROR(AVERAGEIFS('Saisie hebdo'!$I$5:$I$2000,'Saisie hebdo'!$B$5:$B$2000,$A86,'Saisie hebdo'!$C$5:$C$2000,$B86),"")</f>
        <v/>
      </c>
      <c r="H86" s="35">
        <f>IFERROR(AVERAGEIFS('Saisie hebdo'!$J$5:$J$2000,'Saisie hebdo'!$B$5:$B$2000,$A86,'Saisie hebdo'!$C$5:$C$2000,$B86),"")</f>
        <v/>
      </c>
      <c r="I86" s="33">
        <f>SUMIFS('Saisie hebdo'!$K$5:$K$2000,'Saisie hebdo'!$B$5:$B$2000,$A86,'Saisie hebdo'!$C$5:$C$2000,$B86)</f>
        <v/>
      </c>
      <c r="J86" s="33">
        <f>SUMIFS('Saisie hebdo'!$L$5:$L$2000,'Saisie hebdo'!$B$5:$B$2000,$A86,'Saisie hebdo'!$C$5:$C$2000,$B86)</f>
        <v/>
      </c>
      <c r="K86" s="33">
        <f>SUMIFS('Saisie hebdo'!$M$5:$M$2000,'Saisie hebdo'!$B$5:$B$2000,$A86,'Saisie hebdo'!$C$5:$C$2000,$B86)</f>
        <v/>
      </c>
      <c r="L86" s="33">
        <f>SUMIFS('Saisie hebdo'!$N$5:$N$2000,'Saisie hebdo'!$B$5:$B$2000,$A86,'Saisie hebdo'!$C$5:$C$2000,$B86)</f>
        <v/>
      </c>
      <c r="M86" s="32">
        <f>SUMIFS('Saisie hebdo'!$O$5:$O$2000,'Saisie hebdo'!$B$5:$B$2000,$A86,'Saisie hebdo'!$C$5:$C$2000,$B86)</f>
        <v/>
      </c>
      <c r="N86" s="35">
        <f>IF(N(D86)=0,"",E86/D86)</f>
        <v/>
      </c>
      <c r="O86" s="32">
        <f>IF(N(E86)=0,"",C86/E86)</f>
        <v/>
      </c>
      <c r="P86" s="35">
        <f>IF(N(E86)=0,"",F86/E86)</f>
        <v/>
      </c>
      <c r="Q86" s="32">
        <f>IF(N(F86)=0,"",C86/F86)</f>
        <v/>
      </c>
      <c r="R86" s="32">
        <f>IF(N(I86)=0,"",C86/I86)</f>
        <v/>
      </c>
      <c r="S86" s="32">
        <f>IF(N(J86)=0,"",C86/J86)</f>
        <v/>
      </c>
      <c r="T86" s="32">
        <f>IF(N(L86)=0,"",C86/L86)</f>
        <v/>
      </c>
      <c r="U86" s="36">
        <f>IF(N(I86)=0,"",J86/I86)</f>
        <v/>
      </c>
      <c r="V86" s="36">
        <f>IF(N(K86)=0,"",L86/K86)</f>
        <v/>
      </c>
      <c r="W86" s="37">
        <f>IF(N(C86)=0,"",M86/C86)</f>
        <v/>
      </c>
    </row>
    <row r="87">
      <c r="A87" s="11" t="n">
        <v>46600</v>
      </c>
      <c r="B87" t="inlineStr">
        <is>
          <t>S-FR | Événements privés</t>
        </is>
      </c>
      <c r="C87" s="32">
        <f>SUMIFS('Saisie hebdo'!$E$5:$E$2000,'Saisie hebdo'!$B$5:$B$2000,$A87,'Saisie hebdo'!$C$5:$C$2000,$B87)</f>
        <v/>
      </c>
      <c r="D87" s="33">
        <f>SUMIFS('Saisie hebdo'!$F$5:$F$2000,'Saisie hebdo'!$B$5:$B$2000,$A87,'Saisie hebdo'!$C$5:$C$2000,$B87)</f>
        <v/>
      </c>
      <c r="E87" s="33">
        <f>SUMIFS('Saisie hebdo'!$G$5:$G$2000,'Saisie hebdo'!$B$5:$B$2000,$A87,'Saisie hebdo'!$C$5:$C$2000,$B87)</f>
        <v/>
      </c>
      <c r="F87" s="34">
        <f>SUMIFS('Saisie hebdo'!$H$5:$H$2000,'Saisie hebdo'!$B$5:$B$2000,$A87,'Saisie hebdo'!$C$5:$C$2000,$B87)</f>
        <v/>
      </c>
      <c r="G87" s="35">
        <f>IFERROR(AVERAGEIFS('Saisie hebdo'!$I$5:$I$2000,'Saisie hebdo'!$B$5:$B$2000,$A87,'Saisie hebdo'!$C$5:$C$2000,$B87),"")</f>
        <v/>
      </c>
      <c r="H87" s="35">
        <f>IFERROR(AVERAGEIFS('Saisie hebdo'!$J$5:$J$2000,'Saisie hebdo'!$B$5:$B$2000,$A87,'Saisie hebdo'!$C$5:$C$2000,$B87),"")</f>
        <v/>
      </c>
      <c r="I87" s="33">
        <f>SUMIFS('Saisie hebdo'!$K$5:$K$2000,'Saisie hebdo'!$B$5:$B$2000,$A87,'Saisie hebdo'!$C$5:$C$2000,$B87)</f>
        <v/>
      </c>
      <c r="J87" s="33">
        <f>SUMIFS('Saisie hebdo'!$L$5:$L$2000,'Saisie hebdo'!$B$5:$B$2000,$A87,'Saisie hebdo'!$C$5:$C$2000,$B87)</f>
        <v/>
      </c>
      <c r="K87" s="33">
        <f>SUMIFS('Saisie hebdo'!$M$5:$M$2000,'Saisie hebdo'!$B$5:$B$2000,$A87,'Saisie hebdo'!$C$5:$C$2000,$B87)</f>
        <v/>
      </c>
      <c r="L87" s="33">
        <f>SUMIFS('Saisie hebdo'!$N$5:$N$2000,'Saisie hebdo'!$B$5:$B$2000,$A87,'Saisie hebdo'!$C$5:$C$2000,$B87)</f>
        <v/>
      </c>
      <c r="M87" s="32">
        <f>SUMIFS('Saisie hebdo'!$O$5:$O$2000,'Saisie hebdo'!$B$5:$B$2000,$A87,'Saisie hebdo'!$C$5:$C$2000,$B87)</f>
        <v/>
      </c>
      <c r="N87" s="35">
        <f>IF(N(D87)=0,"",E87/D87)</f>
        <v/>
      </c>
      <c r="O87" s="32">
        <f>IF(N(E87)=0,"",C87/E87)</f>
        <v/>
      </c>
      <c r="P87" s="35">
        <f>IF(N(E87)=0,"",F87/E87)</f>
        <v/>
      </c>
      <c r="Q87" s="32">
        <f>IF(N(F87)=0,"",C87/F87)</f>
        <v/>
      </c>
      <c r="R87" s="32">
        <f>IF(N(I87)=0,"",C87/I87)</f>
        <v/>
      </c>
      <c r="S87" s="32">
        <f>IF(N(J87)=0,"",C87/J87)</f>
        <v/>
      </c>
      <c r="T87" s="32">
        <f>IF(N(L87)=0,"",C87/L87)</f>
        <v/>
      </c>
      <c r="U87" s="36">
        <f>IF(N(I87)=0,"",J87/I87)</f>
        <v/>
      </c>
      <c r="V87" s="36">
        <f>IF(N(K87)=0,"",L87/K87)</f>
        <v/>
      </c>
      <c r="W87" s="37">
        <f>IF(N(C87)=0,"",M87/C87)</f>
        <v/>
      </c>
    </row>
    <row r="88">
      <c r="A88" s="11" t="n">
        <v>46600</v>
      </c>
      <c r="B88" t="inlineStr">
        <is>
          <t>S-EN | Corporate Montréal</t>
        </is>
      </c>
      <c r="C88" s="32">
        <f>SUMIFS('Saisie hebdo'!$E$5:$E$2000,'Saisie hebdo'!$B$5:$B$2000,$A88,'Saisie hebdo'!$C$5:$C$2000,$B88)</f>
        <v/>
      </c>
      <c r="D88" s="33">
        <f>SUMIFS('Saisie hebdo'!$F$5:$F$2000,'Saisie hebdo'!$B$5:$B$2000,$A88,'Saisie hebdo'!$C$5:$C$2000,$B88)</f>
        <v/>
      </c>
      <c r="E88" s="33">
        <f>SUMIFS('Saisie hebdo'!$G$5:$G$2000,'Saisie hebdo'!$B$5:$B$2000,$A88,'Saisie hebdo'!$C$5:$C$2000,$B88)</f>
        <v/>
      </c>
      <c r="F88" s="34">
        <f>SUMIFS('Saisie hebdo'!$H$5:$H$2000,'Saisie hebdo'!$B$5:$B$2000,$A88,'Saisie hebdo'!$C$5:$C$2000,$B88)</f>
        <v/>
      </c>
      <c r="G88" s="35">
        <f>IFERROR(AVERAGEIFS('Saisie hebdo'!$I$5:$I$2000,'Saisie hebdo'!$B$5:$B$2000,$A88,'Saisie hebdo'!$C$5:$C$2000,$B88),"")</f>
        <v/>
      </c>
      <c r="H88" s="35">
        <f>IFERROR(AVERAGEIFS('Saisie hebdo'!$J$5:$J$2000,'Saisie hebdo'!$B$5:$B$2000,$A88,'Saisie hebdo'!$C$5:$C$2000,$B88),"")</f>
        <v/>
      </c>
      <c r="I88" s="33">
        <f>SUMIFS('Saisie hebdo'!$K$5:$K$2000,'Saisie hebdo'!$B$5:$B$2000,$A88,'Saisie hebdo'!$C$5:$C$2000,$B88)</f>
        <v/>
      </c>
      <c r="J88" s="33">
        <f>SUMIFS('Saisie hebdo'!$L$5:$L$2000,'Saisie hebdo'!$B$5:$B$2000,$A88,'Saisie hebdo'!$C$5:$C$2000,$B88)</f>
        <v/>
      </c>
      <c r="K88" s="33">
        <f>SUMIFS('Saisie hebdo'!$M$5:$M$2000,'Saisie hebdo'!$B$5:$B$2000,$A88,'Saisie hebdo'!$C$5:$C$2000,$B88)</f>
        <v/>
      </c>
      <c r="L88" s="33">
        <f>SUMIFS('Saisie hebdo'!$N$5:$N$2000,'Saisie hebdo'!$B$5:$B$2000,$A88,'Saisie hebdo'!$C$5:$C$2000,$B88)</f>
        <v/>
      </c>
      <c r="M88" s="32">
        <f>SUMIFS('Saisie hebdo'!$O$5:$O$2000,'Saisie hebdo'!$B$5:$B$2000,$A88,'Saisie hebdo'!$C$5:$C$2000,$B88)</f>
        <v/>
      </c>
      <c r="N88" s="35">
        <f>IF(N(D88)=0,"",E88/D88)</f>
        <v/>
      </c>
      <c r="O88" s="32">
        <f>IF(N(E88)=0,"",C88/E88)</f>
        <v/>
      </c>
      <c r="P88" s="35">
        <f>IF(N(E88)=0,"",F88/E88)</f>
        <v/>
      </c>
      <c r="Q88" s="32">
        <f>IF(N(F88)=0,"",C88/F88)</f>
        <v/>
      </c>
      <c r="R88" s="32">
        <f>IF(N(I88)=0,"",C88/I88)</f>
        <v/>
      </c>
      <c r="S88" s="32">
        <f>IF(N(J88)=0,"",C88/J88)</f>
        <v/>
      </c>
      <c r="T88" s="32">
        <f>IF(N(L88)=0,"",C88/L88)</f>
        <v/>
      </c>
      <c r="U88" s="36">
        <f>IF(N(I88)=0,"",J88/I88)</f>
        <v/>
      </c>
      <c r="V88" s="36">
        <f>IF(N(K88)=0,"",L88/K88)</f>
        <v/>
      </c>
      <c r="W88" s="37">
        <f>IF(N(C88)=0,"",M88/C88)</f>
        <v/>
      </c>
    </row>
    <row r="89">
      <c r="A89" s="11" t="n">
        <v>46600</v>
      </c>
      <c r="B89" t="inlineStr">
        <is>
          <t>S-FR | Québec-Lévis (test)</t>
        </is>
      </c>
      <c r="C89" s="32">
        <f>SUMIFS('Saisie hebdo'!$E$5:$E$2000,'Saisie hebdo'!$B$5:$B$2000,$A89,'Saisie hebdo'!$C$5:$C$2000,$B89)</f>
        <v/>
      </c>
      <c r="D89" s="33">
        <f>SUMIFS('Saisie hebdo'!$F$5:$F$2000,'Saisie hebdo'!$B$5:$B$2000,$A89,'Saisie hebdo'!$C$5:$C$2000,$B89)</f>
        <v/>
      </c>
      <c r="E89" s="33">
        <f>SUMIFS('Saisie hebdo'!$G$5:$G$2000,'Saisie hebdo'!$B$5:$B$2000,$A89,'Saisie hebdo'!$C$5:$C$2000,$B89)</f>
        <v/>
      </c>
      <c r="F89" s="34">
        <f>SUMIFS('Saisie hebdo'!$H$5:$H$2000,'Saisie hebdo'!$B$5:$B$2000,$A89,'Saisie hebdo'!$C$5:$C$2000,$B89)</f>
        <v/>
      </c>
      <c r="G89" s="35">
        <f>IFERROR(AVERAGEIFS('Saisie hebdo'!$I$5:$I$2000,'Saisie hebdo'!$B$5:$B$2000,$A89,'Saisie hebdo'!$C$5:$C$2000,$B89),"")</f>
        <v/>
      </c>
      <c r="H89" s="35">
        <f>IFERROR(AVERAGEIFS('Saisie hebdo'!$J$5:$J$2000,'Saisie hebdo'!$B$5:$B$2000,$A89,'Saisie hebdo'!$C$5:$C$2000,$B89),"")</f>
        <v/>
      </c>
      <c r="I89" s="33">
        <f>SUMIFS('Saisie hebdo'!$K$5:$K$2000,'Saisie hebdo'!$B$5:$B$2000,$A89,'Saisie hebdo'!$C$5:$C$2000,$B89)</f>
        <v/>
      </c>
      <c r="J89" s="33">
        <f>SUMIFS('Saisie hebdo'!$L$5:$L$2000,'Saisie hebdo'!$B$5:$B$2000,$A89,'Saisie hebdo'!$C$5:$C$2000,$B89)</f>
        <v/>
      </c>
      <c r="K89" s="33">
        <f>SUMIFS('Saisie hebdo'!$M$5:$M$2000,'Saisie hebdo'!$B$5:$B$2000,$A89,'Saisie hebdo'!$C$5:$C$2000,$B89)</f>
        <v/>
      </c>
      <c r="L89" s="33">
        <f>SUMIFS('Saisie hebdo'!$N$5:$N$2000,'Saisie hebdo'!$B$5:$B$2000,$A89,'Saisie hebdo'!$C$5:$C$2000,$B89)</f>
        <v/>
      </c>
      <c r="M89" s="32">
        <f>SUMIFS('Saisie hebdo'!$O$5:$O$2000,'Saisie hebdo'!$B$5:$B$2000,$A89,'Saisie hebdo'!$C$5:$C$2000,$B89)</f>
        <v/>
      </c>
      <c r="N89" s="35">
        <f>IF(N(D89)=0,"",E89/D89)</f>
        <v/>
      </c>
      <c r="O89" s="32">
        <f>IF(N(E89)=0,"",C89/E89)</f>
        <v/>
      </c>
      <c r="P89" s="35">
        <f>IF(N(E89)=0,"",F89/E89)</f>
        <v/>
      </c>
      <c r="Q89" s="32">
        <f>IF(N(F89)=0,"",C89/F89)</f>
        <v/>
      </c>
      <c r="R89" s="32">
        <f>IF(N(I89)=0,"",C89/I89)</f>
        <v/>
      </c>
      <c r="S89" s="32">
        <f>IF(N(J89)=0,"",C89/J89)</f>
        <v/>
      </c>
      <c r="T89" s="32">
        <f>IF(N(L89)=0,"",C89/L89)</f>
        <v/>
      </c>
      <c r="U89" s="36">
        <f>IF(N(I89)=0,"",J89/I89)</f>
        <v/>
      </c>
      <c r="V89" s="36">
        <f>IF(N(K89)=0,"",L89/K89)</f>
        <v/>
      </c>
      <c r="W89" s="37">
        <f>IF(N(C89)=0,"",M89/C89)</f>
        <v/>
      </c>
    </row>
    <row r="90">
      <c r="A90" s="11" t="n">
        <v>46600</v>
      </c>
      <c r="B90" t="inlineStr">
        <is>
          <t>Demand Gen</t>
        </is>
      </c>
      <c r="C90" s="32">
        <f>SUMIFS('Saisie hebdo'!$E$5:$E$2000,'Saisie hebdo'!$B$5:$B$2000,$A90,'Saisie hebdo'!$C$5:$C$2000,$B90)</f>
        <v/>
      </c>
      <c r="D90" s="33">
        <f>SUMIFS('Saisie hebdo'!$F$5:$F$2000,'Saisie hebdo'!$B$5:$B$2000,$A90,'Saisie hebdo'!$C$5:$C$2000,$B90)</f>
        <v/>
      </c>
      <c r="E90" s="33">
        <f>SUMIFS('Saisie hebdo'!$G$5:$G$2000,'Saisie hebdo'!$B$5:$B$2000,$A90,'Saisie hebdo'!$C$5:$C$2000,$B90)</f>
        <v/>
      </c>
      <c r="F90" s="34">
        <f>SUMIFS('Saisie hebdo'!$H$5:$H$2000,'Saisie hebdo'!$B$5:$B$2000,$A90,'Saisie hebdo'!$C$5:$C$2000,$B90)</f>
        <v/>
      </c>
      <c r="G90" s="35">
        <f>IFERROR(AVERAGEIFS('Saisie hebdo'!$I$5:$I$2000,'Saisie hebdo'!$B$5:$B$2000,$A90,'Saisie hebdo'!$C$5:$C$2000,$B90),"")</f>
        <v/>
      </c>
      <c r="H90" s="35">
        <f>IFERROR(AVERAGEIFS('Saisie hebdo'!$J$5:$J$2000,'Saisie hebdo'!$B$5:$B$2000,$A90,'Saisie hebdo'!$C$5:$C$2000,$B90),"")</f>
        <v/>
      </c>
      <c r="I90" s="33">
        <f>SUMIFS('Saisie hebdo'!$K$5:$K$2000,'Saisie hebdo'!$B$5:$B$2000,$A90,'Saisie hebdo'!$C$5:$C$2000,$B90)</f>
        <v/>
      </c>
      <c r="J90" s="33">
        <f>SUMIFS('Saisie hebdo'!$L$5:$L$2000,'Saisie hebdo'!$B$5:$B$2000,$A90,'Saisie hebdo'!$C$5:$C$2000,$B90)</f>
        <v/>
      </c>
      <c r="K90" s="33">
        <f>SUMIFS('Saisie hebdo'!$M$5:$M$2000,'Saisie hebdo'!$B$5:$B$2000,$A90,'Saisie hebdo'!$C$5:$C$2000,$B90)</f>
        <v/>
      </c>
      <c r="L90" s="33">
        <f>SUMIFS('Saisie hebdo'!$N$5:$N$2000,'Saisie hebdo'!$B$5:$B$2000,$A90,'Saisie hebdo'!$C$5:$C$2000,$B90)</f>
        <v/>
      </c>
      <c r="M90" s="32">
        <f>SUMIFS('Saisie hebdo'!$O$5:$O$2000,'Saisie hebdo'!$B$5:$B$2000,$A90,'Saisie hebdo'!$C$5:$C$2000,$B90)</f>
        <v/>
      </c>
      <c r="N90" s="35">
        <f>IF(N(D90)=0,"",E90/D90)</f>
        <v/>
      </c>
      <c r="O90" s="32">
        <f>IF(N(E90)=0,"",C90/E90)</f>
        <v/>
      </c>
      <c r="P90" s="35">
        <f>IF(N(E90)=0,"",F90/E90)</f>
        <v/>
      </c>
      <c r="Q90" s="32">
        <f>IF(N(F90)=0,"",C90/F90)</f>
        <v/>
      </c>
      <c r="R90" s="32">
        <f>IF(N(I90)=0,"",C90/I90)</f>
        <v/>
      </c>
      <c r="S90" s="32">
        <f>IF(N(J90)=0,"",C90/J90)</f>
        <v/>
      </c>
      <c r="T90" s="32">
        <f>IF(N(L90)=0,"",C90/L90)</f>
        <v/>
      </c>
      <c r="U90" s="36">
        <f>IF(N(I90)=0,"",J90/I90)</f>
        <v/>
      </c>
      <c r="V90" s="36">
        <f>IF(N(K90)=0,"",L90/K90)</f>
        <v/>
      </c>
      <c r="W90" s="37">
        <f>IF(N(C90)=0,"",M90/C90)</f>
        <v/>
      </c>
    </row>
    <row r="91">
      <c r="A91" s="11" t="n">
        <v>46600</v>
      </c>
      <c r="B91" t="inlineStr">
        <is>
          <t>Microsoft Ads</t>
        </is>
      </c>
      <c r="C91" s="32">
        <f>SUMIFS('Saisie hebdo'!$E$5:$E$2000,'Saisie hebdo'!$B$5:$B$2000,$A91,'Saisie hebdo'!$C$5:$C$2000,$B91)</f>
        <v/>
      </c>
      <c r="D91" s="33">
        <f>SUMIFS('Saisie hebdo'!$F$5:$F$2000,'Saisie hebdo'!$B$5:$B$2000,$A91,'Saisie hebdo'!$C$5:$C$2000,$B91)</f>
        <v/>
      </c>
      <c r="E91" s="33">
        <f>SUMIFS('Saisie hebdo'!$G$5:$G$2000,'Saisie hebdo'!$B$5:$B$2000,$A91,'Saisie hebdo'!$C$5:$C$2000,$B91)</f>
        <v/>
      </c>
      <c r="F91" s="34">
        <f>SUMIFS('Saisie hebdo'!$H$5:$H$2000,'Saisie hebdo'!$B$5:$B$2000,$A91,'Saisie hebdo'!$C$5:$C$2000,$B91)</f>
        <v/>
      </c>
      <c r="G91" s="35">
        <f>IFERROR(AVERAGEIFS('Saisie hebdo'!$I$5:$I$2000,'Saisie hebdo'!$B$5:$B$2000,$A91,'Saisie hebdo'!$C$5:$C$2000,$B91),"")</f>
        <v/>
      </c>
      <c r="H91" s="35">
        <f>IFERROR(AVERAGEIFS('Saisie hebdo'!$J$5:$J$2000,'Saisie hebdo'!$B$5:$B$2000,$A91,'Saisie hebdo'!$C$5:$C$2000,$B91),"")</f>
        <v/>
      </c>
      <c r="I91" s="33">
        <f>SUMIFS('Saisie hebdo'!$K$5:$K$2000,'Saisie hebdo'!$B$5:$B$2000,$A91,'Saisie hebdo'!$C$5:$C$2000,$B91)</f>
        <v/>
      </c>
      <c r="J91" s="33">
        <f>SUMIFS('Saisie hebdo'!$L$5:$L$2000,'Saisie hebdo'!$B$5:$B$2000,$A91,'Saisie hebdo'!$C$5:$C$2000,$B91)</f>
        <v/>
      </c>
      <c r="K91" s="33">
        <f>SUMIFS('Saisie hebdo'!$M$5:$M$2000,'Saisie hebdo'!$B$5:$B$2000,$A91,'Saisie hebdo'!$C$5:$C$2000,$B91)</f>
        <v/>
      </c>
      <c r="L91" s="33">
        <f>SUMIFS('Saisie hebdo'!$N$5:$N$2000,'Saisie hebdo'!$B$5:$B$2000,$A91,'Saisie hebdo'!$C$5:$C$2000,$B91)</f>
        <v/>
      </c>
      <c r="M91" s="32">
        <f>SUMIFS('Saisie hebdo'!$O$5:$O$2000,'Saisie hebdo'!$B$5:$B$2000,$A91,'Saisie hebdo'!$C$5:$C$2000,$B91)</f>
        <v/>
      </c>
      <c r="N91" s="35">
        <f>IF(N(D91)=0,"",E91/D91)</f>
        <v/>
      </c>
      <c r="O91" s="32">
        <f>IF(N(E91)=0,"",C91/E91)</f>
        <v/>
      </c>
      <c r="P91" s="35">
        <f>IF(N(E91)=0,"",F91/E91)</f>
        <v/>
      </c>
      <c r="Q91" s="32">
        <f>IF(N(F91)=0,"",C91/F91)</f>
        <v/>
      </c>
      <c r="R91" s="32">
        <f>IF(N(I91)=0,"",C91/I91)</f>
        <v/>
      </c>
      <c r="S91" s="32">
        <f>IF(N(J91)=0,"",C91/J91)</f>
        <v/>
      </c>
      <c r="T91" s="32">
        <f>IF(N(L91)=0,"",C91/L91)</f>
        <v/>
      </c>
      <c r="U91" s="36">
        <f>IF(N(I91)=0,"",J91/I91)</f>
        <v/>
      </c>
      <c r="V91" s="36">
        <f>IF(N(K91)=0,"",L91/K91)</f>
        <v/>
      </c>
      <c r="W91" s="37">
        <f>IF(N(C91)=0,"",M91/C91)</f>
        <v/>
      </c>
    </row>
    <row r="92">
      <c r="A92" s="38" t="n">
        <v>46600</v>
      </c>
      <c r="B92" s="39" t="inlineStr">
        <is>
          <t>Total du compte</t>
        </is>
      </c>
      <c r="C92" s="40">
        <f>SUMIFS('Saisie hebdo'!$E$5:$E$2000,'Saisie hebdo'!$B$5:$B$2000,$A92)</f>
        <v/>
      </c>
      <c r="D92" s="41">
        <f>SUMIFS('Saisie hebdo'!$F$5:$F$2000,'Saisie hebdo'!$B$5:$B$2000,$A92)</f>
        <v/>
      </c>
      <c r="E92" s="41">
        <f>SUMIFS('Saisie hebdo'!$G$5:$G$2000,'Saisie hebdo'!$B$5:$B$2000,$A92)</f>
        <v/>
      </c>
      <c r="F92" s="42">
        <f>SUMIFS('Saisie hebdo'!$H$5:$H$2000,'Saisie hebdo'!$B$5:$B$2000,$A92)</f>
        <v/>
      </c>
      <c r="G92" s="43">
        <f>IFERROR(AVERAGEIFS('Saisie hebdo'!$I$5:$I$2000,'Saisie hebdo'!$B$5:$B$2000,$A92),"")</f>
        <v/>
      </c>
      <c r="H92" s="43">
        <f>IFERROR(AVERAGEIFS('Saisie hebdo'!$J$5:$J$2000,'Saisie hebdo'!$B$5:$B$2000,$A92),"")</f>
        <v/>
      </c>
      <c r="I92" s="41">
        <f>SUMIFS('Saisie hebdo'!$K$5:$K$2000,'Saisie hebdo'!$B$5:$B$2000,$A92)</f>
        <v/>
      </c>
      <c r="J92" s="41">
        <f>SUMIFS('Saisie hebdo'!$L$5:$L$2000,'Saisie hebdo'!$B$5:$B$2000,$A92)</f>
        <v/>
      </c>
      <c r="K92" s="41">
        <f>SUMIFS('Saisie hebdo'!$M$5:$M$2000,'Saisie hebdo'!$B$5:$B$2000,$A92)</f>
        <v/>
      </c>
      <c r="L92" s="41">
        <f>SUMIFS('Saisie hebdo'!$N$5:$N$2000,'Saisie hebdo'!$B$5:$B$2000,$A92)</f>
        <v/>
      </c>
      <c r="M92" s="40">
        <f>SUMIFS('Saisie hebdo'!$O$5:$O$2000,'Saisie hebdo'!$B$5:$B$2000,$A92)</f>
        <v/>
      </c>
      <c r="N92" s="43">
        <f>IF(N(D92)=0,"",E92/D92)</f>
        <v/>
      </c>
      <c r="O92" s="40">
        <f>IF(N(E92)=0,"",C92/E92)</f>
        <v/>
      </c>
      <c r="P92" s="43">
        <f>IF(N(E92)=0,"",F92/E92)</f>
        <v/>
      </c>
      <c r="Q92" s="40">
        <f>IF(N(F92)=0,"",C92/F92)</f>
        <v/>
      </c>
      <c r="R92" s="40">
        <f>IF(N(I92)=0,"",C92/I92)</f>
        <v/>
      </c>
      <c r="S92" s="40">
        <f>IF(N(J92)=0,"",C92/J92)</f>
        <v/>
      </c>
      <c r="T92" s="40">
        <f>IF(N(L92)=0,"",C92/L92)</f>
        <v/>
      </c>
      <c r="U92" s="44">
        <f>IF(N(I92)=0,"",J92/I92)</f>
        <v/>
      </c>
      <c r="V92" s="44">
        <f>IF(N(K92)=0,"",L92/K92)</f>
        <v/>
      </c>
      <c r="W92" s="45">
        <f>IF(N(C92)=0,"",M92/C92)</f>
        <v/>
      </c>
    </row>
    <row r="93">
      <c r="A93" s="11" t="n">
        <v>46631</v>
      </c>
      <c r="B93" t="inlineStr">
        <is>
          <t>S-FR | Marque</t>
        </is>
      </c>
      <c r="C93" s="32">
        <f>SUMIFS('Saisie hebdo'!$E$5:$E$2000,'Saisie hebdo'!$B$5:$B$2000,$A93,'Saisie hebdo'!$C$5:$C$2000,$B93)</f>
        <v/>
      </c>
      <c r="D93" s="33">
        <f>SUMIFS('Saisie hebdo'!$F$5:$F$2000,'Saisie hebdo'!$B$5:$B$2000,$A93,'Saisie hebdo'!$C$5:$C$2000,$B93)</f>
        <v/>
      </c>
      <c r="E93" s="33">
        <f>SUMIFS('Saisie hebdo'!$G$5:$G$2000,'Saisie hebdo'!$B$5:$B$2000,$A93,'Saisie hebdo'!$C$5:$C$2000,$B93)</f>
        <v/>
      </c>
      <c r="F93" s="34">
        <f>SUMIFS('Saisie hebdo'!$H$5:$H$2000,'Saisie hebdo'!$B$5:$B$2000,$A93,'Saisie hebdo'!$C$5:$C$2000,$B93)</f>
        <v/>
      </c>
      <c r="G93" s="35">
        <f>IFERROR(AVERAGEIFS('Saisie hebdo'!$I$5:$I$2000,'Saisie hebdo'!$B$5:$B$2000,$A93,'Saisie hebdo'!$C$5:$C$2000,$B93),"")</f>
        <v/>
      </c>
      <c r="H93" s="35">
        <f>IFERROR(AVERAGEIFS('Saisie hebdo'!$J$5:$J$2000,'Saisie hebdo'!$B$5:$B$2000,$A93,'Saisie hebdo'!$C$5:$C$2000,$B93),"")</f>
        <v/>
      </c>
      <c r="I93" s="33">
        <f>SUMIFS('Saisie hebdo'!$K$5:$K$2000,'Saisie hebdo'!$B$5:$B$2000,$A93,'Saisie hebdo'!$C$5:$C$2000,$B93)</f>
        <v/>
      </c>
      <c r="J93" s="33">
        <f>SUMIFS('Saisie hebdo'!$L$5:$L$2000,'Saisie hebdo'!$B$5:$B$2000,$A93,'Saisie hebdo'!$C$5:$C$2000,$B93)</f>
        <v/>
      </c>
      <c r="K93" s="33">
        <f>SUMIFS('Saisie hebdo'!$M$5:$M$2000,'Saisie hebdo'!$B$5:$B$2000,$A93,'Saisie hebdo'!$C$5:$C$2000,$B93)</f>
        <v/>
      </c>
      <c r="L93" s="33">
        <f>SUMIFS('Saisie hebdo'!$N$5:$N$2000,'Saisie hebdo'!$B$5:$B$2000,$A93,'Saisie hebdo'!$C$5:$C$2000,$B93)</f>
        <v/>
      </c>
      <c r="M93" s="32">
        <f>SUMIFS('Saisie hebdo'!$O$5:$O$2000,'Saisie hebdo'!$B$5:$B$2000,$A93,'Saisie hebdo'!$C$5:$C$2000,$B93)</f>
        <v/>
      </c>
      <c r="N93" s="35">
        <f>IF(N(D93)=0,"",E93/D93)</f>
        <v/>
      </c>
      <c r="O93" s="32">
        <f>IF(N(E93)=0,"",C93/E93)</f>
        <v/>
      </c>
      <c r="P93" s="35">
        <f>IF(N(E93)=0,"",F93/E93)</f>
        <v/>
      </c>
      <c r="Q93" s="32">
        <f>IF(N(F93)=0,"",C93/F93)</f>
        <v/>
      </c>
      <c r="R93" s="32">
        <f>IF(N(I93)=0,"",C93/I93)</f>
        <v/>
      </c>
      <c r="S93" s="32">
        <f>IF(N(J93)=0,"",C93/J93)</f>
        <v/>
      </c>
      <c r="T93" s="32">
        <f>IF(N(L93)=0,"",C93/L93)</f>
        <v/>
      </c>
      <c r="U93" s="36">
        <f>IF(N(I93)=0,"",J93/I93)</f>
        <v/>
      </c>
      <c r="V93" s="36">
        <f>IF(N(K93)=0,"",L93/K93)</f>
        <v/>
      </c>
      <c r="W93" s="37">
        <f>IF(N(C93)=0,"",M93/C93)</f>
        <v/>
      </c>
    </row>
    <row r="94">
      <c r="A94" s="11" t="n">
        <v>46631</v>
      </c>
      <c r="B94" t="inlineStr">
        <is>
          <t>S-FR | Corporatif &amp; Fêtes</t>
        </is>
      </c>
      <c r="C94" s="32">
        <f>SUMIFS('Saisie hebdo'!$E$5:$E$2000,'Saisie hebdo'!$B$5:$B$2000,$A94,'Saisie hebdo'!$C$5:$C$2000,$B94)</f>
        <v/>
      </c>
      <c r="D94" s="33">
        <f>SUMIFS('Saisie hebdo'!$F$5:$F$2000,'Saisie hebdo'!$B$5:$B$2000,$A94,'Saisie hebdo'!$C$5:$C$2000,$B94)</f>
        <v/>
      </c>
      <c r="E94" s="33">
        <f>SUMIFS('Saisie hebdo'!$G$5:$G$2000,'Saisie hebdo'!$B$5:$B$2000,$A94,'Saisie hebdo'!$C$5:$C$2000,$B94)</f>
        <v/>
      </c>
      <c r="F94" s="34">
        <f>SUMIFS('Saisie hebdo'!$H$5:$H$2000,'Saisie hebdo'!$B$5:$B$2000,$A94,'Saisie hebdo'!$C$5:$C$2000,$B94)</f>
        <v/>
      </c>
      <c r="G94" s="35">
        <f>IFERROR(AVERAGEIFS('Saisie hebdo'!$I$5:$I$2000,'Saisie hebdo'!$B$5:$B$2000,$A94,'Saisie hebdo'!$C$5:$C$2000,$B94),"")</f>
        <v/>
      </c>
      <c r="H94" s="35">
        <f>IFERROR(AVERAGEIFS('Saisie hebdo'!$J$5:$J$2000,'Saisie hebdo'!$B$5:$B$2000,$A94,'Saisie hebdo'!$C$5:$C$2000,$B94),"")</f>
        <v/>
      </c>
      <c r="I94" s="33">
        <f>SUMIFS('Saisie hebdo'!$K$5:$K$2000,'Saisie hebdo'!$B$5:$B$2000,$A94,'Saisie hebdo'!$C$5:$C$2000,$B94)</f>
        <v/>
      </c>
      <c r="J94" s="33">
        <f>SUMIFS('Saisie hebdo'!$L$5:$L$2000,'Saisie hebdo'!$B$5:$B$2000,$A94,'Saisie hebdo'!$C$5:$C$2000,$B94)</f>
        <v/>
      </c>
      <c r="K94" s="33">
        <f>SUMIFS('Saisie hebdo'!$M$5:$M$2000,'Saisie hebdo'!$B$5:$B$2000,$A94,'Saisie hebdo'!$C$5:$C$2000,$B94)</f>
        <v/>
      </c>
      <c r="L94" s="33">
        <f>SUMIFS('Saisie hebdo'!$N$5:$N$2000,'Saisie hebdo'!$B$5:$B$2000,$A94,'Saisie hebdo'!$C$5:$C$2000,$B94)</f>
        <v/>
      </c>
      <c r="M94" s="32">
        <f>SUMIFS('Saisie hebdo'!$O$5:$O$2000,'Saisie hebdo'!$B$5:$B$2000,$A94,'Saisie hebdo'!$C$5:$C$2000,$B94)</f>
        <v/>
      </c>
      <c r="N94" s="35">
        <f>IF(N(D94)=0,"",E94/D94)</f>
        <v/>
      </c>
      <c r="O94" s="32">
        <f>IF(N(E94)=0,"",C94/E94)</f>
        <v/>
      </c>
      <c r="P94" s="35">
        <f>IF(N(E94)=0,"",F94/E94)</f>
        <v/>
      </c>
      <c r="Q94" s="32">
        <f>IF(N(F94)=0,"",C94/F94)</f>
        <v/>
      </c>
      <c r="R94" s="32">
        <f>IF(N(I94)=0,"",C94/I94)</f>
        <v/>
      </c>
      <c r="S94" s="32">
        <f>IF(N(J94)=0,"",C94/J94)</f>
        <v/>
      </c>
      <c r="T94" s="32">
        <f>IF(N(L94)=0,"",C94/L94)</f>
        <v/>
      </c>
      <c r="U94" s="36">
        <f>IF(N(I94)=0,"",J94/I94)</f>
        <v/>
      </c>
      <c r="V94" s="36">
        <f>IF(N(K94)=0,"",L94/K94)</f>
        <v/>
      </c>
      <c r="W94" s="37">
        <f>IF(N(C94)=0,"",M94/C94)</f>
        <v/>
      </c>
    </row>
    <row r="95">
      <c r="A95" s="11" t="n">
        <v>46631</v>
      </c>
      <c r="B95" t="inlineStr">
        <is>
          <t>S-FR | Événements privés</t>
        </is>
      </c>
      <c r="C95" s="32">
        <f>SUMIFS('Saisie hebdo'!$E$5:$E$2000,'Saisie hebdo'!$B$5:$B$2000,$A95,'Saisie hebdo'!$C$5:$C$2000,$B95)</f>
        <v/>
      </c>
      <c r="D95" s="33">
        <f>SUMIFS('Saisie hebdo'!$F$5:$F$2000,'Saisie hebdo'!$B$5:$B$2000,$A95,'Saisie hebdo'!$C$5:$C$2000,$B95)</f>
        <v/>
      </c>
      <c r="E95" s="33">
        <f>SUMIFS('Saisie hebdo'!$G$5:$G$2000,'Saisie hebdo'!$B$5:$B$2000,$A95,'Saisie hebdo'!$C$5:$C$2000,$B95)</f>
        <v/>
      </c>
      <c r="F95" s="34">
        <f>SUMIFS('Saisie hebdo'!$H$5:$H$2000,'Saisie hebdo'!$B$5:$B$2000,$A95,'Saisie hebdo'!$C$5:$C$2000,$B95)</f>
        <v/>
      </c>
      <c r="G95" s="35">
        <f>IFERROR(AVERAGEIFS('Saisie hebdo'!$I$5:$I$2000,'Saisie hebdo'!$B$5:$B$2000,$A95,'Saisie hebdo'!$C$5:$C$2000,$B95),"")</f>
        <v/>
      </c>
      <c r="H95" s="35">
        <f>IFERROR(AVERAGEIFS('Saisie hebdo'!$J$5:$J$2000,'Saisie hebdo'!$B$5:$B$2000,$A95,'Saisie hebdo'!$C$5:$C$2000,$B95),"")</f>
        <v/>
      </c>
      <c r="I95" s="33">
        <f>SUMIFS('Saisie hebdo'!$K$5:$K$2000,'Saisie hebdo'!$B$5:$B$2000,$A95,'Saisie hebdo'!$C$5:$C$2000,$B95)</f>
        <v/>
      </c>
      <c r="J95" s="33">
        <f>SUMIFS('Saisie hebdo'!$L$5:$L$2000,'Saisie hebdo'!$B$5:$B$2000,$A95,'Saisie hebdo'!$C$5:$C$2000,$B95)</f>
        <v/>
      </c>
      <c r="K95" s="33">
        <f>SUMIFS('Saisie hebdo'!$M$5:$M$2000,'Saisie hebdo'!$B$5:$B$2000,$A95,'Saisie hebdo'!$C$5:$C$2000,$B95)</f>
        <v/>
      </c>
      <c r="L95" s="33">
        <f>SUMIFS('Saisie hebdo'!$N$5:$N$2000,'Saisie hebdo'!$B$5:$B$2000,$A95,'Saisie hebdo'!$C$5:$C$2000,$B95)</f>
        <v/>
      </c>
      <c r="M95" s="32">
        <f>SUMIFS('Saisie hebdo'!$O$5:$O$2000,'Saisie hebdo'!$B$5:$B$2000,$A95,'Saisie hebdo'!$C$5:$C$2000,$B95)</f>
        <v/>
      </c>
      <c r="N95" s="35">
        <f>IF(N(D95)=0,"",E95/D95)</f>
        <v/>
      </c>
      <c r="O95" s="32">
        <f>IF(N(E95)=0,"",C95/E95)</f>
        <v/>
      </c>
      <c r="P95" s="35">
        <f>IF(N(E95)=0,"",F95/E95)</f>
        <v/>
      </c>
      <c r="Q95" s="32">
        <f>IF(N(F95)=0,"",C95/F95)</f>
        <v/>
      </c>
      <c r="R95" s="32">
        <f>IF(N(I95)=0,"",C95/I95)</f>
        <v/>
      </c>
      <c r="S95" s="32">
        <f>IF(N(J95)=0,"",C95/J95)</f>
        <v/>
      </c>
      <c r="T95" s="32">
        <f>IF(N(L95)=0,"",C95/L95)</f>
        <v/>
      </c>
      <c r="U95" s="36">
        <f>IF(N(I95)=0,"",J95/I95)</f>
        <v/>
      </c>
      <c r="V95" s="36">
        <f>IF(N(K95)=0,"",L95/K95)</f>
        <v/>
      </c>
      <c r="W95" s="37">
        <f>IF(N(C95)=0,"",M95/C95)</f>
        <v/>
      </c>
    </row>
    <row r="96">
      <c r="A96" s="11" t="n">
        <v>46631</v>
      </c>
      <c r="B96" t="inlineStr">
        <is>
          <t>S-EN | Corporate Montréal</t>
        </is>
      </c>
      <c r="C96" s="32">
        <f>SUMIFS('Saisie hebdo'!$E$5:$E$2000,'Saisie hebdo'!$B$5:$B$2000,$A96,'Saisie hebdo'!$C$5:$C$2000,$B96)</f>
        <v/>
      </c>
      <c r="D96" s="33">
        <f>SUMIFS('Saisie hebdo'!$F$5:$F$2000,'Saisie hebdo'!$B$5:$B$2000,$A96,'Saisie hebdo'!$C$5:$C$2000,$B96)</f>
        <v/>
      </c>
      <c r="E96" s="33">
        <f>SUMIFS('Saisie hebdo'!$G$5:$G$2000,'Saisie hebdo'!$B$5:$B$2000,$A96,'Saisie hebdo'!$C$5:$C$2000,$B96)</f>
        <v/>
      </c>
      <c r="F96" s="34">
        <f>SUMIFS('Saisie hebdo'!$H$5:$H$2000,'Saisie hebdo'!$B$5:$B$2000,$A96,'Saisie hebdo'!$C$5:$C$2000,$B96)</f>
        <v/>
      </c>
      <c r="G96" s="35">
        <f>IFERROR(AVERAGEIFS('Saisie hebdo'!$I$5:$I$2000,'Saisie hebdo'!$B$5:$B$2000,$A96,'Saisie hebdo'!$C$5:$C$2000,$B96),"")</f>
        <v/>
      </c>
      <c r="H96" s="35">
        <f>IFERROR(AVERAGEIFS('Saisie hebdo'!$J$5:$J$2000,'Saisie hebdo'!$B$5:$B$2000,$A96,'Saisie hebdo'!$C$5:$C$2000,$B96),"")</f>
        <v/>
      </c>
      <c r="I96" s="33">
        <f>SUMIFS('Saisie hebdo'!$K$5:$K$2000,'Saisie hebdo'!$B$5:$B$2000,$A96,'Saisie hebdo'!$C$5:$C$2000,$B96)</f>
        <v/>
      </c>
      <c r="J96" s="33">
        <f>SUMIFS('Saisie hebdo'!$L$5:$L$2000,'Saisie hebdo'!$B$5:$B$2000,$A96,'Saisie hebdo'!$C$5:$C$2000,$B96)</f>
        <v/>
      </c>
      <c r="K96" s="33">
        <f>SUMIFS('Saisie hebdo'!$M$5:$M$2000,'Saisie hebdo'!$B$5:$B$2000,$A96,'Saisie hebdo'!$C$5:$C$2000,$B96)</f>
        <v/>
      </c>
      <c r="L96" s="33">
        <f>SUMIFS('Saisie hebdo'!$N$5:$N$2000,'Saisie hebdo'!$B$5:$B$2000,$A96,'Saisie hebdo'!$C$5:$C$2000,$B96)</f>
        <v/>
      </c>
      <c r="M96" s="32">
        <f>SUMIFS('Saisie hebdo'!$O$5:$O$2000,'Saisie hebdo'!$B$5:$B$2000,$A96,'Saisie hebdo'!$C$5:$C$2000,$B96)</f>
        <v/>
      </c>
      <c r="N96" s="35">
        <f>IF(N(D96)=0,"",E96/D96)</f>
        <v/>
      </c>
      <c r="O96" s="32">
        <f>IF(N(E96)=0,"",C96/E96)</f>
        <v/>
      </c>
      <c r="P96" s="35">
        <f>IF(N(E96)=0,"",F96/E96)</f>
        <v/>
      </c>
      <c r="Q96" s="32">
        <f>IF(N(F96)=0,"",C96/F96)</f>
        <v/>
      </c>
      <c r="R96" s="32">
        <f>IF(N(I96)=0,"",C96/I96)</f>
        <v/>
      </c>
      <c r="S96" s="32">
        <f>IF(N(J96)=0,"",C96/J96)</f>
        <v/>
      </c>
      <c r="T96" s="32">
        <f>IF(N(L96)=0,"",C96/L96)</f>
        <v/>
      </c>
      <c r="U96" s="36">
        <f>IF(N(I96)=0,"",J96/I96)</f>
        <v/>
      </c>
      <c r="V96" s="36">
        <f>IF(N(K96)=0,"",L96/K96)</f>
        <v/>
      </c>
      <c r="W96" s="37">
        <f>IF(N(C96)=0,"",M96/C96)</f>
        <v/>
      </c>
    </row>
    <row r="97">
      <c r="A97" s="11" t="n">
        <v>46631</v>
      </c>
      <c r="B97" t="inlineStr">
        <is>
          <t>S-FR | Québec-Lévis (test)</t>
        </is>
      </c>
      <c r="C97" s="32">
        <f>SUMIFS('Saisie hebdo'!$E$5:$E$2000,'Saisie hebdo'!$B$5:$B$2000,$A97,'Saisie hebdo'!$C$5:$C$2000,$B97)</f>
        <v/>
      </c>
      <c r="D97" s="33">
        <f>SUMIFS('Saisie hebdo'!$F$5:$F$2000,'Saisie hebdo'!$B$5:$B$2000,$A97,'Saisie hebdo'!$C$5:$C$2000,$B97)</f>
        <v/>
      </c>
      <c r="E97" s="33">
        <f>SUMIFS('Saisie hebdo'!$G$5:$G$2000,'Saisie hebdo'!$B$5:$B$2000,$A97,'Saisie hebdo'!$C$5:$C$2000,$B97)</f>
        <v/>
      </c>
      <c r="F97" s="34">
        <f>SUMIFS('Saisie hebdo'!$H$5:$H$2000,'Saisie hebdo'!$B$5:$B$2000,$A97,'Saisie hebdo'!$C$5:$C$2000,$B97)</f>
        <v/>
      </c>
      <c r="G97" s="35">
        <f>IFERROR(AVERAGEIFS('Saisie hebdo'!$I$5:$I$2000,'Saisie hebdo'!$B$5:$B$2000,$A97,'Saisie hebdo'!$C$5:$C$2000,$B97),"")</f>
        <v/>
      </c>
      <c r="H97" s="35">
        <f>IFERROR(AVERAGEIFS('Saisie hebdo'!$J$5:$J$2000,'Saisie hebdo'!$B$5:$B$2000,$A97,'Saisie hebdo'!$C$5:$C$2000,$B97),"")</f>
        <v/>
      </c>
      <c r="I97" s="33">
        <f>SUMIFS('Saisie hebdo'!$K$5:$K$2000,'Saisie hebdo'!$B$5:$B$2000,$A97,'Saisie hebdo'!$C$5:$C$2000,$B97)</f>
        <v/>
      </c>
      <c r="J97" s="33">
        <f>SUMIFS('Saisie hebdo'!$L$5:$L$2000,'Saisie hebdo'!$B$5:$B$2000,$A97,'Saisie hebdo'!$C$5:$C$2000,$B97)</f>
        <v/>
      </c>
      <c r="K97" s="33">
        <f>SUMIFS('Saisie hebdo'!$M$5:$M$2000,'Saisie hebdo'!$B$5:$B$2000,$A97,'Saisie hebdo'!$C$5:$C$2000,$B97)</f>
        <v/>
      </c>
      <c r="L97" s="33">
        <f>SUMIFS('Saisie hebdo'!$N$5:$N$2000,'Saisie hebdo'!$B$5:$B$2000,$A97,'Saisie hebdo'!$C$5:$C$2000,$B97)</f>
        <v/>
      </c>
      <c r="M97" s="32">
        <f>SUMIFS('Saisie hebdo'!$O$5:$O$2000,'Saisie hebdo'!$B$5:$B$2000,$A97,'Saisie hebdo'!$C$5:$C$2000,$B97)</f>
        <v/>
      </c>
      <c r="N97" s="35">
        <f>IF(N(D97)=0,"",E97/D97)</f>
        <v/>
      </c>
      <c r="O97" s="32">
        <f>IF(N(E97)=0,"",C97/E97)</f>
        <v/>
      </c>
      <c r="P97" s="35">
        <f>IF(N(E97)=0,"",F97/E97)</f>
        <v/>
      </c>
      <c r="Q97" s="32">
        <f>IF(N(F97)=0,"",C97/F97)</f>
        <v/>
      </c>
      <c r="R97" s="32">
        <f>IF(N(I97)=0,"",C97/I97)</f>
        <v/>
      </c>
      <c r="S97" s="32">
        <f>IF(N(J97)=0,"",C97/J97)</f>
        <v/>
      </c>
      <c r="T97" s="32">
        <f>IF(N(L97)=0,"",C97/L97)</f>
        <v/>
      </c>
      <c r="U97" s="36">
        <f>IF(N(I97)=0,"",J97/I97)</f>
        <v/>
      </c>
      <c r="V97" s="36">
        <f>IF(N(K97)=0,"",L97/K97)</f>
        <v/>
      </c>
      <c r="W97" s="37">
        <f>IF(N(C97)=0,"",M97/C97)</f>
        <v/>
      </c>
    </row>
    <row r="98">
      <c r="A98" s="11" t="n">
        <v>46631</v>
      </c>
      <c r="B98" t="inlineStr">
        <is>
          <t>Demand Gen</t>
        </is>
      </c>
      <c r="C98" s="32">
        <f>SUMIFS('Saisie hebdo'!$E$5:$E$2000,'Saisie hebdo'!$B$5:$B$2000,$A98,'Saisie hebdo'!$C$5:$C$2000,$B98)</f>
        <v/>
      </c>
      <c r="D98" s="33">
        <f>SUMIFS('Saisie hebdo'!$F$5:$F$2000,'Saisie hebdo'!$B$5:$B$2000,$A98,'Saisie hebdo'!$C$5:$C$2000,$B98)</f>
        <v/>
      </c>
      <c r="E98" s="33">
        <f>SUMIFS('Saisie hebdo'!$G$5:$G$2000,'Saisie hebdo'!$B$5:$B$2000,$A98,'Saisie hebdo'!$C$5:$C$2000,$B98)</f>
        <v/>
      </c>
      <c r="F98" s="34">
        <f>SUMIFS('Saisie hebdo'!$H$5:$H$2000,'Saisie hebdo'!$B$5:$B$2000,$A98,'Saisie hebdo'!$C$5:$C$2000,$B98)</f>
        <v/>
      </c>
      <c r="G98" s="35">
        <f>IFERROR(AVERAGEIFS('Saisie hebdo'!$I$5:$I$2000,'Saisie hebdo'!$B$5:$B$2000,$A98,'Saisie hebdo'!$C$5:$C$2000,$B98),"")</f>
        <v/>
      </c>
      <c r="H98" s="35">
        <f>IFERROR(AVERAGEIFS('Saisie hebdo'!$J$5:$J$2000,'Saisie hebdo'!$B$5:$B$2000,$A98,'Saisie hebdo'!$C$5:$C$2000,$B98),"")</f>
        <v/>
      </c>
      <c r="I98" s="33">
        <f>SUMIFS('Saisie hebdo'!$K$5:$K$2000,'Saisie hebdo'!$B$5:$B$2000,$A98,'Saisie hebdo'!$C$5:$C$2000,$B98)</f>
        <v/>
      </c>
      <c r="J98" s="33">
        <f>SUMIFS('Saisie hebdo'!$L$5:$L$2000,'Saisie hebdo'!$B$5:$B$2000,$A98,'Saisie hebdo'!$C$5:$C$2000,$B98)</f>
        <v/>
      </c>
      <c r="K98" s="33">
        <f>SUMIFS('Saisie hebdo'!$M$5:$M$2000,'Saisie hebdo'!$B$5:$B$2000,$A98,'Saisie hebdo'!$C$5:$C$2000,$B98)</f>
        <v/>
      </c>
      <c r="L98" s="33">
        <f>SUMIFS('Saisie hebdo'!$N$5:$N$2000,'Saisie hebdo'!$B$5:$B$2000,$A98,'Saisie hebdo'!$C$5:$C$2000,$B98)</f>
        <v/>
      </c>
      <c r="M98" s="32">
        <f>SUMIFS('Saisie hebdo'!$O$5:$O$2000,'Saisie hebdo'!$B$5:$B$2000,$A98,'Saisie hebdo'!$C$5:$C$2000,$B98)</f>
        <v/>
      </c>
      <c r="N98" s="35">
        <f>IF(N(D98)=0,"",E98/D98)</f>
        <v/>
      </c>
      <c r="O98" s="32">
        <f>IF(N(E98)=0,"",C98/E98)</f>
        <v/>
      </c>
      <c r="P98" s="35">
        <f>IF(N(E98)=0,"",F98/E98)</f>
        <v/>
      </c>
      <c r="Q98" s="32">
        <f>IF(N(F98)=0,"",C98/F98)</f>
        <v/>
      </c>
      <c r="R98" s="32">
        <f>IF(N(I98)=0,"",C98/I98)</f>
        <v/>
      </c>
      <c r="S98" s="32">
        <f>IF(N(J98)=0,"",C98/J98)</f>
        <v/>
      </c>
      <c r="T98" s="32">
        <f>IF(N(L98)=0,"",C98/L98)</f>
        <v/>
      </c>
      <c r="U98" s="36">
        <f>IF(N(I98)=0,"",J98/I98)</f>
        <v/>
      </c>
      <c r="V98" s="36">
        <f>IF(N(K98)=0,"",L98/K98)</f>
        <v/>
      </c>
      <c r="W98" s="37">
        <f>IF(N(C98)=0,"",M98/C98)</f>
        <v/>
      </c>
    </row>
    <row r="99">
      <c r="A99" s="11" t="n">
        <v>46631</v>
      </c>
      <c r="B99" t="inlineStr">
        <is>
          <t>Microsoft Ads</t>
        </is>
      </c>
      <c r="C99" s="32">
        <f>SUMIFS('Saisie hebdo'!$E$5:$E$2000,'Saisie hebdo'!$B$5:$B$2000,$A99,'Saisie hebdo'!$C$5:$C$2000,$B99)</f>
        <v/>
      </c>
      <c r="D99" s="33">
        <f>SUMIFS('Saisie hebdo'!$F$5:$F$2000,'Saisie hebdo'!$B$5:$B$2000,$A99,'Saisie hebdo'!$C$5:$C$2000,$B99)</f>
        <v/>
      </c>
      <c r="E99" s="33">
        <f>SUMIFS('Saisie hebdo'!$G$5:$G$2000,'Saisie hebdo'!$B$5:$B$2000,$A99,'Saisie hebdo'!$C$5:$C$2000,$B99)</f>
        <v/>
      </c>
      <c r="F99" s="34">
        <f>SUMIFS('Saisie hebdo'!$H$5:$H$2000,'Saisie hebdo'!$B$5:$B$2000,$A99,'Saisie hebdo'!$C$5:$C$2000,$B99)</f>
        <v/>
      </c>
      <c r="G99" s="35">
        <f>IFERROR(AVERAGEIFS('Saisie hebdo'!$I$5:$I$2000,'Saisie hebdo'!$B$5:$B$2000,$A99,'Saisie hebdo'!$C$5:$C$2000,$B99),"")</f>
        <v/>
      </c>
      <c r="H99" s="35">
        <f>IFERROR(AVERAGEIFS('Saisie hebdo'!$J$5:$J$2000,'Saisie hebdo'!$B$5:$B$2000,$A99,'Saisie hebdo'!$C$5:$C$2000,$B99),"")</f>
        <v/>
      </c>
      <c r="I99" s="33">
        <f>SUMIFS('Saisie hebdo'!$K$5:$K$2000,'Saisie hebdo'!$B$5:$B$2000,$A99,'Saisie hebdo'!$C$5:$C$2000,$B99)</f>
        <v/>
      </c>
      <c r="J99" s="33">
        <f>SUMIFS('Saisie hebdo'!$L$5:$L$2000,'Saisie hebdo'!$B$5:$B$2000,$A99,'Saisie hebdo'!$C$5:$C$2000,$B99)</f>
        <v/>
      </c>
      <c r="K99" s="33">
        <f>SUMIFS('Saisie hebdo'!$M$5:$M$2000,'Saisie hebdo'!$B$5:$B$2000,$A99,'Saisie hebdo'!$C$5:$C$2000,$B99)</f>
        <v/>
      </c>
      <c r="L99" s="33">
        <f>SUMIFS('Saisie hebdo'!$N$5:$N$2000,'Saisie hebdo'!$B$5:$B$2000,$A99,'Saisie hebdo'!$C$5:$C$2000,$B99)</f>
        <v/>
      </c>
      <c r="M99" s="32">
        <f>SUMIFS('Saisie hebdo'!$O$5:$O$2000,'Saisie hebdo'!$B$5:$B$2000,$A99,'Saisie hebdo'!$C$5:$C$2000,$B99)</f>
        <v/>
      </c>
      <c r="N99" s="35">
        <f>IF(N(D99)=0,"",E99/D99)</f>
        <v/>
      </c>
      <c r="O99" s="32">
        <f>IF(N(E99)=0,"",C99/E99)</f>
        <v/>
      </c>
      <c r="P99" s="35">
        <f>IF(N(E99)=0,"",F99/E99)</f>
        <v/>
      </c>
      <c r="Q99" s="32">
        <f>IF(N(F99)=0,"",C99/F99)</f>
        <v/>
      </c>
      <c r="R99" s="32">
        <f>IF(N(I99)=0,"",C99/I99)</f>
        <v/>
      </c>
      <c r="S99" s="32">
        <f>IF(N(J99)=0,"",C99/J99)</f>
        <v/>
      </c>
      <c r="T99" s="32">
        <f>IF(N(L99)=0,"",C99/L99)</f>
        <v/>
      </c>
      <c r="U99" s="36">
        <f>IF(N(I99)=0,"",J99/I99)</f>
        <v/>
      </c>
      <c r="V99" s="36">
        <f>IF(N(K99)=0,"",L99/K99)</f>
        <v/>
      </c>
      <c r="W99" s="37">
        <f>IF(N(C99)=0,"",M99/C99)</f>
        <v/>
      </c>
    </row>
    <row r="100">
      <c r="A100" s="38" t="n">
        <v>46631</v>
      </c>
      <c r="B100" s="39" t="inlineStr">
        <is>
          <t>Total du compte</t>
        </is>
      </c>
      <c r="C100" s="40">
        <f>SUMIFS('Saisie hebdo'!$E$5:$E$2000,'Saisie hebdo'!$B$5:$B$2000,$A100)</f>
        <v/>
      </c>
      <c r="D100" s="41">
        <f>SUMIFS('Saisie hebdo'!$F$5:$F$2000,'Saisie hebdo'!$B$5:$B$2000,$A100)</f>
        <v/>
      </c>
      <c r="E100" s="41">
        <f>SUMIFS('Saisie hebdo'!$G$5:$G$2000,'Saisie hebdo'!$B$5:$B$2000,$A100)</f>
        <v/>
      </c>
      <c r="F100" s="42">
        <f>SUMIFS('Saisie hebdo'!$H$5:$H$2000,'Saisie hebdo'!$B$5:$B$2000,$A100)</f>
        <v/>
      </c>
      <c r="G100" s="43">
        <f>IFERROR(AVERAGEIFS('Saisie hebdo'!$I$5:$I$2000,'Saisie hebdo'!$B$5:$B$2000,$A100),"")</f>
        <v/>
      </c>
      <c r="H100" s="43">
        <f>IFERROR(AVERAGEIFS('Saisie hebdo'!$J$5:$J$2000,'Saisie hebdo'!$B$5:$B$2000,$A100),"")</f>
        <v/>
      </c>
      <c r="I100" s="41">
        <f>SUMIFS('Saisie hebdo'!$K$5:$K$2000,'Saisie hebdo'!$B$5:$B$2000,$A100)</f>
        <v/>
      </c>
      <c r="J100" s="41">
        <f>SUMIFS('Saisie hebdo'!$L$5:$L$2000,'Saisie hebdo'!$B$5:$B$2000,$A100)</f>
        <v/>
      </c>
      <c r="K100" s="41">
        <f>SUMIFS('Saisie hebdo'!$M$5:$M$2000,'Saisie hebdo'!$B$5:$B$2000,$A100)</f>
        <v/>
      </c>
      <c r="L100" s="41">
        <f>SUMIFS('Saisie hebdo'!$N$5:$N$2000,'Saisie hebdo'!$B$5:$B$2000,$A100)</f>
        <v/>
      </c>
      <c r="M100" s="40">
        <f>SUMIFS('Saisie hebdo'!$O$5:$O$2000,'Saisie hebdo'!$B$5:$B$2000,$A100)</f>
        <v/>
      </c>
      <c r="N100" s="43">
        <f>IF(N(D100)=0,"",E100/D100)</f>
        <v/>
      </c>
      <c r="O100" s="40">
        <f>IF(N(E100)=0,"",C100/E100)</f>
        <v/>
      </c>
      <c r="P100" s="43">
        <f>IF(N(E100)=0,"",F100/E100)</f>
        <v/>
      </c>
      <c r="Q100" s="40">
        <f>IF(N(F100)=0,"",C100/F100)</f>
        <v/>
      </c>
      <c r="R100" s="40">
        <f>IF(N(I100)=0,"",C100/I100)</f>
        <v/>
      </c>
      <c r="S100" s="40">
        <f>IF(N(J100)=0,"",C100/J100)</f>
        <v/>
      </c>
      <c r="T100" s="40">
        <f>IF(N(L100)=0,"",C100/L100)</f>
        <v/>
      </c>
      <c r="U100" s="44">
        <f>IF(N(I100)=0,"",J100/I100)</f>
        <v/>
      </c>
      <c r="V100" s="44">
        <f>IF(N(K100)=0,"",L100/K100)</f>
        <v/>
      </c>
      <c r="W100" s="45">
        <f>IF(N(C100)=0,"",M100/C100)</f>
        <v/>
      </c>
    </row>
    <row r="102">
      <c r="A102" s="1" t="inlineStr">
        <is>
          <t>Cumul octobre 2026 à septembre 2027</t>
        </is>
      </c>
    </row>
    <row r="103">
      <c r="A103" t="inlineStr">
        <is>
          <t>Cumul</t>
        </is>
      </c>
      <c r="B103" t="inlineStr">
        <is>
          <t>S-FR | Marque</t>
        </is>
      </c>
      <c r="C103" s="32">
        <f>SUMIFS('Saisie hebdo'!$E$5:$E$2000,'Saisie hebdo'!$C$5:$C$2000,$B103)</f>
        <v/>
      </c>
      <c r="D103" s="33">
        <f>SUMIFS('Saisie hebdo'!$F$5:$F$2000,'Saisie hebdo'!$C$5:$C$2000,$B103)</f>
        <v/>
      </c>
      <c r="E103" s="33">
        <f>SUMIFS('Saisie hebdo'!$G$5:$G$2000,'Saisie hebdo'!$C$5:$C$2000,$B103)</f>
        <v/>
      </c>
      <c r="F103" s="34">
        <f>SUMIFS('Saisie hebdo'!$H$5:$H$2000,'Saisie hebdo'!$C$5:$C$2000,$B103)</f>
        <v/>
      </c>
      <c r="G103" s="35">
        <f>IFERROR(AVERAGEIFS('Saisie hebdo'!$I$5:$I$2000,'Saisie hebdo'!$C$5:$C$2000,$B103),"")</f>
        <v/>
      </c>
      <c r="H103" s="35">
        <f>IFERROR(AVERAGEIFS('Saisie hebdo'!$J$5:$J$2000,'Saisie hebdo'!$C$5:$C$2000,$B103),"")</f>
        <v/>
      </c>
      <c r="I103" s="33">
        <f>SUMIFS('Saisie hebdo'!$K$5:$K$2000,'Saisie hebdo'!$C$5:$C$2000,$B103)</f>
        <v/>
      </c>
      <c r="J103" s="33">
        <f>SUMIFS('Saisie hebdo'!$L$5:$L$2000,'Saisie hebdo'!$C$5:$C$2000,$B103)</f>
        <v/>
      </c>
      <c r="K103" s="33">
        <f>SUMIFS('Saisie hebdo'!$M$5:$M$2000,'Saisie hebdo'!$C$5:$C$2000,$B103)</f>
        <v/>
      </c>
      <c r="L103" s="33">
        <f>SUMIFS('Saisie hebdo'!$N$5:$N$2000,'Saisie hebdo'!$C$5:$C$2000,$B103)</f>
        <v/>
      </c>
      <c r="M103" s="32">
        <f>SUMIFS('Saisie hebdo'!$O$5:$O$2000,'Saisie hebdo'!$C$5:$C$2000,$B103)</f>
        <v/>
      </c>
      <c r="N103" s="35">
        <f>IF(N(D103)=0,"",E103/D103)</f>
        <v/>
      </c>
      <c r="O103" s="32">
        <f>IF(N(E103)=0,"",C103/E103)</f>
        <v/>
      </c>
      <c r="P103" s="35">
        <f>IF(N(E103)=0,"",F103/E103)</f>
        <v/>
      </c>
      <c r="Q103" s="32">
        <f>IF(N(F103)=0,"",C103/F103)</f>
        <v/>
      </c>
      <c r="R103" s="32">
        <f>IF(N(I103)=0,"",C103/I103)</f>
        <v/>
      </c>
      <c r="S103" s="32">
        <f>IF(N(J103)=0,"",C103/J103)</f>
        <v/>
      </c>
      <c r="T103" s="32">
        <f>IF(N(L103)=0,"",C103/L103)</f>
        <v/>
      </c>
      <c r="U103" s="36">
        <f>IF(N(I103)=0,"",J103/I103)</f>
        <v/>
      </c>
      <c r="V103" s="36">
        <f>IF(N(K103)=0,"",L103/K103)</f>
        <v/>
      </c>
      <c r="W103" s="37">
        <f>IF(N(C103)=0,"",M103/C103)</f>
        <v/>
      </c>
    </row>
    <row r="104">
      <c r="A104" t="inlineStr">
        <is>
          <t>Cumul</t>
        </is>
      </c>
      <c r="B104" t="inlineStr">
        <is>
          <t>S-FR | Corporatif &amp; Fêtes</t>
        </is>
      </c>
      <c r="C104" s="32">
        <f>SUMIFS('Saisie hebdo'!$E$5:$E$2000,'Saisie hebdo'!$C$5:$C$2000,$B104)</f>
        <v/>
      </c>
      <c r="D104" s="33">
        <f>SUMIFS('Saisie hebdo'!$F$5:$F$2000,'Saisie hebdo'!$C$5:$C$2000,$B104)</f>
        <v/>
      </c>
      <c r="E104" s="33">
        <f>SUMIFS('Saisie hebdo'!$G$5:$G$2000,'Saisie hebdo'!$C$5:$C$2000,$B104)</f>
        <v/>
      </c>
      <c r="F104" s="34">
        <f>SUMIFS('Saisie hebdo'!$H$5:$H$2000,'Saisie hebdo'!$C$5:$C$2000,$B104)</f>
        <v/>
      </c>
      <c r="G104" s="35">
        <f>IFERROR(AVERAGEIFS('Saisie hebdo'!$I$5:$I$2000,'Saisie hebdo'!$C$5:$C$2000,$B104),"")</f>
        <v/>
      </c>
      <c r="H104" s="35">
        <f>IFERROR(AVERAGEIFS('Saisie hebdo'!$J$5:$J$2000,'Saisie hebdo'!$C$5:$C$2000,$B104),"")</f>
        <v/>
      </c>
      <c r="I104" s="33">
        <f>SUMIFS('Saisie hebdo'!$K$5:$K$2000,'Saisie hebdo'!$C$5:$C$2000,$B104)</f>
        <v/>
      </c>
      <c r="J104" s="33">
        <f>SUMIFS('Saisie hebdo'!$L$5:$L$2000,'Saisie hebdo'!$C$5:$C$2000,$B104)</f>
        <v/>
      </c>
      <c r="K104" s="33">
        <f>SUMIFS('Saisie hebdo'!$M$5:$M$2000,'Saisie hebdo'!$C$5:$C$2000,$B104)</f>
        <v/>
      </c>
      <c r="L104" s="33">
        <f>SUMIFS('Saisie hebdo'!$N$5:$N$2000,'Saisie hebdo'!$C$5:$C$2000,$B104)</f>
        <v/>
      </c>
      <c r="M104" s="32">
        <f>SUMIFS('Saisie hebdo'!$O$5:$O$2000,'Saisie hebdo'!$C$5:$C$2000,$B104)</f>
        <v/>
      </c>
      <c r="N104" s="35">
        <f>IF(N(D104)=0,"",E104/D104)</f>
        <v/>
      </c>
      <c r="O104" s="32">
        <f>IF(N(E104)=0,"",C104/E104)</f>
        <v/>
      </c>
      <c r="P104" s="35">
        <f>IF(N(E104)=0,"",F104/E104)</f>
        <v/>
      </c>
      <c r="Q104" s="32">
        <f>IF(N(F104)=0,"",C104/F104)</f>
        <v/>
      </c>
      <c r="R104" s="32">
        <f>IF(N(I104)=0,"",C104/I104)</f>
        <v/>
      </c>
      <c r="S104" s="32">
        <f>IF(N(J104)=0,"",C104/J104)</f>
        <v/>
      </c>
      <c r="T104" s="32">
        <f>IF(N(L104)=0,"",C104/L104)</f>
        <v/>
      </c>
      <c r="U104" s="36">
        <f>IF(N(I104)=0,"",J104/I104)</f>
        <v/>
      </c>
      <c r="V104" s="36">
        <f>IF(N(K104)=0,"",L104/K104)</f>
        <v/>
      </c>
      <c r="W104" s="37">
        <f>IF(N(C104)=0,"",M104/C104)</f>
        <v/>
      </c>
    </row>
    <row r="105">
      <c r="A105" t="inlineStr">
        <is>
          <t>Cumul</t>
        </is>
      </c>
      <c r="B105" t="inlineStr">
        <is>
          <t>S-FR | Événements privés</t>
        </is>
      </c>
      <c r="C105" s="32">
        <f>SUMIFS('Saisie hebdo'!$E$5:$E$2000,'Saisie hebdo'!$C$5:$C$2000,$B105)</f>
        <v/>
      </c>
      <c r="D105" s="33">
        <f>SUMIFS('Saisie hebdo'!$F$5:$F$2000,'Saisie hebdo'!$C$5:$C$2000,$B105)</f>
        <v/>
      </c>
      <c r="E105" s="33">
        <f>SUMIFS('Saisie hebdo'!$G$5:$G$2000,'Saisie hebdo'!$C$5:$C$2000,$B105)</f>
        <v/>
      </c>
      <c r="F105" s="34">
        <f>SUMIFS('Saisie hebdo'!$H$5:$H$2000,'Saisie hebdo'!$C$5:$C$2000,$B105)</f>
        <v/>
      </c>
      <c r="G105" s="35">
        <f>IFERROR(AVERAGEIFS('Saisie hebdo'!$I$5:$I$2000,'Saisie hebdo'!$C$5:$C$2000,$B105),"")</f>
        <v/>
      </c>
      <c r="H105" s="35">
        <f>IFERROR(AVERAGEIFS('Saisie hebdo'!$J$5:$J$2000,'Saisie hebdo'!$C$5:$C$2000,$B105),"")</f>
        <v/>
      </c>
      <c r="I105" s="33">
        <f>SUMIFS('Saisie hebdo'!$K$5:$K$2000,'Saisie hebdo'!$C$5:$C$2000,$B105)</f>
        <v/>
      </c>
      <c r="J105" s="33">
        <f>SUMIFS('Saisie hebdo'!$L$5:$L$2000,'Saisie hebdo'!$C$5:$C$2000,$B105)</f>
        <v/>
      </c>
      <c r="K105" s="33">
        <f>SUMIFS('Saisie hebdo'!$M$5:$M$2000,'Saisie hebdo'!$C$5:$C$2000,$B105)</f>
        <v/>
      </c>
      <c r="L105" s="33">
        <f>SUMIFS('Saisie hebdo'!$N$5:$N$2000,'Saisie hebdo'!$C$5:$C$2000,$B105)</f>
        <v/>
      </c>
      <c r="M105" s="32">
        <f>SUMIFS('Saisie hebdo'!$O$5:$O$2000,'Saisie hebdo'!$C$5:$C$2000,$B105)</f>
        <v/>
      </c>
      <c r="N105" s="35">
        <f>IF(N(D105)=0,"",E105/D105)</f>
        <v/>
      </c>
      <c r="O105" s="32">
        <f>IF(N(E105)=0,"",C105/E105)</f>
        <v/>
      </c>
      <c r="P105" s="35">
        <f>IF(N(E105)=0,"",F105/E105)</f>
        <v/>
      </c>
      <c r="Q105" s="32">
        <f>IF(N(F105)=0,"",C105/F105)</f>
        <v/>
      </c>
      <c r="R105" s="32">
        <f>IF(N(I105)=0,"",C105/I105)</f>
        <v/>
      </c>
      <c r="S105" s="32">
        <f>IF(N(J105)=0,"",C105/J105)</f>
        <v/>
      </c>
      <c r="T105" s="32">
        <f>IF(N(L105)=0,"",C105/L105)</f>
        <v/>
      </c>
      <c r="U105" s="36">
        <f>IF(N(I105)=0,"",J105/I105)</f>
        <v/>
      </c>
      <c r="V105" s="36">
        <f>IF(N(K105)=0,"",L105/K105)</f>
        <v/>
      </c>
      <c r="W105" s="37">
        <f>IF(N(C105)=0,"",M105/C105)</f>
        <v/>
      </c>
    </row>
    <row r="106">
      <c r="A106" t="inlineStr">
        <is>
          <t>Cumul</t>
        </is>
      </c>
      <c r="B106" t="inlineStr">
        <is>
          <t>S-EN | Corporate Montréal</t>
        </is>
      </c>
      <c r="C106" s="32">
        <f>SUMIFS('Saisie hebdo'!$E$5:$E$2000,'Saisie hebdo'!$C$5:$C$2000,$B106)</f>
        <v/>
      </c>
      <c r="D106" s="33">
        <f>SUMIFS('Saisie hebdo'!$F$5:$F$2000,'Saisie hebdo'!$C$5:$C$2000,$B106)</f>
        <v/>
      </c>
      <c r="E106" s="33">
        <f>SUMIFS('Saisie hebdo'!$G$5:$G$2000,'Saisie hebdo'!$C$5:$C$2000,$B106)</f>
        <v/>
      </c>
      <c r="F106" s="34">
        <f>SUMIFS('Saisie hebdo'!$H$5:$H$2000,'Saisie hebdo'!$C$5:$C$2000,$B106)</f>
        <v/>
      </c>
      <c r="G106" s="35">
        <f>IFERROR(AVERAGEIFS('Saisie hebdo'!$I$5:$I$2000,'Saisie hebdo'!$C$5:$C$2000,$B106),"")</f>
        <v/>
      </c>
      <c r="H106" s="35">
        <f>IFERROR(AVERAGEIFS('Saisie hebdo'!$J$5:$J$2000,'Saisie hebdo'!$C$5:$C$2000,$B106),"")</f>
        <v/>
      </c>
      <c r="I106" s="33">
        <f>SUMIFS('Saisie hebdo'!$K$5:$K$2000,'Saisie hebdo'!$C$5:$C$2000,$B106)</f>
        <v/>
      </c>
      <c r="J106" s="33">
        <f>SUMIFS('Saisie hebdo'!$L$5:$L$2000,'Saisie hebdo'!$C$5:$C$2000,$B106)</f>
        <v/>
      </c>
      <c r="K106" s="33">
        <f>SUMIFS('Saisie hebdo'!$M$5:$M$2000,'Saisie hebdo'!$C$5:$C$2000,$B106)</f>
        <v/>
      </c>
      <c r="L106" s="33">
        <f>SUMIFS('Saisie hebdo'!$N$5:$N$2000,'Saisie hebdo'!$C$5:$C$2000,$B106)</f>
        <v/>
      </c>
      <c r="M106" s="32">
        <f>SUMIFS('Saisie hebdo'!$O$5:$O$2000,'Saisie hebdo'!$C$5:$C$2000,$B106)</f>
        <v/>
      </c>
      <c r="N106" s="35">
        <f>IF(N(D106)=0,"",E106/D106)</f>
        <v/>
      </c>
      <c r="O106" s="32">
        <f>IF(N(E106)=0,"",C106/E106)</f>
        <v/>
      </c>
      <c r="P106" s="35">
        <f>IF(N(E106)=0,"",F106/E106)</f>
        <v/>
      </c>
      <c r="Q106" s="32">
        <f>IF(N(F106)=0,"",C106/F106)</f>
        <v/>
      </c>
      <c r="R106" s="32">
        <f>IF(N(I106)=0,"",C106/I106)</f>
        <v/>
      </c>
      <c r="S106" s="32">
        <f>IF(N(J106)=0,"",C106/J106)</f>
        <v/>
      </c>
      <c r="T106" s="32">
        <f>IF(N(L106)=0,"",C106/L106)</f>
        <v/>
      </c>
      <c r="U106" s="36">
        <f>IF(N(I106)=0,"",J106/I106)</f>
        <v/>
      </c>
      <c r="V106" s="36">
        <f>IF(N(K106)=0,"",L106/K106)</f>
        <v/>
      </c>
      <c r="W106" s="37">
        <f>IF(N(C106)=0,"",M106/C106)</f>
        <v/>
      </c>
    </row>
    <row r="107">
      <c r="A107" t="inlineStr">
        <is>
          <t>Cumul</t>
        </is>
      </c>
      <c r="B107" t="inlineStr">
        <is>
          <t>S-FR | Québec-Lévis (test)</t>
        </is>
      </c>
      <c r="C107" s="32">
        <f>SUMIFS('Saisie hebdo'!$E$5:$E$2000,'Saisie hebdo'!$C$5:$C$2000,$B107)</f>
        <v/>
      </c>
      <c r="D107" s="33">
        <f>SUMIFS('Saisie hebdo'!$F$5:$F$2000,'Saisie hebdo'!$C$5:$C$2000,$B107)</f>
        <v/>
      </c>
      <c r="E107" s="33">
        <f>SUMIFS('Saisie hebdo'!$G$5:$G$2000,'Saisie hebdo'!$C$5:$C$2000,$B107)</f>
        <v/>
      </c>
      <c r="F107" s="34">
        <f>SUMIFS('Saisie hebdo'!$H$5:$H$2000,'Saisie hebdo'!$C$5:$C$2000,$B107)</f>
        <v/>
      </c>
      <c r="G107" s="35">
        <f>IFERROR(AVERAGEIFS('Saisie hebdo'!$I$5:$I$2000,'Saisie hebdo'!$C$5:$C$2000,$B107),"")</f>
        <v/>
      </c>
      <c r="H107" s="35">
        <f>IFERROR(AVERAGEIFS('Saisie hebdo'!$J$5:$J$2000,'Saisie hebdo'!$C$5:$C$2000,$B107),"")</f>
        <v/>
      </c>
      <c r="I107" s="33">
        <f>SUMIFS('Saisie hebdo'!$K$5:$K$2000,'Saisie hebdo'!$C$5:$C$2000,$B107)</f>
        <v/>
      </c>
      <c r="J107" s="33">
        <f>SUMIFS('Saisie hebdo'!$L$5:$L$2000,'Saisie hebdo'!$C$5:$C$2000,$B107)</f>
        <v/>
      </c>
      <c r="K107" s="33">
        <f>SUMIFS('Saisie hebdo'!$M$5:$M$2000,'Saisie hebdo'!$C$5:$C$2000,$B107)</f>
        <v/>
      </c>
      <c r="L107" s="33">
        <f>SUMIFS('Saisie hebdo'!$N$5:$N$2000,'Saisie hebdo'!$C$5:$C$2000,$B107)</f>
        <v/>
      </c>
      <c r="M107" s="32">
        <f>SUMIFS('Saisie hebdo'!$O$5:$O$2000,'Saisie hebdo'!$C$5:$C$2000,$B107)</f>
        <v/>
      </c>
      <c r="N107" s="35">
        <f>IF(N(D107)=0,"",E107/D107)</f>
        <v/>
      </c>
      <c r="O107" s="32">
        <f>IF(N(E107)=0,"",C107/E107)</f>
        <v/>
      </c>
      <c r="P107" s="35">
        <f>IF(N(E107)=0,"",F107/E107)</f>
        <v/>
      </c>
      <c r="Q107" s="32">
        <f>IF(N(F107)=0,"",C107/F107)</f>
        <v/>
      </c>
      <c r="R107" s="32">
        <f>IF(N(I107)=0,"",C107/I107)</f>
        <v/>
      </c>
      <c r="S107" s="32">
        <f>IF(N(J107)=0,"",C107/J107)</f>
        <v/>
      </c>
      <c r="T107" s="32">
        <f>IF(N(L107)=0,"",C107/L107)</f>
        <v/>
      </c>
      <c r="U107" s="36">
        <f>IF(N(I107)=0,"",J107/I107)</f>
        <v/>
      </c>
      <c r="V107" s="36">
        <f>IF(N(K107)=0,"",L107/K107)</f>
        <v/>
      </c>
      <c r="W107" s="37">
        <f>IF(N(C107)=0,"",M107/C107)</f>
        <v/>
      </c>
    </row>
    <row r="108">
      <c r="A108" t="inlineStr">
        <is>
          <t>Cumul</t>
        </is>
      </c>
      <c r="B108" t="inlineStr">
        <is>
          <t>Demand Gen</t>
        </is>
      </c>
      <c r="C108" s="32">
        <f>SUMIFS('Saisie hebdo'!$E$5:$E$2000,'Saisie hebdo'!$C$5:$C$2000,$B108)</f>
        <v/>
      </c>
      <c r="D108" s="33">
        <f>SUMIFS('Saisie hebdo'!$F$5:$F$2000,'Saisie hebdo'!$C$5:$C$2000,$B108)</f>
        <v/>
      </c>
      <c r="E108" s="33">
        <f>SUMIFS('Saisie hebdo'!$G$5:$G$2000,'Saisie hebdo'!$C$5:$C$2000,$B108)</f>
        <v/>
      </c>
      <c r="F108" s="34">
        <f>SUMIFS('Saisie hebdo'!$H$5:$H$2000,'Saisie hebdo'!$C$5:$C$2000,$B108)</f>
        <v/>
      </c>
      <c r="G108" s="35">
        <f>IFERROR(AVERAGEIFS('Saisie hebdo'!$I$5:$I$2000,'Saisie hebdo'!$C$5:$C$2000,$B108),"")</f>
        <v/>
      </c>
      <c r="H108" s="35">
        <f>IFERROR(AVERAGEIFS('Saisie hebdo'!$J$5:$J$2000,'Saisie hebdo'!$C$5:$C$2000,$B108),"")</f>
        <v/>
      </c>
      <c r="I108" s="33">
        <f>SUMIFS('Saisie hebdo'!$K$5:$K$2000,'Saisie hebdo'!$C$5:$C$2000,$B108)</f>
        <v/>
      </c>
      <c r="J108" s="33">
        <f>SUMIFS('Saisie hebdo'!$L$5:$L$2000,'Saisie hebdo'!$C$5:$C$2000,$B108)</f>
        <v/>
      </c>
      <c r="K108" s="33">
        <f>SUMIFS('Saisie hebdo'!$M$5:$M$2000,'Saisie hebdo'!$C$5:$C$2000,$B108)</f>
        <v/>
      </c>
      <c r="L108" s="33">
        <f>SUMIFS('Saisie hebdo'!$N$5:$N$2000,'Saisie hebdo'!$C$5:$C$2000,$B108)</f>
        <v/>
      </c>
      <c r="M108" s="32">
        <f>SUMIFS('Saisie hebdo'!$O$5:$O$2000,'Saisie hebdo'!$C$5:$C$2000,$B108)</f>
        <v/>
      </c>
      <c r="N108" s="35">
        <f>IF(N(D108)=0,"",E108/D108)</f>
        <v/>
      </c>
      <c r="O108" s="32">
        <f>IF(N(E108)=0,"",C108/E108)</f>
        <v/>
      </c>
      <c r="P108" s="35">
        <f>IF(N(E108)=0,"",F108/E108)</f>
        <v/>
      </c>
      <c r="Q108" s="32">
        <f>IF(N(F108)=0,"",C108/F108)</f>
        <v/>
      </c>
      <c r="R108" s="32">
        <f>IF(N(I108)=0,"",C108/I108)</f>
        <v/>
      </c>
      <c r="S108" s="32">
        <f>IF(N(J108)=0,"",C108/J108)</f>
        <v/>
      </c>
      <c r="T108" s="32">
        <f>IF(N(L108)=0,"",C108/L108)</f>
        <v/>
      </c>
      <c r="U108" s="36">
        <f>IF(N(I108)=0,"",J108/I108)</f>
        <v/>
      </c>
      <c r="V108" s="36">
        <f>IF(N(K108)=0,"",L108/K108)</f>
        <v/>
      </c>
      <c r="W108" s="37">
        <f>IF(N(C108)=0,"",M108/C108)</f>
        <v/>
      </c>
    </row>
    <row r="109">
      <c r="A109" t="inlineStr">
        <is>
          <t>Cumul</t>
        </is>
      </c>
      <c r="B109" t="inlineStr">
        <is>
          <t>Microsoft Ads</t>
        </is>
      </c>
      <c r="C109" s="32">
        <f>SUMIFS('Saisie hebdo'!$E$5:$E$2000,'Saisie hebdo'!$C$5:$C$2000,$B109)</f>
        <v/>
      </c>
      <c r="D109" s="33">
        <f>SUMIFS('Saisie hebdo'!$F$5:$F$2000,'Saisie hebdo'!$C$5:$C$2000,$B109)</f>
        <v/>
      </c>
      <c r="E109" s="33">
        <f>SUMIFS('Saisie hebdo'!$G$5:$G$2000,'Saisie hebdo'!$C$5:$C$2000,$B109)</f>
        <v/>
      </c>
      <c r="F109" s="34">
        <f>SUMIFS('Saisie hebdo'!$H$5:$H$2000,'Saisie hebdo'!$C$5:$C$2000,$B109)</f>
        <v/>
      </c>
      <c r="G109" s="35">
        <f>IFERROR(AVERAGEIFS('Saisie hebdo'!$I$5:$I$2000,'Saisie hebdo'!$C$5:$C$2000,$B109),"")</f>
        <v/>
      </c>
      <c r="H109" s="35">
        <f>IFERROR(AVERAGEIFS('Saisie hebdo'!$J$5:$J$2000,'Saisie hebdo'!$C$5:$C$2000,$B109),"")</f>
        <v/>
      </c>
      <c r="I109" s="33">
        <f>SUMIFS('Saisie hebdo'!$K$5:$K$2000,'Saisie hebdo'!$C$5:$C$2000,$B109)</f>
        <v/>
      </c>
      <c r="J109" s="33">
        <f>SUMIFS('Saisie hebdo'!$L$5:$L$2000,'Saisie hebdo'!$C$5:$C$2000,$B109)</f>
        <v/>
      </c>
      <c r="K109" s="33">
        <f>SUMIFS('Saisie hebdo'!$M$5:$M$2000,'Saisie hebdo'!$C$5:$C$2000,$B109)</f>
        <v/>
      </c>
      <c r="L109" s="33">
        <f>SUMIFS('Saisie hebdo'!$N$5:$N$2000,'Saisie hebdo'!$C$5:$C$2000,$B109)</f>
        <v/>
      </c>
      <c r="M109" s="32">
        <f>SUMIFS('Saisie hebdo'!$O$5:$O$2000,'Saisie hebdo'!$C$5:$C$2000,$B109)</f>
        <v/>
      </c>
      <c r="N109" s="35">
        <f>IF(N(D109)=0,"",E109/D109)</f>
        <v/>
      </c>
      <c r="O109" s="32">
        <f>IF(N(E109)=0,"",C109/E109)</f>
        <v/>
      </c>
      <c r="P109" s="35">
        <f>IF(N(E109)=0,"",F109/E109)</f>
        <v/>
      </c>
      <c r="Q109" s="32">
        <f>IF(N(F109)=0,"",C109/F109)</f>
        <v/>
      </c>
      <c r="R109" s="32">
        <f>IF(N(I109)=0,"",C109/I109)</f>
        <v/>
      </c>
      <c r="S109" s="32">
        <f>IF(N(J109)=0,"",C109/J109)</f>
        <v/>
      </c>
      <c r="T109" s="32">
        <f>IF(N(L109)=0,"",C109/L109)</f>
        <v/>
      </c>
      <c r="U109" s="36">
        <f>IF(N(I109)=0,"",J109/I109)</f>
        <v/>
      </c>
      <c r="V109" s="36">
        <f>IF(N(K109)=0,"",L109/K109)</f>
        <v/>
      </c>
      <c r="W109" s="37">
        <f>IF(N(C109)=0,"",M109/C109)</f>
        <v/>
      </c>
    </row>
    <row r="110">
      <c r="A110" s="39" t="inlineStr">
        <is>
          <t>Cumul</t>
        </is>
      </c>
      <c r="B110" s="39" t="inlineStr">
        <is>
          <t>Total du compte</t>
        </is>
      </c>
      <c r="C110" s="40">
        <f>SUM('Saisie hebdo'!$E$5:$E$2000)</f>
        <v/>
      </c>
      <c r="D110" s="41">
        <f>SUM('Saisie hebdo'!$F$5:$F$2000)</f>
        <v/>
      </c>
      <c r="E110" s="41">
        <f>SUM('Saisie hebdo'!$G$5:$G$2000)</f>
        <v/>
      </c>
      <c r="F110" s="42">
        <f>SUM('Saisie hebdo'!$H$5:$H$2000)</f>
        <v/>
      </c>
      <c r="G110" s="43">
        <f>IFERROR(AVERAGE('Saisie hebdo'!$I$5:$I$2000),"")</f>
        <v/>
      </c>
      <c r="H110" s="43">
        <f>IFERROR(AVERAGE('Saisie hebdo'!$J$5:$J$2000),"")</f>
        <v/>
      </c>
      <c r="I110" s="41">
        <f>SUM('Saisie hebdo'!$K$5:$K$2000)</f>
        <v/>
      </c>
      <c r="J110" s="41">
        <f>SUM('Saisie hebdo'!$L$5:$L$2000)</f>
        <v/>
      </c>
      <c r="K110" s="41">
        <f>SUM('Saisie hebdo'!$M$5:$M$2000)</f>
        <v/>
      </c>
      <c r="L110" s="41">
        <f>SUM('Saisie hebdo'!$N$5:$N$2000)</f>
        <v/>
      </c>
      <c r="M110" s="40">
        <f>SUM('Saisie hebdo'!$O$5:$O$2000)</f>
        <v/>
      </c>
      <c r="N110" s="43">
        <f>IF(N(D110)=0,"",E110/D110)</f>
        <v/>
      </c>
      <c r="O110" s="40">
        <f>IF(N(E110)=0,"",C110/E110)</f>
        <v/>
      </c>
      <c r="P110" s="43">
        <f>IF(N(E110)=0,"",F110/E110)</f>
        <v/>
      </c>
      <c r="Q110" s="40">
        <f>IF(N(F110)=0,"",C110/F110)</f>
        <v/>
      </c>
      <c r="R110" s="40">
        <f>IF(N(I110)=0,"",C110/I110)</f>
        <v/>
      </c>
      <c r="S110" s="40">
        <f>IF(N(J110)=0,"",C110/J110)</f>
        <v/>
      </c>
      <c r="T110" s="40">
        <f>IF(N(L110)=0,"",C110/L110)</f>
        <v/>
      </c>
      <c r="U110" s="44">
        <f>IF(N(I110)=0,"",J110/I110)</f>
        <v/>
      </c>
      <c r="V110" s="44">
        <f>IF(N(K110)=0,"",L110/K110)</f>
        <v/>
      </c>
      <c r="W110" s="45">
        <f>IF(N(C110)=0,"",M110/C110)</f>
        <v/>
      </c>
    </row>
  </sheetData>
  <autoFilter ref="A4:W100"/>
  <conditionalFormatting sqref="R5:R110">
    <cfRule type="expression" priority="1" dxfId="0">
      <formula>AND(ISNUMBER(R5),R5&gt;Plafond_CPL)</formula>
    </cfRule>
  </conditionalFormatting>
  <conditionalFormatting sqref="S5:S110">
    <cfRule type="expression" priority="2" dxfId="0">
      <formula>AND(ISNUMBER(S5),S5&gt;S_CoupeCPLQ)</formula>
    </cfRule>
  </conditionalFormatting>
  <conditionalFormatting sqref="W5:W110">
    <cfRule type="expression" priority="3" dxfId="0">
      <formula>AND(ISNUMBER(W5),W5&lt;ROAS_point_mort)</formula>
    </cfRule>
    <cfRule type="expression" priority="4" dxfId="1">
      <formula>AND(ISNUMBER(W5),W5&lt;ROAS_min)</formula>
    </cfRule>
    <cfRule type="expression" priority="5" dxfId="2">
      <formula>AND(ISNUMBER(W5),W5&gt;=ROAS_min)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2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Règles de décision — statut automatique</t>
        </is>
      </c>
    </row>
    <row r="2" ht="30" customHeight="1">
      <c r="A2" s="46" t="inlineStr">
        <is>
          <t>Basé sur les 4 dernières semaines saisies (≈ 30 jours) et, pour les contrats et le ROAS, sur le cumul (les contrats arrivent avec un délai). Seuils modifiables dans « Cibles ». Rouge = ALERTE (agir aujourd'hui) · Jaune = À FAIRE · Vert = OK · Gris = pas de données / sans objet.</t>
        </is>
      </c>
    </row>
    <row r="4">
      <c r="A4" s="47" t="inlineStr">
        <is>
          <t>Dernière semaine saisie (auto)</t>
        </is>
      </c>
      <c r="B4" s="48">
        <f>SUMPRODUCT(MAX(('Saisie hebdo'!$E$5:$E$2000&lt;&gt;"")*'Saisie hebdo'!$A$5:$A$2000))</f>
        <v/>
      </c>
      <c r="C4" s="49">
        <f>IF(B4=0,"Aucune donnée saisie pour l'instant","")</f>
        <v/>
      </c>
      <c r="E4" s="50" t="inlineStr">
        <is>
          <t>Alertes (rouge)</t>
        </is>
      </c>
      <c r="F4" s="51">
        <f>COUNTIF(E24:K36,"ALERTE*")</f>
        <v/>
      </c>
    </row>
    <row r="5">
      <c r="A5" s="47" t="inlineStr">
        <is>
          <t>Forcer une autre semaine (optionnel, un lundi)</t>
        </is>
      </c>
      <c r="B5" s="52" t="n"/>
      <c r="E5" s="53" t="inlineStr">
        <is>
          <t>À faire (jaune)</t>
        </is>
      </c>
      <c r="F5" s="54">
        <f>COUNTIF(E24:K36,"À FAIRE*")</f>
        <v/>
      </c>
    </row>
    <row r="6">
      <c r="A6" s="47" t="inlineStr">
        <is>
          <t>Semaine de référence utilisée</t>
        </is>
      </c>
      <c r="B6" s="48">
        <f>IF(B5&lt;&gt;"",B5,B4)</f>
        <v/>
      </c>
      <c r="E6" s="55" t="inlineStr">
        <is>
          <t>OK (vert)</t>
        </is>
      </c>
      <c r="F6" s="56">
        <f>COUNTIF(E24:K36,"OK*")</f>
        <v/>
      </c>
    </row>
    <row r="7">
      <c r="A7" s="47" t="inlineStr">
        <is>
          <t>Période 4 semaines (≈ 30 jours)</t>
        </is>
      </c>
      <c r="B7" s="48">
        <f>B6-21</f>
        <v/>
      </c>
      <c r="C7" s="48">
        <f>B6+6</f>
        <v/>
      </c>
    </row>
    <row r="8">
      <c r="A8" s="47" t="inlineStr">
        <is>
          <t>Période 2 semaines (14 jours)</t>
        </is>
      </c>
      <c r="B8" s="48">
        <f>B6-7</f>
        <v/>
      </c>
      <c r="C8" s="48">
        <f>B6+6</f>
        <v/>
      </c>
    </row>
    <row r="10">
      <c r="A10" s="1" t="inlineStr">
        <is>
          <t>1. Indicateurs par campagne (calcul automatique)</t>
        </is>
      </c>
    </row>
    <row r="11" ht="60" customHeight="1">
      <c r="A11" s="9" t="inlineStr">
        <is>
          <t>Campagne</t>
        </is>
      </c>
      <c r="B11" s="9" t="inlineStr">
        <is>
          <t>Coût 4 sem.</t>
        </is>
      </c>
      <c r="C11" s="9" t="inlineStr">
        <is>
          <t>Conversions Google 4 sem.</t>
        </is>
      </c>
      <c r="D11" s="9" t="inlineStr">
        <is>
          <t>Leads 4 sem.</t>
        </is>
      </c>
      <c r="E11" s="9" t="inlineStr">
        <is>
          <t>Qualifiés 4 sem.</t>
        </is>
      </c>
      <c r="F11" s="9" t="inlineStr">
        <is>
          <t>Contrats 4 sem.</t>
        </is>
      </c>
      <c r="G11" s="9" t="inlineStr">
        <is>
          <t>Valeur 4 sem.</t>
        </is>
      </c>
      <c r="H11" s="9" t="inlineStr">
        <is>
          <t>Coût par lead 4 sem.</t>
        </is>
      </c>
      <c r="I11" s="9" t="inlineStr">
        <is>
          <t>% qualifiés 4 sem.</t>
        </is>
      </c>
      <c r="J11" s="9" t="inlineStr">
        <is>
          <t>Part perdue classement (moy. 4 sem.)</t>
        </is>
      </c>
      <c r="K11" s="9" t="inlineStr">
        <is>
          <t>CPA Google 4 sem.</t>
        </is>
      </c>
      <c r="L11" s="9" t="inlineStr">
        <is>
          <t>CPA cible suggéré (+10 %)</t>
        </is>
      </c>
      <c r="M11" s="9" t="inlineStr">
        <is>
          <t>Coût 2 sem.</t>
        </is>
      </c>
      <c r="N11" s="9" t="inlineStr">
        <is>
          <t>Qualifiés 2 sem.</t>
        </is>
      </c>
      <c r="O11" s="9" t="inlineStr">
        <is>
          <t>Coût par lead qualifié 2 sem.</t>
        </is>
      </c>
      <c r="P11" s="9" t="inlineStr">
        <is>
          <t>CPC moyen semaine de réf.</t>
        </is>
      </c>
      <c r="Q11" s="9" t="inlineStr">
        <is>
          <t>Coût cumulé</t>
        </is>
      </c>
      <c r="R11" s="9" t="inlineStr">
        <is>
          <t>Leads cumulés</t>
        </is>
      </c>
      <c r="S11" s="9" t="inlineStr">
        <is>
          <t>Qualifiés cumulés</t>
        </is>
      </c>
      <c r="T11" s="9" t="inlineStr">
        <is>
          <t>Contrats cumulés</t>
        </is>
      </c>
      <c r="U11" s="9" t="inlineStr">
        <is>
          <t>Valeur cumulée</t>
        </is>
      </c>
      <c r="V11" s="9" t="inlineStr">
        <is>
          <t>Coût par lead cumulé</t>
        </is>
      </c>
      <c r="W11" s="9" t="inlineStr">
        <is>
          <t>Coût par contrat cumulé</t>
        </is>
      </c>
      <c r="X11" s="9" t="inlineStr">
        <is>
          <t>ROAS cumulé</t>
        </is>
      </c>
    </row>
    <row r="12">
      <c r="A12" s="57" t="inlineStr">
        <is>
          <t>S-FR | Marque</t>
        </is>
      </c>
      <c r="B12" s="58">
        <f>SUMIFS('Saisie hebdo'!$E$5:$E$2000,'Saisie hebdo'!$C$5:$C$2000,$A12,'Saisie hebdo'!$A$5:$A$2000,"&gt;="&amp;Debut4,'Saisie hebdo'!$A$5:$A$2000,"&lt;="&amp;Sem_ref)</f>
        <v/>
      </c>
      <c r="C12" s="59">
        <f>SUMIFS('Saisie hebdo'!$H$5:$H$2000,'Saisie hebdo'!$C$5:$C$2000,$A12,'Saisie hebdo'!$A$5:$A$2000,"&gt;="&amp;Debut4,'Saisie hebdo'!$A$5:$A$2000,"&lt;="&amp;Sem_ref)</f>
        <v/>
      </c>
      <c r="D12" s="60">
        <f>SUMIFS('Saisie hebdo'!$K$5:$K$2000,'Saisie hebdo'!$C$5:$C$2000,$A12,'Saisie hebdo'!$A$5:$A$2000,"&gt;="&amp;Debut4,'Saisie hebdo'!$A$5:$A$2000,"&lt;="&amp;Sem_ref)</f>
        <v/>
      </c>
      <c r="E12" s="60">
        <f>SUMIFS('Saisie hebdo'!$L$5:$L$2000,'Saisie hebdo'!$C$5:$C$2000,$A12,'Saisie hebdo'!$A$5:$A$2000,"&gt;="&amp;Debut4,'Saisie hebdo'!$A$5:$A$2000,"&lt;="&amp;Sem_ref)</f>
        <v/>
      </c>
      <c r="F12" s="60">
        <f>SUMIFS('Saisie hebdo'!$N$5:$N$2000,'Saisie hebdo'!$C$5:$C$2000,$A12,'Saisie hebdo'!$A$5:$A$2000,"&gt;="&amp;Debut4,'Saisie hebdo'!$A$5:$A$2000,"&lt;="&amp;Sem_ref)</f>
        <v/>
      </c>
      <c r="G12" s="58">
        <f>SUMIFS('Saisie hebdo'!$O$5:$O$2000,'Saisie hebdo'!$C$5:$C$2000,$A12,'Saisie hebdo'!$A$5:$A$2000,"&gt;="&amp;Debut4,'Saisie hebdo'!$A$5:$A$2000,"&lt;="&amp;Sem_ref)</f>
        <v/>
      </c>
      <c r="H12" s="58">
        <f>IF(N(D12)=0,"",B12/D12)</f>
        <v/>
      </c>
      <c r="I12" s="61">
        <f>IF(N(D12)=0,"",E12/D12)</f>
        <v/>
      </c>
      <c r="J12" s="62">
        <f>IFERROR(AVERAGEIFS('Saisie hebdo'!$J$5:$J$2000,'Saisie hebdo'!$C$5:$C$2000,$A12,'Saisie hebdo'!$A$5:$A$2000,"&gt;="&amp;Debut4,'Saisie hebdo'!$A$5:$A$2000,"&lt;="&amp;Sem_ref),"")</f>
        <v/>
      </c>
      <c r="K12" s="58">
        <f>IF(N(C12)=0,"",B12/C12)</f>
        <v/>
      </c>
      <c r="L12" s="58">
        <f>IF(K12="","",K12*(1+S_CPAmaj))</f>
        <v/>
      </c>
      <c r="M12" s="58">
        <f>SUMIFS('Saisie hebdo'!$E$5:$E$2000,'Saisie hebdo'!$C$5:$C$2000,$A12,'Saisie hebdo'!$A$5:$A$2000,"&gt;="&amp;Debut2,'Saisie hebdo'!$A$5:$A$2000,"&lt;="&amp;Sem_ref)</f>
        <v/>
      </c>
      <c r="N12" s="60">
        <f>SUMIFS('Saisie hebdo'!$L$5:$L$2000,'Saisie hebdo'!$C$5:$C$2000,$A12,'Saisie hebdo'!$A$5:$A$2000,"&gt;="&amp;Debut2,'Saisie hebdo'!$A$5:$A$2000,"&lt;="&amp;Sem_ref)</f>
        <v/>
      </c>
      <c r="O12" s="58">
        <f>IF(N(N12)=0,"",M12/N12)</f>
        <v/>
      </c>
      <c r="P12" s="58">
        <f>IFERROR(SUMIFS('Saisie hebdo'!$E$5:$E$2000,'Saisie hebdo'!$C$5:$C$2000,$A12,'Saisie hebdo'!$A$5:$A$2000,Sem_ref)/SUMIFS('Saisie hebdo'!$G$5:$G$2000,'Saisie hebdo'!$C$5:$C$2000,$A12,'Saisie hebdo'!$A$5:$A$2000,Sem_ref),"")</f>
        <v/>
      </c>
      <c r="Q12" s="58">
        <f>SUMIFS('Saisie hebdo'!$E$5:$E$2000,'Saisie hebdo'!$C$5:$C$2000,$A12,'Saisie hebdo'!$A$5:$A$2000,"&lt;="&amp;Sem_ref)</f>
        <v/>
      </c>
      <c r="R12" s="60">
        <f>SUMIFS('Saisie hebdo'!$K$5:$K$2000,'Saisie hebdo'!$C$5:$C$2000,$A12,'Saisie hebdo'!$A$5:$A$2000,"&lt;="&amp;Sem_ref)</f>
        <v/>
      </c>
      <c r="S12" s="60">
        <f>SUMIFS('Saisie hebdo'!$L$5:$L$2000,'Saisie hebdo'!$C$5:$C$2000,$A12,'Saisie hebdo'!$A$5:$A$2000,"&lt;="&amp;Sem_ref)</f>
        <v/>
      </c>
      <c r="T12" s="60">
        <f>SUMIFS('Saisie hebdo'!$N$5:$N$2000,'Saisie hebdo'!$C$5:$C$2000,$A12,'Saisie hebdo'!$A$5:$A$2000,"&lt;="&amp;Sem_ref)</f>
        <v/>
      </c>
      <c r="U12" s="58">
        <f>SUMIFS('Saisie hebdo'!$O$5:$O$2000,'Saisie hebdo'!$C$5:$C$2000,$A12,'Saisie hebdo'!$A$5:$A$2000,"&lt;="&amp;Sem_ref)</f>
        <v/>
      </c>
      <c r="V12" s="58">
        <f>IF(N(R12)=0,"",Q12/R12)</f>
        <v/>
      </c>
      <c r="W12" s="58">
        <f>IF(N(T12)=0,"",Q12/T12)</f>
        <v/>
      </c>
      <c r="X12" s="63">
        <f>IF(N(Q12)=0,"",U12/Q12)</f>
        <v/>
      </c>
    </row>
    <row r="13">
      <c r="A13" s="57" t="inlineStr">
        <is>
          <t>S-FR | Corporatif &amp; Fêtes</t>
        </is>
      </c>
      <c r="B13" s="58">
        <f>SUMIFS('Saisie hebdo'!$E$5:$E$2000,'Saisie hebdo'!$C$5:$C$2000,$A13,'Saisie hebdo'!$A$5:$A$2000,"&gt;="&amp;Debut4,'Saisie hebdo'!$A$5:$A$2000,"&lt;="&amp;Sem_ref)</f>
        <v/>
      </c>
      <c r="C13" s="59">
        <f>SUMIFS('Saisie hebdo'!$H$5:$H$2000,'Saisie hebdo'!$C$5:$C$2000,$A13,'Saisie hebdo'!$A$5:$A$2000,"&gt;="&amp;Debut4,'Saisie hebdo'!$A$5:$A$2000,"&lt;="&amp;Sem_ref)</f>
        <v/>
      </c>
      <c r="D13" s="60">
        <f>SUMIFS('Saisie hebdo'!$K$5:$K$2000,'Saisie hebdo'!$C$5:$C$2000,$A13,'Saisie hebdo'!$A$5:$A$2000,"&gt;="&amp;Debut4,'Saisie hebdo'!$A$5:$A$2000,"&lt;="&amp;Sem_ref)</f>
        <v/>
      </c>
      <c r="E13" s="60">
        <f>SUMIFS('Saisie hebdo'!$L$5:$L$2000,'Saisie hebdo'!$C$5:$C$2000,$A13,'Saisie hebdo'!$A$5:$A$2000,"&gt;="&amp;Debut4,'Saisie hebdo'!$A$5:$A$2000,"&lt;="&amp;Sem_ref)</f>
        <v/>
      </c>
      <c r="F13" s="60">
        <f>SUMIFS('Saisie hebdo'!$N$5:$N$2000,'Saisie hebdo'!$C$5:$C$2000,$A13,'Saisie hebdo'!$A$5:$A$2000,"&gt;="&amp;Debut4,'Saisie hebdo'!$A$5:$A$2000,"&lt;="&amp;Sem_ref)</f>
        <v/>
      </c>
      <c r="G13" s="58">
        <f>SUMIFS('Saisie hebdo'!$O$5:$O$2000,'Saisie hebdo'!$C$5:$C$2000,$A13,'Saisie hebdo'!$A$5:$A$2000,"&gt;="&amp;Debut4,'Saisie hebdo'!$A$5:$A$2000,"&lt;="&amp;Sem_ref)</f>
        <v/>
      </c>
      <c r="H13" s="58">
        <f>IF(N(D13)=0,"",B13/D13)</f>
        <v/>
      </c>
      <c r="I13" s="61">
        <f>IF(N(D13)=0,"",E13/D13)</f>
        <v/>
      </c>
      <c r="J13" s="62">
        <f>IFERROR(AVERAGEIFS('Saisie hebdo'!$J$5:$J$2000,'Saisie hebdo'!$C$5:$C$2000,$A13,'Saisie hebdo'!$A$5:$A$2000,"&gt;="&amp;Debut4,'Saisie hebdo'!$A$5:$A$2000,"&lt;="&amp;Sem_ref),"")</f>
        <v/>
      </c>
      <c r="K13" s="58">
        <f>IF(N(C13)=0,"",B13/C13)</f>
        <v/>
      </c>
      <c r="L13" s="58">
        <f>IF(K13="","",K13*(1+S_CPAmaj))</f>
        <v/>
      </c>
      <c r="M13" s="58">
        <f>SUMIFS('Saisie hebdo'!$E$5:$E$2000,'Saisie hebdo'!$C$5:$C$2000,$A13,'Saisie hebdo'!$A$5:$A$2000,"&gt;="&amp;Debut2,'Saisie hebdo'!$A$5:$A$2000,"&lt;="&amp;Sem_ref)</f>
        <v/>
      </c>
      <c r="N13" s="60">
        <f>SUMIFS('Saisie hebdo'!$L$5:$L$2000,'Saisie hebdo'!$C$5:$C$2000,$A13,'Saisie hebdo'!$A$5:$A$2000,"&gt;="&amp;Debut2,'Saisie hebdo'!$A$5:$A$2000,"&lt;="&amp;Sem_ref)</f>
        <v/>
      </c>
      <c r="O13" s="58">
        <f>IF(N(N13)=0,"",M13/N13)</f>
        <v/>
      </c>
      <c r="P13" s="58">
        <f>IFERROR(SUMIFS('Saisie hebdo'!$E$5:$E$2000,'Saisie hebdo'!$C$5:$C$2000,$A13,'Saisie hebdo'!$A$5:$A$2000,Sem_ref)/SUMIFS('Saisie hebdo'!$G$5:$G$2000,'Saisie hebdo'!$C$5:$C$2000,$A13,'Saisie hebdo'!$A$5:$A$2000,Sem_ref),"")</f>
        <v/>
      </c>
      <c r="Q13" s="58">
        <f>SUMIFS('Saisie hebdo'!$E$5:$E$2000,'Saisie hebdo'!$C$5:$C$2000,$A13,'Saisie hebdo'!$A$5:$A$2000,"&lt;="&amp;Sem_ref)</f>
        <v/>
      </c>
      <c r="R13" s="60">
        <f>SUMIFS('Saisie hebdo'!$K$5:$K$2000,'Saisie hebdo'!$C$5:$C$2000,$A13,'Saisie hebdo'!$A$5:$A$2000,"&lt;="&amp;Sem_ref)</f>
        <v/>
      </c>
      <c r="S13" s="60">
        <f>SUMIFS('Saisie hebdo'!$L$5:$L$2000,'Saisie hebdo'!$C$5:$C$2000,$A13,'Saisie hebdo'!$A$5:$A$2000,"&lt;="&amp;Sem_ref)</f>
        <v/>
      </c>
      <c r="T13" s="60">
        <f>SUMIFS('Saisie hebdo'!$N$5:$N$2000,'Saisie hebdo'!$C$5:$C$2000,$A13,'Saisie hebdo'!$A$5:$A$2000,"&lt;="&amp;Sem_ref)</f>
        <v/>
      </c>
      <c r="U13" s="58">
        <f>SUMIFS('Saisie hebdo'!$O$5:$O$2000,'Saisie hebdo'!$C$5:$C$2000,$A13,'Saisie hebdo'!$A$5:$A$2000,"&lt;="&amp;Sem_ref)</f>
        <v/>
      </c>
      <c r="V13" s="58">
        <f>IF(N(R13)=0,"",Q13/R13)</f>
        <v/>
      </c>
      <c r="W13" s="58">
        <f>IF(N(T13)=0,"",Q13/T13)</f>
        <v/>
      </c>
      <c r="X13" s="63">
        <f>IF(N(Q13)=0,"",U13/Q13)</f>
        <v/>
      </c>
    </row>
    <row r="14">
      <c r="A14" s="57" t="inlineStr">
        <is>
          <t>S-FR | Événements privés</t>
        </is>
      </c>
      <c r="B14" s="58">
        <f>SUMIFS('Saisie hebdo'!$E$5:$E$2000,'Saisie hebdo'!$C$5:$C$2000,$A14,'Saisie hebdo'!$A$5:$A$2000,"&gt;="&amp;Debut4,'Saisie hebdo'!$A$5:$A$2000,"&lt;="&amp;Sem_ref)</f>
        <v/>
      </c>
      <c r="C14" s="59">
        <f>SUMIFS('Saisie hebdo'!$H$5:$H$2000,'Saisie hebdo'!$C$5:$C$2000,$A14,'Saisie hebdo'!$A$5:$A$2000,"&gt;="&amp;Debut4,'Saisie hebdo'!$A$5:$A$2000,"&lt;="&amp;Sem_ref)</f>
        <v/>
      </c>
      <c r="D14" s="60">
        <f>SUMIFS('Saisie hebdo'!$K$5:$K$2000,'Saisie hebdo'!$C$5:$C$2000,$A14,'Saisie hebdo'!$A$5:$A$2000,"&gt;="&amp;Debut4,'Saisie hebdo'!$A$5:$A$2000,"&lt;="&amp;Sem_ref)</f>
        <v/>
      </c>
      <c r="E14" s="60">
        <f>SUMIFS('Saisie hebdo'!$L$5:$L$2000,'Saisie hebdo'!$C$5:$C$2000,$A14,'Saisie hebdo'!$A$5:$A$2000,"&gt;="&amp;Debut4,'Saisie hebdo'!$A$5:$A$2000,"&lt;="&amp;Sem_ref)</f>
        <v/>
      </c>
      <c r="F14" s="60">
        <f>SUMIFS('Saisie hebdo'!$N$5:$N$2000,'Saisie hebdo'!$C$5:$C$2000,$A14,'Saisie hebdo'!$A$5:$A$2000,"&gt;="&amp;Debut4,'Saisie hebdo'!$A$5:$A$2000,"&lt;="&amp;Sem_ref)</f>
        <v/>
      </c>
      <c r="G14" s="58">
        <f>SUMIFS('Saisie hebdo'!$O$5:$O$2000,'Saisie hebdo'!$C$5:$C$2000,$A14,'Saisie hebdo'!$A$5:$A$2000,"&gt;="&amp;Debut4,'Saisie hebdo'!$A$5:$A$2000,"&lt;="&amp;Sem_ref)</f>
        <v/>
      </c>
      <c r="H14" s="58">
        <f>IF(N(D14)=0,"",B14/D14)</f>
        <v/>
      </c>
      <c r="I14" s="61">
        <f>IF(N(D14)=0,"",E14/D14)</f>
        <v/>
      </c>
      <c r="J14" s="62">
        <f>IFERROR(AVERAGEIFS('Saisie hebdo'!$J$5:$J$2000,'Saisie hebdo'!$C$5:$C$2000,$A14,'Saisie hebdo'!$A$5:$A$2000,"&gt;="&amp;Debut4,'Saisie hebdo'!$A$5:$A$2000,"&lt;="&amp;Sem_ref),"")</f>
        <v/>
      </c>
      <c r="K14" s="58">
        <f>IF(N(C14)=0,"",B14/C14)</f>
        <v/>
      </c>
      <c r="L14" s="58">
        <f>IF(K14="","",K14*(1+S_CPAmaj))</f>
        <v/>
      </c>
      <c r="M14" s="58">
        <f>SUMIFS('Saisie hebdo'!$E$5:$E$2000,'Saisie hebdo'!$C$5:$C$2000,$A14,'Saisie hebdo'!$A$5:$A$2000,"&gt;="&amp;Debut2,'Saisie hebdo'!$A$5:$A$2000,"&lt;="&amp;Sem_ref)</f>
        <v/>
      </c>
      <c r="N14" s="60">
        <f>SUMIFS('Saisie hebdo'!$L$5:$L$2000,'Saisie hebdo'!$C$5:$C$2000,$A14,'Saisie hebdo'!$A$5:$A$2000,"&gt;="&amp;Debut2,'Saisie hebdo'!$A$5:$A$2000,"&lt;="&amp;Sem_ref)</f>
        <v/>
      </c>
      <c r="O14" s="58">
        <f>IF(N(N14)=0,"",M14/N14)</f>
        <v/>
      </c>
      <c r="P14" s="58">
        <f>IFERROR(SUMIFS('Saisie hebdo'!$E$5:$E$2000,'Saisie hebdo'!$C$5:$C$2000,$A14,'Saisie hebdo'!$A$5:$A$2000,Sem_ref)/SUMIFS('Saisie hebdo'!$G$5:$G$2000,'Saisie hebdo'!$C$5:$C$2000,$A14,'Saisie hebdo'!$A$5:$A$2000,Sem_ref),"")</f>
        <v/>
      </c>
      <c r="Q14" s="58">
        <f>SUMIFS('Saisie hebdo'!$E$5:$E$2000,'Saisie hebdo'!$C$5:$C$2000,$A14,'Saisie hebdo'!$A$5:$A$2000,"&lt;="&amp;Sem_ref)</f>
        <v/>
      </c>
      <c r="R14" s="60">
        <f>SUMIFS('Saisie hebdo'!$K$5:$K$2000,'Saisie hebdo'!$C$5:$C$2000,$A14,'Saisie hebdo'!$A$5:$A$2000,"&lt;="&amp;Sem_ref)</f>
        <v/>
      </c>
      <c r="S14" s="60">
        <f>SUMIFS('Saisie hebdo'!$L$5:$L$2000,'Saisie hebdo'!$C$5:$C$2000,$A14,'Saisie hebdo'!$A$5:$A$2000,"&lt;="&amp;Sem_ref)</f>
        <v/>
      </c>
      <c r="T14" s="60">
        <f>SUMIFS('Saisie hebdo'!$N$5:$N$2000,'Saisie hebdo'!$C$5:$C$2000,$A14,'Saisie hebdo'!$A$5:$A$2000,"&lt;="&amp;Sem_ref)</f>
        <v/>
      </c>
      <c r="U14" s="58">
        <f>SUMIFS('Saisie hebdo'!$O$5:$O$2000,'Saisie hebdo'!$C$5:$C$2000,$A14,'Saisie hebdo'!$A$5:$A$2000,"&lt;="&amp;Sem_ref)</f>
        <v/>
      </c>
      <c r="V14" s="58">
        <f>IF(N(R14)=0,"",Q14/R14)</f>
        <v/>
      </c>
      <c r="W14" s="58">
        <f>IF(N(T14)=0,"",Q14/T14)</f>
        <v/>
      </c>
      <c r="X14" s="63">
        <f>IF(N(Q14)=0,"",U14/Q14)</f>
        <v/>
      </c>
    </row>
    <row r="15">
      <c r="A15" s="57" t="inlineStr">
        <is>
          <t>S-EN | Corporate Montréal</t>
        </is>
      </c>
      <c r="B15" s="58">
        <f>SUMIFS('Saisie hebdo'!$E$5:$E$2000,'Saisie hebdo'!$C$5:$C$2000,$A15,'Saisie hebdo'!$A$5:$A$2000,"&gt;="&amp;Debut4,'Saisie hebdo'!$A$5:$A$2000,"&lt;="&amp;Sem_ref)</f>
        <v/>
      </c>
      <c r="C15" s="59">
        <f>SUMIFS('Saisie hebdo'!$H$5:$H$2000,'Saisie hebdo'!$C$5:$C$2000,$A15,'Saisie hebdo'!$A$5:$A$2000,"&gt;="&amp;Debut4,'Saisie hebdo'!$A$5:$A$2000,"&lt;="&amp;Sem_ref)</f>
        <v/>
      </c>
      <c r="D15" s="60">
        <f>SUMIFS('Saisie hebdo'!$K$5:$K$2000,'Saisie hebdo'!$C$5:$C$2000,$A15,'Saisie hebdo'!$A$5:$A$2000,"&gt;="&amp;Debut4,'Saisie hebdo'!$A$5:$A$2000,"&lt;="&amp;Sem_ref)</f>
        <v/>
      </c>
      <c r="E15" s="60">
        <f>SUMIFS('Saisie hebdo'!$L$5:$L$2000,'Saisie hebdo'!$C$5:$C$2000,$A15,'Saisie hebdo'!$A$5:$A$2000,"&gt;="&amp;Debut4,'Saisie hebdo'!$A$5:$A$2000,"&lt;="&amp;Sem_ref)</f>
        <v/>
      </c>
      <c r="F15" s="60">
        <f>SUMIFS('Saisie hebdo'!$N$5:$N$2000,'Saisie hebdo'!$C$5:$C$2000,$A15,'Saisie hebdo'!$A$5:$A$2000,"&gt;="&amp;Debut4,'Saisie hebdo'!$A$5:$A$2000,"&lt;="&amp;Sem_ref)</f>
        <v/>
      </c>
      <c r="G15" s="58">
        <f>SUMIFS('Saisie hebdo'!$O$5:$O$2000,'Saisie hebdo'!$C$5:$C$2000,$A15,'Saisie hebdo'!$A$5:$A$2000,"&gt;="&amp;Debut4,'Saisie hebdo'!$A$5:$A$2000,"&lt;="&amp;Sem_ref)</f>
        <v/>
      </c>
      <c r="H15" s="58">
        <f>IF(N(D15)=0,"",B15/D15)</f>
        <v/>
      </c>
      <c r="I15" s="61">
        <f>IF(N(D15)=0,"",E15/D15)</f>
        <v/>
      </c>
      <c r="J15" s="62">
        <f>IFERROR(AVERAGEIFS('Saisie hebdo'!$J$5:$J$2000,'Saisie hebdo'!$C$5:$C$2000,$A15,'Saisie hebdo'!$A$5:$A$2000,"&gt;="&amp;Debut4,'Saisie hebdo'!$A$5:$A$2000,"&lt;="&amp;Sem_ref),"")</f>
        <v/>
      </c>
      <c r="K15" s="58">
        <f>IF(N(C15)=0,"",B15/C15)</f>
        <v/>
      </c>
      <c r="L15" s="58">
        <f>IF(K15="","",K15*(1+S_CPAmaj))</f>
        <v/>
      </c>
      <c r="M15" s="58">
        <f>SUMIFS('Saisie hebdo'!$E$5:$E$2000,'Saisie hebdo'!$C$5:$C$2000,$A15,'Saisie hebdo'!$A$5:$A$2000,"&gt;="&amp;Debut2,'Saisie hebdo'!$A$5:$A$2000,"&lt;="&amp;Sem_ref)</f>
        <v/>
      </c>
      <c r="N15" s="60">
        <f>SUMIFS('Saisie hebdo'!$L$5:$L$2000,'Saisie hebdo'!$C$5:$C$2000,$A15,'Saisie hebdo'!$A$5:$A$2000,"&gt;="&amp;Debut2,'Saisie hebdo'!$A$5:$A$2000,"&lt;="&amp;Sem_ref)</f>
        <v/>
      </c>
      <c r="O15" s="58">
        <f>IF(N(N15)=0,"",M15/N15)</f>
        <v/>
      </c>
      <c r="P15" s="58">
        <f>IFERROR(SUMIFS('Saisie hebdo'!$E$5:$E$2000,'Saisie hebdo'!$C$5:$C$2000,$A15,'Saisie hebdo'!$A$5:$A$2000,Sem_ref)/SUMIFS('Saisie hebdo'!$G$5:$G$2000,'Saisie hebdo'!$C$5:$C$2000,$A15,'Saisie hebdo'!$A$5:$A$2000,Sem_ref),"")</f>
        <v/>
      </c>
      <c r="Q15" s="58">
        <f>SUMIFS('Saisie hebdo'!$E$5:$E$2000,'Saisie hebdo'!$C$5:$C$2000,$A15,'Saisie hebdo'!$A$5:$A$2000,"&lt;="&amp;Sem_ref)</f>
        <v/>
      </c>
      <c r="R15" s="60">
        <f>SUMIFS('Saisie hebdo'!$K$5:$K$2000,'Saisie hebdo'!$C$5:$C$2000,$A15,'Saisie hebdo'!$A$5:$A$2000,"&lt;="&amp;Sem_ref)</f>
        <v/>
      </c>
      <c r="S15" s="60">
        <f>SUMIFS('Saisie hebdo'!$L$5:$L$2000,'Saisie hebdo'!$C$5:$C$2000,$A15,'Saisie hebdo'!$A$5:$A$2000,"&lt;="&amp;Sem_ref)</f>
        <v/>
      </c>
      <c r="T15" s="60">
        <f>SUMIFS('Saisie hebdo'!$N$5:$N$2000,'Saisie hebdo'!$C$5:$C$2000,$A15,'Saisie hebdo'!$A$5:$A$2000,"&lt;="&amp;Sem_ref)</f>
        <v/>
      </c>
      <c r="U15" s="58">
        <f>SUMIFS('Saisie hebdo'!$O$5:$O$2000,'Saisie hebdo'!$C$5:$C$2000,$A15,'Saisie hebdo'!$A$5:$A$2000,"&lt;="&amp;Sem_ref)</f>
        <v/>
      </c>
      <c r="V15" s="58">
        <f>IF(N(R15)=0,"",Q15/R15)</f>
        <v/>
      </c>
      <c r="W15" s="58">
        <f>IF(N(T15)=0,"",Q15/T15)</f>
        <v/>
      </c>
      <c r="X15" s="63">
        <f>IF(N(Q15)=0,"",U15/Q15)</f>
        <v/>
      </c>
    </row>
    <row r="16">
      <c r="A16" s="57" t="inlineStr">
        <is>
          <t>S-FR | Québec-Lévis (test)</t>
        </is>
      </c>
      <c r="B16" s="58">
        <f>SUMIFS('Saisie hebdo'!$E$5:$E$2000,'Saisie hebdo'!$C$5:$C$2000,$A16,'Saisie hebdo'!$A$5:$A$2000,"&gt;="&amp;Debut4,'Saisie hebdo'!$A$5:$A$2000,"&lt;="&amp;Sem_ref)</f>
        <v/>
      </c>
      <c r="C16" s="59">
        <f>SUMIFS('Saisie hebdo'!$H$5:$H$2000,'Saisie hebdo'!$C$5:$C$2000,$A16,'Saisie hebdo'!$A$5:$A$2000,"&gt;="&amp;Debut4,'Saisie hebdo'!$A$5:$A$2000,"&lt;="&amp;Sem_ref)</f>
        <v/>
      </c>
      <c r="D16" s="60">
        <f>SUMIFS('Saisie hebdo'!$K$5:$K$2000,'Saisie hebdo'!$C$5:$C$2000,$A16,'Saisie hebdo'!$A$5:$A$2000,"&gt;="&amp;Debut4,'Saisie hebdo'!$A$5:$A$2000,"&lt;="&amp;Sem_ref)</f>
        <v/>
      </c>
      <c r="E16" s="60">
        <f>SUMIFS('Saisie hebdo'!$L$5:$L$2000,'Saisie hebdo'!$C$5:$C$2000,$A16,'Saisie hebdo'!$A$5:$A$2000,"&gt;="&amp;Debut4,'Saisie hebdo'!$A$5:$A$2000,"&lt;="&amp;Sem_ref)</f>
        <v/>
      </c>
      <c r="F16" s="60">
        <f>SUMIFS('Saisie hebdo'!$N$5:$N$2000,'Saisie hebdo'!$C$5:$C$2000,$A16,'Saisie hebdo'!$A$5:$A$2000,"&gt;="&amp;Debut4,'Saisie hebdo'!$A$5:$A$2000,"&lt;="&amp;Sem_ref)</f>
        <v/>
      </c>
      <c r="G16" s="58">
        <f>SUMIFS('Saisie hebdo'!$O$5:$O$2000,'Saisie hebdo'!$C$5:$C$2000,$A16,'Saisie hebdo'!$A$5:$A$2000,"&gt;="&amp;Debut4,'Saisie hebdo'!$A$5:$A$2000,"&lt;="&amp;Sem_ref)</f>
        <v/>
      </c>
      <c r="H16" s="58">
        <f>IF(N(D16)=0,"",B16/D16)</f>
        <v/>
      </c>
      <c r="I16" s="61">
        <f>IF(N(D16)=0,"",E16/D16)</f>
        <v/>
      </c>
      <c r="J16" s="62">
        <f>IFERROR(AVERAGEIFS('Saisie hebdo'!$J$5:$J$2000,'Saisie hebdo'!$C$5:$C$2000,$A16,'Saisie hebdo'!$A$5:$A$2000,"&gt;="&amp;Debut4,'Saisie hebdo'!$A$5:$A$2000,"&lt;="&amp;Sem_ref),"")</f>
        <v/>
      </c>
      <c r="K16" s="58">
        <f>IF(N(C16)=0,"",B16/C16)</f>
        <v/>
      </c>
      <c r="L16" s="58">
        <f>IF(K16="","",K16*(1+S_CPAmaj))</f>
        <v/>
      </c>
      <c r="M16" s="58">
        <f>SUMIFS('Saisie hebdo'!$E$5:$E$2000,'Saisie hebdo'!$C$5:$C$2000,$A16,'Saisie hebdo'!$A$5:$A$2000,"&gt;="&amp;Debut2,'Saisie hebdo'!$A$5:$A$2000,"&lt;="&amp;Sem_ref)</f>
        <v/>
      </c>
      <c r="N16" s="60">
        <f>SUMIFS('Saisie hebdo'!$L$5:$L$2000,'Saisie hebdo'!$C$5:$C$2000,$A16,'Saisie hebdo'!$A$5:$A$2000,"&gt;="&amp;Debut2,'Saisie hebdo'!$A$5:$A$2000,"&lt;="&amp;Sem_ref)</f>
        <v/>
      </c>
      <c r="O16" s="58">
        <f>IF(N(N16)=0,"",M16/N16)</f>
        <v/>
      </c>
      <c r="P16" s="58">
        <f>IFERROR(SUMIFS('Saisie hebdo'!$E$5:$E$2000,'Saisie hebdo'!$C$5:$C$2000,$A16,'Saisie hebdo'!$A$5:$A$2000,Sem_ref)/SUMIFS('Saisie hebdo'!$G$5:$G$2000,'Saisie hebdo'!$C$5:$C$2000,$A16,'Saisie hebdo'!$A$5:$A$2000,Sem_ref),"")</f>
        <v/>
      </c>
      <c r="Q16" s="58">
        <f>SUMIFS('Saisie hebdo'!$E$5:$E$2000,'Saisie hebdo'!$C$5:$C$2000,$A16,'Saisie hebdo'!$A$5:$A$2000,"&lt;="&amp;Sem_ref)</f>
        <v/>
      </c>
      <c r="R16" s="60">
        <f>SUMIFS('Saisie hebdo'!$K$5:$K$2000,'Saisie hebdo'!$C$5:$C$2000,$A16,'Saisie hebdo'!$A$5:$A$2000,"&lt;="&amp;Sem_ref)</f>
        <v/>
      </c>
      <c r="S16" s="60">
        <f>SUMIFS('Saisie hebdo'!$L$5:$L$2000,'Saisie hebdo'!$C$5:$C$2000,$A16,'Saisie hebdo'!$A$5:$A$2000,"&lt;="&amp;Sem_ref)</f>
        <v/>
      </c>
      <c r="T16" s="60">
        <f>SUMIFS('Saisie hebdo'!$N$5:$N$2000,'Saisie hebdo'!$C$5:$C$2000,$A16,'Saisie hebdo'!$A$5:$A$2000,"&lt;="&amp;Sem_ref)</f>
        <v/>
      </c>
      <c r="U16" s="58">
        <f>SUMIFS('Saisie hebdo'!$O$5:$O$2000,'Saisie hebdo'!$C$5:$C$2000,$A16,'Saisie hebdo'!$A$5:$A$2000,"&lt;="&amp;Sem_ref)</f>
        <v/>
      </c>
      <c r="V16" s="58">
        <f>IF(N(R16)=0,"",Q16/R16)</f>
        <v/>
      </c>
      <c r="W16" s="58">
        <f>IF(N(T16)=0,"",Q16/T16)</f>
        <v/>
      </c>
      <c r="X16" s="63">
        <f>IF(N(Q16)=0,"",U16/Q16)</f>
        <v/>
      </c>
    </row>
    <row r="17">
      <c r="A17" s="57" t="inlineStr">
        <is>
          <t>Demand Gen</t>
        </is>
      </c>
      <c r="B17" s="58">
        <f>SUMIFS('Saisie hebdo'!$E$5:$E$2000,'Saisie hebdo'!$C$5:$C$2000,$A17,'Saisie hebdo'!$A$5:$A$2000,"&gt;="&amp;Debut4,'Saisie hebdo'!$A$5:$A$2000,"&lt;="&amp;Sem_ref)</f>
        <v/>
      </c>
      <c r="C17" s="59">
        <f>SUMIFS('Saisie hebdo'!$H$5:$H$2000,'Saisie hebdo'!$C$5:$C$2000,$A17,'Saisie hebdo'!$A$5:$A$2000,"&gt;="&amp;Debut4,'Saisie hebdo'!$A$5:$A$2000,"&lt;="&amp;Sem_ref)</f>
        <v/>
      </c>
      <c r="D17" s="60">
        <f>SUMIFS('Saisie hebdo'!$K$5:$K$2000,'Saisie hebdo'!$C$5:$C$2000,$A17,'Saisie hebdo'!$A$5:$A$2000,"&gt;="&amp;Debut4,'Saisie hebdo'!$A$5:$A$2000,"&lt;="&amp;Sem_ref)</f>
        <v/>
      </c>
      <c r="E17" s="60">
        <f>SUMIFS('Saisie hebdo'!$L$5:$L$2000,'Saisie hebdo'!$C$5:$C$2000,$A17,'Saisie hebdo'!$A$5:$A$2000,"&gt;="&amp;Debut4,'Saisie hebdo'!$A$5:$A$2000,"&lt;="&amp;Sem_ref)</f>
        <v/>
      </c>
      <c r="F17" s="60">
        <f>SUMIFS('Saisie hebdo'!$N$5:$N$2000,'Saisie hebdo'!$C$5:$C$2000,$A17,'Saisie hebdo'!$A$5:$A$2000,"&gt;="&amp;Debut4,'Saisie hebdo'!$A$5:$A$2000,"&lt;="&amp;Sem_ref)</f>
        <v/>
      </c>
      <c r="G17" s="58">
        <f>SUMIFS('Saisie hebdo'!$O$5:$O$2000,'Saisie hebdo'!$C$5:$C$2000,$A17,'Saisie hebdo'!$A$5:$A$2000,"&gt;="&amp;Debut4,'Saisie hebdo'!$A$5:$A$2000,"&lt;="&amp;Sem_ref)</f>
        <v/>
      </c>
      <c r="H17" s="58">
        <f>IF(N(D17)=0,"",B17/D17)</f>
        <v/>
      </c>
      <c r="I17" s="61">
        <f>IF(N(D17)=0,"",E17/D17)</f>
        <v/>
      </c>
      <c r="J17" s="62">
        <f>IFERROR(AVERAGEIFS('Saisie hebdo'!$J$5:$J$2000,'Saisie hebdo'!$C$5:$C$2000,$A17,'Saisie hebdo'!$A$5:$A$2000,"&gt;="&amp;Debut4,'Saisie hebdo'!$A$5:$A$2000,"&lt;="&amp;Sem_ref),"")</f>
        <v/>
      </c>
      <c r="K17" s="58">
        <f>IF(N(C17)=0,"",B17/C17)</f>
        <v/>
      </c>
      <c r="L17" s="58">
        <f>IF(K17="","",K17*(1+S_CPAmaj))</f>
        <v/>
      </c>
      <c r="M17" s="58">
        <f>SUMIFS('Saisie hebdo'!$E$5:$E$2000,'Saisie hebdo'!$C$5:$C$2000,$A17,'Saisie hebdo'!$A$5:$A$2000,"&gt;="&amp;Debut2,'Saisie hebdo'!$A$5:$A$2000,"&lt;="&amp;Sem_ref)</f>
        <v/>
      </c>
      <c r="N17" s="60">
        <f>SUMIFS('Saisie hebdo'!$L$5:$L$2000,'Saisie hebdo'!$C$5:$C$2000,$A17,'Saisie hebdo'!$A$5:$A$2000,"&gt;="&amp;Debut2,'Saisie hebdo'!$A$5:$A$2000,"&lt;="&amp;Sem_ref)</f>
        <v/>
      </c>
      <c r="O17" s="58">
        <f>IF(N(N17)=0,"",M17/N17)</f>
        <v/>
      </c>
      <c r="P17" s="58">
        <f>IFERROR(SUMIFS('Saisie hebdo'!$E$5:$E$2000,'Saisie hebdo'!$C$5:$C$2000,$A17,'Saisie hebdo'!$A$5:$A$2000,Sem_ref)/SUMIFS('Saisie hebdo'!$G$5:$G$2000,'Saisie hebdo'!$C$5:$C$2000,$A17,'Saisie hebdo'!$A$5:$A$2000,Sem_ref),"")</f>
        <v/>
      </c>
      <c r="Q17" s="58">
        <f>SUMIFS('Saisie hebdo'!$E$5:$E$2000,'Saisie hebdo'!$C$5:$C$2000,$A17,'Saisie hebdo'!$A$5:$A$2000,"&lt;="&amp;Sem_ref)</f>
        <v/>
      </c>
      <c r="R17" s="60">
        <f>SUMIFS('Saisie hebdo'!$K$5:$K$2000,'Saisie hebdo'!$C$5:$C$2000,$A17,'Saisie hebdo'!$A$5:$A$2000,"&lt;="&amp;Sem_ref)</f>
        <v/>
      </c>
      <c r="S17" s="60">
        <f>SUMIFS('Saisie hebdo'!$L$5:$L$2000,'Saisie hebdo'!$C$5:$C$2000,$A17,'Saisie hebdo'!$A$5:$A$2000,"&lt;="&amp;Sem_ref)</f>
        <v/>
      </c>
      <c r="T17" s="60">
        <f>SUMIFS('Saisie hebdo'!$N$5:$N$2000,'Saisie hebdo'!$C$5:$C$2000,$A17,'Saisie hebdo'!$A$5:$A$2000,"&lt;="&amp;Sem_ref)</f>
        <v/>
      </c>
      <c r="U17" s="58">
        <f>SUMIFS('Saisie hebdo'!$O$5:$O$2000,'Saisie hebdo'!$C$5:$C$2000,$A17,'Saisie hebdo'!$A$5:$A$2000,"&lt;="&amp;Sem_ref)</f>
        <v/>
      </c>
      <c r="V17" s="58">
        <f>IF(N(R17)=0,"",Q17/R17)</f>
        <v/>
      </c>
      <c r="W17" s="58">
        <f>IF(N(T17)=0,"",Q17/T17)</f>
        <v/>
      </c>
      <c r="X17" s="63">
        <f>IF(N(Q17)=0,"",U17/Q17)</f>
        <v/>
      </c>
    </row>
    <row r="18">
      <c r="A18" s="57" t="inlineStr">
        <is>
          <t>Microsoft Ads</t>
        </is>
      </c>
      <c r="B18" s="58">
        <f>SUMIFS('Saisie hebdo'!$E$5:$E$2000,'Saisie hebdo'!$C$5:$C$2000,$A18,'Saisie hebdo'!$A$5:$A$2000,"&gt;="&amp;Debut4,'Saisie hebdo'!$A$5:$A$2000,"&lt;="&amp;Sem_ref)</f>
        <v/>
      </c>
      <c r="C18" s="59">
        <f>SUMIFS('Saisie hebdo'!$H$5:$H$2000,'Saisie hebdo'!$C$5:$C$2000,$A18,'Saisie hebdo'!$A$5:$A$2000,"&gt;="&amp;Debut4,'Saisie hebdo'!$A$5:$A$2000,"&lt;="&amp;Sem_ref)</f>
        <v/>
      </c>
      <c r="D18" s="60">
        <f>SUMIFS('Saisie hebdo'!$K$5:$K$2000,'Saisie hebdo'!$C$5:$C$2000,$A18,'Saisie hebdo'!$A$5:$A$2000,"&gt;="&amp;Debut4,'Saisie hebdo'!$A$5:$A$2000,"&lt;="&amp;Sem_ref)</f>
        <v/>
      </c>
      <c r="E18" s="60">
        <f>SUMIFS('Saisie hebdo'!$L$5:$L$2000,'Saisie hebdo'!$C$5:$C$2000,$A18,'Saisie hebdo'!$A$5:$A$2000,"&gt;="&amp;Debut4,'Saisie hebdo'!$A$5:$A$2000,"&lt;="&amp;Sem_ref)</f>
        <v/>
      </c>
      <c r="F18" s="60">
        <f>SUMIFS('Saisie hebdo'!$N$5:$N$2000,'Saisie hebdo'!$C$5:$C$2000,$A18,'Saisie hebdo'!$A$5:$A$2000,"&gt;="&amp;Debut4,'Saisie hebdo'!$A$5:$A$2000,"&lt;="&amp;Sem_ref)</f>
        <v/>
      </c>
      <c r="G18" s="58">
        <f>SUMIFS('Saisie hebdo'!$O$5:$O$2000,'Saisie hebdo'!$C$5:$C$2000,$A18,'Saisie hebdo'!$A$5:$A$2000,"&gt;="&amp;Debut4,'Saisie hebdo'!$A$5:$A$2000,"&lt;="&amp;Sem_ref)</f>
        <v/>
      </c>
      <c r="H18" s="58">
        <f>IF(N(D18)=0,"",B18/D18)</f>
        <v/>
      </c>
      <c r="I18" s="61">
        <f>IF(N(D18)=0,"",E18/D18)</f>
        <v/>
      </c>
      <c r="J18" s="62">
        <f>IFERROR(AVERAGEIFS('Saisie hebdo'!$J$5:$J$2000,'Saisie hebdo'!$C$5:$C$2000,$A18,'Saisie hebdo'!$A$5:$A$2000,"&gt;="&amp;Debut4,'Saisie hebdo'!$A$5:$A$2000,"&lt;="&amp;Sem_ref),"")</f>
        <v/>
      </c>
      <c r="K18" s="58">
        <f>IF(N(C18)=0,"",B18/C18)</f>
        <v/>
      </c>
      <c r="L18" s="58">
        <f>IF(K18="","",K18*(1+S_CPAmaj))</f>
        <v/>
      </c>
      <c r="M18" s="58">
        <f>SUMIFS('Saisie hebdo'!$E$5:$E$2000,'Saisie hebdo'!$C$5:$C$2000,$A18,'Saisie hebdo'!$A$5:$A$2000,"&gt;="&amp;Debut2,'Saisie hebdo'!$A$5:$A$2000,"&lt;="&amp;Sem_ref)</f>
        <v/>
      </c>
      <c r="N18" s="60">
        <f>SUMIFS('Saisie hebdo'!$L$5:$L$2000,'Saisie hebdo'!$C$5:$C$2000,$A18,'Saisie hebdo'!$A$5:$A$2000,"&gt;="&amp;Debut2,'Saisie hebdo'!$A$5:$A$2000,"&lt;="&amp;Sem_ref)</f>
        <v/>
      </c>
      <c r="O18" s="58">
        <f>IF(N(N18)=0,"",M18/N18)</f>
        <v/>
      </c>
      <c r="P18" s="58">
        <f>IFERROR(SUMIFS('Saisie hebdo'!$E$5:$E$2000,'Saisie hebdo'!$C$5:$C$2000,$A18,'Saisie hebdo'!$A$5:$A$2000,Sem_ref)/SUMIFS('Saisie hebdo'!$G$5:$G$2000,'Saisie hebdo'!$C$5:$C$2000,$A18,'Saisie hebdo'!$A$5:$A$2000,Sem_ref),"")</f>
        <v/>
      </c>
      <c r="Q18" s="58">
        <f>SUMIFS('Saisie hebdo'!$E$5:$E$2000,'Saisie hebdo'!$C$5:$C$2000,$A18,'Saisie hebdo'!$A$5:$A$2000,"&lt;="&amp;Sem_ref)</f>
        <v/>
      </c>
      <c r="R18" s="60">
        <f>SUMIFS('Saisie hebdo'!$K$5:$K$2000,'Saisie hebdo'!$C$5:$C$2000,$A18,'Saisie hebdo'!$A$5:$A$2000,"&lt;="&amp;Sem_ref)</f>
        <v/>
      </c>
      <c r="S18" s="60">
        <f>SUMIFS('Saisie hebdo'!$L$5:$L$2000,'Saisie hebdo'!$C$5:$C$2000,$A18,'Saisie hebdo'!$A$5:$A$2000,"&lt;="&amp;Sem_ref)</f>
        <v/>
      </c>
      <c r="T18" s="60">
        <f>SUMIFS('Saisie hebdo'!$N$5:$N$2000,'Saisie hebdo'!$C$5:$C$2000,$A18,'Saisie hebdo'!$A$5:$A$2000,"&lt;="&amp;Sem_ref)</f>
        <v/>
      </c>
      <c r="U18" s="58">
        <f>SUMIFS('Saisie hebdo'!$O$5:$O$2000,'Saisie hebdo'!$C$5:$C$2000,$A18,'Saisie hebdo'!$A$5:$A$2000,"&lt;="&amp;Sem_ref)</f>
        <v/>
      </c>
      <c r="V18" s="58">
        <f>IF(N(R18)=0,"",Q18/R18)</f>
        <v/>
      </c>
      <c r="W18" s="58">
        <f>IF(N(T18)=0,"",Q18/T18)</f>
        <v/>
      </c>
      <c r="X18" s="63">
        <f>IF(N(Q18)=0,"",U18/Q18)</f>
        <v/>
      </c>
    </row>
    <row r="19">
      <c r="A19" s="64" t="inlineStr">
        <is>
          <t>Total Google Search (5 campagnes)</t>
        </is>
      </c>
      <c r="B19" s="65">
        <f>SUM(B12:B16)</f>
        <v/>
      </c>
      <c r="C19" s="66">
        <f>SUM(C12:C16)</f>
        <v/>
      </c>
      <c r="D19" s="67">
        <f>SUM(D12:D16)</f>
        <v/>
      </c>
      <c r="E19" s="67">
        <f>SUM(E12:E16)</f>
        <v/>
      </c>
      <c r="F19" s="67">
        <f>SUM(F12:F16)</f>
        <v/>
      </c>
      <c r="G19" s="65">
        <f>SUM(G12:G16)</f>
        <v/>
      </c>
      <c r="H19" s="65">
        <f>IF(N(D19)=0,"",B19/D19)</f>
        <v/>
      </c>
      <c r="I19" s="68">
        <f>IF(N(D19)=0,"",E19/D19)</f>
        <v/>
      </c>
      <c r="J19" s="69">
        <f>IFERROR(AVERAGE(J12:J16),"")</f>
        <v/>
      </c>
      <c r="K19" s="65">
        <f>IF(N(C19)=0,"",B19/C19)</f>
        <v/>
      </c>
      <c r="L19" s="65">
        <f>IF(K19="","",K19*(1+S_CPAmaj))</f>
        <v/>
      </c>
      <c r="M19" s="65">
        <f>SUM(M12:M16)</f>
        <v/>
      </c>
      <c r="N19" s="67">
        <f>SUM(N12:N16)</f>
        <v/>
      </c>
      <c r="O19" s="65">
        <f>IF(N(N19)=0,"",M19/N19)</f>
        <v/>
      </c>
      <c r="P19" s="65" t="n"/>
      <c r="Q19" s="65">
        <f>SUM(Q12:Q16)</f>
        <v/>
      </c>
      <c r="R19" s="67">
        <f>SUM(R12:R16)</f>
        <v/>
      </c>
      <c r="S19" s="67">
        <f>SUM(S12:S16)</f>
        <v/>
      </c>
      <c r="T19" s="67">
        <f>SUM(T12:T16)</f>
        <v/>
      </c>
      <c r="U19" s="65">
        <f>SUM(U12:U16)</f>
        <v/>
      </c>
      <c r="V19" s="65">
        <f>IF(N(R19)=0,"",Q19/R19)</f>
        <v/>
      </c>
      <c r="W19" s="65">
        <f>IF(N(T19)=0,"",Q19/T19)</f>
        <v/>
      </c>
      <c r="X19" s="70">
        <f>IF(N(Q19)=0,"",U19/Q19)</f>
        <v/>
      </c>
    </row>
    <row r="20">
      <c r="A20" s="64" t="inlineStr">
        <is>
          <t>Total du compte</t>
        </is>
      </c>
      <c r="B20" s="65">
        <f>SUM(B12:B18)</f>
        <v/>
      </c>
      <c r="C20" s="66">
        <f>SUM(C12:C18)</f>
        <v/>
      </c>
      <c r="D20" s="67">
        <f>SUM(D12:D18)</f>
        <v/>
      </c>
      <c r="E20" s="67">
        <f>SUM(E12:E18)</f>
        <v/>
      </c>
      <c r="F20" s="67">
        <f>SUM(F12:F18)</f>
        <v/>
      </c>
      <c r="G20" s="65">
        <f>SUM(G12:G18)</f>
        <v/>
      </c>
      <c r="H20" s="65">
        <f>IF(N(D20)=0,"",B20/D20)</f>
        <v/>
      </c>
      <c r="I20" s="68">
        <f>IF(N(D20)=0,"",E20/D20)</f>
        <v/>
      </c>
      <c r="J20" s="69">
        <f>IFERROR(AVERAGE(J12:J18),"")</f>
        <v/>
      </c>
      <c r="K20" s="65">
        <f>IF(N(C20)=0,"",B20/C20)</f>
        <v/>
      </c>
      <c r="L20" s="65">
        <f>IF(K20="","",K20*(1+S_CPAmaj))</f>
        <v/>
      </c>
      <c r="M20" s="65">
        <f>SUM(M12:M18)</f>
        <v/>
      </c>
      <c r="N20" s="67">
        <f>SUM(N12:N18)</f>
        <v/>
      </c>
      <c r="O20" s="65">
        <f>IF(N(N20)=0,"",M20/N20)</f>
        <v/>
      </c>
      <c r="P20" s="65">
        <f>IFERROR(SUMIFS('Saisie hebdo'!$E$5:$E$2000,'Saisie hebdo'!$A$5:$A$2000,Sem_ref)/SUMIFS('Saisie hebdo'!$G$5:$G$2000,'Saisie hebdo'!$A$5:$A$2000,Sem_ref),"")</f>
        <v/>
      </c>
      <c r="Q20" s="65">
        <f>SUM(Q12:Q18)</f>
        <v/>
      </c>
      <c r="R20" s="67">
        <f>SUM(R12:R18)</f>
        <v/>
      </c>
      <c r="S20" s="67">
        <f>SUM(S12:S18)</f>
        <v/>
      </c>
      <c r="T20" s="67">
        <f>SUM(T12:T18)</f>
        <v/>
      </c>
      <c r="U20" s="65">
        <f>SUM(U12:U18)</f>
        <v/>
      </c>
      <c r="V20" s="65">
        <f>IF(N(R20)=0,"",Q20/R20)</f>
        <v/>
      </c>
      <c r="W20" s="65">
        <f>IF(N(T20)=0,"",Q20/T20)</f>
        <v/>
      </c>
      <c r="X20" s="70">
        <f>IF(N(Q20)=0,"",U20/Q20)</f>
        <v/>
      </c>
    </row>
    <row r="22">
      <c r="A22" s="1" t="inlineStr">
        <is>
          <t>2. Règles du plan — que faire cette semaine ?</t>
        </is>
      </c>
    </row>
    <row r="23" ht="45" customHeight="1">
      <c r="A23" s="9" t="inlineStr">
        <is>
          <t>Règle</t>
        </is>
      </c>
      <c r="B23" s="9" t="inlineStr">
        <is>
          <t>Déclencheur (seuil modifiable dans Cibles)</t>
        </is>
      </c>
      <c r="C23" s="9" t="inlineStr">
        <is>
          <t>Action prévue au plan</t>
        </is>
      </c>
      <c r="D23" s="9" t="inlineStr">
        <is>
          <t>Section</t>
        </is>
      </c>
      <c r="E23" s="9" t="inlineStr">
        <is>
          <t>S-FR | Marque</t>
        </is>
      </c>
      <c r="F23" s="9" t="inlineStr">
        <is>
          <t>S-FR | Corporatif &amp; Fêtes</t>
        </is>
      </c>
      <c r="G23" s="9" t="inlineStr">
        <is>
          <t>S-FR | Événements privés</t>
        </is>
      </c>
      <c r="H23" s="9" t="inlineStr">
        <is>
          <t>S-EN | Corporate Montréal</t>
        </is>
      </c>
      <c r="I23" s="9" t="inlineStr">
        <is>
          <t>S-FR | Québec-Lévis (test)</t>
        </is>
      </c>
      <c r="J23" s="9" t="inlineStr">
        <is>
          <t>Demand Gen</t>
        </is>
      </c>
      <c r="K23" s="9" t="inlineStr">
        <is>
          <t>Microsoft Ads</t>
        </is>
      </c>
    </row>
    <row r="24" ht="42" customHeight="1">
      <c r="A24" s="71" t="inlineStr">
        <is>
          <t>Passer en Max. conversions</t>
        </is>
      </c>
      <c r="B24" s="72">
        <f>"Conversions Google sur 4 sem. ≥ "&amp;S_MaxConv</f>
        <v/>
      </c>
      <c r="C24" s="72" t="inlineStr">
        <is>
          <t>Stratégie Max. conversions, sans cible (si pas déjà fait)</t>
        </is>
      </c>
      <c r="D24" s="73" t="inlineStr">
        <is>
          <t>5</t>
        </is>
      </c>
      <c r="E24" s="72">
        <f>IF($B$12=0,"— Pas de données",IF($C$12&gt;=S_MaxConv,"À FAIRE : Passer en Max. conversions","OK — rester en Max. clics ("&amp;ROUND($C$12,0)&amp;"/"&amp;S_MaxConv&amp;")"))</f>
        <v/>
      </c>
      <c r="F24" s="72">
        <f>IF($B$13=0,"— Pas de données",IF($C$13&gt;=S_MaxConv,"À FAIRE : Passer en Max. conversions","OK — rester en Max. clics ("&amp;ROUND($C$13,0)&amp;"/"&amp;S_MaxConv&amp;")"))</f>
        <v/>
      </c>
      <c r="G24" s="72">
        <f>IF($B$14=0,"— Pas de données",IF($C$14&gt;=S_MaxConv,"À FAIRE : Passer en Max. conversions","OK — rester en Max. clics ("&amp;ROUND($C$14,0)&amp;"/"&amp;S_MaxConv&amp;")"))</f>
        <v/>
      </c>
      <c r="H24" s="72">
        <f>IF($B$15=0,"— Pas de données",IF($C$15&gt;=S_MaxConv,"À FAIRE : Passer en Max. conversions","OK — rester en Max. clics ("&amp;ROUND($C$15,0)&amp;"/"&amp;S_MaxConv&amp;")"))</f>
        <v/>
      </c>
      <c r="I24" s="72">
        <f>IF($B$16=0,"— Pas de données",IF($C$16&gt;=S_MaxConv,"À FAIRE : Passer en Max. conversions","OK — rester en Max. clics ("&amp;ROUND($C$16,0)&amp;"/"&amp;S_MaxConv&amp;")"))</f>
        <v/>
      </c>
      <c r="J24" s="72" t="inlineStr">
        <is>
          <t>s.o.</t>
        </is>
      </c>
      <c r="K24" s="72">
        <f>IF($B$18=0,"— Pas de données",IF($C$18&gt;=S_MaxConv,"À FAIRE : Passer en Max. conversions","OK — rester en Max. clics ("&amp;ROUND($C$18,0)&amp;"/"&amp;S_MaxConv&amp;")"))</f>
        <v/>
      </c>
    </row>
    <row r="25" ht="42" customHeight="1">
      <c r="A25" s="71" t="inlineStr">
        <is>
          <t>Passer en CPA cible</t>
        </is>
      </c>
      <c r="B25" s="72">
        <f>"Conversions Google sur 4 sem. ≥ "&amp;S_CPAcible</f>
        <v/>
      </c>
      <c r="C25" s="72" t="inlineStr">
        <is>
          <t>CPA cible = CPA 30 j + 10 %, puis −10 % toutes les 2-3 semaines</t>
        </is>
      </c>
      <c r="D25" s="73" t="inlineStr">
        <is>
          <t>5</t>
        </is>
      </c>
      <c r="E25" s="72">
        <f>IF($B$12=0,"— Pas de données",IF($C$12&gt;=S_CPAcible,"À FAIRE : Passer en CPA cible ≈ "&amp;ROUND($L$12,0)&amp;" $","OK — pas encore ("&amp;ROUND($C$12,0)&amp;"/"&amp;S_CPAcible&amp;")"))</f>
        <v/>
      </c>
      <c r="F25" s="72">
        <f>IF($B$13=0,"— Pas de données",IF($C$13&gt;=S_CPAcible,"À FAIRE : Passer en CPA cible ≈ "&amp;ROUND($L$13,0)&amp;" $","OK — pas encore ("&amp;ROUND($C$13,0)&amp;"/"&amp;S_CPAcible&amp;")"))</f>
        <v/>
      </c>
      <c r="G25" s="72">
        <f>IF($B$14=0,"— Pas de données",IF($C$14&gt;=S_CPAcible,"À FAIRE : Passer en CPA cible ≈ "&amp;ROUND($L$14,0)&amp;" $","OK — pas encore ("&amp;ROUND($C$14,0)&amp;"/"&amp;S_CPAcible&amp;")"))</f>
        <v/>
      </c>
      <c r="H25" s="72">
        <f>IF($B$15=0,"— Pas de données",IF($C$15&gt;=S_CPAcible,"À FAIRE : Passer en CPA cible ≈ "&amp;ROUND($L$15,0)&amp;" $","OK — pas encore ("&amp;ROUND($C$15,0)&amp;"/"&amp;S_CPAcible&amp;")"))</f>
        <v/>
      </c>
      <c r="I25" s="72">
        <f>IF($B$16=0,"— Pas de données",IF($C$16&gt;=S_CPAcible,"À FAIRE : Passer en CPA cible ≈ "&amp;ROUND($L$16,0)&amp;" $","OK — pas encore ("&amp;ROUND($C$16,0)&amp;"/"&amp;S_CPAcible&amp;")"))</f>
        <v/>
      </c>
      <c r="J25" s="72" t="inlineStr">
        <is>
          <t>s.o.</t>
        </is>
      </c>
      <c r="K25" s="72">
        <f>IF($B$18=0,"— Pas de données",IF($C$18&gt;=S_CPAcible,"À FAIRE : Passer en CPA cible ≈ "&amp;ROUND($L$18,0)&amp;" $","OK — pas encore ("&amp;ROUND($C$18,0)&amp;"/"&amp;S_CPAcible&amp;")"))</f>
        <v/>
      </c>
    </row>
    <row r="26" ht="42" customHeight="1">
      <c r="A26" s="71" t="inlineStr">
        <is>
          <t>« Lead qualifié » en conversion principale</t>
        </is>
      </c>
      <c r="B26" s="72">
        <f>"Leads qualifiés sur 4 sem. ≥ "&amp;S_Qualite</f>
        <v/>
      </c>
      <c r="C26" s="72" t="inlineStr">
        <is>
          <t>Lead qualifié (import GCLID) = principale ; formulaire = secondaire</t>
        </is>
      </c>
      <c r="D26" s="73" t="inlineStr">
        <is>
          <t>5</t>
        </is>
      </c>
      <c r="E26" s="72">
        <f>IF($B$12=0,"— Pas de données",IF($E$12&gt;=S_Qualite,"À FAIRE : Lead qualifié en conversion principale","OK — pas encore ("&amp;$E$12&amp;"/"&amp;S_Qualite&amp;")"))</f>
        <v/>
      </c>
      <c r="F26" s="72">
        <f>IF($B$13=0,"— Pas de données",IF($E$13&gt;=S_Qualite,"À FAIRE : Lead qualifié en conversion principale","OK — pas encore ("&amp;$E$13&amp;"/"&amp;S_Qualite&amp;")"))</f>
        <v/>
      </c>
      <c r="G26" s="72">
        <f>IF($B$14=0,"— Pas de données",IF($E$14&gt;=S_Qualite,"À FAIRE : Lead qualifié en conversion principale","OK — pas encore ("&amp;$E$14&amp;"/"&amp;S_Qualite&amp;")"))</f>
        <v/>
      </c>
      <c r="H26" s="72">
        <f>IF($B$15=0,"— Pas de données",IF($E$15&gt;=S_Qualite,"À FAIRE : Lead qualifié en conversion principale","OK — pas encore ("&amp;$E$15&amp;"/"&amp;S_Qualite&amp;")"))</f>
        <v/>
      </c>
      <c r="I26" s="72">
        <f>IF($B$16=0,"— Pas de données",IF($E$16&gt;=S_Qualite,"À FAIRE : Lead qualifié en conversion principale","OK — pas encore ("&amp;$E$16&amp;"/"&amp;S_Qualite&amp;")"))</f>
        <v/>
      </c>
      <c r="J26" s="72" t="inlineStr">
        <is>
          <t>s.o.</t>
        </is>
      </c>
      <c r="K26" s="72">
        <f>IF($B$18=0,"— Pas de données",IF($E$18&gt;=S_Qualite,"À FAIRE : Lead qualifié en conversion principale","OK — pas encore ("&amp;$E$18&amp;"/"&amp;S_Qualite&amp;")"))</f>
        <v/>
      </c>
    </row>
    <row r="27" ht="42" customHeight="1">
      <c r="A27" s="71" t="inlineStr">
        <is>
          <t>Passer en Max. valeur de conversion</t>
        </is>
      </c>
      <c r="B27" s="72">
        <f>"Contrats (conversions avec valeur) sur 4 sem. ≥ "&amp;S_Valeur</f>
        <v/>
      </c>
      <c r="C27" s="72" t="inlineStr">
        <is>
          <t>Max. valeur de conversion, puis ROAS cible</t>
        </is>
      </c>
      <c r="D27" s="73" t="inlineStr">
        <is>
          <t>5</t>
        </is>
      </c>
      <c r="E27" s="72">
        <f>IF($B$12=0,"— Pas de données",IF($F$12&gt;=S_Valeur,"À FAIRE : Passer en Max. valeur de conversion","OK — pas encore ("&amp;$F$12&amp;"/"&amp;S_Valeur&amp;")"))</f>
        <v/>
      </c>
      <c r="F27" s="72">
        <f>IF($B$13=0,"— Pas de données",IF($F$13&gt;=S_Valeur,"À FAIRE : Passer en Max. valeur de conversion","OK — pas encore ("&amp;$F$13&amp;"/"&amp;S_Valeur&amp;")"))</f>
        <v/>
      </c>
      <c r="G27" s="72">
        <f>IF($B$14=0,"— Pas de données",IF($F$14&gt;=S_Valeur,"À FAIRE : Passer en Max. valeur de conversion","OK — pas encore ("&amp;$F$14&amp;"/"&amp;S_Valeur&amp;")"))</f>
        <v/>
      </c>
      <c r="H27" s="72">
        <f>IF($B$15=0,"— Pas de données",IF($F$15&gt;=S_Valeur,"À FAIRE : Passer en Max. valeur de conversion","OK — pas encore ("&amp;$F$15&amp;"/"&amp;S_Valeur&amp;")"))</f>
        <v/>
      </c>
      <c r="I27" s="72">
        <f>IF($B$16=0,"— Pas de données",IF($F$16&gt;=S_Valeur,"À FAIRE : Passer en Max. valeur de conversion","OK — pas encore ("&amp;$F$16&amp;"/"&amp;S_Valeur&amp;")"))</f>
        <v/>
      </c>
      <c r="J27" s="72" t="inlineStr">
        <is>
          <t>s.o.</t>
        </is>
      </c>
      <c r="K27" s="72">
        <f>IF($B$18=0,"— Pas de données",IF($F$18&gt;=S_Valeur,"À FAIRE : Passer en Max. valeur de conversion","OK — pas encore ("&amp;$F$18&amp;"/"&amp;S_Valeur&amp;")"))</f>
        <v/>
      </c>
    </row>
    <row r="28" ht="42" customHeight="1">
      <c r="A28" s="71" t="inlineStr">
        <is>
          <t>Coupe-circuit — coût par lead qualifié</t>
        </is>
      </c>
      <c r="B28" s="72">
        <f>"Coût par lead qualifié sur 2 sem. &gt; "&amp;S_CoupeCPLQ&amp;" $"</f>
        <v/>
      </c>
      <c r="C28" s="72" t="inlineStr">
        <is>
          <t>Revenir à l'étape d'enchères précédente</t>
        </is>
      </c>
      <c r="D28" s="73" t="inlineStr">
        <is>
          <t>5</t>
        </is>
      </c>
      <c r="E28" s="72">
        <f>IF($M$12=0,"— Pas de données",IF(IF($N$12=0,$M$12&gt;S_CoupeCPLQ,$O$12&gt;S_CoupeCPLQ),"ALERTE : Coupe-circuit — revenir à l'étape précédente","OK ("&amp;IF($N$12=0,"0 qualifié",ROUND($O$12,0)&amp;" $ / qualifié")&amp;")"))</f>
        <v/>
      </c>
      <c r="F28" s="72">
        <f>IF($M$13=0,"— Pas de données",IF(IF($N$13=0,$M$13&gt;S_CoupeCPLQ,$O$13&gt;S_CoupeCPLQ),"ALERTE : Coupe-circuit — revenir à l'étape précédente","OK ("&amp;IF($N$13=0,"0 qualifié",ROUND($O$13,0)&amp;" $ / qualifié")&amp;")"))</f>
        <v/>
      </c>
      <c r="G28" s="72">
        <f>IF($M$14=0,"— Pas de données",IF(IF($N$14=0,$M$14&gt;S_CoupeCPLQ,$O$14&gt;S_CoupeCPLQ),"ALERTE : Coupe-circuit — revenir à l'étape précédente","OK ("&amp;IF($N$14=0,"0 qualifié",ROUND($O$14,0)&amp;" $ / qualifié")&amp;")"))</f>
        <v/>
      </c>
      <c r="H28" s="72">
        <f>IF($M$15=0,"— Pas de données",IF(IF($N$15=0,$M$15&gt;S_CoupeCPLQ,$O$15&gt;S_CoupeCPLQ),"ALERTE : Coupe-circuit — revenir à l'étape précédente","OK ("&amp;IF($N$15=0,"0 qualifié",ROUND($O$15,0)&amp;" $ / qualifié")&amp;")"))</f>
        <v/>
      </c>
      <c r="I28" s="72">
        <f>IF($M$16=0,"— Pas de données",IF(IF($N$16=0,$M$16&gt;S_CoupeCPLQ,$O$16&gt;S_CoupeCPLQ),"ALERTE : Coupe-circuit — revenir à l'étape précédente","OK ("&amp;IF($N$16=0,"0 qualifié",ROUND($O$16,0)&amp;" $ / qualifié")&amp;")"))</f>
        <v/>
      </c>
      <c r="J28" s="72">
        <f>IF($M$17=0,"— Pas de données",IF(IF($N$17=0,$M$17&gt;S_CoupeCPLQ,$O$17&gt;S_CoupeCPLQ),"ALERTE : Coupe-circuit — revenir à l'étape précédente","OK ("&amp;IF($N$17=0,"0 qualifié",ROUND($O$17,0)&amp;" $ / qualifié")&amp;")"))</f>
        <v/>
      </c>
      <c r="K28" s="72">
        <f>IF($M$18=0,"— Pas de données",IF(IF($N$18=0,$M$18&gt;S_CoupeCPLQ,$O$18&gt;S_CoupeCPLQ),"ALERTE : Coupe-circuit — revenir à l'étape précédente","OK ("&amp;IF($N$18=0,"0 qualifié",ROUND($O$18,0)&amp;" $ / qualifié")&amp;")"))</f>
        <v/>
      </c>
    </row>
    <row r="29" ht="42" customHeight="1">
      <c r="A29" s="71" t="inlineStr">
        <is>
          <t>Coupe-circuit — CPC</t>
        </is>
      </c>
      <c r="B29" s="72">
        <f>"CPC moyen de la semaine &gt; "&amp;S_CoupeCPC&amp;" × CPC de référence"</f>
        <v/>
      </c>
      <c r="C29" s="72" t="inlineStr">
        <is>
          <t>Revenir à l'étape d'enchères précédente (si 7 jours de suite)</t>
        </is>
      </c>
      <c r="D29" s="73" t="inlineStr">
        <is>
          <t>5</t>
        </is>
      </c>
      <c r="E29" s="72">
        <f>IF(Cibles!$C$36="","s.o.",IF($P$12="","— Pas de données",IF($P$12&gt;S_CoupeCPC*Cibles!$C$36,"ALERTE : Coupe-circuit — CPC "&amp;ROUND($P$12,2)&amp;" $","OK ("&amp;ROUND($P$12,2)&amp;" $)")))</f>
        <v/>
      </c>
      <c r="F29" s="72">
        <f>IF(Cibles!$C$37="","s.o.",IF($P$13="","— Pas de données",IF($P$13&gt;S_CoupeCPC*Cibles!$C$37,"ALERTE : Coupe-circuit — CPC "&amp;ROUND($P$13,2)&amp;" $","OK ("&amp;ROUND($P$13,2)&amp;" $)")))</f>
        <v/>
      </c>
      <c r="G29" s="72">
        <f>IF(Cibles!$C$38="","s.o.",IF($P$14="","— Pas de données",IF($P$14&gt;S_CoupeCPC*Cibles!$C$38,"ALERTE : Coupe-circuit — CPC "&amp;ROUND($P$14,2)&amp;" $","OK ("&amp;ROUND($P$14,2)&amp;" $)")))</f>
        <v/>
      </c>
      <c r="H29" s="72">
        <f>IF(Cibles!$C$39="","s.o.",IF($P$15="","— Pas de données",IF($P$15&gt;S_CoupeCPC*Cibles!$C$39,"ALERTE : Coupe-circuit — CPC "&amp;ROUND($P$15,2)&amp;" $","OK ("&amp;ROUND($P$15,2)&amp;" $)")))</f>
        <v/>
      </c>
      <c r="I29" s="72">
        <f>IF(Cibles!$C$40="","s.o.",IF($P$16="","— Pas de données",IF($P$16&gt;S_CoupeCPC*Cibles!$C$40,"ALERTE : Coupe-circuit — CPC "&amp;ROUND($P$16,2)&amp;" $","OK ("&amp;ROUND($P$16,2)&amp;" $)")))</f>
        <v/>
      </c>
      <c r="J29" s="72" t="inlineStr">
        <is>
          <t>s.o.</t>
        </is>
      </c>
      <c r="K29" s="72" t="inlineStr">
        <is>
          <t>s.o.</t>
        </is>
      </c>
    </row>
    <row r="30" ht="42" customHeight="1">
      <c r="A30" s="71" t="inlineStr">
        <is>
          <t>Qualité des leads</t>
        </is>
      </c>
      <c r="B30" s="72">
        <f>"% qualifiés (A/B/C) sur 4 sem. &lt; "&amp;ROUND(S_PctQual*100,0)&amp;" %"</f>
        <v/>
      </c>
      <c r="C30" s="72" t="inlineStr">
        <is>
          <t>Revoir mots-clés et négatifs (rapport Termes de recherche)</t>
        </is>
      </c>
      <c r="D30" s="73" t="inlineStr">
        <is>
          <t>6</t>
        </is>
      </c>
      <c r="E30" s="72">
        <f>IF($D$12=0,"— Pas de données",IF($I$12&lt;S_PctQual,"À FAIRE : Revoir mots-clés/négatifs ("&amp;ROUND($I$12*100,0)&amp;" %)","OK ("&amp;ROUND($I$12*100,0)&amp;" % qualifiés)"))</f>
        <v/>
      </c>
      <c r="F30" s="72">
        <f>IF($D$13=0,"— Pas de données",IF($I$13&lt;S_PctQual,"À FAIRE : Revoir mots-clés/négatifs ("&amp;ROUND($I$13*100,0)&amp;" %)","OK ("&amp;ROUND($I$13*100,0)&amp;" % qualifiés)"))</f>
        <v/>
      </c>
      <c r="G30" s="72">
        <f>IF($D$14=0,"— Pas de données",IF($I$14&lt;S_PctQual,"À FAIRE : Revoir mots-clés/négatifs ("&amp;ROUND($I$14*100,0)&amp;" %)","OK ("&amp;ROUND($I$14*100,0)&amp;" % qualifiés)"))</f>
        <v/>
      </c>
      <c r="H30" s="72">
        <f>IF($D$15=0,"— Pas de données",IF($I$15&lt;S_PctQual,"À FAIRE : Revoir mots-clés/négatifs ("&amp;ROUND($I$15*100,0)&amp;" %)","OK ("&amp;ROUND($I$15*100,0)&amp;" % qualifiés)"))</f>
        <v/>
      </c>
      <c r="I30" s="72">
        <f>IF($D$16=0,"— Pas de données",IF($I$16&lt;S_PctQual,"À FAIRE : Revoir mots-clés/négatifs ("&amp;ROUND($I$16*100,0)&amp;" %)","OK ("&amp;ROUND($I$16*100,0)&amp;" % qualifiés)"))</f>
        <v/>
      </c>
      <c r="J30" s="72">
        <f>IF($D$17=0,"— Pas de données",IF($I$17&lt;S_PctQual,"À FAIRE : Revoir mots-clés/négatifs ("&amp;ROUND($I$17*100,0)&amp;" %)","OK ("&amp;ROUND($I$17*100,0)&amp;" % qualifiés)"))</f>
        <v/>
      </c>
      <c r="K30" s="72">
        <f>IF($D$18=0,"— Pas de données",IF($I$18&lt;S_PctQual,"À FAIRE : Revoir mots-clés/négatifs ("&amp;ROUND($I$18*100,0)&amp;" %)","OK ("&amp;ROUND($I$18*100,0)&amp;" % qualifiés)"))</f>
        <v/>
      </c>
    </row>
    <row r="31" ht="42" customHeight="1">
      <c r="A31" s="71" t="inlineStr">
        <is>
          <t>Coût par lead</t>
        </is>
      </c>
      <c r="B31" s="72">
        <f>"Coût par lead sur 4 sem. &gt; "&amp;Plafond_CPL&amp;" $"</f>
        <v/>
      </c>
      <c r="C31" s="72" t="inlineStr">
        <is>
          <t>Baisser les CPC max. ou resserrer les mots-clés</t>
        </is>
      </c>
      <c r="D31" s="73" t="inlineStr">
        <is>
          <t>Cibles</t>
        </is>
      </c>
      <c r="E31" s="72">
        <f>IF($B$12=0,"— Pas de données",IF($D$12=0,IF($B$12&gt;Plafond_CPL,"À FAIRE : 0 lead pour "&amp;ROUND($B$12,0)&amp;" $ — vérifier le suivi","OK — trop tôt"),IF($H$12&gt;Plafond_CPL,"À FAIRE : Coût par lead "&amp;ROUND($H$12,0)&amp;" $ &gt; plafond","OK ("&amp;ROUND($H$12,0)&amp;" $ / lead)")))</f>
        <v/>
      </c>
      <c r="F31" s="72">
        <f>IF($B$13=0,"— Pas de données",IF($D$13=0,IF($B$13&gt;Plafond_CPL,"À FAIRE : 0 lead pour "&amp;ROUND($B$13,0)&amp;" $ — vérifier le suivi","OK — trop tôt"),IF($H$13&gt;Plafond_CPL,"À FAIRE : Coût par lead "&amp;ROUND($H$13,0)&amp;" $ &gt; plafond","OK ("&amp;ROUND($H$13,0)&amp;" $ / lead)")))</f>
        <v/>
      </c>
      <c r="G31" s="72">
        <f>IF($B$14=0,"— Pas de données",IF($D$14=0,IF($B$14&gt;Plafond_CPL,"À FAIRE : 0 lead pour "&amp;ROUND($B$14,0)&amp;" $ — vérifier le suivi","OK — trop tôt"),IF($H$14&gt;Plafond_CPL,"À FAIRE : Coût par lead "&amp;ROUND($H$14,0)&amp;" $ &gt; plafond","OK ("&amp;ROUND($H$14,0)&amp;" $ / lead)")))</f>
        <v/>
      </c>
      <c r="H31" s="72">
        <f>IF($B$15=0,"— Pas de données",IF($D$15=0,IF($B$15&gt;Plafond_CPL,"À FAIRE : 0 lead pour "&amp;ROUND($B$15,0)&amp;" $ — vérifier le suivi","OK — trop tôt"),IF($H$15&gt;Plafond_CPL,"À FAIRE : Coût par lead "&amp;ROUND($H$15,0)&amp;" $ &gt; plafond","OK ("&amp;ROUND($H$15,0)&amp;" $ / lead)")))</f>
        <v/>
      </c>
      <c r="I31" s="72">
        <f>IF($B$16=0,"— Pas de données",IF($D$16=0,IF($B$16&gt;Plafond_CPL,"À FAIRE : 0 lead pour "&amp;ROUND($B$16,0)&amp;" $ — vérifier le suivi","OK — trop tôt"),IF($H$16&gt;Plafond_CPL,"À FAIRE : Coût par lead "&amp;ROUND($H$16,0)&amp;" $ &gt; plafond","OK ("&amp;ROUND($H$16,0)&amp;" $ / lead)")))</f>
        <v/>
      </c>
      <c r="J31" s="72">
        <f>IF($B$17=0,"— Pas de données",IF($D$17=0,IF($B$17&gt;Plafond_CPL,"À FAIRE : 0 lead pour "&amp;ROUND($B$17,0)&amp;" $ — vérifier le suivi","OK — trop tôt"),IF($H$17&gt;Plafond_CPL,"À FAIRE : Coût par lead "&amp;ROUND($H$17,0)&amp;" $ &gt; plafond","OK ("&amp;ROUND($H$17,0)&amp;" $ / lead)")))</f>
        <v/>
      </c>
      <c r="K31" s="72">
        <f>IF($B$18=0,"— Pas de données",IF($D$18=0,IF($B$18&gt;Plafond_CPL,"À FAIRE : 0 lead pour "&amp;ROUND($B$18,0)&amp;" $ — vérifier le suivi","OK — trop tôt"),IF($H$18&gt;Plafond_CPL,"À FAIRE : Coût par lead "&amp;ROUND($H$18,0)&amp;" $ &gt; plafond","OK ("&amp;ROUND($H$18,0)&amp;" $ / lead)")))</f>
        <v/>
      </c>
    </row>
    <row r="32" ht="42" customHeight="1">
      <c r="A32" s="71" t="inlineStr">
        <is>
          <t>Hausser les CPC (levier 1)</t>
        </is>
      </c>
      <c r="B32" s="72">
        <f>"Part perdue (classement) &gt; "&amp;ROUND(S_PerdueClass*100,0)&amp;" % et coût par lead ≤ "&amp;Plafond_CPL&amp;" $"</f>
        <v/>
      </c>
      <c r="C32" s="72" t="inlineStr">
        <is>
          <t>Hausser CPC max. +20 %/sem. sur les mots-clés rentables (arrêt si CPA +25 %)</t>
        </is>
      </c>
      <c r="D32" s="73" t="inlineStr">
        <is>
          <t>7</t>
        </is>
      </c>
      <c r="E32" s="72">
        <f>IF($B$12=0,"— Pas de données",IF($J$12="","— Part perdue non saisie",IF(AND($J$12&gt;S_PerdueClass,$D$12&gt;0,N($H$12)&lt;=Plafond_CPL),"À FAIRE : Hausser CPC +"&amp;ROUND(S_HausseCPC*100,0)&amp;" %",IF($J$12&gt;S_PerdueClass,"OK — part perdue élevée mais CPA hors cible : ne pas hausser","OK"))))</f>
        <v/>
      </c>
      <c r="F32" s="72">
        <f>IF($B$13=0,"— Pas de données",IF($J$13="","— Part perdue non saisie",IF(AND($J$13&gt;S_PerdueClass,$D$13&gt;0,N($H$13)&lt;=Plafond_CPL),"À FAIRE : Hausser CPC +"&amp;ROUND(S_HausseCPC*100,0)&amp;" %",IF($J$13&gt;S_PerdueClass,"OK — part perdue élevée mais CPA hors cible : ne pas hausser","OK"))))</f>
        <v/>
      </c>
      <c r="G32" s="72">
        <f>IF($B$14=0,"— Pas de données",IF($J$14="","— Part perdue non saisie",IF(AND($J$14&gt;S_PerdueClass,$D$14&gt;0,N($H$14)&lt;=Plafond_CPL),"À FAIRE : Hausser CPC +"&amp;ROUND(S_HausseCPC*100,0)&amp;" %",IF($J$14&gt;S_PerdueClass,"OK — part perdue élevée mais CPA hors cible : ne pas hausser","OK"))))</f>
        <v/>
      </c>
      <c r="H32" s="72">
        <f>IF($B$15=0,"— Pas de données",IF($J$15="","— Part perdue non saisie",IF(AND($J$15&gt;S_PerdueClass,$D$15&gt;0,N($H$15)&lt;=Plafond_CPL),"À FAIRE : Hausser CPC +"&amp;ROUND(S_HausseCPC*100,0)&amp;" %",IF($J$15&gt;S_PerdueClass,"OK — part perdue élevée mais CPA hors cible : ne pas hausser","OK"))))</f>
        <v/>
      </c>
      <c r="I32" s="72">
        <f>IF($B$16=0,"— Pas de données",IF($J$16="","— Part perdue non saisie",IF(AND($J$16&gt;S_PerdueClass,$D$16&gt;0,N($H$16)&lt;=Plafond_CPL),"À FAIRE : Hausser CPC +"&amp;ROUND(S_HausseCPC*100,0)&amp;" %",IF($J$16&gt;S_PerdueClass,"OK — part perdue élevée mais CPA hors cible : ne pas hausser","OK"))))</f>
        <v/>
      </c>
      <c r="J32" s="72" t="inlineStr">
        <is>
          <t>s.o.</t>
        </is>
      </c>
      <c r="K32" s="72">
        <f>IF($B$18=0,"— Pas de données",IF($J$18="","— Part perdue non saisie",IF(AND($J$18&gt;S_PerdueClass,$D$18&gt;0,N($H$18)&lt;=Plafond_CPL),"À FAIRE : Hausser CPC +"&amp;ROUND(S_HausseCPC*100,0)&amp;" %",IF($J$18&gt;S_PerdueClass,"OK — part perdue élevée mais CPA hors cible : ne pas hausser","OK"))))</f>
        <v/>
      </c>
    </row>
    <row r="33" ht="42" customHeight="1">
      <c r="A33" s="71" t="inlineStr">
        <is>
          <t>Coût par contrat</t>
        </is>
      </c>
      <c r="B33" s="72">
        <f>"Coût par contrat cumulé &gt; "&amp;ROUND(Plafond_contrat_pct*100,0)&amp;" % du panier ("&amp;ROUND(Plafond_contrat,0)&amp;" $)"</f>
        <v/>
      </c>
      <c r="C33" s="72" t="inlineStr">
        <is>
          <t>Revoir ciblage, annonces et suivi des leads (vitesse de rappel)</t>
        </is>
      </c>
      <c r="D33" s="73" t="inlineStr">
        <is>
          <t>Cibles</t>
        </is>
      </c>
      <c r="E33" s="72">
        <f>IF($Q$12=0,"— Pas de données",IF($T$12=0,IF($Q$12&gt;Plafond_contrat,"À FAIRE : 0 contrat pour "&amp;ROUND($Q$12,0)&amp;" $ — relancer les soumissions","OK — trop tôt"),IF($W$12&gt;Plafond_contrat,"ALERTE : "&amp;ROUND($W$12,0)&amp;" $ par contrat &gt; plafond","OK ("&amp;ROUND($W$12,0)&amp;" $ / contrat)")))</f>
        <v/>
      </c>
      <c r="F33" s="72">
        <f>IF($Q$13=0,"— Pas de données",IF($T$13=0,IF($Q$13&gt;Plafond_contrat,"À FAIRE : 0 contrat pour "&amp;ROUND($Q$13,0)&amp;" $ — relancer les soumissions","OK — trop tôt"),IF($W$13&gt;Plafond_contrat,"ALERTE : "&amp;ROUND($W$13,0)&amp;" $ par contrat &gt; plafond","OK ("&amp;ROUND($W$13,0)&amp;" $ / contrat)")))</f>
        <v/>
      </c>
      <c r="G33" s="72">
        <f>IF($Q$14=0,"— Pas de données",IF($T$14=0,IF($Q$14&gt;Plafond_contrat,"À FAIRE : 0 contrat pour "&amp;ROUND($Q$14,0)&amp;" $ — relancer les soumissions","OK — trop tôt"),IF($W$14&gt;Plafond_contrat,"ALERTE : "&amp;ROUND($W$14,0)&amp;" $ par contrat &gt; plafond","OK ("&amp;ROUND($W$14,0)&amp;" $ / contrat)")))</f>
        <v/>
      </c>
      <c r="H33" s="72">
        <f>IF($Q$15=0,"— Pas de données",IF($T$15=0,IF($Q$15&gt;Plafond_contrat,"À FAIRE : 0 contrat pour "&amp;ROUND($Q$15,0)&amp;" $ — relancer les soumissions","OK — trop tôt"),IF($W$15&gt;Plafond_contrat,"ALERTE : "&amp;ROUND($W$15,0)&amp;" $ par contrat &gt; plafond","OK ("&amp;ROUND($W$15,0)&amp;" $ / contrat)")))</f>
        <v/>
      </c>
      <c r="I33" s="72">
        <f>IF($Q$16=0,"— Pas de données",IF($T$16=0,IF($Q$16&gt;Plafond_contrat,"À FAIRE : 0 contrat pour "&amp;ROUND($Q$16,0)&amp;" $ — relancer les soumissions","OK — trop tôt"),IF($W$16&gt;Plafond_contrat,"ALERTE : "&amp;ROUND($W$16,0)&amp;" $ par contrat &gt; plafond","OK ("&amp;ROUND($W$16,0)&amp;" $ / contrat)")))</f>
        <v/>
      </c>
      <c r="J33" s="72">
        <f>IF($Q$17=0,"— Pas de données",IF($T$17=0,IF($Q$17&gt;Plafond_contrat,"À FAIRE : 0 contrat pour "&amp;ROUND($Q$17,0)&amp;" $ — relancer les soumissions","OK — trop tôt"),IF($W$17&gt;Plafond_contrat,"ALERTE : "&amp;ROUND($W$17,0)&amp;" $ par contrat &gt; plafond","OK ("&amp;ROUND($W$17,0)&amp;" $ / contrat)")))</f>
        <v/>
      </c>
      <c r="K33" s="72">
        <f>IF($Q$18=0,"— Pas de données",IF($T$18=0,IF($Q$18&gt;Plafond_contrat,"À FAIRE : 0 contrat pour "&amp;ROUND($Q$18,0)&amp;" $ — relancer les soumissions","OK — trop tôt"),IF($W$18&gt;Plafond_contrat,"ALERTE : "&amp;ROUND($W$18,0)&amp;" $ par contrat &gt; plafond","OK ("&amp;ROUND($W$18,0)&amp;" $ / contrat)")))</f>
        <v/>
      </c>
    </row>
    <row r="34" ht="42" customHeight="1">
      <c r="A34" s="71" t="inlineStr">
        <is>
          <t>Rentabilité (ROAS)</t>
        </is>
      </c>
      <c r="B34" s="72">
        <f>"ROAS cumulé &lt; "&amp;ROAS_min&amp;":1 (point mort "&amp;ROUND(ROAS_point_mort,1)&amp;":1)"</f>
        <v/>
      </c>
      <c r="C34" s="72" t="inlineStr">
        <is>
          <t>Sous le point mort : réduire le budget de la campagne</t>
        </is>
      </c>
      <c r="D34" s="73" t="inlineStr">
        <is>
          <t>Cibles</t>
        </is>
      </c>
      <c r="E34" s="72">
        <f>IF($Q$12=0,"— Pas de données",IF(AND($T$12=0,$Q$12&lt;2*Plafond_contrat),"OK — trop tôt (aucun contrat)",IF($X$12&lt;ROAS_point_mort,"ALERTE : ROAS "&amp;ROUND($X$12,1)&amp;":1 sous le point mort",IF($X$12&lt;ROAS_min,"À FAIRE : ROAS "&amp;ROUND($X$12,1)&amp;":1 sous la cible","OK (ROAS "&amp;ROUND($X$12,1)&amp;":1)"))))</f>
        <v/>
      </c>
      <c r="F34" s="72">
        <f>IF($Q$13=0,"— Pas de données",IF(AND($T$13=0,$Q$13&lt;2*Plafond_contrat),"OK — trop tôt (aucun contrat)",IF($X$13&lt;ROAS_point_mort,"ALERTE : ROAS "&amp;ROUND($X$13,1)&amp;":1 sous le point mort",IF($X$13&lt;ROAS_min,"À FAIRE : ROAS "&amp;ROUND($X$13,1)&amp;":1 sous la cible","OK (ROAS "&amp;ROUND($X$13,1)&amp;":1)"))))</f>
        <v/>
      </c>
      <c r="G34" s="72">
        <f>IF($Q$14=0,"— Pas de données",IF(AND($T$14=0,$Q$14&lt;2*Plafond_contrat),"OK — trop tôt (aucun contrat)",IF($X$14&lt;ROAS_point_mort,"ALERTE : ROAS "&amp;ROUND($X$14,1)&amp;":1 sous le point mort",IF($X$14&lt;ROAS_min,"À FAIRE : ROAS "&amp;ROUND($X$14,1)&amp;":1 sous la cible","OK (ROAS "&amp;ROUND($X$14,1)&amp;":1)"))))</f>
        <v/>
      </c>
      <c r="H34" s="72">
        <f>IF($Q$15=0,"— Pas de données",IF(AND($T$15=0,$Q$15&lt;2*Plafond_contrat),"OK — trop tôt (aucun contrat)",IF($X$15&lt;ROAS_point_mort,"ALERTE : ROAS "&amp;ROUND($X$15,1)&amp;":1 sous le point mort",IF($X$15&lt;ROAS_min,"À FAIRE : ROAS "&amp;ROUND($X$15,1)&amp;":1 sous la cible","OK (ROAS "&amp;ROUND($X$15,1)&amp;":1)"))))</f>
        <v/>
      </c>
      <c r="I34" s="72">
        <f>IF($Q$16=0,"— Pas de données",IF(AND($T$16=0,$Q$16&lt;2*Plafond_contrat),"OK — trop tôt (aucun contrat)",IF($X$16&lt;ROAS_point_mort,"ALERTE : ROAS "&amp;ROUND($X$16,1)&amp;":1 sous le point mort",IF($X$16&lt;ROAS_min,"À FAIRE : ROAS "&amp;ROUND($X$16,1)&amp;":1 sous la cible","OK (ROAS "&amp;ROUND($X$16,1)&amp;":1)"))))</f>
        <v/>
      </c>
      <c r="J34" s="72">
        <f>IF($Q$17=0,"— Pas de données",IF(AND($T$17=0,$Q$17&lt;2*Plafond_contrat),"OK — trop tôt (aucun contrat)",IF($X$17&lt;ROAS_point_mort,"ALERTE : ROAS "&amp;ROUND($X$17,1)&amp;":1 sous le point mort",IF($X$17&lt;ROAS_min,"À FAIRE : ROAS "&amp;ROUND($X$17,1)&amp;":1 sous la cible","OK (ROAS "&amp;ROUND($X$17,1)&amp;":1)"))))</f>
        <v/>
      </c>
      <c r="K34" s="72">
        <f>IF($Q$18=0,"— Pas de données",IF(AND($T$18=0,$Q$18&lt;2*Plafond_contrat),"OK — trop tôt (aucun contrat)",IF($X$18&lt;ROAS_point_mort,"ALERTE : ROAS "&amp;ROUND($X$18,1)&amp;":1 sous le point mort",IF($X$18&lt;ROAS_min,"À FAIRE : ROAS "&amp;ROUND($X$18,1)&amp;":1 sous la cible","OK (ROAS "&amp;ROUND($X$18,1)&amp;":1)"))))</f>
        <v/>
      </c>
    </row>
    <row r="35" ht="42" customHeight="1">
      <c r="A35" s="71" t="inlineStr">
        <is>
          <t>Pause Demand Gen (leviers 2 et 4)</t>
        </is>
      </c>
      <c r="B35" s="72">
        <f>"Coût cumulé ≥ "&amp;S_DG&amp;" $ et 0 lead qualifié"</f>
        <v/>
      </c>
      <c r="C35" s="72" t="inlineStr">
        <is>
          <t>Mettre Demand Gen en pause (remarketing : seuil 1 000 $)</t>
        </is>
      </c>
      <c r="D35" s="73" t="inlineStr">
        <is>
          <t>7</t>
        </is>
      </c>
      <c r="E35" s="72" t="inlineStr">
        <is>
          <t>s.o.</t>
        </is>
      </c>
      <c r="F35" s="72" t="inlineStr">
        <is>
          <t>s.o.</t>
        </is>
      </c>
      <c r="G35" s="72" t="inlineStr">
        <is>
          <t>s.o.</t>
        </is>
      </c>
      <c r="H35" s="72" t="inlineStr">
        <is>
          <t>s.o.</t>
        </is>
      </c>
      <c r="I35" s="72" t="inlineStr">
        <is>
          <t>s.o.</t>
        </is>
      </c>
      <c r="J35" s="72">
        <f>IF($Q$17=0,"— Pas de données",IF(AND($Q$17&gt;=S_DG,$S$17=0),"ALERTE : Pause Demand Gen","OK ("&amp;ROUND($Q$17,0)&amp;" $ / "&amp;$S$17&amp;" qualifié(s))"))</f>
        <v/>
      </c>
      <c r="K35" s="72" t="inlineStr">
        <is>
          <t>s.o.</t>
        </is>
      </c>
    </row>
    <row r="36" ht="42" customHeight="1">
      <c r="A36" s="71" t="inlineStr">
        <is>
          <t>Pause Microsoft Ads (levier 3)</t>
        </is>
      </c>
      <c r="B36" s="72">
        <f>"Coût par lead cumulé &gt; "&amp;S_MS&amp;" × Google Search"</f>
        <v/>
      </c>
      <c r="C36" s="72" t="inlineStr">
        <is>
          <t>Mettre Microsoft Ads en pause</t>
        </is>
      </c>
      <c r="D36" s="73" t="inlineStr">
        <is>
          <t>7</t>
        </is>
      </c>
      <c r="E36" s="72" t="inlineStr">
        <is>
          <t>s.o.</t>
        </is>
      </c>
      <c r="F36" s="72" t="inlineStr">
        <is>
          <t>s.o.</t>
        </is>
      </c>
      <c r="G36" s="72" t="inlineStr">
        <is>
          <t>s.o.</t>
        </is>
      </c>
      <c r="H36" s="72" t="inlineStr">
        <is>
          <t>s.o.</t>
        </is>
      </c>
      <c r="I36" s="72" t="inlineStr">
        <is>
          <t>s.o.</t>
        </is>
      </c>
      <c r="J36" s="72" t="inlineStr">
        <is>
          <t>s.o.</t>
        </is>
      </c>
      <c r="K36" s="72">
        <f>IF($Q$18=0,"— Pas de données",IF($R$18=0,"À FAIRE : 0 lead pour "&amp;ROUND($Q$18,0)&amp;" $",IF($V$19="","— Pas de référence Google",IF($V$18&gt;S_MS*$V$19,"ALERTE : Pause Microsoft Ads","OK ("&amp;ROUND($V$18,0)&amp;" $ vs "&amp;ROUND($V$19,0)&amp;" $)"))))</f>
        <v/>
      </c>
    </row>
    <row r="38">
      <c r="A38" s="2" t="inlineStr">
        <is>
          <t>Note : la règle Max. conversions reste « À FAIRE » tant que le seuil est atteint ; ignorez-la si la campagne y est déjà. Les règles d'arrêt sont aussi au plan (CPA +25 % après une hausse de CPC : revenir en arrière).</t>
        </is>
      </c>
    </row>
  </sheetData>
  <conditionalFormatting sqref="E24:K36">
    <cfRule type="expression" priority="1" dxfId="3" stopIfTrue="1">
      <formula>LEFT(E24,6)="ALERTE"</formula>
    </cfRule>
    <cfRule type="expression" priority="2" dxfId="4" stopIfTrue="1">
      <formula>LEFT(E24,7)="À FAIRE"</formula>
    </cfRule>
    <cfRule type="expression" priority="3" dxfId="5" stopIfTrue="1">
      <formula>LEFT(E24,2)="OK"</formula>
    </cfRule>
    <cfRule type="expression" priority="4" dxfId="6" stopIfTrue="1">
      <formula>OR(LEFT(E24,1)="—",E24="s.o.")</formula>
    </cfRule>
  </conditionalFormatting>
  <dataValidations count="1">
    <dataValidation sqref="B5" showDropDown="0" showInputMessage="0" showErrorMessage="0" allowBlank="1" type="date" operator="greaterThan">
      <formula1>DATE(2026,1,1)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22" customWidth="1" min="3" max="3"/>
    <col width="46" customWidth="1" min="4" max="4"/>
  </cols>
  <sheetData>
    <row r="1">
      <c r="A1" s="1" t="inlineStr">
        <is>
          <t>Cibles et hypothèses — modifiables</t>
        </is>
      </c>
    </row>
    <row r="2">
      <c r="A2" s="2" t="inlineStr">
        <is>
          <t>Cellules jaunes = à ajuster. La feuille « Règles » lit ces valeurs : changez-les ici, jamais dans les formules.</t>
        </is>
      </c>
    </row>
    <row r="4" ht="30" customHeight="1">
      <c r="A4" s="9" t="inlineStr">
        <is>
          <t>Panier moyen par type d'événement</t>
        </is>
      </c>
      <c r="B4" s="9" t="inlineStr">
        <is>
          <t>Panier moyen ($)</t>
        </is>
      </c>
      <c r="C4" s="74" t="inlineStr">
        <is>
          <t>Source / note</t>
        </is>
      </c>
      <c r="D4" s="57" t="n"/>
    </row>
    <row r="5">
      <c r="A5" s="57" t="inlineStr">
        <is>
          <t>Party de Bureau</t>
        </is>
      </c>
      <c r="B5" s="75" t="n">
        <v>1995</v>
      </c>
      <c r="C5" s="76" t="inlineStr">
        <is>
          <t>Forfait tout inclus — evenox.ca, 7 oct. 2026</t>
        </is>
      </c>
      <c r="D5" s="57" t="n"/>
    </row>
    <row r="6">
      <c r="A6" s="57" t="inlineStr">
        <is>
          <t>5 à 7 d'équipe</t>
        </is>
      </c>
      <c r="B6" s="75" t="n">
        <v>1195</v>
      </c>
      <c r="C6" s="76" t="inlineStr">
        <is>
          <t>Forfait tout inclus — evenox.ca</t>
        </is>
      </c>
      <c r="D6" s="57" t="n"/>
    </row>
    <row r="7">
      <c r="A7" s="57" t="inlineStr">
        <is>
          <t>Gala Signature</t>
        </is>
      </c>
      <c r="B7" s="75" t="n">
        <v>2495</v>
      </c>
      <c r="C7" s="76" t="inlineStr">
        <is>
          <t>Forfait tout inclus — evenox.ca</t>
        </is>
      </c>
      <c r="D7" s="57" t="n"/>
    </row>
    <row r="8">
      <c r="A8" s="57" t="inlineStr">
        <is>
          <t>Décor WOW</t>
        </is>
      </c>
      <c r="B8" s="75" t="n">
        <v>899</v>
      </c>
      <c r="C8" s="76" t="inlineStr">
        <is>
          <t>Mariage et événement — evenox.ca</t>
        </is>
      </c>
      <c r="D8" s="57" t="n"/>
    </row>
    <row r="9">
      <c r="A9" s="57" t="inlineStr">
        <is>
          <t>Soirée Signature</t>
        </is>
      </c>
      <c r="B9" s="75" t="n">
        <v>1449</v>
      </c>
      <c r="C9" s="76" t="inlineStr">
        <is>
          <t>Mariage et événement — evenox.ca</t>
        </is>
      </c>
      <c r="D9" s="57" t="n"/>
    </row>
    <row r="10">
      <c r="A10" s="57" t="inlineStr">
        <is>
          <t>Photobooth Signature 3 h</t>
        </is>
      </c>
      <c r="B10" s="75" t="n">
        <v>799</v>
      </c>
      <c r="C10" s="76" t="inlineStr">
        <is>
          <t>Location photobooth — evenox.ca</t>
        </is>
      </c>
      <c r="D10" s="57" t="n"/>
    </row>
    <row r="11">
      <c r="A11" s="77" t="inlineStr">
        <is>
          <t>Panier moyen de référence</t>
        </is>
      </c>
      <c r="B11" s="78">
        <f>AVERAGE(B5:B10)</f>
        <v/>
      </c>
      <c r="C11" s="76" t="inlineStr">
        <is>
          <t>Moyenne simple des 6 forfaits. Remplacez par votre panier réel (Valeur des contrats ÷ Contrats) après 10 contrats.</t>
        </is>
      </c>
      <c r="D11" s="57" t="n"/>
    </row>
    <row r="12">
      <c r="C12" s="79" t="n"/>
    </row>
    <row r="13" ht="30" customHeight="1">
      <c r="A13" s="9" t="inlineStr">
        <is>
          <t>Rentabilité</t>
        </is>
      </c>
      <c r="B13" s="9" t="inlineStr">
        <is>
          <t>Valeur</t>
        </is>
      </c>
      <c r="C13" s="74" t="inlineStr">
        <is>
          <t>Note</t>
        </is>
      </c>
      <c r="D13" s="57" t="n"/>
    </row>
    <row r="14">
      <c r="A14" s="57" t="inlineStr">
        <is>
          <t>Marge brute</t>
        </is>
      </c>
      <c r="B14" s="80" t="n">
        <v>0.5</v>
      </c>
      <c r="C14" s="76" t="inlineStr">
        <is>
          <t>À confirmer avec ta comptabilité.</t>
        </is>
      </c>
      <c r="D14" s="57" t="n"/>
    </row>
    <row r="15">
      <c r="A15" s="57" t="inlineStr">
        <is>
          <t>Plafond coût par lead</t>
        </is>
      </c>
      <c r="B15" s="75" t="n">
        <v>90</v>
      </c>
      <c r="C15" s="76" t="inlineStr">
        <is>
          <t>Au-delà : baisser les CPC ou resserrer les mots-clés.</t>
        </is>
      </c>
      <c r="D15" s="57" t="n"/>
    </row>
    <row r="16">
      <c r="A16" s="57" t="inlineStr">
        <is>
          <t>Plafond coût par contrat (% du panier)</t>
        </is>
      </c>
      <c r="B16" s="80" t="n">
        <v>0.15</v>
      </c>
      <c r="C16" s="76" t="inlineStr">
        <is>
          <t>15 % du panier moyen de référence.</t>
        </is>
      </c>
      <c r="D16" s="57" t="n"/>
    </row>
    <row r="17">
      <c r="A17" s="57" t="inlineStr">
        <is>
          <t>Plafond coût par contrat ($)</t>
        </is>
      </c>
      <c r="B17" s="81">
        <f>B16*Panier_ref</f>
        <v/>
      </c>
      <c r="C17" s="76" t="inlineStr">
        <is>
          <t>Calculé : % × panier de référence.</t>
        </is>
      </c>
      <c r="D17" s="57" t="n"/>
    </row>
    <row r="18">
      <c r="A18" s="57" t="inlineStr">
        <is>
          <t>ROAS minimum (cible)</t>
        </is>
      </c>
      <c r="B18" s="82" t="n">
        <v>3</v>
      </c>
      <c r="C18" s="76" t="inlineStr">
        <is>
          <t>Valeur des contrats ÷ coût publicitaire.</t>
        </is>
      </c>
      <c r="D18" s="57" t="n"/>
    </row>
    <row r="19">
      <c r="A19" s="57" t="inlineStr">
        <is>
          <t>ROAS point mort</t>
        </is>
      </c>
      <c r="B19" s="83">
        <f>1/Marge_brute</f>
        <v/>
      </c>
      <c r="C19" s="76" t="inlineStr">
        <is>
          <t>Calculé : 1 ÷ marge brute (2:1 à 50 % de marge).</t>
        </is>
      </c>
      <c r="D19" s="57" t="n"/>
    </row>
    <row r="20">
      <c r="C20" s="79" t="n"/>
    </row>
    <row r="21" ht="30" customHeight="1">
      <c r="A21" s="9" t="inlineStr">
        <is>
          <t>Seuils des règles (plan, sections 5 à 7)</t>
        </is>
      </c>
      <c r="B21" s="9" t="inlineStr">
        <is>
          <t>Valeur</t>
        </is>
      </c>
      <c r="C21" s="74" t="inlineStr">
        <is>
          <t>Section du plan</t>
        </is>
      </c>
      <c r="D21" s="57" t="n"/>
    </row>
    <row r="22">
      <c r="A22" s="57" t="inlineStr">
        <is>
          <t>Conversions sur 30 jours → Max. conversions</t>
        </is>
      </c>
      <c r="B22" s="84" t="n">
        <v>15</v>
      </c>
      <c r="C22" s="76" t="inlineStr">
        <is>
          <t>5 — Apprentissage</t>
        </is>
      </c>
      <c r="D22" s="57" t="n"/>
    </row>
    <row r="23">
      <c r="A23" s="57" t="inlineStr">
        <is>
          <t>Conversions sur 30 jours → CPA cible</t>
        </is>
      </c>
      <c r="B23" s="84" t="n">
        <v>30</v>
      </c>
      <c r="C23" s="76" t="inlineStr">
        <is>
          <t>5 — Efficacité</t>
        </is>
      </c>
      <c r="D23" s="57" t="n"/>
    </row>
    <row r="24">
      <c r="A24" s="57" t="inlineStr">
        <is>
          <t>Majoration du CPA cible (CPA 30 j + …)</t>
        </is>
      </c>
      <c r="B24" s="80" t="n">
        <v>0.1</v>
      </c>
      <c r="C24" s="76" t="inlineStr">
        <is>
          <t>5 — Efficacité</t>
        </is>
      </c>
      <c r="D24" s="57" t="n"/>
    </row>
    <row r="25">
      <c r="A25" s="57" t="inlineStr">
        <is>
          <t>Leads qualifiés / 30 jours → « Lead qualifié » en conversion principale</t>
        </is>
      </c>
      <c r="B25" s="84" t="n">
        <v>15</v>
      </c>
      <c r="C25" s="76" t="inlineStr">
        <is>
          <t>5 — Qualité</t>
        </is>
      </c>
      <c r="D25" s="57" t="n"/>
    </row>
    <row r="26">
      <c r="A26" s="57" t="inlineStr">
        <is>
          <t>Contrats (conversions avec valeur) / 30 jours → Max. valeur</t>
        </is>
      </c>
      <c r="B26" s="84" t="n">
        <v>30</v>
      </c>
      <c r="C26" s="76" t="inlineStr">
        <is>
          <t>5 — Valeur</t>
        </is>
      </c>
      <c r="D26" s="57" t="n"/>
    </row>
    <row r="27">
      <c r="A27" s="57" t="inlineStr">
        <is>
          <t>Coupe-circuit : coût par lead qualifié sur 14 jours</t>
        </is>
      </c>
      <c r="B27" s="75" t="n">
        <v>150</v>
      </c>
      <c r="C27" s="76" t="inlineStr">
        <is>
          <t>5 — Coupe-circuit</t>
        </is>
      </c>
      <c r="D27" s="57" t="n"/>
    </row>
    <row r="28">
      <c r="A28" s="57" t="inlineStr">
        <is>
          <t>Coupe-circuit : CPC moyen &gt; N × CPC de référence (7 jours)</t>
        </is>
      </c>
      <c r="B28" s="85" t="n">
        <v>2</v>
      </c>
      <c r="C28" s="76" t="inlineStr">
        <is>
          <t>5 — Coupe-circuit</t>
        </is>
      </c>
      <c r="D28" s="57" t="n"/>
    </row>
    <row r="29">
      <c r="A29" s="57" t="inlineStr">
        <is>
          <t>% de leads qualifiés minimum</t>
        </is>
      </c>
      <c r="B29" s="80" t="n">
        <v>0.5</v>
      </c>
      <c r="C29" s="76" t="inlineStr">
        <is>
          <t>6 — Routine</t>
        </is>
      </c>
      <c r="D29" s="57" t="n"/>
    </row>
    <row r="30">
      <c r="A30" s="57" t="inlineStr">
        <is>
          <t>Part d'impressions perdue (classement) maximum</t>
        </is>
      </c>
      <c r="B30" s="80" t="n">
        <v>0.3</v>
      </c>
      <c r="C30" s="76" t="inlineStr">
        <is>
          <t>7 — Levier 1</t>
        </is>
      </c>
      <c r="D30" s="57" t="n"/>
    </row>
    <row r="31">
      <c r="A31" s="57" t="inlineStr">
        <is>
          <t>Hausse des CPC max. par semaine</t>
        </is>
      </c>
      <c r="B31" s="80" t="n">
        <v>0.2</v>
      </c>
      <c r="C31" s="76" t="inlineStr">
        <is>
          <t>7 — Levier 1</t>
        </is>
      </c>
      <c r="D31" s="57" t="n"/>
    </row>
    <row r="32">
      <c r="A32" s="57" t="inlineStr">
        <is>
          <t>Demand Gen prospection : dépense max. sans lead qualifié</t>
        </is>
      </c>
      <c r="B32" s="75" t="n">
        <v>1500</v>
      </c>
      <c r="C32" s="76" t="inlineStr">
        <is>
          <t>7 — Levier 2 (remarketing : 1 000 $)</t>
        </is>
      </c>
      <c r="D32" s="57" t="n"/>
    </row>
    <row r="33">
      <c r="A33" s="57" t="inlineStr">
        <is>
          <t>Microsoft Ads : coût par lead max. vs Google (×)</t>
        </is>
      </c>
      <c r="B33" s="85" t="n">
        <v>1.5</v>
      </c>
      <c r="C33" s="76" t="inlineStr">
        <is>
          <t>7 — Levier 3</t>
        </is>
      </c>
      <c r="D33" s="57" t="n"/>
    </row>
    <row r="34">
      <c r="C34" s="79" t="n"/>
    </row>
    <row r="35" ht="30" customHeight="1">
      <c r="A35" s="9" t="inlineStr">
        <is>
          <t>Campagne</t>
        </is>
      </c>
      <c r="B35" s="9" t="inlineStr">
        <is>
          <t>Budget plafond / jour</t>
        </is>
      </c>
      <c r="C35" s="74" t="inlineStr">
        <is>
          <t>CPC max. de référence</t>
        </is>
      </c>
      <c r="D35" s="9" t="inlineStr">
        <is>
          <t>Statut au lancement</t>
        </is>
      </c>
    </row>
    <row r="36">
      <c r="A36" s="57" t="inlineStr">
        <is>
          <t>S-FR | Marque</t>
        </is>
      </c>
      <c r="B36" s="86" t="n">
        <v>10</v>
      </c>
      <c r="C36" s="87" t="n">
        <v>2.5</v>
      </c>
      <c r="D36" s="57" t="inlineStr">
        <is>
          <t>À activer</t>
        </is>
      </c>
    </row>
    <row r="37">
      <c r="A37" s="57" t="inlineStr">
        <is>
          <t>S-FR | Corporatif &amp; Fêtes</t>
        </is>
      </c>
      <c r="B37" s="86" t="n">
        <v>170</v>
      </c>
      <c r="C37" s="87" t="n">
        <v>4</v>
      </c>
      <c r="D37" s="57" t="inlineStr">
        <is>
          <t>À activer</t>
        </is>
      </c>
    </row>
    <row r="38">
      <c r="A38" s="57" t="inlineStr">
        <is>
          <t>S-FR | Événements privés</t>
        </is>
      </c>
      <c r="B38" s="86" t="n">
        <v>120</v>
      </c>
      <c r="C38" s="87" t="n">
        <v>3</v>
      </c>
      <c r="D38" s="57" t="inlineStr">
        <is>
          <t>À activer</t>
        </is>
      </c>
    </row>
    <row r="39">
      <c r="A39" s="57" t="inlineStr">
        <is>
          <t>S-EN | Corporate Montréal</t>
        </is>
      </c>
      <c r="B39" s="86" t="n">
        <v>30</v>
      </c>
      <c r="C39" s="87" t="n">
        <v>5</v>
      </c>
      <c r="D39" s="57" t="inlineStr">
        <is>
          <t>En pause (réserve)</t>
        </is>
      </c>
    </row>
    <row r="40">
      <c r="A40" s="57" t="inlineStr">
        <is>
          <t>S-FR | Québec-Lévis (test)</t>
        </is>
      </c>
      <c r="B40" s="86" t="n">
        <v>20</v>
      </c>
      <c r="C40" s="87" t="n">
        <v>3</v>
      </c>
      <c r="D40" s="57" t="inlineStr">
        <is>
          <t>En pause (réserve)</t>
        </is>
      </c>
    </row>
    <row r="41">
      <c r="A41" s="57" t="inlineStr">
        <is>
          <t>Demand Gen</t>
        </is>
      </c>
      <c r="B41" s="86" t="n">
        <v>50</v>
      </c>
      <c r="C41" s="87" t="n"/>
      <c r="D41" s="57" t="inlineStr">
        <is>
          <t>Levier 2 / 4 (section 7)</t>
        </is>
      </c>
    </row>
    <row r="42">
      <c r="A42" s="57" t="inlineStr">
        <is>
          <t>Microsoft Ads</t>
        </is>
      </c>
      <c r="B42" s="86" t="n">
        <v>18</v>
      </c>
      <c r="C42" s="87" t="n"/>
      <c r="D42" s="57" t="inlineStr">
        <is>
          <t>Levier 3 (section 7)</t>
        </is>
      </c>
    </row>
    <row r="43">
      <c r="A43" s="2" t="inlineStr">
        <is>
          <t>Les noms doivent être identiques à ceux de Google Ads pour faciliter la saisie. CPC de référence vide = règle CPC non applicable.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60" customWidth="1" min="3" max="3"/>
  </cols>
  <sheetData>
    <row r="1">
      <c r="A1" s="1" t="inlineStr">
        <is>
          <t>Mode d'emploi — chaque lundi, 15 minutes</t>
        </is>
      </c>
    </row>
    <row r="3" ht="24" customHeight="1">
      <c r="A3" s="9" t="inlineStr">
        <is>
          <t>Étape</t>
        </is>
      </c>
      <c r="B3" s="9" t="inlineStr">
        <is>
          <t>Quoi faire</t>
        </is>
      </c>
      <c r="C3" s="9" t="inlineStr">
        <is>
          <t>Où trouver le chiffre</t>
        </is>
      </c>
    </row>
    <row r="4" ht="62" customHeight="1">
      <c r="A4" s="88" t="inlineStr">
        <is>
          <t>Avant la 1re saisie</t>
        </is>
      </c>
      <c r="B4" s="89" t="inlineStr">
        <is>
          <t>Effacer le contenu des 2 lignes orange « EXEMPLE — à effacer » (semaine du 2026-10-12) : sélectionner les cellules jaunes et la remarque, puis touche Suppr. Ne pas supprimer les lignes.</t>
        </is>
      </c>
      <c r="C4" s="89" t="inlineStr">
        <is>
          <t>Feuille « Saisie hebdo », lignes 5 et 6.</t>
        </is>
      </c>
    </row>
    <row r="5" ht="62" customHeight="1">
      <c r="A5" s="90" t="inlineStr">
        <is>
          <t>1. Google Ads — période</t>
        </is>
      </c>
      <c r="B5" s="89" t="inlineStr">
        <is>
          <t>Ouvrir Campagnes et choisir la période « Semaine dernière (lun. au dim.) ». Repérer les lignes de cette semaine (colonne Semaine = lundi) dans « Saisie hebdo ».</t>
        </is>
      </c>
      <c r="C5" s="89" t="inlineStr">
        <is>
          <t>Google Ads › Campagnes › sélecteur de dates en haut à droite.</t>
        </is>
      </c>
    </row>
    <row r="6" ht="62" customHeight="1">
      <c r="A6" s="90" t="inlineStr">
        <is>
          <t>2. Coût, impressions, clics, conversions</t>
        </is>
      </c>
      <c r="B6" s="89" t="inlineStr">
        <is>
          <t>Pour chaque campagne active, recopier Coût, Impr., Clics et Conversions (formulaire + appels, actions principales seulement).</t>
        </is>
      </c>
      <c r="C6" s="89" t="inlineStr">
        <is>
          <t>Google Ads › Campagnes, colonnes par défaut. Vérifier les actions dans Objectifs › Conversions.</t>
        </is>
      </c>
    </row>
    <row r="7" ht="62" customHeight="1">
      <c r="A7" s="90" t="inlineStr">
        <is>
          <t>3. Parts d'impressions perdues</t>
        </is>
      </c>
      <c r="B7" s="89" t="inlineStr">
        <is>
          <t>Recopier « Part d'impressions perdue sur le Réseau de Recherche (budget) » et « (classement) » en % (taper 12 % ou 0,12). Laisser vide pour Demand Gen.</t>
        </is>
      </c>
      <c r="C7" s="89" t="inlineStr">
        <is>
          <t>Colonnes › Modifier les colonnes › Statistiques sur la concurrence.</t>
        </is>
      </c>
    </row>
    <row r="8" ht="62" customHeight="1">
      <c r="A8" s="90" t="inlineStr">
        <is>
          <t>4. Notion — leads</t>
        </is>
      </c>
      <c r="B8" s="89" t="inlineStr">
        <is>
          <t>Filtrer la base Leads : Source = Google Ads, date de création dans la semaine, regroupé par Campagne. Leads reçus = toutes les fiches ; Leads qualifiés = Score A, B ou C (D exclu).</t>
        </is>
      </c>
      <c r="C8" s="89" t="inlineStr">
        <is>
          <t>Notion › base Leads › champs Source, Campagne, Score. Corporatif → Corporatif &amp; Fêtes ; Mariage/Produits → Événements privés ; Marque → Marque.</t>
        </is>
      </c>
    </row>
    <row r="9" ht="62" customHeight="1">
      <c r="A9" s="90" t="inlineStr">
        <is>
          <t>5. Notion — soumissions et contrats</t>
        </is>
      </c>
      <c r="B9" s="89" t="inlineStr">
        <is>
          <t>Soumissions envoyées = fiches passées à « Soumission envoyée » cette semaine. Contrats gagnés = « Dépôt payé » cette semaine ; Valeur = somme du champ Montant du contrat. On compte la semaine du dépôt, pas celle du lead.</t>
        </is>
      </c>
      <c r="C9" s="89" t="inlineStr">
        <is>
          <t>Notion › champs État et Montant du contrat.</t>
        </is>
      </c>
    </row>
    <row r="10" ht="62" customHeight="1">
      <c r="A10" s="90" t="inlineStr">
        <is>
          <t>6. Lire la feuille Règles</t>
        </is>
      </c>
      <c r="B10" s="89" t="inlineStr">
        <is>
          <t>Traiter d'abord les cellules rouges (ALERTE), puis les jaunes (À FAIRE). Appliquer le changement dans Google Ads et le noter dans la colonne Remarque de la saisie.</t>
        </is>
      </c>
      <c r="C10" s="89" t="inlineStr">
        <is>
          <t>Feuille « Règles », section 2. Le compteur en haut indique le nombre d'alertes.</t>
        </is>
      </c>
    </row>
    <row r="11" ht="62" customHeight="1">
      <c r="A11" s="90" t="inlineStr">
        <is>
          <t>7. Vendredi — import des leads qualifiés</t>
        </is>
      </c>
      <c r="B11" s="89" t="inlineStr">
        <is>
          <t>Exporter les leads A, B et C avec GCLID et les importer comme « Lead qualifié » ; les dépôts payés comme « Réservation » avec le montant (sans ça, Google n'apprend pas).</t>
        </is>
      </c>
      <c r="C11" s="89" t="inlineStr">
        <is>
          <t>Google Ads › Objectifs › Conversions › Importations. Voir SCRIPTS-LEADS.md, section 8.</t>
        </is>
      </c>
    </row>
    <row r="12" ht="62" customHeight="1">
      <c r="A12" s="90" t="inlineStr">
        <is>
          <t>8. Fin de mois et jour 30</t>
        </is>
      </c>
      <c r="B12" s="89" t="inlineStr">
        <is>
          <t>Consulter « Synthèse mensuelle » (coût par lead qualifié, par contrat, ROAS). Mettre à jour « Cibles » quand la marge et le panier réel sont connus ; les règles se recalculent seules.</t>
        </is>
      </c>
      <c r="C12" s="89" t="inlineStr">
        <is>
          <t>Feuilles « Synthèse mensuelle » et « Cibles ».</t>
        </is>
      </c>
    </row>
    <row r="14">
      <c r="A14" s="47" t="inlineStr">
        <is>
          <t>Rappels</t>
        </is>
      </c>
    </row>
    <row r="15">
      <c r="A15" s="2" t="inlineStr">
        <is>
          <t>• Demand Gen, Microsoft Ads, S-EN et Québec-Lévis : laisser vide tant que la campagne est en pause.</t>
        </is>
      </c>
    </row>
    <row r="16">
      <c r="A16" s="2" t="inlineStr">
        <is>
          <t>• Un 0 saisi compte comme une donnée ; une cellule vide signifie « pas encore saisi ».</t>
        </is>
      </c>
    </row>
    <row r="17">
      <c r="A17" s="2" t="inlineStr">
        <is>
          <t>• Pour ajouter une campagne : l'ajouter au tableau Campagnes de « Cibles », puis copier des lignes dans « Saisie hebdo 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2026-10-07T03:29:29Z</dcterms:created>
  <dcterms:modified xmlns:dcterms="http://purl.org/dc/terms/" xmlns:xsi="http://www.w3.org/2001/XMLSchema-instance" xsi:type="dcterms:W3CDTF">2026-10-07T03:29:29Z</dcterms:modified>
</cp:coreProperties>
</file>