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Dépenses" sheetId="2" state="visible" r:id="rId2"/>
    <sheet xmlns:r="http://schemas.openxmlformats.org/officeDocument/2006/relationships" name="Tableau de bord" sheetId="3" state="visible" r:id="rId3"/>
    <sheet xmlns:r="http://schemas.openxmlformats.org/officeDocument/2006/relationships" name="Import conversions Google" sheetId="4" state="visible" r:id="rId4"/>
    <sheet xmlns:r="http://schemas.openxmlformats.org/officeDocument/2006/relationships" name="Mode d'emploi" sheetId="5" state="visible" r:id="rId5"/>
    <sheet xmlns:r="http://schemas.openxmlformats.org/officeDocument/2006/relationships" name="Listes" sheetId="6" state="visible" r:id="rId6"/>
  </sheets>
  <definedNames>
    <definedName name="_xlnm._FilterDatabase" localSheetId="0" hidden="1">'Leads'!$A$2:$BA$1002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 %"/>
    <numFmt numFmtId="165" formatCode="yyyy-mm-dd hh:mm"/>
    <numFmt numFmtId="166" formatCode="yyyy-mm-dd"/>
    <numFmt numFmtId="167" formatCode="#,##0&quot; $&quot;"/>
    <numFmt numFmtId="168" formatCode="#,##0.00&quot; $&quot;"/>
    <numFmt numFmtId="169" formatCode="0.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1F3A5F"/>
      <sz val="9"/>
    </font>
    <font>
      <b val="1"/>
      <color rgb="00C00000"/>
    </font>
    <font>
      <b val="1"/>
      <color rgb="001F3A5F"/>
      <sz val="14"/>
    </font>
    <font>
      <i val="1"/>
      <color rgb="00595959"/>
      <sz val="9"/>
    </font>
    <font>
      <b val="1"/>
      <color rgb="001F3A5F"/>
      <sz val="12"/>
    </font>
    <font>
      <i val="1"/>
      <color rgb="00595959"/>
    </font>
    <font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2F3"/>
      </patternFill>
    </fill>
    <fill>
      <patternFill patternType="solid">
        <fgColor rgb="00595959"/>
      </patternFill>
    </fill>
    <fill>
      <patternFill patternType="solid">
        <fgColor rgb="002E75B6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FF9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pivotButton="0" quotePrefix="0" xfId="0"/>
    <xf numFmtId="165" fontId="0" fillId="7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7" borderId="1" pivotButton="0" quotePrefix="0" xfId="0"/>
    <xf numFmtId="167" fontId="0" fillId="7" borderId="1" pivotButton="0" quotePrefix="0" xfId="0"/>
    <xf numFmtId="167" fontId="0" fillId="6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1" pivotButton="0" quotePrefix="0" xfId="0"/>
    <xf numFmtId="167" fontId="0" fillId="8" borderId="1" pivotButton="0" quotePrefix="0" xfId="0"/>
    <xf numFmtId="167" fontId="1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168" fontId="0" fillId="8" borderId="1" pivotButton="0" quotePrefix="0" xfId="0"/>
    <xf numFmtId="168" fontId="0" fillId="6" borderId="1" pivotButton="0" quotePrefix="0" xfId="0"/>
    <xf numFmtId="164" fontId="0" fillId="6" borderId="1" pivotButton="0" quotePrefix="0" xfId="0"/>
    <xf numFmtId="166" fontId="1" fillId="0" borderId="1" pivotButton="0" quotePrefix="0" xfId="0"/>
    <xf numFmtId="0" fontId="1" fillId="6" borderId="1" pivotButton="0" quotePrefix="0" xfId="0"/>
    <xf numFmtId="0" fontId="1" fillId="0" borderId="0" pivotButton="0" quotePrefix="0" xfId="0"/>
    <xf numFmtId="166" fontId="0" fillId="8" borderId="1" pivotButton="0" quotePrefix="0" xfId="0"/>
    <xf numFmtId="164" fontId="0" fillId="8" borderId="1" pivotButton="0" quotePrefix="0" xfId="0"/>
    <xf numFmtId="0" fontId="0" fillId="8" borderId="1" pivotButton="0" quotePrefix="0" xfId="0"/>
    <xf numFmtId="169" fontId="0" fillId="8" borderId="1" pivotButton="0" quotePrefix="0" xfId="0"/>
    <xf numFmtId="1" fontId="0" fillId="8" borderId="1" pivotButton="0" quotePrefix="0" xfId="0"/>
    <xf numFmtId="0" fontId="7" fillId="0" borderId="0" pivotButton="0" quotePrefix="0" xfId="0"/>
    <xf numFmtId="167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7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1" fillId="9" borderId="1" pivotButton="0" quotePrefix="0" xfId="0"/>
    <xf numFmtId="167" fontId="1" fillId="9" borderId="1" applyAlignment="1" pivotButton="0" quotePrefix="0" xfId="0">
      <alignment horizontal="right"/>
    </xf>
    <xf numFmtId="0" fontId="1" fillId="9" borderId="1" applyAlignment="1" pivotButton="0" quotePrefix="0" xfId="0">
      <alignment horizontal="right"/>
    </xf>
    <xf numFmtId="164" fontId="1" fillId="9" borderId="1" applyAlignment="1" pivotButton="0" quotePrefix="0" xfId="0">
      <alignment horizontal="right"/>
    </xf>
    <xf numFmtId="2" fontId="1" fillId="9" borderId="1" applyAlignment="1" pivotButton="0" quotePrefix="0" xfId="0">
      <alignment horizontal="right"/>
    </xf>
    <xf numFmtId="0" fontId="1" fillId="9" borderId="1" applyAlignment="1" pivotButton="0" quotePrefix="0" xfId="0">
      <alignment horizontal="center"/>
    </xf>
    <xf numFmtId="167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167" fontId="1" fillId="9" borderId="1" pivotButton="0" quotePrefix="0" xfId="0"/>
    <xf numFmtId="164" fontId="1" fillId="9" borderId="1" pivotButton="0" quotePrefix="0" xfId="0"/>
    <xf numFmtId="2" fontId="1" fillId="9" borderId="1" pivotButton="0" quotePrefix="0" xfId="0"/>
    <xf numFmtId="1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2" fontId="0" fillId="0" borderId="1" pivotButton="0" quotePrefix="0" xfId="0"/>
    <xf numFmtId="165" fontId="0" fillId="6" borderId="1" pivotButton="0" quotePrefix="0" xfId="0"/>
    <xf numFmtId="0" fontId="9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ill>
        <patternFill patternType="solid">
          <fgColor rgb="00F8CBAD"/>
        </patternFill>
      </fill>
    </dxf>
    <dxf>
      <fill>
        <patternFill patternType="solid">
          <fgColor rgb="00FFD966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</dxf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Évenox</author>
  </authors>
  <commentList>
    <comment ref="A1" authorId="0" shapeId="0">
      <text>
        <t>Ligne 1 : libellé. Ligne 2 : nom technique (identique à tracking-setup.md, section 9). Colonnes grises = formules, ne pas saisir.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BA10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1" customWidth="1" min="4" max="4"/>
    <col width="12" customWidth="1" min="5" max="5"/>
    <col width="14" customWidth="1" min="6" max="6"/>
    <col width="26" customWidth="1" min="7" max="7"/>
    <col width="14" customWidth="1" min="8" max="8"/>
    <col width="18" customWidth="1" min="9" max="9"/>
    <col width="13" customWidth="1" min="10" max="10"/>
    <col width="14" customWidth="1" min="11" max="11"/>
    <col width="12" customWidth="1" min="12" max="12"/>
    <col width="20" customWidth="1" min="13" max="13"/>
    <col width="10" customWidth="1" min="14" max="14"/>
    <col width="12" customWidth="1" min="15" max="15"/>
    <col width="9" customWidth="1" min="16" max="16"/>
    <col width="9" customWidth="1" min="17" max="17"/>
    <col width="20" customWidth="1" min="18" max="18"/>
    <col width="26" customWidth="1" min="19" max="19"/>
    <col width="24" customWidth="1" min="20" max="20"/>
    <col width="12" customWidth="1" min="21" max="21"/>
    <col width="12" customWidth="1" min="22" max="22"/>
    <col width="17" customWidth="1" min="23" max="23"/>
    <col width="11" customWidth="1" min="24" max="24"/>
    <col width="12" customWidth="1" min="25" max="25"/>
    <col width="20" customWidth="1" min="26" max="26"/>
    <col width="18" customWidth="1" min="27" max="27"/>
    <col width="18" customWidth="1" min="28" max="28"/>
    <col width="20" customWidth="1" min="29" max="29"/>
    <col width="18" customWidth="1" min="30" max="30"/>
    <col width="16" customWidth="1" min="31" max="31"/>
    <col width="16" customWidth="1" min="32" max="32"/>
    <col width="18" customWidth="1" min="33" max="33"/>
    <col width="11" customWidth="1" min="34" max="34"/>
    <col width="11" customWidth="1" min="35" max="35"/>
    <col width="17" customWidth="1" min="36" max="36"/>
    <col width="10" customWidth="1" min="37" max="37"/>
    <col width="14" customWidth="1" min="38" max="38"/>
    <col width="30" customWidth="1" min="39" max="39"/>
    <col width="22" customWidth="1" min="40" max="40"/>
    <col width="16" customWidth="1" min="41" max="41"/>
    <col width="24" customWidth="1" min="42" max="42"/>
    <col width="26" customWidth="1" min="43" max="43"/>
    <col width="14" customWidth="1" min="44" max="44"/>
    <col width="10" customWidth="1" min="45" max="45"/>
    <col width="9" customWidth="1" min="46" max="46"/>
    <col width="10" customWidth="1" min="47" max="47"/>
    <col width="10" customWidth="1" min="48" max="48"/>
    <col width="22" customWidth="1" min="49" max="49"/>
    <col width="12" customWidth="1" min="50" max="50"/>
    <col width="13" customWidth="1" min="51" max="51"/>
    <col width="9" customWidth="1" min="52" max="52"/>
    <col width="9" customWidth="1" min="53" max="53"/>
  </cols>
  <sheetData>
    <row r="1" ht="48" customHeight="1">
      <c r="A1" s="1" t="inlineStr">
        <is>
          <t>N° du lead</t>
        </is>
      </c>
      <c r="B1" s="1" t="inlineStr">
        <is>
          <t>Date et heure de réception</t>
        </is>
      </c>
      <c r="C1" s="1" t="inlineStr">
        <is>
          <t>Date et heure du 1er contact</t>
        </is>
      </c>
      <c r="D1" s="2" t="inlineStr">
        <is>
          <t>Délai de 1er contact (min)</t>
        </is>
      </c>
      <c r="E1" s="1" t="inlineStr">
        <is>
          <t>Prénom</t>
        </is>
      </c>
      <c r="F1" s="1" t="inlineStr">
        <is>
          <t>Nom</t>
        </is>
      </c>
      <c r="G1" s="1" t="inlineStr">
        <is>
          <t>Courriel</t>
        </is>
      </c>
      <c r="H1" s="1" t="inlineStr">
        <is>
          <t>Téléphone</t>
        </is>
      </c>
      <c r="I1" s="1" t="inlineStr">
        <is>
          <t>Entreprise</t>
        </is>
      </c>
      <c r="J1" s="1" t="inlineStr">
        <is>
          <t>Type de client</t>
        </is>
      </c>
      <c r="K1" s="1" t="inlineStr">
        <is>
          <t>Type d'événement</t>
        </is>
      </c>
      <c r="L1" s="1" t="inlineStr">
        <is>
          <t>Date de l'événement</t>
        </is>
      </c>
      <c r="M1" s="1" t="inlineStr">
        <is>
          <t>Ville</t>
        </is>
      </c>
      <c r="N1" s="1" t="inlineStr">
        <is>
          <t>Nombre d'invités</t>
        </is>
      </c>
      <c r="O1" s="1" t="inlineStr">
        <is>
          <t>Budget déclaré</t>
        </is>
      </c>
      <c r="P1" s="1" t="inlineStr">
        <is>
          <t>Route (formulaire)</t>
        </is>
      </c>
      <c r="Q1" s="2" t="inlineStr">
        <is>
          <t>Pointage (0-100)</t>
        </is>
      </c>
      <c r="R1" s="1" t="inlineStr">
        <is>
          <t>Étape du pipeline</t>
        </is>
      </c>
      <c r="S1" s="1" t="inlineStr">
        <is>
          <t>Raison de perte / disqualification</t>
        </is>
      </c>
      <c r="T1" s="1" t="inlineStr">
        <is>
          <t>Forfait proposé</t>
        </is>
      </c>
      <c r="U1" s="1" t="inlineStr">
        <is>
          <t>Montant proposé ($)</t>
        </is>
      </c>
      <c r="V1" s="1" t="inlineStr">
        <is>
          <t>Montant gagné ($)</t>
        </is>
      </c>
      <c r="W1" s="1" t="inlineStr">
        <is>
          <t>Date et heure du dépôt</t>
        </is>
      </c>
      <c r="X1" s="1" t="inlineStr">
        <is>
          <t>utm_source</t>
        </is>
      </c>
      <c r="Y1" s="1" t="inlineStr">
        <is>
          <t>utm_medium</t>
        </is>
      </c>
      <c r="Z1" s="1" t="inlineStr">
        <is>
          <t>utm_campaign</t>
        </is>
      </c>
      <c r="AA1" s="1" t="inlineStr">
        <is>
          <t>utm_content</t>
        </is>
      </c>
      <c r="AB1" s="1" t="inlineStr">
        <is>
          <t>utm_term</t>
        </is>
      </c>
      <c r="AC1" s="1" t="inlineStr">
        <is>
          <t>gclid (Google)</t>
        </is>
      </c>
      <c r="AD1" s="1" t="inlineStr">
        <is>
          <t>msclkid (Microsoft)</t>
        </is>
      </c>
      <c r="AE1" s="1" t="inlineStr">
        <is>
          <t>fbclid (Meta)</t>
        </is>
      </c>
      <c r="AF1" s="1" t="inlineStr">
        <is>
          <t>oppref (ChatGPT)</t>
        </is>
      </c>
      <c r="AG1" s="1" t="inlineStr">
        <is>
          <t>event_id (déduplication)</t>
        </is>
      </c>
      <c r="AH1" s="1" t="inlineStr">
        <is>
          <t>Consentement marketing</t>
        </is>
      </c>
      <c r="AI1" s="1" t="inlineStr">
        <is>
          <t>Consentement mesure</t>
        </is>
      </c>
      <c r="AJ1" s="1" t="inlineStr">
        <is>
          <t>Date du consentement</t>
        </is>
      </c>
      <c r="AK1" s="1" t="inlineStr">
        <is>
          <t>Désabonné</t>
        </is>
      </c>
      <c r="AL1" s="1" t="inlineStr">
        <is>
          <t>Conseiller</t>
        </is>
      </c>
      <c r="AM1" s="1" t="inlineStr">
        <is>
          <t>Notes</t>
        </is>
      </c>
      <c r="AN1" s="3" t="inlineStr">
        <is>
          <t>Rôle dans la décision</t>
        </is>
      </c>
      <c r="AO1" s="3" t="inlineStr">
        <is>
          <t>Échéance de décision</t>
        </is>
      </c>
      <c r="AP1" s="3" t="inlineStr">
        <is>
          <t>Source / campagne (forcer)</t>
        </is>
      </c>
      <c r="AQ1" s="2" t="inlineStr">
        <is>
          <t>Campagne (calculée)</t>
        </is>
      </c>
      <c r="AR1" s="2" t="inlineStr">
        <is>
          <t>Segment</t>
        </is>
      </c>
      <c r="AS1" s="2" t="inlineStr">
        <is>
          <t>Route selon les règles</t>
        </is>
      </c>
      <c r="AT1" s="2" t="inlineStr">
        <is>
          <t>Route retenue</t>
        </is>
      </c>
      <c r="AU1" s="2" t="inlineStr">
        <is>
          <t>Lead qualifié (A ou B) 1/0</t>
        </is>
      </c>
      <c r="AV1" s="2" t="inlineStr">
        <is>
          <t>Gagné (dépôt payé ou plus) 1/0</t>
        </is>
      </c>
      <c r="AW1" s="2" t="inlineStr">
        <is>
          <t>Priorité de rappel</t>
        </is>
      </c>
      <c r="AX1" s="2" t="inlineStr">
        <is>
          <t>Valeur de conversion provisoire ($)</t>
        </is>
      </c>
      <c r="AY1" s="2" t="inlineStr">
        <is>
          <t>Valeur ($) : gagnée ou pondérée</t>
        </is>
      </c>
      <c r="AZ1" s="2" t="inlineStr">
        <is>
          <t>Ligne EXEMPLE 1/0</t>
        </is>
      </c>
      <c r="BA1" s="2" t="inlineStr">
        <is>
          <t>Rang import Google</t>
        </is>
      </c>
    </row>
    <row r="2">
      <c r="A2" s="4" t="inlineStr">
        <is>
          <t>lead_id</t>
        </is>
      </c>
      <c r="B2" s="4" t="inlineStr">
        <is>
          <t>date_heure_reception</t>
        </is>
      </c>
      <c r="C2" s="4" t="inlineStr">
        <is>
          <t>date_heure_1er_contact</t>
        </is>
      </c>
      <c r="D2" s="4" t="inlineStr">
        <is>
          <t>delai_min</t>
        </is>
      </c>
      <c r="E2" s="4" t="inlineStr">
        <is>
          <t>prenom</t>
        </is>
      </c>
      <c r="F2" s="4" t="inlineStr">
        <is>
          <t>nom</t>
        </is>
      </c>
      <c r="G2" s="4" t="inlineStr">
        <is>
          <t>courriel</t>
        </is>
      </c>
      <c r="H2" s="4" t="inlineStr">
        <is>
          <t>telephone</t>
        </is>
      </c>
      <c r="I2" s="4" t="inlineStr">
        <is>
          <t>entreprise</t>
        </is>
      </c>
      <c r="J2" s="4" t="inlineStr">
        <is>
          <t>type_client</t>
        </is>
      </c>
      <c r="K2" s="4" t="inlineStr">
        <is>
          <t>type_evenement</t>
        </is>
      </c>
      <c r="L2" s="4" t="inlineStr">
        <is>
          <t>date_evenement</t>
        </is>
      </c>
      <c r="M2" s="4" t="inlineStr">
        <is>
          <t>ville</t>
        </is>
      </c>
      <c r="N2" s="4" t="inlineStr">
        <is>
          <t>nb_invites</t>
        </is>
      </c>
      <c r="O2" s="4" t="inlineStr">
        <is>
          <t>budget_declare</t>
        </is>
      </c>
      <c r="P2" s="4" t="inlineStr">
        <is>
          <t>route</t>
        </is>
      </c>
      <c r="Q2" s="4" t="inlineStr">
        <is>
          <t>lead_score</t>
        </is>
      </c>
      <c r="R2" s="4" t="inlineStr">
        <is>
          <t>etape</t>
        </is>
      </c>
      <c r="S2" s="4" t="inlineStr">
        <is>
          <t>raison_perte</t>
        </is>
      </c>
      <c r="T2" s="4" t="inlineStr">
        <is>
          <t>forfait_propose</t>
        </is>
      </c>
      <c r="U2" s="4" t="inlineStr">
        <is>
          <t>montant_propose</t>
        </is>
      </c>
      <c r="V2" s="4" t="inlineStr">
        <is>
          <t>montant_gagne</t>
        </is>
      </c>
      <c r="W2" s="4" t="inlineStr">
        <is>
          <t>date_depot</t>
        </is>
      </c>
      <c r="X2" s="4" t="inlineStr">
        <is>
          <t>utm_source</t>
        </is>
      </c>
      <c r="Y2" s="4" t="inlineStr">
        <is>
          <t>utm_medium</t>
        </is>
      </c>
      <c r="Z2" s="4" t="inlineStr">
        <is>
          <t>utm_campaign</t>
        </is>
      </c>
      <c r="AA2" s="4" t="inlineStr">
        <is>
          <t>utm_content</t>
        </is>
      </c>
      <c r="AB2" s="4" t="inlineStr">
        <is>
          <t>utm_term</t>
        </is>
      </c>
      <c r="AC2" s="4" t="inlineStr">
        <is>
          <t>gclid</t>
        </is>
      </c>
      <c r="AD2" s="4" t="inlineStr">
        <is>
          <t>msclkid</t>
        </is>
      </c>
      <c r="AE2" s="4" t="inlineStr">
        <is>
          <t>fbclid</t>
        </is>
      </c>
      <c r="AF2" s="4" t="inlineStr">
        <is>
          <t>oppref</t>
        </is>
      </c>
      <c r="AG2" s="4" t="inlineStr">
        <is>
          <t>event_id</t>
        </is>
      </c>
      <c r="AH2" s="4" t="inlineStr">
        <is>
          <t>consent_marketing</t>
        </is>
      </c>
      <c r="AI2" s="4" t="inlineStr">
        <is>
          <t>consent_mesure</t>
        </is>
      </c>
      <c r="AJ2" s="4" t="inlineStr">
        <is>
          <t>date_consentement</t>
        </is>
      </c>
      <c r="AK2" s="4" t="inlineStr">
        <is>
          <t>desabonne</t>
        </is>
      </c>
      <c r="AL2" s="4" t="inlineStr">
        <is>
          <t>conseiller</t>
        </is>
      </c>
      <c r="AM2" s="4" t="inlineStr">
        <is>
          <t>notes</t>
        </is>
      </c>
      <c r="AN2" s="4" t="inlineStr">
        <is>
          <t>role_decision</t>
        </is>
      </c>
      <c r="AO2" s="4" t="inlineStr">
        <is>
          <t>echeance_decision</t>
        </is>
      </c>
      <c r="AP2" s="4" t="inlineStr">
        <is>
          <t>campagne_manuelle</t>
        </is>
      </c>
      <c r="AQ2" s="4" t="inlineStr">
        <is>
          <t>campagne</t>
        </is>
      </c>
      <c r="AR2" s="4" t="inlineStr">
        <is>
          <t>segment</t>
        </is>
      </c>
      <c r="AS2" s="4" t="inlineStr">
        <is>
          <t>route_calculee</t>
        </is>
      </c>
      <c r="AT2" s="4" t="inlineStr">
        <is>
          <t>route_effective</t>
        </is>
      </c>
      <c r="AU2" s="4" t="inlineStr">
        <is>
          <t>qualifie</t>
        </is>
      </c>
      <c r="AV2" s="4" t="inlineStr">
        <is>
          <t>gagne</t>
        </is>
      </c>
      <c r="AW2" s="4" t="inlineStr">
        <is>
          <t>priorite_rappel</t>
        </is>
      </c>
      <c r="AX2" s="4" t="inlineStr">
        <is>
          <t>valeur_conv_provisoire</t>
        </is>
      </c>
      <c r="AY2" s="4" t="inlineStr">
        <is>
          <t>valeur</t>
        </is>
      </c>
      <c r="AZ2" s="4" t="inlineStr">
        <is>
          <t>est_exemple</t>
        </is>
      </c>
      <c r="BA2" s="4" t="inlineStr">
        <is>
          <t>rang_import</t>
        </is>
      </c>
    </row>
    <row r="3">
      <c r="A3" s="5" t="inlineStr">
        <is>
          <t>EXEMPLE-001</t>
        </is>
      </c>
      <c r="B3" s="6" t="n">
        <v>46296.425</v>
      </c>
      <c r="C3" s="6" t="n">
        <v>46296.42777777778</v>
      </c>
      <c r="D3" s="7">
        <f>IF(OR(B3="",C3=""),"",ROUND((C3-B3)*1440,0))</f>
        <v/>
      </c>
      <c r="E3" s="8" t="inlineStr">
        <is>
          <t>Exemple</t>
        </is>
      </c>
      <c r="F3" s="8" t="inlineStr">
        <is>
          <t>Corpo-Party</t>
        </is>
      </c>
      <c r="G3" s="8" t="inlineStr">
        <is>
          <t>exemple1@exemple.com</t>
        </is>
      </c>
      <c r="H3" s="8" t="inlineStr">
        <is>
          <t>+15145550101</t>
        </is>
      </c>
      <c r="I3" s="8" t="inlineStr">
        <is>
          <t>Entreprise Exemple inc.</t>
        </is>
      </c>
      <c r="J3" s="8" t="inlineStr">
        <is>
          <t>entreprise</t>
        </is>
      </c>
      <c r="K3" s="8" t="inlineStr">
        <is>
          <t>corpo_party</t>
        </is>
      </c>
      <c r="L3" s="9" t="n">
        <v>46367</v>
      </c>
      <c r="M3" s="8" t="inlineStr">
        <is>
          <t>Laval</t>
        </is>
      </c>
      <c r="N3" s="8" t="inlineStr">
        <is>
          <t>75_149</t>
        </is>
      </c>
      <c r="O3" s="8" t="inlineStr">
        <is>
          <t>2500_4999</t>
        </is>
      </c>
      <c r="P3" s="8" t="inlineStr">
        <is>
          <t>A</t>
        </is>
      </c>
      <c r="Q3" s="7">
        <f>IF(A3="","",IFERROR(VLOOKUP(O3,Listes!$R$3:$T$8,2,FALSE),0)+IFERROR(VLOOKUP(J3,Listes!$J$3:$L$6,2,FALSE),0)+IFERROR(VLOOKUP(N3,Listes!$N$3:$P$6,2,FALSE),0)+IF(OR(L3="",B3=""),0,IF(L3-INT(B3)&lt;10,8,IF(L3-INT(B3)&lt;=90,10,5)))+IFERROR(VLOOKUP(AN3,Listes!$V$3:$W$5,2,FALSE),0)+IFERROR(VLOOKUP(AO3,Listes!$Y$3:$Z$5,2,FALSE),0))</f>
        <v/>
      </c>
      <c r="R3" s="8" t="inlineStr">
        <is>
          <t>Dépôt payé (gagné)</t>
        </is>
      </c>
      <c r="S3" s="8" t="n"/>
      <c r="T3" s="8" t="inlineStr">
        <is>
          <t>Gala Signature (2 495 $)</t>
        </is>
      </c>
      <c r="U3" s="10" t="n">
        <v>2495</v>
      </c>
      <c r="V3" s="10" t="n">
        <v>2495</v>
      </c>
      <c r="W3" s="6" t="n">
        <v>46298.60416666666</v>
      </c>
      <c r="X3" s="8" t="inlineStr">
        <is>
          <t>google</t>
        </is>
      </c>
      <c r="Y3" s="8" t="inlineStr">
        <is>
          <t>cpc</t>
        </is>
      </c>
      <c r="Z3" s="8" t="inlineStr">
        <is>
          <t>gads_corpo_fetes</t>
        </is>
      </c>
      <c r="AA3" s="8" t="inlineStr">
        <is>
          <t>rsa_prixfixe_v1</t>
        </is>
      </c>
      <c r="AB3" s="8" t="inlineStr">
        <is>
          <t>party de bureau</t>
        </is>
      </c>
      <c r="AC3" s="8" t="inlineStr">
        <is>
          <t>EXEMPLE-GCLID-001</t>
        </is>
      </c>
      <c r="AD3" s="8" t="n"/>
      <c r="AE3" s="8" t="n"/>
      <c r="AF3" s="8" t="n"/>
      <c r="AG3" s="8" t="inlineStr">
        <is>
          <t>ex-0001</t>
        </is>
      </c>
      <c r="AH3" s="8" t="inlineStr">
        <is>
          <t>oui</t>
        </is>
      </c>
      <c r="AI3" s="8" t="inlineStr">
        <is>
          <t>oui</t>
        </is>
      </c>
      <c r="AJ3" s="6" t="n">
        <v>46296.425</v>
      </c>
      <c r="AK3" s="8" t="inlineStr">
        <is>
          <t>non</t>
        </is>
      </c>
      <c r="AL3" s="8" t="inlineStr">
        <is>
          <t>Alexandre</t>
        </is>
      </c>
      <c r="AM3" s="8" t="inlineStr">
        <is>
          <t>EXEMPLE : supprimer cette ligne avant l'usage réel.</t>
        </is>
      </c>
      <c r="AN3" s="8" t="inlineStr">
        <is>
          <t>Je décide</t>
        </is>
      </c>
      <c r="AO3" s="8" t="inlineStr">
        <is>
          <t>Cette semaine</t>
        </is>
      </c>
      <c r="AP3" s="8" t="n"/>
      <c r="AQ3" s="7">
        <f>IF(A3="","",IF(AP3&lt;&gt;"",AP3,IF(LEFT(Z3,11)="gads_marque","Google Search – Marque",IF(LEFT(Z3,12)="gads_mariage","Google Search – Mariage et privé",IF(LEFT(Z3,10)="gads_corpo","Google Search – Corporatif",IF(LEFT(Z3,5)="meta_","Meta – Leads",IF(LEFT(Z3,5)="msft_","Microsoft Ads",IF(LEFT(Z3,8)="chatgpt_","ChatGPT Ads – Test",IF(X3="gbp","Fiche Google (organique)","Autre / non payé")))))))))</f>
        <v/>
      </c>
      <c r="AR3" s="7">
        <f>IF(K3="","",IFERROR(VLOOKUP(K3,Listes!$F$3:$H$8,3,FALSE),""))</f>
        <v/>
      </c>
      <c r="AS3" s="7">
        <f>IF(O3="","",IF(AND(M3="Autre (plus de 40 km)",OR(O3="lt600",O3="600_999",O3="1000_2499")),"D",IF(OR(O3="lt600",AND(O3="600_999",K3&lt;&gt;"mariage",K3&lt;&gt;"prive")),"C",IF(OR(O3="2500_4999",O3="5000p",J3="entreprise",J3="organisme",J3="agence"),"A",IF(OR(O3="1000_2499",O3="600_999"),"B",IF(O3="inconnu",IF(OR(N3="75_149",N3="150p"),"A","B"),""))))))</f>
        <v/>
      </c>
      <c r="AT3" s="7">
        <f>IF(A3="","",IF(P3&lt;&gt;"",P3,AS3))</f>
        <v/>
      </c>
      <c r="AU3" s="7">
        <f>IF(A3="","",IF(OR(AT3="A",AT3="B"),1,0))</f>
        <v/>
      </c>
      <c r="AV3" s="7">
        <f>IF(A3="","",IF(OR(R3="Dépôt payé (gagné)",R3="Événement livré",R3="Avis obtenu"),1,0))</f>
        <v/>
      </c>
      <c r="AW3" s="7">
        <f>IF(A3="","",IF(Q3&gt;70,"Immédiat – propriétaire",IF(Q3&gt;=40,"15 min – personne de garde","Selon la route")))</f>
        <v/>
      </c>
      <c r="AX3" s="11">
        <f>IF(A3="","",IF(AT3="A",400,IF(AT3="B",150,0)))</f>
        <v/>
      </c>
      <c r="AY3" s="11">
        <f>IF(A3="","",IF(AV3=1,N(V3),IF(N(U3)&gt;0,ROUND(N(U3)*IFERROR(VLOOKUP(R3,Listes!$AE$3:$AG$12,2,FALSE),0),0),0)))</f>
        <v/>
      </c>
      <c r="AZ3" s="7">
        <f>IF(LEFT(A3,7)="EXEMPLE",1,0)</f>
        <v/>
      </c>
      <c r="BA3" s="7">
        <f>IF(AND(AV3=1,AZ3=0,AC3&lt;&gt;"",W3&lt;&gt;"",N(V3)&gt;0),COUNTIFS($AV$3:AV3,1,$AZ$3:AZ3,0,$AC$3:AC3,"&lt;&gt;",$W$3:W3,"&lt;&gt;",$V$3:V3,"&gt;0"),"")</f>
        <v/>
      </c>
    </row>
    <row r="4">
      <c r="A4" s="5" t="inlineStr">
        <is>
          <t>EXEMPLE-002</t>
        </is>
      </c>
      <c r="B4" s="6" t="n">
        <v>46297.81944444445</v>
      </c>
      <c r="C4" s="6" t="n">
        <v>46297.83472222222</v>
      </c>
      <c r="D4" s="7">
        <f>IF(OR(B4="",C4=""),"",ROUND((C4-B4)*1440,0))</f>
        <v/>
      </c>
      <c r="E4" s="8" t="inlineStr">
        <is>
          <t>Exemple</t>
        </is>
      </c>
      <c r="F4" s="8" t="inlineStr">
        <is>
          <t>Mariage</t>
        </is>
      </c>
      <c r="G4" s="8" t="inlineStr">
        <is>
          <t>exemple2@exemple.com</t>
        </is>
      </c>
      <c r="H4" s="8" t="inlineStr">
        <is>
          <t>+14505550102</t>
        </is>
      </c>
      <c r="I4" s="8" t="n"/>
      <c r="J4" s="8" t="inlineStr">
        <is>
          <t>particulier</t>
        </is>
      </c>
      <c r="K4" s="8" t="inlineStr">
        <is>
          <t>mariage</t>
        </is>
      </c>
      <c r="L4" s="9" t="n">
        <v>46585</v>
      </c>
      <c r="M4" s="8" t="inlineStr">
        <is>
          <t>Mirabel</t>
        </is>
      </c>
      <c r="N4" s="8" t="inlineStr">
        <is>
          <t>75_149</t>
        </is>
      </c>
      <c r="O4" s="8" t="inlineStr">
        <is>
          <t>1000_2499</t>
        </is>
      </c>
      <c r="P4" s="8" t="inlineStr">
        <is>
          <t>B</t>
        </is>
      </c>
      <c r="Q4" s="7">
        <f>IF(A4="","",IFERROR(VLOOKUP(O4,Listes!$R$3:$T$8,2,FALSE),0)+IFERROR(VLOOKUP(J4,Listes!$J$3:$L$6,2,FALSE),0)+IFERROR(VLOOKUP(N4,Listes!$N$3:$P$6,2,FALSE),0)+IF(OR(L4="",B4=""),0,IF(L4-INT(B4)&lt;10,8,IF(L4-INT(B4)&lt;=90,10,5)))+IFERROR(VLOOKUP(AN4,Listes!$V$3:$W$5,2,FALSE),0)+IFERROR(VLOOKUP(AO4,Listes!$Y$3:$Z$5,2,FALSE),0))</f>
        <v/>
      </c>
      <c r="R4" s="8" t="inlineStr">
        <is>
          <t>Proposition envoyée</t>
        </is>
      </c>
      <c r="S4" s="8" t="n"/>
      <c r="T4" s="8" t="inlineStr">
        <is>
          <t>Soirée Signature (1 449 $)</t>
        </is>
      </c>
      <c r="U4" s="10" t="n">
        <v>1449</v>
      </c>
      <c r="V4" s="10" t="n"/>
      <c r="W4" s="6" t="n"/>
      <c r="X4" s="8" t="inlineStr">
        <is>
          <t>google</t>
        </is>
      </c>
      <c r="Y4" s="8" t="inlineStr">
        <is>
          <t>cpc</t>
        </is>
      </c>
      <c r="Z4" s="8" t="inlineStr">
        <is>
          <t>gads_mariage_deco</t>
        </is>
      </c>
      <c r="AA4" s="8" t="inlineStr">
        <is>
          <t>rsa_dates_v1</t>
        </is>
      </c>
      <c r="AB4" s="8" t="inlineStr">
        <is>
          <t>decor mariage</t>
        </is>
      </c>
      <c r="AC4" s="8" t="inlineStr">
        <is>
          <t>EXEMPLE-GCLID-002</t>
        </is>
      </c>
      <c r="AD4" s="8" t="n"/>
      <c r="AE4" s="8" t="n"/>
      <c r="AF4" s="8" t="n"/>
      <c r="AG4" s="8" t="inlineStr">
        <is>
          <t>ex-0002</t>
        </is>
      </c>
      <c r="AH4" s="8" t="inlineStr">
        <is>
          <t>non</t>
        </is>
      </c>
      <c r="AI4" s="8" t="inlineStr">
        <is>
          <t>oui</t>
        </is>
      </c>
      <c r="AJ4" s="6" t="n">
        <v>46297.81944444445</v>
      </c>
      <c r="AK4" s="8" t="inlineStr">
        <is>
          <t>non</t>
        </is>
      </c>
      <c r="AL4" s="8" t="inlineStr">
        <is>
          <t>Alexandre</t>
        </is>
      </c>
      <c r="AM4" s="8" t="inlineStr">
        <is>
          <t>EXEMPLE : délai de 22 min sur une route B, la ligne est signalée en rouge.</t>
        </is>
      </c>
      <c r="AN4" s="8" t="inlineStr">
        <is>
          <t>Je décide</t>
        </is>
      </c>
      <c r="AO4" s="8" t="inlineStr">
        <is>
          <t>D'ici 30 jours</t>
        </is>
      </c>
      <c r="AP4" s="8" t="n"/>
      <c r="AQ4" s="7">
        <f>IF(A4="","",IF(AP4&lt;&gt;"",AP4,IF(LEFT(Z4,11)="gads_marque","Google Search – Marque",IF(LEFT(Z4,12)="gads_mariage","Google Search – Mariage et privé",IF(LEFT(Z4,10)="gads_corpo","Google Search – Corporatif",IF(LEFT(Z4,5)="meta_","Meta – Leads",IF(LEFT(Z4,5)="msft_","Microsoft Ads",IF(LEFT(Z4,8)="chatgpt_","ChatGPT Ads – Test",IF(X4="gbp","Fiche Google (organique)","Autre / non payé")))))))))</f>
        <v/>
      </c>
      <c r="AR4" s="7">
        <f>IF(K4="","",IFERROR(VLOOKUP(K4,Listes!$F$3:$H$8,3,FALSE),""))</f>
        <v/>
      </c>
      <c r="AS4" s="7">
        <f>IF(O4="","",IF(AND(M4="Autre (plus de 40 km)",OR(O4="lt600",O4="600_999",O4="1000_2499")),"D",IF(OR(O4="lt600",AND(O4="600_999",K4&lt;&gt;"mariage",K4&lt;&gt;"prive")),"C",IF(OR(O4="2500_4999",O4="5000p",J4="entreprise",J4="organisme",J4="agence"),"A",IF(OR(O4="1000_2499",O4="600_999"),"B",IF(O4="inconnu",IF(OR(N4="75_149",N4="150p"),"A","B"),""))))))</f>
        <v/>
      </c>
      <c r="AT4" s="7">
        <f>IF(A4="","",IF(P4&lt;&gt;"",P4,AS4))</f>
        <v/>
      </c>
      <c r="AU4" s="7">
        <f>IF(A4="","",IF(OR(AT4="A",AT4="B"),1,0))</f>
        <v/>
      </c>
      <c r="AV4" s="7">
        <f>IF(A4="","",IF(OR(R4="Dépôt payé (gagné)",R4="Événement livré",R4="Avis obtenu"),1,0))</f>
        <v/>
      </c>
      <c r="AW4" s="7">
        <f>IF(A4="","",IF(Q4&gt;70,"Immédiat – propriétaire",IF(Q4&gt;=40,"15 min – personne de garde","Selon la route")))</f>
        <v/>
      </c>
      <c r="AX4" s="11">
        <f>IF(A4="","",IF(AT4="A",400,IF(AT4="B",150,0)))</f>
        <v/>
      </c>
      <c r="AY4" s="11">
        <f>IF(A4="","",IF(AV4=1,N(V4),IF(N(U4)&gt;0,ROUND(N(U4)*IFERROR(VLOOKUP(R4,Listes!$AE$3:$AG$12,2,FALSE),0),0),0)))</f>
        <v/>
      </c>
      <c r="AZ4" s="7">
        <f>IF(LEFT(A4,7)="EXEMPLE",1,0)</f>
        <v/>
      </c>
      <c r="BA4" s="7">
        <f>IF(AND(AV4=1,AZ4=0,AC4&lt;&gt;"",W4&lt;&gt;"",N(V4)&gt;0),COUNTIFS($AV$3:AV4,1,$AZ$3:AZ4,0,$AC$3:AC4,"&lt;&gt;",$W$3:W4,"&lt;&gt;",$V$3:V4,"&gt;0"),"")</f>
        <v/>
      </c>
    </row>
    <row r="5">
      <c r="A5" s="5" t="inlineStr">
        <is>
          <t>EXEMPLE-003</t>
        </is>
      </c>
      <c r="B5" s="6" t="n">
        <v>46298.46180555555</v>
      </c>
      <c r="C5" s="6" t="n"/>
      <c r="D5" s="7">
        <f>IF(OR(B5="",C5=""),"",ROUND((C5-B5)*1440,0))</f>
        <v/>
      </c>
      <c r="E5" s="8" t="inlineStr">
        <is>
          <t>Exemple</t>
        </is>
      </c>
      <c r="F5" s="8" t="inlineStr">
        <is>
          <t>Privé</t>
        </is>
      </c>
      <c r="G5" s="8" t="inlineStr">
        <is>
          <t>exemple3@exemple.com</t>
        </is>
      </c>
      <c r="H5" s="8" t="inlineStr">
        <is>
          <t>+15145550103</t>
        </is>
      </c>
      <c r="I5" s="8" t="n"/>
      <c r="J5" s="8" t="inlineStr">
        <is>
          <t>particulier</t>
        </is>
      </c>
      <c r="K5" s="8" t="inlineStr">
        <is>
          <t>prive</t>
        </is>
      </c>
      <c r="L5" s="9" t="n">
        <v>46333</v>
      </c>
      <c r="M5" s="8" t="inlineStr">
        <is>
          <t>Boisbriand</t>
        </is>
      </c>
      <c r="N5" s="8" t="inlineStr">
        <is>
          <t>lt30</t>
        </is>
      </c>
      <c r="O5" s="8" t="inlineStr">
        <is>
          <t>lt600</t>
        </is>
      </c>
      <c r="P5" s="8" t="inlineStr">
        <is>
          <t>C</t>
        </is>
      </c>
      <c r="Q5" s="7">
        <f>IF(A5="","",IFERROR(VLOOKUP(O5,Listes!$R$3:$T$8,2,FALSE),0)+IFERROR(VLOOKUP(J5,Listes!$J$3:$L$6,2,FALSE),0)+IFERROR(VLOOKUP(N5,Listes!$N$3:$P$6,2,FALSE),0)+IF(OR(L5="",B5=""),0,IF(L5-INT(B5)&lt;10,8,IF(L5-INT(B5)&lt;=90,10,5)))+IFERROR(VLOOKUP(AN5,Listes!$V$3:$W$5,2,FALSE),0)+IFERROR(VLOOKUP(AO5,Listes!$Y$3:$Z$5,2,FALSE),0))</f>
        <v/>
      </c>
      <c r="R5" s="8" t="inlineStr">
        <is>
          <t>Disqualifié</t>
        </is>
      </c>
      <c r="S5" s="8" t="inlineStr">
        <is>
          <t>Disqualifié – budget &lt; seuil</t>
        </is>
      </c>
      <c r="T5" s="8" t="n"/>
      <c r="U5" s="10" t="n"/>
      <c r="V5" s="10" t="n"/>
      <c r="W5" s="6" t="n"/>
      <c r="X5" s="8" t="inlineStr">
        <is>
          <t>meta</t>
        </is>
      </c>
      <c r="Y5" s="8" t="inlineStr">
        <is>
          <t>paid_social</t>
        </is>
      </c>
      <c r="Z5" s="8" t="inlineStr">
        <is>
          <t>meta_mariage_deco</t>
        </is>
      </c>
      <c r="AA5" s="8" t="inlineStr">
        <is>
          <t>reel_avantapres_v2</t>
        </is>
      </c>
      <c r="AB5" s="8" t="n"/>
      <c r="AC5" s="8" t="n"/>
      <c r="AD5" s="8" t="n"/>
      <c r="AE5" s="8" t="inlineStr">
        <is>
          <t>EXEMPLE-FBCLID-003</t>
        </is>
      </c>
      <c r="AF5" s="8" t="n"/>
      <c r="AG5" s="8" t="inlineStr">
        <is>
          <t>ex-0003</t>
        </is>
      </c>
      <c r="AH5" s="8" t="inlineStr">
        <is>
          <t>non</t>
        </is>
      </c>
      <c r="AI5" s="8" t="inlineStr">
        <is>
          <t>non</t>
        </is>
      </c>
      <c r="AJ5" s="6" t="n"/>
      <c r="AK5" s="8" t="inlineStr">
        <is>
          <t>non</t>
        </is>
      </c>
      <c r="AL5" s="8" t="inlineStr">
        <is>
          <t>Alexandre</t>
        </is>
      </c>
      <c r="AM5" s="8" t="inlineStr">
        <is>
          <t>EXEMPLE : route C, redirigé vers la boutique.</t>
        </is>
      </c>
      <c r="AN5" s="8" t="inlineStr">
        <is>
          <t>Je décide</t>
        </is>
      </c>
      <c r="AO5" s="8" t="inlineStr">
        <is>
          <t>Cette semaine</t>
        </is>
      </c>
      <c r="AP5" s="8" t="n"/>
      <c r="AQ5" s="7">
        <f>IF(A5="","",IF(AP5&lt;&gt;"",AP5,IF(LEFT(Z5,11)="gads_marque","Google Search – Marque",IF(LEFT(Z5,12)="gads_mariage","Google Search – Mariage et privé",IF(LEFT(Z5,10)="gads_corpo","Google Search – Corporatif",IF(LEFT(Z5,5)="meta_","Meta – Leads",IF(LEFT(Z5,5)="msft_","Microsoft Ads",IF(LEFT(Z5,8)="chatgpt_","ChatGPT Ads – Test",IF(X5="gbp","Fiche Google (organique)","Autre / non payé")))))))))</f>
        <v/>
      </c>
      <c r="AR5" s="7">
        <f>IF(K5="","",IFERROR(VLOOKUP(K5,Listes!$F$3:$H$8,3,FALSE),""))</f>
        <v/>
      </c>
      <c r="AS5" s="7">
        <f>IF(O5="","",IF(AND(M5="Autre (plus de 40 km)",OR(O5="lt600",O5="600_999",O5="1000_2499")),"D",IF(OR(O5="lt600",AND(O5="600_999",K5&lt;&gt;"mariage",K5&lt;&gt;"prive")),"C",IF(OR(O5="2500_4999",O5="5000p",J5="entreprise",J5="organisme",J5="agence"),"A",IF(OR(O5="1000_2499",O5="600_999"),"B",IF(O5="inconnu",IF(OR(N5="75_149",N5="150p"),"A","B"),""))))))</f>
        <v/>
      </c>
      <c r="AT5" s="7">
        <f>IF(A5="","",IF(P5&lt;&gt;"",P5,AS5))</f>
        <v/>
      </c>
      <c r="AU5" s="7">
        <f>IF(A5="","",IF(OR(AT5="A",AT5="B"),1,0))</f>
        <v/>
      </c>
      <c r="AV5" s="7">
        <f>IF(A5="","",IF(OR(R5="Dépôt payé (gagné)",R5="Événement livré",R5="Avis obtenu"),1,0))</f>
        <v/>
      </c>
      <c r="AW5" s="7">
        <f>IF(A5="","",IF(Q5&gt;70,"Immédiat – propriétaire",IF(Q5&gt;=40,"15 min – personne de garde","Selon la route")))</f>
        <v/>
      </c>
      <c r="AX5" s="11">
        <f>IF(A5="","",IF(AT5="A",400,IF(AT5="B",150,0)))</f>
        <v/>
      </c>
      <c r="AY5" s="11">
        <f>IF(A5="","",IF(AV5=1,N(V5),IF(N(U5)&gt;0,ROUND(N(U5)*IFERROR(VLOOKUP(R5,Listes!$AE$3:$AG$12,2,FALSE),0),0),0)))</f>
        <v/>
      </c>
      <c r="AZ5" s="7">
        <f>IF(LEFT(A5,7)="EXEMPLE",1,0)</f>
        <v/>
      </c>
      <c r="BA5" s="7">
        <f>IF(AND(AV5=1,AZ5=0,AC5&lt;&gt;"",W5&lt;&gt;"",N(V5)&gt;0),COUNTIFS($AV$3:AV5,1,$AZ$3:AZ5,0,$AC$3:AC5,"&lt;&gt;",$W$3:W5,"&lt;&gt;",$V$3:V5,"&gt;0"),"")</f>
        <v/>
      </c>
    </row>
    <row r="6">
      <c r="A6" s="5" t="inlineStr">
        <is>
          <t>EXEMPLE-004</t>
        </is>
      </c>
      <c r="B6" s="6" t="n">
        <v>46300.39583333334</v>
      </c>
      <c r="C6" s="6" t="n">
        <v>46300.39791666667</v>
      </c>
      <c r="D6" s="7">
        <f>IF(OR(B6="",C6=""),"",ROUND((C6-B6)*1440,0))</f>
        <v/>
      </c>
      <c r="E6" s="8" t="inlineStr">
        <is>
          <t>Exemple</t>
        </is>
      </c>
      <c r="F6" s="8" t="inlineStr">
        <is>
          <t>Gala</t>
        </is>
      </c>
      <c r="G6" s="8" t="inlineStr">
        <is>
          <t>exemple4@exemple.com</t>
        </is>
      </c>
      <c r="H6" s="8" t="inlineStr">
        <is>
          <t>+14505550104</t>
        </is>
      </c>
      <c r="I6" s="8" t="inlineStr">
        <is>
          <t>Ville Exemple</t>
        </is>
      </c>
      <c r="J6" s="8" t="inlineStr">
        <is>
          <t>organisme</t>
        </is>
      </c>
      <c r="K6" s="8" t="inlineStr">
        <is>
          <t>corpo_gala</t>
        </is>
      </c>
      <c r="L6" s="9" t="n">
        <v>46438</v>
      </c>
      <c r="M6" s="8" t="inlineStr">
        <is>
          <t>Terrebonne</t>
        </is>
      </c>
      <c r="N6" s="8" t="inlineStr">
        <is>
          <t>150p</t>
        </is>
      </c>
      <c r="O6" s="8" t="inlineStr">
        <is>
          <t>5000p</t>
        </is>
      </c>
      <c r="P6" s="8" t="inlineStr">
        <is>
          <t>A</t>
        </is>
      </c>
      <c r="Q6" s="7">
        <f>IF(A6="","",IFERROR(VLOOKUP(O6,Listes!$R$3:$T$8,2,FALSE),0)+IFERROR(VLOOKUP(J6,Listes!$J$3:$L$6,2,FALSE),0)+IFERROR(VLOOKUP(N6,Listes!$N$3:$P$6,2,FALSE),0)+IF(OR(L6="",B6=""),0,IF(L6-INT(B6)&lt;10,8,IF(L6-INT(B6)&lt;=90,10,5)))+IFERROR(VLOOKUP(AN6,Listes!$V$3:$W$5,2,FALSE),0)+IFERROR(VLOOKUP(AO6,Listes!$Y$3:$Z$5,2,FALSE),0))</f>
        <v/>
      </c>
      <c r="R6" s="8" t="inlineStr">
        <is>
          <t>Négociation</t>
        </is>
      </c>
      <c r="S6" s="8" t="n"/>
      <c r="T6" s="8" t="inlineStr">
        <is>
          <t>Sur mesure</t>
        </is>
      </c>
      <c r="U6" s="10" t="n">
        <v>3200</v>
      </c>
      <c r="V6" s="10" t="n"/>
      <c r="W6" s="6" t="n"/>
      <c r="X6" s="8" t="inlineStr">
        <is>
          <t>chatgpt</t>
        </is>
      </c>
      <c r="Y6" s="8" t="inlineStr">
        <is>
          <t>cpc</t>
        </is>
      </c>
      <c r="Z6" s="8" t="inlineStr">
        <is>
          <t>chatgpt_corpo_fetes</t>
        </is>
      </c>
      <c r="AA6" s="8" t="inlineStr">
        <is>
          <t>card_dates_dec_v1</t>
        </is>
      </c>
      <c r="AB6" s="8" t="n"/>
      <c r="AC6" s="8" t="n"/>
      <c r="AD6" s="8" t="n"/>
      <c r="AE6" s="8" t="n"/>
      <c r="AF6" s="8" t="inlineStr">
        <is>
          <t>EXEMPLE-OPPREF-004</t>
        </is>
      </c>
      <c r="AG6" s="8" t="inlineStr">
        <is>
          <t>ex-0004</t>
        </is>
      </c>
      <c r="AH6" s="8" t="inlineStr">
        <is>
          <t>oui</t>
        </is>
      </c>
      <c r="AI6" s="8" t="inlineStr">
        <is>
          <t>non</t>
        </is>
      </c>
      <c r="AJ6" s="6" t="n">
        <v>46300.39583333334</v>
      </c>
      <c r="AK6" s="8" t="inlineStr">
        <is>
          <t>non</t>
        </is>
      </c>
      <c r="AL6" s="8" t="inlineStr">
        <is>
          <t>Alexandre</t>
        </is>
      </c>
      <c r="AM6" s="8" t="inlineStr">
        <is>
          <t>EXEMPLE : comité, relance la veille de la réunion.</t>
        </is>
      </c>
      <c r="AN6" s="8" t="inlineStr">
        <is>
          <t>Je compare des options pour un comité</t>
        </is>
      </c>
      <c r="AO6" s="8" t="inlineStr">
        <is>
          <t>D'ici 30 jours</t>
        </is>
      </c>
      <c r="AP6" s="8" t="n"/>
      <c r="AQ6" s="7">
        <f>IF(A6="","",IF(AP6&lt;&gt;"",AP6,IF(LEFT(Z6,11)="gads_marque","Google Search – Marque",IF(LEFT(Z6,12)="gads_mariage","Google Search – Mariage et privé",IF(LEFT(Z6,10)="gads_corpo","Google Search – Corporatif",IF(LEFT(Z6,5)="meta_","Meta – Leads",IF(LEFT(Z6,5)="msft_","Microsoft Ads",IF(LEFT(Z6,8)="chatgpt_","ChatGPT Ads – Test",IF(X6="gbp","Fiche Google (organique)","Autre / non payé")))))))))</f>
        <v/>
      </c>
      <c r="AR6" s="7">
        <f>IF(K6="","",IFERROR(VLOOKUP(K6,Listes!$F$3:$H$8,3,FALSE),""))</f>
        <v/>
      </c>
      <c r="AS6" s="7">
        <f>IF(O6="","",IF(AND(M6="Autre (plus de 40 km)",OR(O6="lt600",O6="600_999",O6="1000_2499")),"D",IF(OR(O6="lt600",AND(O6="600_999",K6&lt;&gt;"mariage",K6&lt;&gt;"prive")),"C",IF(OR(O6="2500_4999",O6="5000p",J6="entreprise",J6="organisme",J6="agence"),"A",IF(OR(O6="1000_2499",O6="600_999"),"B",IF(O6="inconnu",IF(OR(N6="75_149",N6="150p"),"A","B"),""))))))</f>
        <v/>
      </c>
      <c r="AT6" s="7">
        <f>IF(A6="","",IF(P6&lt;&gt;"",P6,AS6))</f>
        <v/>
      </c>
      <c r="AU6" s="7">
        <f>IF(A6="","",IF(OR(AT6="A",AT6="B"),1,0))</f>
        <v/>
      </c>
      <c r="AV6" s="7">
        <f>IF(A6="","",IF(OR(R6="Dépôt payé (gagné)",R6="Événement livré",R6="Avis obtenu"),1,0))</f>
        <v/>
      </c>
      <c r="AW6" s="7">
        <f>IF(A6="","",IF(Q6&gt;70,"Immédiat – propriétaire",IF(Q6&gt;=40,"15 min – personne de garde","Selon la route")))</f>
        <v/>
      </c>
      <c r="AX6" s="11">
        <f>IF(A6="","",IF(AT6="A",400,IF(AT6="B",150,0)))</f>
        <v/>
      </c>
      <c r="AY6" s="11">
        <f>IF(A6="","",IF(AV6=1,N(V6),IF(N(U6)&gt;0,ROUND(N(U6)*IFERROR(VLOOKUP(R6,Listes!$AE$3:$AG$12,2,FALSE),0),0),0)))</f>
        <v/>
      </c>
      <c r="AZ6" s="7">
        <f>IF(LEFT(A6,7)="EXEMPLE",1,0)</f>
        <v/>
      </c>
      <c r="BA6" s="7">
        <f>IF(AND(AV6=1,AZ6=0,AC6&lt;&gt;"",W6&lt;&gt;"",N(V6)&gt;0),COUNTIFS($AV$3:AV6,1,$AZ$3:AZ6,0,$AC$3:AC6,"&lt;&gt;",$W$3:W6,"&lt;&gt;",$V$3:V6,"&gt;0"),"")</f>
        <v/>
      </c>
    </row>
    <row r="7">
      <c r="A7" s="5" t="inlineStr">
        <is>
          <t>EXEMPLE-005</t>
        </is>
      </c>
      <c r="B7" s="6" t="n">
        <v>46301.57638888889</v>
      </c>
      <c r="C7" s="6" t="n">
        <v>46301.58194444444</v>
      </c>
      <c r="D7" s="7">
        <f>IF(OR(B7="",C7=""),"",ROUND((C7-B7)*1440,0))</f>
        <v/>
      </c>
      <c r="E7" s="8" t="inlineStr">
        <is>
          <t>Exemple</t>
        </is>
      </c>
      <c r="F7" s="8" t="inlineStr">
        <is>
          <t>5à7</t>
        </is>
      </c>
      <c r="G7" s="8" t="inlineStr">
        <is>
          <t>exemple5@exemple.com</t>
        </is>
      </c>
      <c r="H7" s="8" t="inlineStr">
        <is>
          <t>+15145550105</t>
        </is>
      </c>
      <c r="I7" s="8" t="inlineStr">
        <is>
          <t>PME Exemple</t>
        </is>
      </c>
      <c r="J7" s="8" t="inlineStr">
        <is>
          <t>entreprise</t>
        </is>
      </c>
      <c r="K7" s="8" t="inlineStr">
        <is>
          <t>corpo_5a7</t>
        </is>
      </c>
      <c r="L7" s="9" t="n">
        <v>46352</v>
      </c>
      <c r="M7" s="8" t="inlineStr">
        <is>
          <t>Montréal – centre-ville</t>
        </is>
      </c>
      <c r="N7" s="8" t="inlineStr">
        <is>
          <t>30_74</t>
        </is>
      </c>
      <c r="O7" s="8" t="inlineStr">
        <is>
          <t>1000_2499</t>
        </is>
      </c>
      <c r="P7" s="8" t="inlineStr">
        <is>
          <t>A</t>
        </is>
      </c>
      <c r="Q7" s="7">
        <f>IF(A7="","",IFERROR(VLOOKUP(O7,Listes!$R$3:$T$8,2,FALSE),0)+IFERROR(VLOOKUP(J7,Listes!$J$3:$L$6,2,FALSE),0)+IFERROR(VLOOKUP(N7,Listes!$N$3:$P$6,2,FALSE),0)+IF(OR(L7="",B7=""),0,IF(L7-INT(B7)&lt;10,8,IF(L7-INT(B7)&lt;=90,10,5)))+IFERROR(VLOOKUP(AN7,Listes!$V$3:$W$5,2,FALSE),0)+IFERROR(VLOOKUP(AO7,Listes!$Y$3:$Z$5,2,FALSE),0))</f>
        <v/>
      </c>
      <c r="R7" s="8" t="inlineStr">
        <is>
          <t>Perdu</t>
        </is>
      </c>
      <c r="S7" s="8" t="inlineStr">
        <is>
          <t>Perdu – concurrent</t>
        </is>
      </c>
      <c r="T7" s="8" t="inlineStr">
        <is>
          <t>5 à 7 (1 195 $)</t>
        </is>
      </c>
      <c r="U7" s="10" t="n">
        <v>1195</v>
      </c>
      <c r="V7" s="10" t="n"/>
      <c r="W7" s="6" t="n"/>
      <c r="X7" s="8" t="inlineStr">
        <is>
          <t>bing</t>
        </is>
      </c>
      <c r="Y7" s="8" t="inlineStr">
        <is>
          <t>cpc</t>
        </is>
      </c>
      <c r="Z7" s="8" t="inlineStr">
        <is>
          <t>msft_corpo</t>
        </is>
      </c>
      <c r="AA7" s="8" t="inlineStr">
        <is>
          <t>rsa_prixfixe_v1</t>
        </is>
      </c>
      <c r="AB7" s="8" t="inlineStr">
        <is>
          <t>5 a 7 entreprise</t>
        </is>
      </c>
      <c r="AC7" s="8" t="n"/>
      <c r="AD7" s="8" t="inlineStr">
        <is>
          <t>EXEMPLE-MSCLKID-005</t>
        </is>
      </c>
      <c r="AE7" s="8" t="n"/>
      <c r="AF7" s="8" t="n"/>
      <c r="AG7" s="8" t="inlineStr">
        <is>
          <t>ex-0005</t>
        </is>
      </c>
      <c r="AH7" s="8" t="inlineStr">
        <is>
          <t>non</t>
        </is>
      </c>
      <c r="AI7" s="8" t="inlineStr">
        <is>
          <t>non</t>
        </is>
      </c>
      <c r="AJ7" s="6" t="n"/>
      <c r="AK7" s="8" t="inlineStr">
        <is>
          <t>non</t>
        </is>
      </c>
      <c r="AL7" s="8" t="inlineStr">
        <is>
          <t>Alexandre</t>
        </is>
      </c>
      <c r="AM7" s="8" t="inlineStr">
        <is>
          <t>EXEMPLE : concurrent = [nom] ; noter lequel.</t>
        </is>
      </c>
      <c r="AN7" s="8" t="inlineStr">
        <is>
          <t>Je recommande, quelqu'un d'autre approuve</t>
        </is>
      </c>
      <c r="AO7" s="8" t="inlineStr">
        <is>
          <t>Cette semaine</t>
        </is>
      </c>
      <c r="AP7" s="8" t="n"/>
      <c r="AQ7" s="7">
        <f>IF(A7="","",IF(AP7&lt;&gt;"",AP7,IF(LEFT(Z7,11)="gads_marque","Google Search – Marque",IF(LEFT(Z7,12)="gads_mariage","Google Search – Mariage et privé",IF(LEFT(Z7,10)="gads_corpo","Google Search – Corporatif",IF(LEFT(Z7,5)="meta_","Meta – Leads",IF(LEFT(Z7,5)="msft_","Microsoft Ads",IF(LEFT(Z7,8)="chatgpt_","ChatGPT Ads – Test",IF(X7="gbp","Fiche Google (organique)","Autre / non payé")))))))))</f>
        <v/>
      </c>
      <c r="AR7" s="7">
        <f>IF(K7="","",IFERROR(VLOOKUP(K7,Listes!$F$3:$H$8,3,FALSE),""))</f>
        <v/>
      </c>
      <c r="AS7" s="7">
        <f>IF(O7="","",IF(AND(M7="Autre (plus de 40 km)",OR(O7="lt600",O7="600_999",O7="1000_2499")),"D",IF(OR(O7="lt600",AND(O7="600_999",K7&lt;&gt;"mariage",K7&lt;&gt;"prive")),"C",IF(OR(O7="2500_4999",O7="5000p",J7="entreprise",J7="organisme",J7="agence"),"A",IF(OR(O7="1000_2499",O7="600_999"),"B",IF(O7="inconnu",IF(OR(N7="75_149",N7="150p"),"A","B"),""))))))</f>
        <v/>
      </c>
      <c r="AT7" s="7">
        <f>IF(A7="","",IF(P7&lt;&gt;"",P7,AS7))</f>
        <v/>
      </c>
      <c r="AU7" s="7">
        <f>IF(A7="","",IF(OR(AT7="A",AT7="B"),1,0))</f>
        <v/>
      </c>
      <c r="AV7" s="7">
        <f>IF(A7="","",IF(OR(R7="Dépôt payé (gagné)",R7="Événement livré",R7="Avis obtenu"),1,0))</f>
        <v/>
      </c>
      <c r="AW7" s="7">
        <f>IF(A7="","",IF(Q7&gt;70,"Immédiat – propriétaire",IF(Q7&gt;=40,"15 min – personne de garde","Selon la route")))</f>
        <v/>
      </c>
      <c r="AX7" s="11">
        <f>IF(A7="","",IF(AT7="A",400,IF(AT7="B",150,0)))</f>
        <v/>
      </c>
      <c r="AY7" s="11">
        <f>IF(A7="","",IF(AV7=1,N(V7),IF(N(U7)&gt;0,ROUND(N(U7)*IFERROR(VLOOKUP(R7,Listes!$AE$3:$AG$12,2,FALSE),0),0),0)))</f>
        <v/>
      </c>
      <c r="AZ7" s="7">
        <f>IF(LEFT(A7,7)="EXEMPLE",1,0)</f>
        <v/>
      </c>
      <c r="BA7" s="7">
        <f>IF(AND(AV7=1,AZ7=0,AC7&lt;&gt;"",W7&lt;&gt;"",N(V7)&gt;0),COUNTIFS($AV$3:AV7,1,$AZ$3:AZ7,0,$AC$3:AC7,"&lt;&gt;",$W$3:W7,"&lt;&gt;",$V$3:V7,"&gt;0"),"")</f>
        <v/>
      </c>
    </row>
    <row r="8">
      <c r="A8" s="12" t="n"/>
      <c r="B8" s="13" t="n"/>
      <c r="C8" s="13" t="n"/>
      <c r="D8" s="7">
        <f>IF(OR(B8="",C8=""),"",ROUND((C8-B8)*1440,0))</f>
        <v/>
      </c>
      <c r="E8" s="12" t="n"/>
      <c r="F8" s="12" t="n"/>
      <c r="G8" s="12" t="n"/>
      <c r="H8" s="12" t="n"/>
      <c r="I8" s="12" t="n"/>
      <c r="J8" s="12" t="n"/>
      <c r="K8" s="12" t="n"/>
      <c r="L8" s="14" t="n"/>
      <c r="M8" s="12" t="n"/>
      <c r="N8" s="12" t="n"/>
      <c r="O8" s="12" t="n"/>
      <c r="P8" s="12" t="n"/>
      <c r="Q8" s="7">
        <f>IF(A8="","",IFERROR(VLOOKUP(O8,Listes!$R$3:$T$8,2,FALSE),0)+IFERROR(VLOOKUP(J8,Listes!$J$3:$L$6,2,FALSE),0)+IFERROR(VLOOKUP(N8,Listes!$N$3:$P$6,2,FALSE),0)+IF(OR(L8="",B8=""),0,IF(L8-INT(B8)&lt;10,8,IF(L8-INT(B8)&lt;=90,10,5)))+IFERROR(VLOOKUP(AN8,Listes!$V$3:$W$5,2,FALSE),0)+IFERROR(VLOOKUP(AO8,Listes!$Y$3:$Z$5,2,FALSE),0))</f>
        <v/>
      </c>
      <c r="R8" s="12" t="n"/>
      <c r="S8" s="12" t="n"/>
      <c r="T8" s="12" t="n"/>
      <c r="U8" s="15" t="n"/>
      <c r="V8" s="15" t="n"/>
      <c r="W8" s="13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3" t="n"/>
      <c r="AK8" s="12" t="n"/>
      <c r="AL8" s="12" t="n"/>
      <c r="AM8" s="12" t="n"/>
      <c r="AN8" s="12" t="n"/>
      <c r="AO8" s="12" t="n"/>
      <c r="AP8" s="12" t="n"/>
      <c r="AQ8" s="7">
        <f>IF(A8="","",IF(AP8&lt;&gt;"",AP8,IF(LEFT(Z8,11)="gads_marque","Google Search – Marque",IF(LEFT(Z8,12)="gads_mariage","Google Search – Mariage et privé",IF(LEFT(Z8,10)="gads_corpo","Google Search – Corporatif",IF(LEFT(Z8,5)="meta_","Meta – Leads",IF(LEFT(Z8,5)="msft_","Microsoft Ads",IF(LEFT(Z8,8)="chatgpt_","ChatGPT Ads – Test",IF(X8="gbp","Fiche Google (organique)","Autre / non payé")))))))))</f>
        <v/>
      </c>
      <c r="AR8" s="7">
        <f>IF(K8="","",IFERROR(VLOOKUP(K8,Listes!$F$3:$H$8,3,FALSE),""))</f>
        <v/>
      </c>
      <c r="AS8" s="7">
        <f>IF(O8="","",IF(AND(M8="Autre (plus de 40 km)",OR(O8="lt600",O8="600_999",O8="1000_2499")),"D",IF(OR(O8="lt600",AND(O8="600_999",K8&lt;&gt;"mariage",K8&lt;&gt;"prive")),"C",IF(OR(O8="2500_4999",O8="5000p",J8="entreprise",J8="organisme",J8="agence"),"A",IF(OR(O8="1000_2499",O8="600_999"),"B",IF(O8="inconnu",IF(OR(N8="75_149",N8="150p"),"A","B"),""))))))</f>
        <v/>
      </c>
      <c r="AT8" s="7">
        <f>IF(A8="","",IF(P8&lt;&gt;"",P8,AS8))</f>
        <v/>
      </c>
      <c r="AU8" s="7">
        <f>IF(A8="","",IF(OR(AT8="A",AT8="B"),1,0))</f>
        <v/>
      </c>
      <c r="AV8" s="7">
        <f>IF(A8="","",IF(OR(R8="Dépôt payé (gagné)",R8="Événement livré",R8="Avis obtenu"),1,0))</f>
        <v/>
      </c>
      <c r="AW8" s="7">
        <f>IF(A8="","",IF(Q8&gt;70,"Immédiat – propriétaire",IF(Q8&gt;=40,"15 min – personne de garde","Selon la route")))</f>
        <v/>
      </c>
      <c r="AX8" s="11">
        <f>IF(A8="","",IF(AT8="A",400,IF(AT8="B",150,0)))</f>
        <v/>
      </c>
      <c r="AY8" s="11">
        <f>IF(A8="","",IF(AV8=1,N(V8),IF(N(U8)&gt;0,ROUND(N(U8)*IFERROR(VLOOKUP(R8,Listes!$AE$3:$AG$12,2,FALSE),0),0),0)))</f>
        <v/>
      </c>
      <c r="AZ8" s="7">
        <f>IF(LEFT(A8,7)="EXEMPLE",1,0)</f>
        <v/>
      </c>
      <c r="BA8" s="7">
        <f>IF(AND(AV8=1,AZ8=0,AC8&lt;&gt;"",W8&lt;&gt;"",N(V8)&gt;0),COUNTIFS($AV$3:AV8,1,$AZ$3:AZ8,0,$AC$3:AC8,"&lt;&gt;",$W$3:W8,"&lt;&gt;",$V$3:V8,"&gt;0"),"")</f>
        <v/>
      </c>
    </row>
    <row r="9">
      <c r="A9" s="12" t="n"/>
      <c r="B9" s="13" t="n"/>
      <c r="C9" s="13" t="n"/>
      <c r="D9" s="7">
        <f>IF(OR(B9="",C9=""),"",ROUND((C9-B9)*1440,0))</f>
        <v/>
      </c>
      <c r="E9" s="12" t="n"/>
      <c r="F9" s="12" t="n"/>
      <c r="G9" s="12" t="n"/>
      <c r="H9" s="12" t="n"/>
      <c r="I9" s="12" t="n"/>
      <c r="J9" s="12" t="n"/>
      <c r="K9" s="12" t="n"/>
      <c r="L9" s="14" t="n"/>
      <c r="M9" s="12" t="n"/>
      <c r="N9" s="12" t="n"/>
      <c r="O9" s="12" t="n"/>
      <c r="P9" s="12" t="n"/>
      <c r="Q9" s="7">
        <f>IF(A9="","",IFERROR(VLOOKUP(O9,Listes!$R$3:$T$8,2,FALSE),0)+IFERROR(VLOOKUP(J9,Listes!$J$3:$L$6,2,FALSE),0)+IFERROR(VLOOKUP(N9,Listes!$N$3:$P$6,2,FALSE),0)+IF(OR(L9="",B9=""),0,IF(L9-INT(B9)&lt;10,8,IF(L9-INT(B9)&lt;=90,10,5)))+IFERROR(VLOOKUP(AN9,Listes!$V$3:$W$5,2,FALSE),0)+IFERROR(VLOOKUP(AO9,Listes!$Y$3:$Z$5,2,FALSE),0))</f>
        <v/>
      </c>
      <c r="R9" s="12" t="n"/>
      <c r="S9" s="12" t="n"/>
      <c r="T9" s="12" t="n"/>
      <c r="U9" s="15" t="n"/>
      <c r="V9" s="15" t="n"/>
      <c r="W9" s="13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3" t="n"/>
      <c r="AK9" s="12" t="n"/>
      <c r="AL9" s="12" t="n"/>
      <c r="AM9" s="12" t="n"/>
      <c r="AN9" s="12" t="n"/>
      <c r="AO9" s="12" t="n"/>
      <c r="AP9" s="12" t="n"/>
      <c r="AQ9" s="7">
        <f>IF(A9="","",IF(AP9&lt;&gt;"",AP9,IF(LEFT(Z9,11)="gads_marque","Google Search – Marque",IF(LEFT(Z9,12)="gads_mariage","Google Search – Mariage et privé",IF(LEFT(Z9,10)="gads_corpo","Google Search – Corporatif",IF(LEFT(Z9,5)="meta_","Meta – Leads",IF(LEFT(Z9,5)="msft_","Microsoft Ads",IF(LEFT(Z9,8)="chatgpt_","ChatGPT Ads – Test",IF(X9="gbp","Fiche Google (organique)","Autre / non payé")))))))))</f>
        <v/>
      </c>
      <c r="AR9" s="7">
        <f>IF(K9="","",IFERROR(VLOOKUP(K9,Listes!$F$3:$H$8,3,FALSE),""))</f>
        <v/>
      </c>
      <c r="AS9" s="7">
        <f>IF(O9="","",IF(AND(M9="Autre (plus de 40 km)",OR(O9="lt600",O9="600_999",O9="1000_2499")),"D",IF(OR(O9="lt600",AND(O9="600_999",K9&lt;&gt;"mariage",K9&lt;&gt;"prive")),"C",IF(OR(O9="2500_4999",O9="5000p",J9="entreprise",J9="organisme",J9="agence"),"A",IF(OR(O9="1000_2499",O9="600_999"),"B",IF(O9="inconnu",IF(OR(N9="75_149",N9="150p"),"A","B"),""))))))</f>
        <v/>
      </c>
      <c r="AT9" s="7">
        <f>IF(A9="","",IF(P9&lt;&gt;"",P9,AS9))</f>
        <v/>
      </c>
      <c r="AU9" s="7">
        <f>IF(A9="","",IF(OR(AT9="A",AT9="B"),1,0))</f>
        <v/>
      </c>
      <c r="AV9" s="7">
        <f>IF(A9="","",IF(OR(R9="Dépôt payé (gagné)",R9="Événement livré",R9="Avis obtenu"),1,0))</f>
        <v/>
      </c>
      <c r="AW9" s="7">
        <f>IF(A9="","",IF(Q9&gt;70,"Immédiat – propriétaire",IF(Q9&gt;=40,"15 min – personne de garde","Selon la route")))</f>
        <v/>
      </c>
      <c r="AX9" s="11">
        <f>IF(A9="","",IF(AT9="A",400,IF(AT9="B",150,0)))</f>
        <v/>
      </c>
      <c r="AY9" s="11">
        <f>IF(A9="","",IF(AV9=1,N(V9),IF(N(U9)&gt;0,ROUND(N(U9)*IFERROR(VLOOKUP(R9,Listes!$AE$3:$AG$12,2,FALSE),0),0),0)))</f>
        <v/>
      </c>
      <c r="AZ9" s="7">
        <f>IF(LEFT(A9,7)="EXEMPLE",1,0)</f>
        <v/>
      </c>
      <c r="BA9" s="7">
        <f>IF(AND(AV9=1,AZ9=0,AC9&lt;&gt;"",W9&lt;&gt;"",N(V9)&gt;0),COUNTIFS($AV$3:AV9,1,$AZ$3:AZ9,0,$AC$3:AC9,"&lt;&gt;",$W$3:W9,"&lt;&gt;",$V$3:V9,"&gt;0"),"")</f>
        <v/>
      </c>
    </row>
    <row r="10">
      <c r="A10" s="12" t="n"/>
      <c r="B10" s="13" t="n"/>
      <c r="C10" s="13" t="n"/>
      <c r="D10" s="7">
        <f>IF(OR(B10="",C10=""),"",ROUND((C10-B10)*1440,0))</f>
        <v/>
      </c>
      <c r="E10" s="12" t="n"/>
      <c r="F10" s="12" t="n"/>
      <c r="G10" s="12" t="n"/>
      <c r="H10" s="12" t="n"/>
      <c r="I10" s="12" t="n"/>
      <c r="J10" s="12" t="n"/>
      <c r="K10" s="12" t="n"/>
      <c r="L10" s="14" t="n"/>
      <c r="M10" s="12" t="n"/>
      <c r="N10" s="12" t="n"/>
      <c r="O10" s="12" t="n"/>
      <c r="P10" s="12" t="n"/>
      <c r="Q10" s="7">
        <f>IF(A10="","",IFERROR(VLOOKUP(O10,Listes!$R$3:$T$8,2,FALSE),0)+IFERROR(VLOOKUP(J10,Listes!$J$3:$L$6,2,FALSE),0)+IFERROR(VLOOKUP(N10,Listes!$N$3:$P$6,2,FALSE),0)+IF(OR(L10="",B10=""),0,IF(L10-INT(B10)&lt;10,8,IF(L10-INT(B10)&lt;=90,10,5)))+IFERROR(VLOOKUP(AN10,Listes!$V$3:$W$5,2,FALSE),0)+IFERROR(VLOOKUP(AO10,Listes!$Y$3:$Z$5,2,FALSE),0))</f>
        <v/>
      </c>
      <c r="R10" s="12" t="n"/>
      <c r="S10" s="12" t="n"/>
      <c r="T10" s="12" t="n"/>
      <c r="U10" s="15" t="n"/>
      <c r="V10" s="15" t="n"/>
      <c r="W10" s="13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3" t="n"/>
      <c r="AK10" s="12" t="n"/>
      <c r="AL10" s="12" t="n"/>
      <c r="AM10" s="12" t="n"/>
      <c r="AN10" s="12" t="n"/>
      <c r="AO10" s="12" t="n"/>
      <c r="AP10" s="12" t="n"/>
      <c r="AQ10" s="7">
        <f>IF(A10="","",IF(AP10&lt;&gt;"",AP10,IF(LEFT(Z10,11)="gads_marque","Google Search – Marque",IF(LEFT(Z10,12)="gads_mariage","Google Search – Mariage et privé",IF(LEFT(Z10,10)="gads_corpo","Google Search – Corporatif",IF(LEFT(Z10,5)="meta_","Meta – Leads",IF(LEFT(Z10,5)="msft_","Microsoft Ads",IF(LEFT(Z10,8)="chatgpt_","ChatGPT Ads – Test",IF(X10="gbp","Fiche Google (organique)","Autre / non payé")))))))))</f>
        <v/>
      </c>
      <c r="AR10" s="7">
        <f>IF(K10="","",IFERROR(VLOOKUP(K10,Listes!$F$3:$H$8,3,FALSE),""))</f>
        <v/>
      </c>
      <c r="AS10" s="7">
        <f>IF(O10="","",IF(AND(M10="Autre (plus de 40 km)",OR(O10="lt600",O10="600_999",O10="1000_2499")),"D",IF(OR(O10="lt600",AND(O10="600_999",K10&lt;&gt;"mariage",K10&lt;&gt;"prive")),"C",IF(OR(O10="2500_4999",O10="5000p",J10="entreprise",J10="organisme",J10="agence"),"A",IF(OR(O10="1000_2499",O10="600_999"),"B",IF(O10="inconnu",IF(OR(N10="75_149",N10="150p"),"A","B"),""))))))</f>
        <v/>
      </c>
      <c r="AT10" s="7">
        <f>IF(A10="","",IF(P10&lt;&gt;"",P10,AS10))</f>
        <v/>
      </c>
      <c r="AU10" s="7">
        <f>IF(A10="","",IF(OR(AT10="A",AT10="B"),1,0))</f>
        <v/>
      </c>
      <c r="AV10" s="7">
        <f>IF(A10="","",IF(OR(R10="Dépôt payé (gagné)",R10="Événement livré",R10="Avis obtenu"),1,0))</f>
        <v/>
      </c>
      <c r="AW10" s="7">
        <f>IF(A10="","",IF(Q10&gt;70,"Immédiat – propriétaire",IF(Q10&gt;=40,"15 min – personne de garde","Selon la route")))</f>
        <v/>
      </c>
      <c r="AX10" s="11">
        <f>IF(A10="","",IF(AT10="A",400,IF(AT10="B",150,0)))</f>
        <v/>
      </c>
      <c r="AY10" s="11">
        <f>IF(A10="","",IF(AV10=1,N(V10),IF(N(U10)&gt;0,ROUND(N(U10)*IFERROR(VLOOKUP(R10,Listes!$AE$3:$AG$12,2,FALSE),0),0),0)))</f>
        <v/>
      </c>
      <c r="AZ10" s="7">
        <f>IF(LEFT(A10,7)="EXEMPLE",1,0)</f>
        <v/>
      </c>
      <c r="BA10" s="7">
        <f>IF(AND(AV10=1,AZ10=0,AC10&lt;&gt;"",W10&lt;&gt;"",N(V10)&gt;0),COUNTIFS($AV$3:AV10,1,$AZ$3:AZ10,0,$AC$3:AC10,"&lt;&gt;",$W$3:W10,"&lt;&gt;",$V$3:V10,"&gt;0"),"")</f>
        <v/>
      </c>
    </row>
    <row r="11">
      <c r="A11" s="12" t="n"/>
      <c r="B11" s="13" t="n"/>
      <c r="C11" s="13" t="n"/>
      <c r="D11" s="7">
        <f>IF(OR(B11="",C11=""),"",ROUND((C11-B11)*1440,0))</f>
        <v/>
      </c>
      <c r="E11" s="12" t="n"/>
      <c r="F11" s="12" t="n"/>
      <c r="G11" s="12" t="n"/>
      <c r="H11" s="12" t="n"/>
      <c r="I11" s="12" t="n"/>
      <c r="J11" s="12" t="n"/>
      <c r="K11" s="12" t="n"/>
      <c r="L11" s="14" t="n"/>
      <c r="M11" s="12" t="n"/>
      <c r="N11" s="12" t="n"/>
      <c r="O11" s="12" t="n"/>
      <c r="P11" s="12" t="n"/>
      <c r="Q11" s="7">
        <f>IF(A11="","",IFERROR(VLOOKUP(O11,Listes!$R$3:$T$8,2,FALSE),0)+IFERROR(VLOOKUP(J11,Listes!$J$3:$L$6,2,FALSE),0)+IFERROR(VLOOKUP(N11,Listes!$N$3:$P$6,2,FALSE),0)+IF(OR(L11="",B11=""),0,IF(L11-INT(B11)&lt;10,8,IF(L11-INT(B11)&lt;=90,10,5)))+IFERROR(VLOOKUP(AN11,Listes!$V$3:$W$5,2,FALSE),0)+IFERROR(VLOOKUP(AO11,Listes!$Y$3:$Z$5,2,FALSE),0))</f>
        <v/>
      </c>
      <c r="R11" s="12" t="n"/>
      <c r="S11" s="12" t="n"/>
      <c r="T11" s="12" t="n"/>
      <c r="U11" s="15" t="n"/>
      <c r="V11" s="15" t="n"/>
      <c r="W11" s="13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3" t="n"/>
      <c r="AK11" s="12" t="n"/>
      <c r="AL11" s="12" t="n"/>
      <c r="AM11" s="12" t="n"/>
      <c r="AN11" s="12" t="n"/>
      <c r="AO11" s="12" t="n"/>
      <c r="AP11" s="12" t="n"/>
      <c r="AQ11" s="7">
        <f>IF(A11="","",IF(AP11&lt;&gt;"",AP11,IF(LEFT(Z11,11)="gads_marque","Google Search – Marque",IF(LEFT(Z11,12)="gads_mariage","Google Search – Mariage et privé",IF(LEFT(Z11,10)="gads_corpo","Google Search – Corporatif",IF(LEFT(Z11,5)="meta_","Meta – Leads",IF(LEFT(Z11,5)="msft_","Microsoft Ads",IF(LEFT(Z11,8)="chatgpt_","ChatGPT Ads – Test",IF(X11="gbp","Fiche Google (organique)","Autre / non payé")))))))))</f>
        <v/>
      </c>
      <c r="AR11" s="7">
        <f>IF(K11="","",IFERROR(VLOOKUP(K11,Listes!$F$3:$H$8,3,FALSE),""))</f>
        <v/>
      </c>
      <c r="AS11" s="7">
        <f>IF(O11="","",IF(AND(M11="Autre (plus de 40 km)",OR(O11="lt600",O11="600_999",O11="1000_2499")),"D",IF(OR(O11="lt600",AND(O11="600_999",K11&lt;&gt;"mariage",K11&lt;&gt;"prive")),"C",IF(OR(O11="2500_4999",O11="5000p",J11="entreprise",J11="organisme",J11="agence"),"A",IF(OR(O11="1000_2499",O11="600_999"),"B",IF(O11="inconnu",IF(OR(N11="75_149",N11="150p"),"A","B"),""))))))</f>
        <v/>
      </c>
      <c r="AT11" s="7">
        <f>IF(A11="","",IF(P11&lt;&gt;"",P11,AS11))</f>
        <v/>
      </c>
      <c r="AU11" s="7">
        <f>IF(A11="","",IF(OR(AT11="A",AT11="B"),1,0))</f>
        <v/>
      </c>
      <c r="AV11" s="7">
        <f>IF(A11="","",IF(OR(R11="Dépôt payé (gagné)",R11="Événement livré",R11="Avis obtenu"),1,0))</f>
        <v/>
      </c>
      <c r="AW11" s="7">
        <f>IF(A11="","",IF(Q11&gt;70,"Immédiat – propriétaire",IF(Q11&gt;=40,"15 min – personne de garde","Selon la route")))</f>
        <v/>
      </c>
      <c r="AX11" s="11">
        <f>IF(A11="","",IF(AT11="A",400,IF(AT11="B",150,0)))</f>
        <v/>
      </c>
      <c r="AY11" s="11">
        <f>IF(A11="","",IF(AV11=1,N(V11),IF(N(U11)&gt;0,ROUND(N(U11)*IFERROR(VLOOKUP(R11,Listes!$AE$3:$AG$12,2,FALSE),0),0),0)))</f>
        <v/>
      </c>
      <c r="AZ11" s="7">
        <f>IF(LEFT(A11,7)="EXEMPLE",1,0)</f>
        <v/>
      </c>
      <c r="BA11" s="7">
        <f>IF(AND(AV11=1,AZ11=0,AC11&lt;&gt;"",W11&lt;&gt;"",N(V11)&gt;0),COUNTIFS($AV$3:AV11,1,$AZ$3:AZ11,0,$AC$3:AC11,"&lt;&gt;",$W$3:W11,"&lt;&gt;",$V$3:V11,"&gt;0"),"")</f>
        <v/>
      </c>
    </row>
    <row r="12">
      <c r="A12" s="12" t="n"/>
      <c r="B12" s="13" t="n"/>
      <c r="C12" s="13" t="n"/>
      <c r="D12" s="7">
        <f>IF(OR(B12="",C12=""),"",ROUND((C12-B12)*1440,0))</f>
        <v/>
      </c>
      <c r="E12" s="12" t="n"/>
      <c r="F12" s="12" t="n"/>
      <c r="G12" s="12" t="n"/>
      <c r="H12" s="12" t="n"/>
      <c r="I12" s="12" t="n"/>
      <c r="J12" s="12" t="n"/>
      <c r="K12" s="12" t="n"/>
      <c r="L12" s="14" t="n"/>
      <c r="M12" s="12" t="n"/>
      <c r="N12" s="12" t="n"/>
      <c r="O12" s="12" t="n"/>
      <c r="P12" s="12" t="n"/>
      <c r="Q12" s="7">
        <f>IF(A12="","",IFERROR(VLOOKUP(O12,Listes!$R$3:$T$8,2,FALSE),0)+IFERROR(VLOOKUP(J12,Listes!$J$3:$L$6,2,FALSE),0)+IFERROR(VLOOKUP(N12,Listes!$N$3:$P$6,2,FALSE),0)+IF(OR(L12="",B12=""),0,IF(L12-INT(B12)&lt;10,8,IF(L12-INT(B12)&lt;=90,10,5)))+IFERROR(VLOOKUP(AN12,Listes!$V$3:$W$5,2,FALSE),0)+IFERROR(VLOOKUP(AO12,Listes!$Y$3:$Z$5,2,FALSE),0))</f>
        <v/>
      </c>
      <c r="R12" s="12" t="n"/>
      <c r="S12" s="12" t="n"/>
      <c r="T12" s="12" t="n"/>
      <c r="U12" s="15" t="n"/>
      <c r="V12" s="15" t="n"/>
      <c r="W12" s="13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3" t="n"/>
      <c r="AK12" s="12" t="n"/>
      <c r="AL12" s="12" t="n"/>
      <c r="AM12" s="12" t="n"/>
      <c r="AN12" s="12" t="n"/>
      <c r="AO12" s="12" t="n"/>
      <c r="AP12" s="12" t="n"/>
      <c r="AQ12" s="7">
        <f>IF(A12="","",IF(AP12&lt;&gt;"",AP12,IF(LEFT(Z12,11)="gads_marque","Google Search – Marque",IF(LEFT(Z12,12)="gads_mariage","Google Search – Mariage et privé",IF(LEFT(Z12,10)="gads_corpo","Google Search – Corporatif",IF(LEFT(Z12,5)="meta_","Meta – Leads",IF(LEFT(Z12,5)="msft_","Microsoft Ads",IF(LEFT(Z12,8)="chatgpt_","ChatGPT Ads – Test",IF(X12="gbp","Fiche Google (organique)","Autre / non payé")))))))))</f>
        <v/>
      </c>
      <c r="AR12" s="7">
        <f>IF(K12="","",IFERROR(VLOOKUP(K12,Listes!$F$3:$H$8,3,FALSE),""))</f>
        <v/>
      </c>
      <c r="AS12" s="7">
        <f>IF(O12="","",IF(AND(M12="Autre (plus de 40 km)",OR(O12="lt600",O12="600_999",O12="1000_2499")),"D",IF(OR(O12="lt600",AND(O12="600_999",K12&lt;&gt;"mariage",K12&lt;&gt;"prive")),"C",IF(OR(O12="2500_4999",O12="5000p",J12="entreprise",J12="organisme",J12="agence"),"A",IF(OR(O12="1000_2499",O12="600_999"),"B",IF(O12="inconnu",IF(OR(N12="75_149",N12="150p"),"A","B"),""))))))</f>
        <v/>
      </c>
      <c r="AT12" s="7">
        <f>IF(A12="","",IF(P12&lt;&gt;"",P12,AS12))</f>
        <v/>
      </c>
      <c r="AU12" s="7">
        <f>IF(A12="","",IF(OR(AT12="A",AT12="B"),1,0))</f>
        <v/>
      </c>
      <c r="AV12" s="7">
        <f>IF(A12="","",IF(OR(R12="Dépôt payé (gagné)",R12="Événement livré",R12="Avis obtenu"),1,0))</f>
        <v/>
      </c>
      <c r="AW12" s="7">
        <f>IF(A12="","",IF(Q12&gt;70,"Immédiat – propriétaire",IF(Q12&gt;=40,"15 min – personne de garde","Selon la route")))</f>
        <v/>
      </c>
      <c r="AX12" s="11">
        <f>IF(A12="","",IF(AT12="A",400,IF(AT12="B",150,0)))</f>
        <v/>
      </c>
      <c r="AY12" s="11">
        <f>IF(A12="","",IF(AV12=1,N(V12),IF(N(U12)&gt;0,ROUND(N(U12)*IFERROR(VLOOKUP(R12,Listes!$AE$3:$AG$12,2,FALSE),0),0),0)))</f>
        <v/>
      </c>
      <c r="AZ12" s="7">
        <f>IF(LEFT(A12,7)="EXEMPLE",1,0)</f>
        <v/>
      </c>
      <c r="BA12" s="7">
        <f>IF(AND(AV12=1,AZ12=0,AC12&lt;&gt;"",W12&lt;&gt;"",N(V12)&gt;0),COUNTIFS($AV$3:AV12,1,$AZ$3:AZ12,0,$AC$3:AC12,"&lt;&gt;",$W$3:W12,"&lt;&gt;",$V$3:V12,"&gt;0"),"")</f>
        <v/>
      </c>
    </row>
    <row r="13">
      <c r="A13" s="12" t="n"/>
      <c r="B13" s="13" t="n"/>
      <c r="C13" s="13" t="n"/>
      <c r="D13" s="7">
        <f>IF(OR(B13="",C13=""),"",ROUND((C13-B13)*1440,0))</f>
        <v/>
      </c>
      <c r="E13" s="12" t="n"/>
      <c r="F13" s="12" t="n"/>
      <c r="G13" s="12" t="n"/>
      <c r="H13" s="12" t="n"/>
      <c r="I13" s="12" t="n"/>
      <c r="J13" s="12" t="n"/>
      <c r="K13" s="12" t="n"/>
      <c r="L13" s="14" t="n"/>
      <c r="M13" s="12" t="n"/>
      <c r="N13" s="12" t="n"/>
      <c r="O13" s="12" t="n"/>
      <c r="P13" s="12" t="n"/>
      <c r="Q13" s="7">
        <f>IF(A13="","",IFERROR(VLOOKUP(O13,Listes!$R$3:$T$8,2,FALSE),0)+IFERROR(VLOOKUP(J13,Listes!$J$3:$L$6,2,FALSE),0)+IFERROR(VLOOKUP(N13,Listes!$N$3:$P$6,2,FALSE),0)+IF(OR(L13="",B13=""),0,IF(L13-INT(B13)&lt;10,8,IF(L13-INT(B13)&lt;=90,10,5)))+IFERROR(VLOOKUP(AN13,Listes!$V$3:$W$5,2,FALSE),0)+IFERROR(VLOOKUP(AO13,Listes!$Y$3:$Z$5,2,FALSE),0))</f>
        <v/>
      </c>
      <c r="R13" s="12" t="n"/>
      <c r="S13" s="12" t="n"/>
      <c r="T13" s="12" t="n"/>
      <c r="U13" s="15" t="n"/>
      <c r="V13" s="15" t="n"/>
      <c r="W13" s="13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3" t="n"/>
      <c r="AK13" s="12" t="n"/>
      <c r="AL13" s="12" t="n"/>
      <c r="AM13" s="12" t="n"/>
      <c r="AN13" s="12" t="n"/>
      <c r="AO13" s="12" t="n"/>
      <c r="AP13" s="12" t="n"/>
      <c r="AQ13" s="7">
        <f>IF(A13="","",IF(AP13&lt;&gt;"",AP13,IF(LEFT(Z13,11)="gads_marque","Google Search – Marque",IF(LEFT(Z13,12)="gads_mariage","Google Search – Mariage et privé",IF(LEFT(Z13,10)="gads_corpo","Google Search – Corporatif",IF(LEFT(Z13,5)="meta_","Meta – Leads",IF(LEFT(Z13,5)="msft_","Microsoft Ads",IF(LEFT(Z13,8)="chatgpt_","ChatGPT Ads – Test",IF(X13="gbp","Fiche Google (organique)","Autre / non payé")))))))))</f>
        <v/>
      </c>
      <c r="AR13" s="7">
        <f>IF(K13="","",IFERROR(VLOOKUP(K13,Listes!$F$3:$H$8,3,FALSE),""))</f>
        <v/>
      </c>
      <c r="AS13" s="7">
        <f>IF(O13="","",IF(AND(M13="Autre (plus de 40 km)",OR(O13="lt600",O13="600_999",O13="1000_2499")),"D",IF(OR(O13="lt600",AND(O13="600_999",K13&lt;&gt;"mariage",K13&lt;&gt;"prive")),"C",IF(OR(O13="2500_4999",O13="5000p",J13="entreprise",J13="organisme",J13="agence"),"A",IF(OR(O13="1000_2499",O13="600_999"),"B",IF(O13="inconnu",IF(OR(N13="75_149",N13="150p"),"A","B"),""))))))</f>
        <v/>
      </c>
      <c r="AT13" s="7">
        <f>IF(A13="","",IF(P13&lt;&gt;"",P13,AS13))</f>
        <v/>
      </c>
      <c r="AU13" s="7">
        <f>IF(A13="","",IF(OR(AT13="A",AT13="B"),1,0))</f>
        <v/>
      </c>
      <c r="AV13" s="7">
        <f>IF(A13="","",IF(OR(R13="Dépôt payé (gagné)",R13="Événement livré",R13="Avis obtenu"),1,0))</f>
        <v/>
      </c>
      <c r="AW13" s="7">
        <f>IF(A13="","",IF(Q13&gt;70,"Immédiat – propriétaire",IF(Q13&gt;=40,"15 min – personne de garde","Selon la route")))</f>
        <v/>
      </c>
      <c r="AX13" s="11">
        <f>IF(A13="","",IF(AT13="A",400,IF(AT13="B",150,0)))</f>
        <v/>
      </c>
      <c r="AY13" s="11">
        <f>IF(A13="","",IF(AV13=1,N(V13),IF(N(U13)&gt;0,ROUND(N(U13)*IFERROR(VLOOKUP(R13,Listes!$AE$3:$AG$12,2,FALSE),0),0),0)))</f>
        <v/>
      </c>
      <c r="AZ13" s="7">
        <f>IF(LEFT(A13,7)="EXEMPLE",1,0)</f>
        <v/>
      </c>
      <c r="BA13" s="7">
        <f>IF(AND(AV13=1,AZ13=0,AC13&lt;&gt;"",W13&lt;&gt;"",N(V13)&gt;0),COUNTIFS($AV$3:AV13,1,$AZ$3:AZ13,0,$AC$3:AC13,"&lt;&gt;",$W$3:W13,"&lt;&gt;",$V$3:V13,"&gt;0"),"")</f>
        <v/>
      </c>
    </row>
    <row r="14">
      <c r="A14" s="12" t="n"/>
      <c r="B14" s="13" t="n"/>
      <c r="C14" s="13" t="n"/>
      <c r="D14" s="7">
        <f>IF(OR(B14="",C14=""),"",ROUND((C14-B14)*1440,0))</f>
        <v/>
      </c>
      <c r="E14" s="12" t="n"/>
      <c r="F14" s="12" t="n"/>
      <c r="G14" s="12" t="n"/>
      <c r="H14" s="12" t="n"/>
      <c r="I14" s="12" t="n"/>
      <c r="J14" s="12" t="n"/>
      <c r="K14" s="12" t="n"/>
      <c r="L14" s="14" t="n"/>
      <c r="M14" s="12" t="n"/>
      <c r="N14" s="12" t="n"/>
      <c r="O14" s="12" t="n"/>
      <c r="P14" s="12" t="n"/>
      <c r="Q14" s="7">
        <f>IF(A14="","",IFERROR(VLOOKUP(O14,Listes!$R$3:$T$8,2,FALSE),0)+IFERROR(VLOOKUP(J14,Listes!$J$3:$L$6,2,FALSE),0)+IFERROR(VLOOKUP(N14,Listes!$N$3:$P$6,2,FALSE),0)+IF(OR(L14="",B14=""),0,IF(L14-INT(B14)&lt;10,8,IF(L14-INT(B14)&lt;=90,10,5)))+IFERROR(VLOOKUP(AN14,Listes!$V$3:$W$5,2,FALSE),0)+IFERROR(VLOOKUP(AO14,Listes!$Y$3:$Z$5,2,FALSE),0))</f>
        <v/>
      </c>
      <c r="R14" s="12" t="n"/>
      <c r="S14" s="12" t="n"/>
      <c r="T14" s="12" t="n"/>
      <c r="U14" s="15" t="n"/>
      <c r="V14" s="15" t="n"/>
      <c r="W14" s="13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3" t="n"/>
      <c r="AK14" s="12" t="n"/>
      <c r="AL14" s="12" t="n"/>
      <c r="AM14" s="12" t="n"/>
      <c r="AN14" s="12" t="n"/>
      <c r="AO14" s="12" t="n"/>
      <c r="AP14" s="12" t="n"/>
      <c r="AQ14" s="7">
        <f>IF(A14="","",IF(AP14&lt;&gt;"",AP14,IF(LEFT(Z14,11)="gads_marque","Google Search – Marque",IF(LEFT(Z14,12)="gads_mariage","Google Search – Mariage et privé",IF(LEFT(Z14,10)="gads_corpo","Google Search – Corporatif",IF(LEFT(Z14,5)="meta_","Meta – Leads",IF(LEFT(Z14,5)="msft_","Microsoft Ads",IF(LEFT(Z14,8)="chatgpt_","ChatGPT Ads – Test",IF(X14="gbp","Fiche Google (organique)","Autre / non payé")))))))))</f>
        <v/>
      </c>
      <c r="AR14" s="7">
        <f>IF(K14="","",IFERROR(VLOOKUP(K14,Listes!$F$3:$H$8,3,FALSE),""))</f>
        <v/>
      </c>
      <c r="AS14" s="7">
        <f>IF(O14="","",IF(AND(M14="Autre (plus de 40 km)",OR(O14="lt600",O14="600_999",O14="1000_2499")),"D",IF(OR(O14="lt600",AND(O14="600_999",K14&lt;&gt;"mariage",K14&lt;&gt;"prive")),"C",IF(OR(O14="2500_4999",O14="5000p",J14="entreprise",J14="organisme",J14="agence"),"A",IF(OR(O14="1000_2499",O14="600_999"),"B",IF(O14="inconnu",IF(OR(N14="75_149",N14="150p"),"A","B"),""))))))</f>
        <v/>
      </c>
      <c r="AT14" s="7">
        <f>IF(A14="","",IF(P14&lt;&gt;"",P14,AS14))</f>
        <v/>
      </c>
      <c r="AU14" s="7">
        <f>IF(A14="","",IF(OR(AT14="A",AT14="B"),1,0))</f>
        <v/>
      </c>
      <c r="AV14" s="7">
        <f>IF(A14="","",IF(OR(R14="Dépôt payé (gagné)",R14="Événement livré",R14="Avis obtenu"),1,0))</f>
        <v/>
      </c>
      <c r="AW14" s="7">
        <f>IF(A14="","",IF(Q14&gt;70,"Immédiat – propriétaire",IF(Q14&gt;=40,"15 min – personne de garde","Selon la route")))</f>
        <v/>
      </c>
      <c r="AX14" s="11">
        <f>IF(A14="","",IF(AT14="A",400,IF(AT14="B",150,0)))</f>
        <v/>
      </c>
      <c r="AY14" s="11">
        <f>IF(A14="","",IF(AV14=1,N(V14),IF(N(U14)&gt;0,ROUND(N(U14)*IFERROR(VLOOKUP(R14,Listes!$AE$3:$AG$12,2,FALSE),0),0),0)))</f>
        <v/>
      </c>
      <c r="AZ14" s="7">
        <f>IF(LEFT(A14,7)="EXEMPLE",1,0)</f>
        <v/>
      </c>
      <c r="BA14" s="7">
        <f>IF(AND(AV14=1,AZ14=0,AC14&lt;&gt;"",W14&lt;&gt;"",N(V14)&gt;0),COUNTIFS($AV$3:AV14,1,$AZ$3:AZ14,0,$AC$3:AC14,"&lt;&gt;",$W$3:W14,"&lt;&gt;",$V$3:V14,"&gt;0"),"")</f>
        <v/>
      </c>
    </row>
    <row r="15">
      <c r="A15" s="12" t="n"/>
      <c r="B15" s="13" t="n"/>
      <c r="C15" s="13" t="n"/>
      <c r="D15" s="7">
        <f>IF(OR(B15="",C15=""),"",ROUND((C15-B15)*1440,0))</f>
        <v/>
      </c>
      <c r="E15" s="12" t="n"/>
      <c r="F15" s="12" t="n"/>
      <c r="G15" s="12" t="n"/>
      <c r="H15" s="12" t="n"/>
      <c r="I15" s="12" t="n"/>
      <c r="J15" s="12" t="n"/>
      <c r="K15" s="12" t="n"/>
      <c r="L15" s="14" t="n"/>
      <c r="M15" s="12" t="n"/>
      <c r="N15" s="12" t="n"/>
      <c r="O15" s="12" t="n"/>
      <c r="P15" s="12" t="n"/>
      <c r="Q15" s="7">
        <f>IF(A15="","",IFERROR(VLOOKUP(O15,Listes!$R$3:$T$8,2,FALSE),0)+IFERROR(VLOOKUP(J15,Listes!$J$3:$L$6,2,FALSE),0)+IFERROR(VLOOKUP(N15,Listes!$N$3:$P$6,2,FALSE),0)+IF(OR(L15="",B15=""),0,IF(L15-INT(B15)&lt;10,8,IF(L15-INT(B15)&lt;=90,10,5)))+IFERROR(VLOOKUP(AN15,Listes!$V$3:$W$5,2,FALSE),0)+IFERROR(VLOOKUP(AO15,Listes!$Y$3:$Z$5,2,FALSE),0))</f>
        <v/>
      </c>
      <c r="R15" s="12" t="n"/>
      <c r="S15" s="12" t="n"/>
      <c r="T15" s="12" t="n"/>
      <c r="U15" s="15" t="n"/>
      <c r="V15" s="15" t="n"/>
      <c r="W15" s="13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3" t="n"/>
      <c r="AK15" s="12" t="n"/>
      <c r="AL15" s="12" t="n"/>
      <c r="AM15" s="12" t="n"/>
      <c r="AN15" s="12" t="n"/>
      <c r="AO15" s="12" t="n"/>
      <c r="AP15" s="12" t="n"/>
      <c r="AQ15" s="7">
        <f>IF(A15="","",IF(AP15&lt;&gt;"",AP15,IF(LEFT(Z15,11)="gads_marque","Google Search – Marque",IF(LEFT(Z15,12)="gads_mariage","Google Search – Mariage et privé",IF(LEFT(Z15,10)="gads_corpo","Google Search – Corporatif",IF(LEFT(Z15,5)="meta_","Meta – Leads",IF(LEFT(Z15,5)="msft_","Microsoft Ads",IF(LEFT(Z15,8)="chatgpt_","ChatGPT Ads – Test",IF(X15="gbp","Fiche Google (organique)","Autre / non payé")))))))))</f>
        <v/>
      </c>
      <c r="AR15" s="7">
        <f>IF(K15="","",IFERROR(VLOOKUP(K15,Listes!$F$3:$H$8,3,FALSE),""))</f>
        <v/>
      </c>
      <c r="AS15" s="7">
        <f>IF(O15="","",IF(AND(M15="Autre (plus de 40 km)",OR(O15="lt600",O15="600_999",O15="1000_2499")),"D",IF(OR(O15="lt600",AND(O15="600_999",K15&lt;&gt;"mariage",K15&lt;&gt;"prive")),"C",IF(OR(O15="2500_4999",O15="5000p",J15="entreprise",J15="organisme",J15="agence"),"A",IF(OR(O15="1000_2499",O15="600_999"),"B",IF(O15="inconnu",IF(OR(N15="75_149",N15="150p"),"A","B"),""))))))</f>
        <v/>
      </c>
      <c r="AT15" s="7">
        <f>IF(A15="","",IF(P15&lt;&gt;"",P15,AS15))</f>
        <v/>
      </c>
      <c r="AU15" s="7">
        <f>IF(A15="","",IF(OR(AT15="A",AT15="B"),1,0))</f>
        <v/>
      </c>
      <c r="AV15" s="7">
        <f>IF(A15="","",IF(OR(R15="Dépôt payé (gagné)",R15="Événement livré",R15="Avis obtenu"),1,0))</f>
        <v/>
      </c>
      <c r="AW15" s="7">
        <f>IF(A15="","",IF(Q15&gt;70,"Immédiat – propriétaire",IF(Q15&gt;=40,"15 min – personne de garde","Selon la route")))</f>
        <v/>
      </c>
      <c r="AX15" s="11">
        <f>IF(A15="","",IF(AT15="A",400,IF(AT15="B",150,0)))</f>
        <v/>
      </c>
      <c r="AY15" s="11">
        <f>IF(A15="","",IF(AV15=1,N(V15),IF(N(U15)&gt;0,ROUND(N(U15)*IFERROR(VLOOKUP(R15,Listes!$AE$3:$AG$12,2,FALSE),0),0),0)))</f>
        <v/>
      </c>
      <c r="AZ15" s="7">
        <f>IF(LEFT(A15,7)="EXEMPLE",1,0)</f>
        <v/>
      </c>
      <c r="BA15" s="7">
        <f>IF(AND(AV15=1,AZ15=0,AC15&lt;&gt;"",W15&lt;&gt;"",N(V15)&gt;0),COUNTIFS($AV$3:AV15,1,$AZ$3:AZ15,0,$AC$3:AC15,"&lt;&gt;",$W$3:W15,"&lt;&gt;",$V$3:V15,"&gt;0"),"")</f>
        <v/>
      </c>
    </row>
    <row r="16">
      <c r="A16" s="12" t="n"/>
      <c r="B16" s="13" t="n"/>
      <c r="C16" s="13" t="n"/>
      <c r="D16" s="7">
        <f>IF(OR(B16="",C16=""),"",ROUND((C16-B16)*1440,0))</f>
        <v/>
      </c>
      <c r="E16" s="12" t="n"/>
      <c r="F16" s="12" t="n"/>
      <c r="G16" s="12" t="n"/>
      <c r="H16" s="12" t="n"/>
      <c r="I16" s="12" t="n"/>
      <c r="J16" s="12" t="n"/>
      <c r="K16" s="12" t="n"/>
      <c r="L16" s="14" t="n"/>
      <c r="M16" s="12" t="n"/>
      <c r="N16" s="12" t="n"/>
      <c r="O16" s="12" t="n"/>
      <c r="P16" s="12" t="n"/>
      <c r="Q16" s="7">
        <f>IF(A16="","",IFERROR(VLOOKUP(O16,Listes!$R$3:$T$8,2,FALSE),0)+IFERROR(VLOOKUP(J16,Listes!$J$3:$L$6,2,FALSE),0)+IFERROR(VLOOKUP(N16,Listes!$N$3:$P$6,2,FALSE),0)+IF(OR(L16="",B16=""),0,IF(L16-INT(B16)&lt;10,8,IF(L16-INT(B16)&lt;=90,10,5)))+IFERROR(VLOOKUP(AN16,Listes!$V$3:$W$5,2,FALSE),0)+IFERROR(VLOOKUP(AO16,Listes!$Y$3:$Z$5,2,FALSE),0))</f>
        <v/>
      </c>
      <c r="R16" s="12" t="n"/>
      <c r="S16" s="12" t="n"/>
      <c r="T16" s="12" t="n"/>
      <c r="U16" s="15" t="n"/>
      <c r="V16" s="15" t="n"/>
      <c r="W16" s="13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3" t="n"/>
      <c r="AK16" s="12" t="n"/>
      <c r="AL16" s="12" t="n"/>
      <c r="AM16" s="12" t="n"/>
      <c r="AN16" s="12" t="n"/>
      <c r="AO16" s="12" t="n"/>
      <c r="AP16" s="12" t="n"/>
      <c r="AQ16" s="7">
        <f>IF(A16="","",IF(AP16&lt;&gt;"",AP16,IF(LEFT(Z16,11)="gads_marque","Google Search – Marque",IF(LEFT(Z16,12)="gads_mariage","Google Search – Mariage et privé",IF(LEFT(Z16,10)="gads_corpo","Google Search – Corporatif",IF(LEFT(Z16,5)="meta_","Meta – Leads",IF(LEFT(Z16,5)="msft_","Microsoft Ads",IF(LEFT(Z16,8)="chatgpt_","ChatGPT Ads – Test",IF(X16="gbp","Fiche Google (organique)","Autre / non payé")))))))))</f>
        <v/>
      </c>
      <c r="AR16" s="7">
        <f>IF(K16="","",IFERROR(VLOOKUP(K16,Listes!$F$3:$H$8,3,FALSE),""))</f>
        <v/>
      </c>
      <c r="AS16" s="7">
        <f>IF(O16="","",IF(AND(M16="Autre (plus de 40 km)",OR(O16="lt600",O16="600_999",O16="1000_2499")),"D",IF(OR(O16="lt600",AND(O16="600_999",K16&lt;&gt;"mariage",K16&lt;&gt;"prive")),"C",IF(OR(O16="2500_4999",O16="5000p",J16="entreprise",J16="organisme",J16="agence"),"A",IF(OR(O16="1000_2499",O16="600_999"),"B",IF(O16="inconnu",IF(OR(N16="75_149",N16="150p"),"A","B"),""))))))</f>
        <v/>
      </c>
      <c r="AT16" s="7">
        <f>IF(A16="","",IF(P16&lt;&gt;"",P16,AS16))</f>
        <v/>
      </c>
      <c r="AU16" s="7">
        <f>IF(A16="","",IF(OR(AT16="A",AT16="B"),1,0))</f>
        <v/>
      </c>
      <c r="AV16" s="7">
        <f>IF(A16="","",IF(OR(R16="Dépôt payé (gagné)",R16="Événement livré",R16="Avis obtenu"),1,0))</f>
        <v/>
      </c>
      <c r="AW16" s="7">
        <f>IF(A16="","",IF(Q16&gt;70,"Immédiat – propriétaire",IF(Q16&gt;=40,"15 min – personne de garde","Selon la route")))</f>
        <v/>
      </c>
      <c r="AX16" s="11">
        <f>IF(A16="","",IF(AT16="A",400,IF(AT16="B",150,0)))</f>
        <v/>
      </c>
      <c r="AY16" s="11">
        <f>IF(A16="","",IF(AV16=1,N(V16),IF(N(U16)&gt;0,ROUND(N(U16)*IFERROR(VLOOKUP(R16,Listes!$AE$3:$AG$12,2,FALSE),0),0),0)))</f>
        <v/>
      </c>
      <c r="AZ16" s="7">
        <f>IF(LEFT(A16,7)="EXEMPLE",1,0)</f>
        <v/>
      </c>
      <c r="BA16" s="7">
        <f>IF(AND(AV16=1,AZ16=0,AC16&lt;&gt;"",W16&lt;&gt;"",N(V16)&gt;0),COUNTIFS($AV$3:AV16,1,$AZ$3:AZ16,0,$AC$3:AC16,"&lt;&gt;",$W$3:W16,"&lt;&gt;",$V$3:V16,"&gt;0"),"")</f>
        <v/>
      </c>
    </row>
    <row r="17">
      <c r="A17" s="12" t="n"/>
      <c r="B17" s="13" t="n"/>
      <c r="C17" s="13" t="n"/>
      <c r="D17" s="7">
        <f>IF(OR(B17="",C17=""),"",ROUND((C17-B17)*1440,0))</f>
        <v/>
      </c>
      <c r="E17" s="12" t="n"/>
      <c r="F17" s="12" t="n"/>
      <c r="G17" s="12" t="n"/>
      <c r="H17" s="12" t="n"/>
      <c r="I17" s="12" t="n"/>
      <c r="J17" s="12" t="n"/>
      <c r="K17" s="12" t="n"/>
      <c r="L17" s="14" t="n"/>
      <c r="M17" s="12" t="n"/>
      <c r="N17" s="12" t="n"/>
      <c r="O17" s="12" t="n"/>
      <c r="P17" s="12" t="n"/>
      <c r="Q17" s="7">
        <f>IF(A17="","",IFERROR(VLOOKUP(O17,Listes!$R$3:$T$8,2,FALSE),0)+IFERROR(VLOOKUP(J17,Listes!$J$3:$L$6,2,FALSE),0)+IFERROR(VLOOKUP(N17,Listes!$N$3:$P$6,2,FALSE),0)+IF(OR(L17="",B17=""),0,IF(L17-INT(B17)&lt;10,8,IF(L17-INT(B17)&lt;=90,10,5)))+IFERROR(VLOOKUP(AN17,Listes!$V$3:$W$5,2,FALSE),0)+IFERROR(VLOOKUP(AO17,Listes!$Y$3:$Z$5,2,FALSE),0))</f>
        <v/>
      </c>
      <c r="R17" s="12" t="n"/>
      <c r="S17" s="12" t="n"/>
      <c r="T17" s="12" t="n"/>
      <c r="U17" s="15" t="n"/>
      <c r="V17" s="15" t="n"/>
      <c r="W17" s="13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3" t="n"/>
      <c r="AK17" s="12" t="n"/>
      <c r="AL17" s="12" t="n"/>
      <c r="AM17" s="12" t="n"/>
      <c r="AN17" s="12" t="n"/>
      <c r="AO17" s="12" t="n"/>
      <c r="AP17" s="12" t="n"/>
      <c r="AQ17" s="7">
        <f>IF(A17="","",IF(AP17&lt;&gt;"",AP17,IF(LEFT(Z17,11)="gads_marque","Google Search – Marque",IF(LEFT(Z17,12)="gads_mariage","Google Search – Mariage et privé",IF(LEFT(Z17,10)="gads_corpo","Google Search – Corporatif",IF(LEFT(Z17,5)="meta_","Meta – Leads",IF(LEFT(Z17,5)="msft_","Microsoft Ads",IF(LEFT(Z17,8)="chatgpt_","ChatGPT Ads – Test",IF(X17="gbp","Fiche Google (organique)","Autre / non payé")))))))))</f>
        <v/>
      </c>
      <c r="AR17" s="7">
        <f>IF(K17="","",IFERROR(VLOOKUP(K17,Listes!$F$3:$H$8,3,FALSE),""))</f>
        <v/>
      </c>
      <c r="AS17" s="7">
        <f>IF(O17="","",IF(AND(M17="Autre (plus de 40 km)",OR(O17="lt600",O17="600_999",O17="1000_2499")),"D",IF(OR(O17="lt600",AND(O17="600_999",K17&lt;&gt;"mariage",K17&lt;&gt;"prive")),"C",IF(OR(O17="2500_4999",O17="5000p",J17="entreprise",J17="organisme",J17="agence"),"A",IF(OR(O17="1000_2499",O17="600_999"),"B",IF(O17="inconnu",IF(OR(N17="75_149",N17="150p"),"A","B"),""))))))</f>
        <v/>
      </c>
      <c r="AT17" s="7">
        <f>IF(A17="","",IF(P17&lt;&gt;"",P17,AS17))</f>
        <v/>
      </c>
      <c r="AU17" s="7">
        <f>IF(A17="","",IF(OR(AT17="A",AT17="B"),1,0))</f>
        <v/>
      </c>
      <c r="AV17" s="7">
        <f>IF(A17="","",IF(OR(R17="Dépôt payé (gagné)",R17="Événement livré",R17="Avis obtenu"),1,0))</f>
        <v/>
      </c>
      <c r="AW17" s="7">
        <f>IF(A17="","",IF(Q17&gt;70,"Immédiat – propriétaire",IF(Q17&gt;=40,"15 min – personne de garde","Selon la route")))</f>
        <v/>
      </c>
      <c r="AX17" s="11">
        <f>IF(A17="","",IF(AT17="A",400,IF(AT17="B",150,0)))</f>
        <v/>
      </c>
      <c r="AY17" s="11">
        <f>IF(A17="","",IF(AV17=1,N(V17),IF(N(U17)&gt;0,ROUND(N(U17)*IFERROR(VLOOKUP(R17,Listes!$AE$3:$AG$12,2,FALSE),0),0),0)))</f>
        <v/>
      </c>
      <c r="AZ17" s="7">
        <f>IF(LEFT(A17,7)="EXEMPLE",1,0)</f>
        <v/>
      </c>
      <c r="BA17" s="7">
        <f>IF(AND(AV17=1,AZ17=0,AC17&lt;&gt;"",W17&lt;&gt;"",N(V17)&gt;0),COUNTIFS($AV$3:AV17,1,$AZ$3:AZ17,0,$AC$3:AC17,"&lt;&gt;",$W$3:W17,"&lt;&gt;",$V$3:V17,"&gt;0"),"")</f>
        <v/>
      </c>
    </row>
    <row r="18">
      <c r="A18" s="12" t="n"/>
      <c r="B18" s="13" t="n"/>
      <c r="C18" s="13" t="n"/>
      <c r="D18" s="7">
        <f>IF(OR(B18="",C18=""),"",ROUND((C18-B18)*1440,0))</f>
        <v/>
      </c>
      <c r="E18" s="12" t="n"/>
      <c r="F18" s="12" t="n"/>
      <c r="G18" s="12" t="n"/>
      <c r="H18" s="12" t="n"/>
      <c r="I18" s="12" t="n"/>
      <c r="J18" s="12" t="n"/>
      <c r="K18" s="12" t="n"/>
      <c r="L18" s="14" t="n"/>
      <c r="M18" s="12" t="n"/>
      <c r="N18" s="12" t="n"/>
      <c r="O18" s="12" t="n"/>
      <c r="P18" s="12" t="n"/>
      <c r="Q18" s="7">
        <f>IF(A18="","",IFERROR(VLOOKUP(O18,Listes!$R$3:$T$8,2,FALSE),0)+IFERROR(VLOOKUP(J18,Listes!$J$3:$L$6,2,FALSE),0)+IFERROR(VLOOKUP(N18,Listes!$N$3:$P$6,2,FALSE),0)+IF(OR(L18="",B18=""),0,IF(L18-INT(B18)&lt;10,8,IF(L18-INT(B18)&lt;=90,10,5)))+IFERROR(VLOOKUP(AN18,Listes!$V$3:$W$5,2,FALSE),0)+IFERROR(VLOOKUP(AO18,Listes!$Y$3:$Z$5,2,FALSE),0))</f>
        <v/>
      </c>
      <c r="R18" s="12" t="n"/>
      <c r="S18" s="12" t="n"/>
      <c r="T18" s="12" t="n"/>
      <c r="U18" s="15" t="n"/>
      <c r="V18" s="15" t="n"/>
      <c r="W18" s="13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3" t="n"/>
      <c r="AK18" s="12" t="n"/>
      <c r="AL18" s="12" t="n"/>
      <c r="AM18" s="12" t="n"/>
      <c r="AN18" s="12" t="n"/>
      <c r="AO18" s="12" t="n"/>
      <c r="AP18" s="12" t="n"/>
      <c r="AQ18" s="7">
        <f>IF(A18="","",IF(AP18&lt;&gt;"",AP18,IF(LEFT(Z18,11)="gads_marque","Google Search – Marque",IF(LEFT(Z18,12)="gads_mariage","Google Search – Mariage et privé",IF(LEFT(Z18,10)="gads_corpo","Google Search – Corporatif",IF(LEFT(Z18,5)="meta_","Meta – Leads",IF(LEFT(Z18,5)="msft_","Microsoft Ads",IF(LEFT(Z18,8)="chatgpt_","ChatGPT Ads – Test",IF(X18="gbp","Fiche Google (organique)","Autre / non payé")))))))))</f>
        <v/>
      </c>
      <c r="AR18" s="7">
        <f>IF(K18="","",IFERROR(VLOOKUP(K18,Listes!$F$3:$H$8,3,FALSE),""))</f>
        <v/>
      </c>
      <c r="AS18" s="7">
        <f>IF(O18="","",IF(AND(M18="Autre (plus de 40 km)",OR(O18="lt600",O18="600_999",O18="1000_2499")),"D",IF(OR(O18="lt600",AND(O18="600_999",K18&lt;&gt;"mariage",K18&lt;&gt;"prive")),"C",IF(OR(O18="2500_4999",O18="5000p",J18="entreprise",J18="organisme",J18="agence"),"A",IF(OR(O18="1000_2499",O18="600_999"),"B",IF(O18="inconnu",IF(OR(N18="75_149",N18="150p"),"A","B"),""))))))</f>
        <v/>
      </c>
      <c r="AT18" s="7">
        <f>IF(A18="","",IF(P18&lt;&gt;"",P18,AS18))</f>
        <v/>
      </c>
      <c r="AU18" s="7">
        <f>IF(A18="","",IF(OR(AT18="A",AT18="B"),1,0))</f>
        <v/>
      </c>
      <c r="AV18" s="7">
        <f>IF(A18="","",IF(OR(R18="Dépôt payé (gagné)",R18="Événement livré",R18="Avis obtenu"),1,0))</f>
        <v/>
      </c>
      <c r="AW18" s="7">
        <f>IF(A18="","",IF(Q18&gt;70,"Immédiat – propriétaire",IF(Q18&gt;=40,"15 min – personne de garde","Selon la route")))</f>
        <v/>
      </c>
      <c r="AX18" s="11">
        <f>IF(A18="","",IF(AT18="A",400,IF(AT18="B",150,0)))</f>
        <v/>
      </c>
      <c r="AY18" s="11">
        <f>IF(A18="","",IF(AV18=1,N(V18),IF(N(U18)&gt;0,ROUND(N(U18)*IFERROR(VLOOKUP(R18,Listes!$AE$3:$AG$12,2,FALSE),0),0),0)))</f>
        <v/>
      </c>
      <c r="AZ18" s="7">
        <f>IF(LEFT(A18,7)="EXEMPLE",1,0)</f>
        <v/>
      </c>
      <c r="BA18" s="7">
        <f>IF(AND(AV18=1,AZ18=0,AC18&lt;&gt;"",W18&lt;&gt;"",N(V18)&gt;0),COUNTIFS($AV$3:AV18,1,$AZ$3:AZ18,0,$AC$3:AC18,"&lt;&gt;",$W$3:W18,"&lt;&gt;",$V$3:V18,"&gt;0"),"")</f>
        <v/>
      </c>
    </row>
    <row r="19">
      <c r="A19" s="12" t="n"/>
      <c r="B19" s="13" t="n"/>
      <c r="C19" s="13" t="n"/>
      <c r="D19" s="7">
        <f>IF(OR(B19="",C19=""),"",ROUND((C19-B19)*1440,0))</f>
        <v/>
      </c>
      <c r="E19" s="12" t="n"/>
      <c r="F19" s="12" t="n"/>
      <c r="G19" s="12" t="n"/>
      <c r="H19" s="12" t="n"/>
      <c r="I19" s="12" t="n"/>
      <c r="J19" s="12" t="n"/>
      <c r="K19" s="12" t="n"/>
      <c r="L19" s="14" t="n"/>
      <c r="M19" s="12" t="n"/>
      <c r="N19" s="12" t="n"/>
      <c r="O19" s="12" t="n"/>
      <c r="P19" s="12" t="n"/>
      <c r="Q19" s="7">
        <f>IF(A19="","",IFERROR(VLOOKUP(O19,Listes!$R$3:$T$8,2,FALSE),0)+IFERROR(VLOOKUP(J19,Listes!$J$3:$L$6,2,FALSE),0)+IFERROR(VLOOKUP(N19,Listes!$N$3:$P$6,2,FALSE),0)+IF(OR(L19="",B19=""),0,IF(L19-INT(B19)&lt;10,8,IF(L19-INT(B19)&lt;=90,10,5)))+IFERROR(VLOOKUP(AN19,Listes!$V$3:$W$5,2,FALSE),0)+IFERROR(VLOOKUP(AO19,Listes!$Y$3:$Z$5,2,FALSE),0))</f>
        <v/>
      </c>
      <c r="R19" s="12" t="n"/>
      <c r="S19" s="12" t="n"/>
      <c r="T19" s="12" t="n"/>
      <c r="U19" s="15" t="n"/>
      <c r="V19" s="15" t="n"/>
      <c r="W19" s="13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3" t="n"/>
      <c r="AK19" s="12" t="n"/>
      <c r="AL19" s="12" t="n"/>
      <c r="AM19" s="12" t="n"/>
      <c r="AN19" s="12" t="n"/>
      <c r="AO19" s="12" t="n"/>
      <c r="AP19" s="12" t="n"/>
      <c r="AQ19" s="7">
        <f>IF(A19="","",IF(AP19&lt;&gt;"",AP19,IF(LEFT(Z19,11)="gads_marque","Google Search – Marque",IF(LEFT(Z19,12)="gads_mariage","Google Search – Mariage et privé",IF(LEFT(Z19,10)="gads_corpo","Google Search – Corporatif",IF(LEFT(Z19,5)="meta_","Meta – Leads",IF(LEFT(Z19,5)="msft_","Microsoft Ads",IF(LEFT(Z19,8)="chatgpt_","ChatGPT Ads – Test",IF(X19="gbp","Fiche Google (organique)","Autre / non payé")))))))))</f>
        <v/>
      </c>
      <c r="AR19" s="7">
        <f>IF(K19="","",IFERROR(VLOOKUP(K19,Listes!$F$3:$H$8,3,FALSE),""))</f>
        <v/>
      </c>
      <c r="AS19" s="7">
        <f>IF(O19="","",IF(AND(M19="Autre (plus de 40 km)",OR(O19="lt600",O19="600_999",O19="1000_2499")),"D",IF(OR(O19="lt600",AND(O19="600_999",K19&lt;&gt;"mariage",K19&lt;&gt;"prive")),"C",IF(OR(O19="2500_4999",O19="5000p",J19="entreprise",J19="organisme",J19="agence"),"A",IF(OR(O19="1000_2499",O19="600_999"),"B",IF(O19="inconnu",IF(OR(N19="75_149",N19="150p"),"A","B"),""))))))</f>
        <v/>
      </c>
      <c r="AT19" s="7">
        <f>IF(A19="","",IF(P19&lt;&gt;"",P19,AS19))</f>
        <v/>
      </c>
      <c r="AU19" s="7">
        <f>IF(A19="","",IF(OR(AT19="A",AT19="B"),1,0))</f>
        <v/>
      </c>
      <c r="AV19" s="7">
        <f>IF(A19="","",IF(OR(R19="Dépôt payé (gagné)",R19="Événement livré",R19="Avis obtenu"),1,0))</f>
        <v/>
      </c>
      <c r="AW19" s="7">
        <f>IF(A19="","",IF(Q19&gt;70,"Immédiat – propriétaire",IF(Q19&gt;=40,"15 min – personne de garde","Selon la route")))</f>
        <v/>
      </c>
      <c r="AX19" s="11">
        <f>IF(A19="","",IF(AT19="A",400,IF(AT19="B",150,0)))</f>
        <v/>
      </c>
      <c r="AY19" s="11">
        <f>IF(A19="","",IF(AV19=1,N(V19),IF(N(U19)&gt;0,ROUND(N(U19)*IFERROR(VLOOKUP(R19,Listes!$AE$3:$AG$12,2,FALSE),0),0),0)))</f>
        <v/>
      </c>
      <c r="AZ19" s="7">
        <f>IF(LEFT(A19,7)="EXEMPLE",1,0)</f>
        <v/>
      </c>
      <c r="BA19" s="7">
        <f>IF(AND(AV19=1,AZ19=0,AC19&lt;&gt;"",W19&lt;&gt;"",N(V19)&gt;0),COUNTIFS($AV$3:AV19,1,$AZ$3:AZ19,0,$AC$3:AC19,"&lt;&gt;",$W$3:W19,"&lt;&gt;",$V$3:V19,"&gt;0"),"")</f>
        <v/>
      </c>
    </row>
    <row r="20">
      <c r="A20" s="12" t="n"/>
      <c r="B20" s="13" t="n"/>
      <c r="C20" s="13" t="n"/>
      <c r="D20" s="7">
        <f>IF(OR(B20="",C20=""),"",ROUND((C20-B20)*1440,0))</f>
        <v/>
      </c>
      <c r="E20" s="12" t="n"/>
      <c r="F20" s="12" t="n"/>
      <c r="G20" s="12" t="n"/>
      <c r="H20" s="12" t="n"/>
      <c r="I20" s="12" t="n"/>
      <c r="J20" s="12" t="n"/>
      <c r="K20" s="12" t="n"/>
      <c r="L20" s="14" t="n"/>
      <c r="M20" s="12" t="n"/>
      <c r="N20" s="12" t="n"/>
      <c r="O20" s="12" t="n"/>
      <c r="P20" s="12" t="n"/>
      <c r="Q20" s="7">
        <f>IF(A20="","",IFERROR(VLOOKUP(O20,Listes!$R$3:$T$8,2,FALSE),0)+IFERROR(VLOOKUP(J20,Listes!$J$3:$L$6,2,FALSE),0)+IFERROR(VLOOKUP(N20,Listes!$N$3:$P$6,2,FALSE),0)+IF(OR(L20="",B20=""),0,IF(L20-INT(B20)&lt;10,8,IF(L20-INT(B20)&lt;=90,10,5)))+IFERROR(VLOOKUP(AN20,Listes!$V$3:$W$5,2,FALSE),0)+IFERROR(VLOOKUP(AO20,Listes!$Y$3:$Z$5,2,FALSE),0))</f>
        <v/>
      </c>
      <c r="R20" s="12" t="n"/>
      <c r="S20" s="12" t="n"/>
      <c r="T20" s="12" t="n"/>
      <c r="U20" s="15" t="n"/>
      <c r="V20" s="15" t="n"/>
      <c r="W20" s="13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3" t="n"/>
      <c r="AK20" s="12" t="n"/>
      <c r="AL20" s="12" t="n"/>
      <c r="AM20" s="12" t="n"/>
      <c r="AN20" s="12" t="n"/>
      <c r="AO20" s="12" t="n"/>
      <c r="AP20" s="12" t="n"/>
      <c r="AQ20" s="7">
        <f>IF(A20="","",IF(AP20&lt;&gt;"",AP20,IF(LEFT(Z20,11)="gads_marque","Google Search – Marque",IF(LEFT(Z20,12)="gads_mariage","Google Search – Mariage et privé",IF(LEFT(Z20,10)="gads_corpo","Google Search – Corporatif",IF(LEFT(Z20,5)="meta_","Meta – Leads",IF(LEFT(Z20,5)="msft_","Microsoft Ads",IF(LEFT(Z20,8)="chatgpt_","ChatGPT Ads – Test",IF(X20="gbp","Fiche Google (organique)","Autre / non payé")))))))))</f>
        <v/>
      </c>
      <c r="AR20" s="7">
        <f>IF(K20="","",IFERROR(VLOOKUP(K20,Listes!$F$3:$H$8,3,FALSE),""))</f>
        <v/>
      </c>
      <c r="AS20" s="7">
        <f>IF(O20="","",IF(AND(M20="Autre (plus de 40 km)",OR(O20="lt600",O20="600_999",O20="1000_2499")),"D",IF(OR(O20="lt600",AND(O20="600_999",K20&lt;&gt;"mariage",K20&lt;&gt;"prive")),"C",IF(OR(O20="2500_4999",O20="5000p",J20="entreprise",J20="organisme",J20="agence"),"A",IF(OR(O20="1000_2499",O20="600_999"),"B",IF(O20="inconnu",IF(OR(N20="75_149",N20="150p"),"A","B"),""))))))</f>
        <v/>
      </c>
      <c r="AT20" s="7">
        <f>IF(A20="","",IF(P20&lt;&gt;"",P20,AS20))</f>
        <v/>
      </c>
      <c r="AU20" s="7">
        <f>IF(A20="","",IF(OR(AT20="A",AT20="B"),1,0))</f>
        <v/>
      </c>
      <c r="AV20" s="7">
        <f>IF(A20="","",IF(OR(R20="Dépôt payé (gagné)",R20="Événement livré",R20="Avis obtenu"),1,0))</f>
        <v/>
      </c>
      <c r="AW20" s="7">
        <f>IF(A20="","",IF(Q20&gt;70,"Immédiat – propriétaire",IF(Q20&gt;=40,"15 min – personne de garde","Selon la route")))</f>
        <v/>
      </c>
      <c r="AX20" s="11">
        <f>IF(A20="","",IF(AT20="A",400,IF(AT20="B",150,0)))</f>
        <v/>
      </c>
      <c r="AY20" s="11">
        <f>IF(A20="","",IF(AV20=1,N(V20),IF(N(U20)&gt;0,ROUND(N(U20)*IFERROR(VLOOKUP(R20,Listes!$AE$3:$AG$12,2,FALSE),0),0),0)))</f>
        <v/>
      </c>
      <c r="AZ20" s="7">
        <f>IF(LEFT(A20,7)="EXEMPLE",1,0)</f>
        <v/>
      </c>
      <c r="BA20" s="7">
        <f>IF(AND(AV20=1,AZ20=0,AC20&lt;&gt;"",W20&lt;&gt;"",N(V20)&gt;0),COUNTIFS($AV$3:AV20,1,$AZ$3:AZ20,0,$AC$3:AC20,"&lt;&gt;",$W$3:W20,"&lt;&gt;",$V$3:V20,"&gt;0"),"")</f>
        <v/>
      </c>
    </row>
    <row r="21">
      <c r="A21" s="12" t="n"/>
      <c r="B21" s="13" t="n"/>
      <c r="C21" s="13" t="n"/>
      <c r="D21" s="7">
        <f>IF(OR(B21="",C21=""),"",ROUND((C21-B21)*1440,0))</f>
        <v/>
      </c>
      <c r="E21" s="12" t="n"/>
      <c r="F21" s="12" t="n"/>
      <c r="G21" s="12" t="n"/>
      <c r="H21" s="12" t="n"/>
      <c r="I21" s="12" t="n"/>
      <c r="J21" s="12" t="n"/>
      <c r="K21" s="12" t="n"/>
      <c r="L21" s="14" t="n"/>
      <c r="M21" s="12" t="n"/>
      <c r="N21" s="12" t="n"/>
      <c r="O21" s="12" t="n"/>
      <c r="P21" s="12" t="n"/>
      <c r="Q21" s="7">
        <f>IF(A21="","",IFERROR(VLOOKUP(O21,Listes!$R$3:$T$8,2,FALSE),0)+IFERROR(VLOOKUP(J21,Listes!$J$3:$L$6,2,FALSE),0)+IFERROR(VLOOKUP(N21,Listes!$N$3:$P$6,2,FALSE),0)+IF(OR(L21="",B21=""),0,IF(L21-INT(B21)&lt;10,8,IF(L21-INT(B21)&lt;=90,10,5)))+IFERROR(VLOOKUP(AN21,Listes!$V$3:$W$5,2,FALSE),0)+IFERROR(VLOOKUP(AO21,Listes!$Y$3:$Z$5,2,FALSE),0))</f>
        <v/>
      </c>
      <c r="R21" s="12" t="n"/>
      <c r="S21" s="12" t="n"/>
      <c r="T21" s="12" t="n"/>
      <c r="U21" s="15" t="n"/>
      <c r="V21" s="15" t="n"/>
      <c r="W21" s="13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3" t="n"/>
      <c r="AK21" s="12" t="n"/>
      <c r="AL21" s="12" t="n"/>
      <c r="AM21" s="12" t="n"/>
      <c r="AN21" s="12" t="n"/>
      <c r="AO21" s="12" t="n"/>
      <c r="AP21" s="12" t="n"/>
      <c r="AQ21" s="7">
        <f>IF(A21="","",IF(AP21&lt;&gt;"",AP21,IF(LEFT(Z21,11)="gads_marque","Google Search – Marque",IF(LEFT(Z21,12)="gads_mariage","Google Search – Mariage et privé",IF(LEFT(Z21,10)="gads_corpo","Google Search – Corporatif",IF(LEFT(Z21,5)="meta_","Meta – Leads",IF(LEFT(Z21,5)="msft_","Microsoft Ads",IF(LEFT(Z21,8)="chatgpt_","ChatGPT Ads – Test",IF(X21="gbp","Fiche Google (organique)","Autre / non payé")))))))))</f>
        <v/>
      </c>
      <c r="AR21" s="7">
        <f>IF(K21="","",IFERROR(VLOOKUP(K21,Listes!$F$3:$H$8,3,FALSE),""))</f>
        <v/>
      </c>
      <c r="AS21" s="7">
        <f>IF(O21="","",IF(AND(M21="Autre (plus de 40 km)",OR(O21="lt600",O21="600_999",O21="1000_2499")),"D",IF(OR(O21="lt600",AND(O21="600_999",K21&lt;&gt;"mariage",K21&lt;&gt;"prive")),"C",IF(OR(O21="2500_4999",O21="5000p",J21="entreprise",J21="organisme",J21="agence"),"A",IF(OR(O21="1000_2499",O21="600_999"),"B",IF(O21="inconnu",IF(OR(N21="75_149",N21="150p"),"A","B"),""))))))</f>
        <v/>
      </c>
      <c r="AT21" s="7">
        <f>IF(A21="","",IF(P21&lt;&gt;"",P21,AS21))</f>
        <v/>
      </c>
      <c r="AU21" s="7">
        <f>IF(A21="","",IF(OR(AT21="A",AT21="B"),1,0))</f>
        <v/>
      </c>
      <c r="AV21" s="7">
        <f>IF(A21="","",IF(OR(R21="Dépôt payé (gagné)",R21="Événement livré",R21="Avis obtenu"),1,0))</f>
        <v/>
      </c>
      <c r="AW21" s="7">
        <f>IF(A21="","",IF(Q21&gt;70,"Immédiat – propriétaire",IF(Q21&gt;=40,"15 min – personne de garde","Selon la route")))</f>
        <v/>
      </c>
      <c r="AX21" s="11">
        <f>IF(A21="","",IF(AT21="A",400,IF(AT21="B",150,0)))</f>
        <v/>
      </c>
      <c r="AY21" s="11">
        <f>IF(A21="","",IF(AV21=1,N(V21),IF(N(U21)&gt;0,ROUND(N(U21)*IFERROR(VLOOKUP(R21,Listes!$AE$3:$AG$12,2,FALSE),0),0),0)))</f>
        <v/>
      </c>
      <c r="AZ21" s="7">
        <f>IF(LEFT(A21,7)="EXEMPLE",1,0)</f>
        <v/>
      </c>
      <c r="BA21" s="7">
        <f>IF(AND(AV21=1,AZ21=0,AC21&lt;&gt;"",W21&lt;&gt;"",N(V21)&gt;0),COUNTIFS($AV$3:AV21,1,$AZ$3:AZ21,0,$AC$3:AC21,"&lt;&gt;",$W$3:W21,"&lt;&gt;",$V$3:V21,"&gt;0"),"")</f>
        <v/>
      </c>
    </row>
    <row r="22">
      <c r="A22" s="12" t="n"/>
      <c r="B22" s="13" t="n"/>
      <c r="C22" s="13" t="n"/>
      <c r="D22" s="7">
        <f>IF(OR(B22="",C22=""),"",ROUND((C22-B22)*1440,0))</f>
        <v/>
      </c>
      <c r="E22" s="12" t="n"/>
      <c r="F22" s="12" t="n"/>
      <c r="G22" s="12" t="n"/>
      <c r="H22" s="12" t="n"/>
      <c r="I22" s="12" t="n"/>
      <c r="J22" s="12" t="n"/>
      <c r="K22" s="12" t="n"/>
      <c r="L22" s="14" t="n"/>
      <c r="M22" s="12" t="n"/>
      <c r="N22" s="12" t="n"/>
      <c r="O22" s="12" t="n"/>
      <c r="P22" s="12" t="n"/>
      <c r="Q22" s="7">
        <f>IF(A22="","",IFERROR(VLOOKUP(O22,Listes!$R$3:$T$8,2,FALSE),0)+IFERROR(VLOOKUP(J22,Listes!$J$3:$L$6,2,FALSE),0)+IFERROR(VLOOKUP(N22,Listes!$N$3:$P$6,2,FALSE),0)+IF(OR(L22="",B22=""),0,IF(L22-INT(B22)&lt;10,8,IF(L22-INT(B22)&lt;=90,10,5)))+IFERROR(VLOOKUP(AN22,Listes!$V$3:$W$5,2,FALSE),0)+IFERROR(VLOOKUP(AO22,Listes!$Y$3:$Z$5,2,FALSE),0))</f>
        <v/>
      </c>
      <c r="R22" s="12" t="n"/>
      <c r="S22" s="12" t="n"/>
      <c r="T22" s="12" t="n"/>
      <c r="U22" s="15" t="n"/>
      <c r="V22" s="15" t="n"/>
      <c r="W22" s="13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3" t="n"/>
      <c r="AK22" s="12" t="n"/>
      <c r="AL22" s="12" t="n"/>
      <c r="AM22" s="12" t="n"/>
      <c r="AN22" s="12" t="n"/>
      <c r="AO22" s="12" t="n"/>
      <c r="AP22" s="12" t="n"/>
      <c r="AQ22" s="7">
        <f>IF(A22="","",IF(AP22&lt;&gt;"",AP22,IF(LEFT(Z22,11)="gads_marque","Google Search – Marque",IF(LEFT(Z22,12)="gads_mariage","Google Search – Mariage et privé",IF(LEFT(Z22,10)="gads_corpo","Google Search – Corporatif",IF(LEFT(Z22,5)="meta_","Meta – Leads",IF(LEFT(Z22,5)="msft_","Microsoft Ads",IF(LEFT(Z22,8)="chatgpt_","ChatGPT Ads – Test",IF(X22="gbp","Fiche Google (organique)","Autre / non payé")))))))))</f>
        <v/>
      </c>
      <c r="AR22" s="7">
        <f>IF(K22="","",IFERROR(VLOOKUP(K22,Listes!$F$3:$H$8,3,FALSE),""))</f>
        <v/>
      </c>
      <c r="AS22" s="7">
        <f>IF(O22="","",IF(AND(M22="Autre (plus de 40 km)",OR(O22="lt600",O22="600_999",O22="1000_2499")),"D",IF(OR(O22="lt600",AND(O22="600_999",K22&lt;&gt;"mariage",K22&lt;&gt;"prive")),"C",IF(OR(O22="2500_4999",O22="5000p",J22="entreprise",J22="organisme",J22="agence"),"A",IF(OR(O22="1000_2499",O22="600_999"),"B",IF(O22="inconnu",IF(OR(N22="75_149",N22="150p"),"A","B"),""))))))</f>
        <v/>
      </c>
      <c r="AT22" s="7">
        <f>IF(A22="","",IF(P22&lt;&gt;"",P22,AS22))</f>
        <v/>
      </c>
      <c r="AU22" s="7">
        <f>IF(A22="","",IF(OR(AT22="A",AT22="B"),1,0))</f>
        <v/>
      </c>
      <c r="AV22" s="7">
        <f>IF(A22="","",IF(OR(R22="Dépôt payé (gagné)",R22="Événement livré",R22="Avis obtenu"),1,0))</f>
        <v/>
      </c>
      <c r="AW22" s="7">
        <f>IF(A22="","",IF(Q22&gt;70,"Immédiat – propriétaire",IF(Q22&gt;=40,"15 min – personne de garde","Selon la route")))</f>
        <v/>
      </c>
      <c r="AX22" s="11">
        <f>IF(A22="","",IF(AT22="A",400,IF(AT22="B",150,0)))</f>
        <v/>
      </c>
      <c r="AY22" s="11">
        <f>IF(A22="","",IF(AV22=1,N(V22),IF(N(U22)&gt;0,ROUND(N(U22)*IFERROR(VLOOKUP(R22,Listes!$AE$3:$AG$12,2,FALSE),0),0),0)))</f>
        <v/>
      </c>
      <c r="AZ22" s="7">
        <f>IF(LEFT(A22,7)="EXEMPLE",1,0)</f>
        <v/>
      </c>
      <c r="BA22" s="7">
        <f>IF(AND(AV22=1,AZ22=0,AC22&lt;&gt;"",W22&lt;&gt;"",N(V22)&gt;0),COUNTIFS($AV$3:AV22,1,$AZ$3:AZ22,0,$AC$3:AC22,"&lt;&gt;",$W$3:W22,"&lt;&gt;",$V$3:V22,"&gt;0"),"")</f>
        <v/>
      </c>
    </row>
    <row r="23">
      <c r="A23" s="12" t="n"/>
      <c r="B23" s="13" t="n"/>
      <c r="C23" s="13" t="n"/>
      <c r="D23" s="7">
        <f>IF(OR(B23="",C23=""),"",ROUND((C23-B23)*1440,0))</f>
        <v/>
      </c>
      <c r="E23" s="12" t="n"/>
      <c r="F23" s="12" t="n"/>
      <c r="G23" s="12" t="n"/>
      <c r="H23" s="12" t="n"/>
      <c r="I23" s="12" t="n"/>
      <c r="J23" s="12" t="n"/>
      <c r="K23" s="12" t="n"/>
      <c r="L23" s="14" t="n"/>
      <c r="M23" s="12" t="n"/>
      <c r="N23" s="12" t="n"/>
      <c r="O23" s="12" t="n"/>
      <c r="P23" s="12" t="n"/>
      <c r="Q23" s="7">
        <f>IF(A23="","",IFERROR(VLOOKUP(O23,Listes!$R$3:$T$8,2,FALSE),0)+IFERROR(VLOOKUP(J23,Listes!$J$3:$L$6,2,FALSE),0)+IFERROR(VLOOKUP(N23,Listes!$N$3:$P$6,2,FALSE),0)+IF(OR(L23="",B23=""),0,IF(L23-INT(B23)&lt;10,8,IF(L23-INT(B23)&lt;=90,10,5)))+IFERROR(VLOOKUP(AN23,Listes!$V$3:$W$5,2,FALSE),0)+IFERROR(VLOOKUP(AO23,Listes!$Y$3:$Z$5,2,FALSE),0))</f>
        <v/>
      </c>
      <c r="R23" s="12" t="n"/>
      <c r="S23" s="12" t="n"/>
      <c r="T23" s="12" t="n"/>
      <c r="U23" s="15" t="n"/>
      <c r="V23" s="15" t="n"/>
      <c r="W23" s="13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3" t="n"/>
      <c r="AK23" s="12" t="n"/>
      <c r="AL23" s="12" t="n"/>
      <c r="AM23" s="12" t="n"/>
      <c r="AN23" s="12" t="n"/>
      <c r="AO23" s="12" t="n"/>
      <c r="AP23" s="12" t="n"/>
      <c r="AQ23" s="7">
        <f>IF(A23="","",IF(AP23&lt;&gt;"",AP23,IF(LEFT(Z23,11)="gads_marque","Google Search – Marque",IF(LEFT(Z23,12)="gads_mariage","Google Search – Mariage et privé",IF(LEFT(Z23,10)="gads_corpo","Google Search – Corporatif",IF(LEFT(Z23,5)="meta_","Meta – Leads",IF(LEFT(Z23,5)="msft_","Microsoft Ads",IF(LEFT(Z23,8)="chatgpt_","ChatGPT Ads – Test",IF(X23="gbp","Fiche Google (organique)","Autre / non payé")))))))))</f>
        <v/>
      </c>
      <c r="AR23" s="7">
        <f>IF(K23="","",IFERROR(VLOOKUP(K23,Listes!$F$3:$H$8,3,FALSE),""))</f>
        <v/>
      </c>
      <c r="AS23" s="7">
        <f>IF(O23="","",IF(AND(M23="Autre (plus de 40 km)",OR(O23="lt600",O23="600_999",O23="1000_2499")),"D",IF(OR(O23="lt600",AND(O23="600_999",K23&lt;&gt;"mariage",K23&lt;&gt;"prive")),"C",IF(OR(O23="2500_4999",O23="5000p",J23="entreprise",J23="organisme",J23="agence"),"A",IF(OR(O23="1000_2499",O23="600_999"),"B",IF(O23="inconnu",IF(OR(N23="75_149",N23="150p"),"A","B"),""))))))</f>
        <v/>
      </c>
      <c r="AT23" s="7">
        <f>IF(A23="","",IF(P23&lt;&gt;"",P23,AS23))</f>
        <v/>
      </c>
      <c r="AU23" s="7">
        <f>IF(A23="","",IF(OR(AT23="A",AT23="B"),1,0))</f>
        <v/>
      </c>
      <c r="AV23" s="7">
        <f>IF(A23="","",IF(OR(R23="Dépôt payé (gagné)",R23="Événement livré",R23="Avis obtenu"),1,0))</f>
        <v/>
      </c>
      <c r="AW23" s="7">
        <f>IF(A23="","",IF(Q23&gt;70,"Immédiat – propriétaire",IF(Q23&gt;=40,"15 min – personne de garde","Selon la route")))</f>
        <v/>
      </c>
      <c r="AX23" s="11">
        <f>IF(A23="","",IF(AT23="A",400,IF(AT23="B",150,0)))</f>
        <v/>
      </c>
      <c r="AY23" s="11">
        <f>IF(A23="","",IF(AV23=1,N(V23),IF(N(U23)&gt;0,ROUND(N(U23)*IFERROR(VLOOKUP(R23,Listes!$AE$3:$AG$12,2,FALSE),0),0),0)))</f>
        <v/>
      </c>
      <c r="AZ23" s="7">
        <f>IF(LEFT(A23,7)="EXEMPLE",1,0)</f>
        <v/>
      </c>
      <c r="BA23" s="7">
        <f>IF(AND(AV23=1,AZ23=0,AC23&lt;&gt;"",W23&lt;&gt;"",N(V23)&gt;0),COUNTIFS($AV$3:AV23,1,$AZ$3:AZ23,0,$AC$3:AC23,"&lt;&gt;",$W$3:W23,"&lt;&gt;",$V$3:V23,"&gt;0"),"")</f>
        <v/>
      </c>
    </row>
    <row r="24">
      <c r="A24" s="12" t="n"/>
      <c r="B24" s="13" t="n"/>
      <c r="C24" s="13" t="n"/>
      <c r="D24" s="7">
        <f>IF(OR(B24="",C24=""),"",ROUND((C24-B24)*1440,0))</f>
        <v/>
      </c>
      <c r="E24" s="12" t="n"/>
      <c r="F24" s="12" t="n"/>
      <c r="G24" s="12" t="n"/>
      <c r="H24" s="12" t="n"/>
      <c r="I24" s="12" t="n"/>
      <c r="J24" s="12" t="n"/>
      <c r="K24" s="12" t="n"/>
      <c r="L24" s="14" t="n"/>
      <c r="M24" s="12" t="n"/>
      <c r="N24" s="12" t="n"/>
      <c r="O24" s="12" t="n"/>
      <c r="P24" s="12" t="n"/>
      <c r="Q24" s="7">
        <f>IF(A24="","",IFERROR(VLOOKUP(O24,Listes!$R$3:$T$8,2,FALSE),0)+IFERROR(VLOOKUP(J24,Listes!$J$3:$L$6,2,FALSE),0)+IFERROR(VLOOKUP(N24,Listes!$N$3:$P$6,2,FALSE),0)+IF(OR(L24="",B24=""),0,IF(L24-INT(B24)&lt;10,8,IF(L24-INT(B24)&lt;=90,10,5)))+IFERROR(VLOOKUP(AN24,Listes!$V$3:$W$5,2,FALSE),0)+IFERROR(VLOOKUP(AO24,Listes!$Y$3:$Z$5,2,FALSE),0))</f>
        <v/>
      </c>
      <c r="R24" s="12" t="n"/>
      <c r="S24" s="12" t="n"/>
      <c r="T24" s="12" t="n"/>
      <c r="U24" s="15" t="n"/>
      <c r="V24" s="15" t="n"/>
      <c r="W24" s="13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3" t="n"/>
      <c r="AK24" s="12" t="n"/>
      <c r="AL24" s="12" t="n"/>
      <c r="AM24" s="12" t="n"/>
      <c r="AN24" s="12" t="n"/>
      <c r="AO24" s="12" t="n"/>
      <c r="AP24" s="12" t="n"/>
      <c r="AQ24" s="7">
        <f>IF(A24="","",IF(AP24&lt;&gt;"",AP24,IF(LEFT(Z24,11)="gads_marque","Google Search – Marque",IF(LEFT(Z24,12)="gads_mariage","Google Search – Mariage et privé",IF(LEFT(Z24,10)="gads_corpo","Google Search – Corporatif",IF(LEFT(Z24,5)="meta_","Meta – Leads",IF(LEFT(Z24,5)="msft_","Microsoft Ads",IF(LEFT(Z24,8)="chatgpt_","ChatGPT Ads – Test",IF(X24="gbp","Fiche Google (organique)","Autre / non payé")))))))))</f>
        <v/>
      </c>
      <c r="AR24" s="7">
        <f>IF(K24="","",IFERROR(VLOOKUP(K24,Listes!$F$3:$H$8,3,FALSE),""))</f>
        <v/>
      </c>
      <c r="AS24" s="7">
        <f>IF(O24="","",IF(AND(M24="Autre (plus de 40 km)",OR(O24="lt600",O24="600_999",O24="1000_2499")),"D",IF(OR(O24="lt600",AND(O24="600_999",K24&lt;&gt;"mariage",K24&lt;&gt;"prive")),"C",IF(OR(O24="2500_4999",O24="5000p",J24="entreprise",J24="organisme",J24="agence"),"A",IF(OR(O24="1000_2499",O24="600_999"),"B",IF(O24="inconnu",IF(OR(N24="75_149",N24="150p"),"A","B"),""))))))</f>
        <v/>
      </c>
      <c r="AT24" s="7">
        <f>IF(A24="","",IF(P24&lt;&gt;"",P24,AS24))</f>
        <v/>
      </c>
      <c r="AU24" s="7">
        <f>IF(A24="","",IF(OR(AT24="A",AT24="B"),1,0))</f>
        <v/>
      </c>
      <c r="AV24" s="7">
        <f>IF(A24="","",IF(OR(R24="Dépôt payé (gagné)",R24="Événement livré",R24="Avis obtenu"),1,0))</f>
        <v/>
      </c>
      <c r="AW24" s="7">
        <f>IF(A24="","",IF(Q24&gt;70,"Immédiat – propriétaire",IF(Q24&gt;=40,"15 min – personne de garde","Selon la route")))</f>
        <v/>
      </c>
      <c r="AX24" s="11">
        <f>IF(A24="","",IF(AT24="A",400,IF(AT24="B",150,0)))</f>
        <v/>
      </c>
      <c r="AY24" s="11">
        <f>IF(A24="","",IF(AV24=1,N(V24),IF(N(U24)&gt;0,ROUND(N(U24)*IFERROR(VLOOKUP(R24,Listes!$AE$3:$AG$12,2,FALSE),0),0),0)))</f>
        <v/>
      </c>
      <c r="AZ24" s="7">
        <f>IF(LEFT(A24,7)="EXEMPLE",1,0)</f>
        <v/>
      </c>
      <c r="BA24" s="7">
        <f>IF(AND(AV24=1,AZ24=0,AC24&lt;&gt;"",W24&lt;&gt;"",N(V24)&gt;0),COUNTIFS($AV$3:AV24,1,$AZ$3:AZ24,0,$AC$3:AC24,"&lt;&gt;",$W$3:W24,"&lt;&gt;",$V$3:V24,"&gt;0"),"")</f>
        <v/>
      </c>
    </row>
    <row r="25">
      <c r="A25" s="12" t="n"/>
      <c r="B25" s="13" t="n"/>
      <c r="C25" s="13" t="n"/>
      <c r="D25" s="7">
        <f>IF(OR(B25="",C25=""),"",ROUND((C25-B25)*1440,0))</f>
        <v/>
      </c>
      <c r="E25" s="12" t="n"/>
      <c r="F25" s="12" t="n"/>
      <c r="G25" s="12" t="n"/>
      <c r="H25" s="12" t="n"/>
      <c r="I25" s="12" t="n"/>
      <c r="J25" s="12" t="n"/>
      <c r="K25" s="12" t="n"/>
      <c r="L25" s="14" t="n"/>
      <c r="M25" s="12" t="n"/>
      <c r="N25" s="12" t="n"/>
      <c r="O25" s="12" t="n"/>
      <c r="P25" s="12" t="n"/>
      <c r="Q25" s="7">
        <f>IF(A25="","",IFERROR(VLOOKUP(O25,Listes!$R$3:$T$8,2,FALSE),0)+IFERROR(VLOOKUP(J25,Listes!$J$3:$L$6,2,FALSE),0)+IFERROR(VLOOKUP(N25,Listes!$N$3:$P$6,2,FALSE),0)+IF(OR(L25="",B25=""),0,IF(L25-INT(B25)&lt;10,8,IF(L25-INT(B25)&lt;=90,10,5)))+IFERROR(VLOOKUP(AN25,Listes!$V$3:$W$5,2,FALSE),0)+IFERROR(VLOOKUP(AO25,Listes!$Y$3:$Z$5,2,FALSE),0))</f>
        <v/>
      </c>
      <c r="R25" s="12" t="n"/>
      <c r="S25" s="12" t="n"/>
      <c r="T25" s="12" t="n"/>
      <c r="U25" s="15" t="n"/>
      <c r="V25" s="15" t="n"/>
      <c r="W25" s="13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3" t="n"/>
      <c r="AK25" s="12" t="n"/>
      <c r="AL25" s="12" t="n"/>
      <c r="AM25" s="12" t="n"/>
      <c r="AN25" s="12" t="n"/>
      <c r="AO25" s="12" t="n"/>
      <c r="AP25" s="12" t="n"/>
      <c r="AQ25" s="7">
        <f>IF(A25="","",IF(AP25&lt;&gt;"",AP25,IF(LEFT(Z25,11)="gads_marque","Google Search – Marque",IF(LEFT(Z25,12)="gads_mariage","Google Search – Mariage et privé",IF(LEFT(Z25,10)="gads_corpo","Google Search – Corporatif",IF(LEFT(Z25,5)="meta_","Meta – Leads",IF(LEFT(Z25,5)="msft_","Microsoft Ads",IF(LEFT(Z25,8)="chatgpt_","ChatGPT Ads – Test",IF(X25="gbp","Fiche Google (organique)","Autre / non payé")))))))))</f>
        <v/>
      </c>
      <c r="AR25" s="7">
        <f>IF(K25="","",IFERROR(VLOOKUP(K25,Listes!$F$3:$H$8,3,FALSE),""))</f>
        <v/>
      </c>
      <c r="AS25" s="7">
        <f>IF(O25="","",IF(AND(M25="Autre (plus de 40 km)",OR(O25="lt600",O25="600_999",O25="1000_2499")),"D",IF(OR(O25="lt600",AND(O25="600_999",K25&lt;&gt;"mariage",K25&lt;&gt;"prive")),"C",IF(OR(O25="2500_4999",O25="5000p",J25="entreprise",J25="organisme",J25="agence"),"A",IF(OR(O25="1000_2499",O25="600_999"),"B",IF(O25="inconnu",IF(OR(N25="75_149",N25="150p"),"A","B"),""))))))</f>
        <v/>
      </c>
      <c r="AT25" s="7">
        <f>IF(A25="","",IF(P25&lt;&gt;"",P25,AS25))</f>
        <v/>
      </c>
      <c r="AU25" s="7">
        <f>IF(A25="","",IF(OR(AT25="A",AT25="B"),1,0))</f>
        <v/>
      </c>
      <c r="AV25" s="7">
        <f>IF(A25="","",IF(OR(R25="Dépôt payé (gagné)",R25="Événement livré",R25="Avis obtenu"),1,0))</f>
        <v/>
      </c>
      <c r="AW25" s="7">
        <f>IF(A25="","",IF(Q25&gt;70,"Immédiat – propriétaire",IF(Q25&gt;=40,"15 min – personne de garde","Selon la route")))</f>
        <v/>
      </c>
      <c r="AX25" s="11">
        <f>IF(A25="","",IF(AT25="A",400,IF(AT25="B",150,0)))</f>
        <v/>
      </c>
      <c r="AY25" s="11">
        <f>IF(A25="","",IF(AV25=1,N(V25),IF(N(U25)&gt;0,ROUND(N(U25)*IFERROR(VLOOKUP(R25,Listes!$AE$3:$AG$12,2,FALSE),0),0),0)))</f>
        <v/>
      </c>
      <c r="AZ25" s="7">
        <f>IF(LEFT(A25,7)="EXEMPLE",1,0)</f>
        <v/>
      </c>
      <c r="BA25" s="7">
        <f>IF(AND(AV25=1,AZ25=0,AC25&lt;&gt;"",W25&lt;&gt;"",N(V25)&gt;0),COUNTIFS($AV$3:AV25,1,$AZ$3:AZ25,0,$AC$3:AC25,"&lt;&gt;",$W$3:W25,"&lt;&gt;",$V$3:V25,"&gt;0"),"")</f>
        <v/>
      </c>
    </row>
    <row r="26">
      <c r="A26" s="12" t="n"/>
      <c r="B26" s="13" t="n"/>
      <c r="C26" s="13" t="n"/>
      <c r="D26" s="7">
        <f>IF(OR(B26="",C26=""),"",ROUND((C26-B26)*1440,0))</f>
        <v/>
      </c>
      <c r="E26" s="12" t="n"/>
      <c r="F26" s="12" t="n"/>
      <c r="G26" s="12" t="n"/>
      <c r="H26" s="12" t="n"/>
      <c r="I26" s="12" t="n"/>
      <c r="J26" s="12" t="n"/>
      <c r="K26" s="12" t="n"/>
      <c r="L26" s="14" t="n"/>
      <c r="M26" s="12" t="n"/>
      <c r="N26" s="12" t="n"/>
      <c r="O26" s="12" t="n"/>
      <c r="P26" s="12" t="n"/>
      <c r="Q26" s="7">
        <f>IF(A26="","",IFERROR(VLOOKUP(O26,Listes!$R$3:$T$8,2,FALSE),0)+IFERROR(VLOOKUP(J26,Listes!$J$3:$L$6,2,FALSE),0)+IFERROR(VLOOKUP(N26,Listes!$N$3:$P$6,2,FALSE),0)+IF(OR(L26="",B26=""),0,IF(L26-INT(B26)&lt;10,8,IF(L26-INT(B26)&lt;=90,10,5)))+IFERROR(VLOOKUP(AN26,Listes!$V$3:$W$5,2,FALSE),0)+IFERROR(VLOOKUP(AO26,Listes!$Y$3:$Z$5,2,FALSE),0))</f>
        <v/>
      </c>
      <c r="R26" s="12" t="n"/>
      <c r="S26" s="12" t="n"/>
      <c r="T26" s="12" t="n"/>
      <c r="U26" s="15" t="n"/>
      <c r="V26" s="15" t="n"/>
      <c r="W26" s="13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3" t="n"/>
      <c r="AK26" s="12" t="n"/>
      <c r="AL26" s="12" t="n"/>
      <c r="AM26" s="12" t="n"/>
      <c r="AN26" s="12" t="n"/>
      <c r="AO26" s="12" t="n"/>
      <c r="AP26" s="12" t="n"/>
      <c r="AQ26" s="7">
        <f>IF(A26="","",IF(AP26&lt;&gt;"",AP26,IF(LEFT(Z26,11)="gads_marque","Google Search – Marque",IF(LEFT(Z26,12)="gads_mariage","Google Search – Mariage et privé",IF(LEFT(Z26,10)="gads_corpo","Google Search – Corporatif",IF(LEFT(Z26,5)="meta_","Meta – Leads",IF(LEFT(Z26,5)="msft_","Microsoft Ads",IF(LEFT(Z26,8)="chatgpt_","ChatGPT Ads – Test",IF(X26="gbp","Fiche Google (organique)","Autre / non payé")))))))))</f>
        <v/>
      </c>
      <c r="AR26" s="7">
        <f>IF(K26="","",IFERROR(VLOOKUP(K26,Listes!$F$3:$H$8,3,FALSE),""))</f>
        <v/>
      </c>
      <c r="AS26" s="7">
        <f>IF(O26="","",IF(AND(M26="Autre (plus de 40 km)",OR(O26="lt600",O26="600_999",O26="1000_2499")),"D",IF(OR(O26="lt600",AND(O26="600_999",K26&lt;&gt;"mariage",K26&lt;&gt;"prive")),"C",IF(OR(O26="2500_4999",O26="5000p",J26="entreprise",J26="organisme",J26="agence"),"A",IF(OR(O26="1000_2499",O26="600_999"),"B",IF(O26="inconnu",IF(OR(N26="75_149",N26="150p"),"A","B"),""))))))</f>
        <v/>
      </c>
      <c r="AT26" s="7">
        <f>IF(A26="","",IF(P26&lt;&gt;"",P26,AS26))</f>
        <v/>
      </c>
      <c r="AU26" s="7">
        <f>IF(A26="","",IF(OR(AT26="A",AT26="B"),1,0))</f>
        <v/>
      </c>
      <c r="AV26" s="7">
        <f>IF(A26="","",IF(OR(R26="Dépôt payé (gagné)",R26="Événement livré",R26="Avis obtenu"),1,0))</f>
        <v/>
      </c>
      <c r="AW26" s="7">
        <f>IF(A26="","",IF(Q26&gt;70,"Immédiat – propriétaire",IF(Q26&gt;=40,"15 min – personne de garde","Selon la route")))</f>
        <v/>
      </c>
      <c r="AX26" s="11">
        <f>IF(A26="","",IF(AT26="A",400,IF(AT26="B",150,0)))</f>
        <v/>
      </c>
      <c r="AY26" s="11">
        <f>IF(A26="","",IF(AV26=1,N(V26),IF(N(U26)&gt;0,ROUND(N(U26)*IFERROR(VLOOKUP(R26,Listes!$AE$3:$AG$12,2,FALSE),0),0),0)))</f>
        <v/>
      </c>
      <c r="AZ26" s="7">
        <f>IF(LEFT(A26,7)="EXEMPLE",1,0)</f>
        <v/>
      </c>
      <c r="BA26" s="7">
        <f>IF(AND(AV26=1,AZ26=0,AC26&lt;&gt;"",W26&lt;&gt;"",N(V26)&gt;0),COUNTIFS($AV$3:AV26,1,$AZ$3:AZ26,0,$AC$3:AC26,"&lt;&gt;",$W$3:W26,"&lt;&gt;",$V$3:V26,"&gt;0"),"")</f>
        <v/>
      </c>
    </row>
    <row r="27">
      <c r="A27" s="12" t="n"/>
      <c r="B27" s="13" t="n"/>
      <c r="C27" s="13" t="n"/>
      <c r="D27" s="7">
        <f>IF(OR(B27="",C27=""),"",ROUND((C27-B27)*1440,0))</f>
        <v/>
      </c>
      <c r="E27" s="12" t="n"/>
      <c r="F27" s="12" t="n"/>
      <c r="G27" s="12" t="n"/>
      <c r="H27" s="12" t="n"/>
      <c r="I27" s="12" t="n"/>
      <c r="J27" s="12" t="n"/>
      <c r="K27" s="12" t="n"/>
      <c r="L27" s="14" t="n"/>
      <c r="M27" s="12" t="n"/>
      <c r="N27" s="12" t="n"/>
      <c r="O27" s="12" t="n"/>
      <c r="P27" s="12" t="n"/>
      <c r="Q27" s="7">
        <f>IF(A27="","",IFERROR(VLOOKUP(O27,Listes!$R$3:$T$8,2,FALSE),0)+IFERROR(VLOOKUP(J27,Listes!$J$3:$L$6,2,FALSE),0)+IFERROR(VLOOKUP(N27,Listes!$N$3:$P$6,2,FALSE),0)+IF(OR(L27="",B27=""),0,IF(L27-INT(B27)&lt;10,8,IF(L27-INT(B27)&lt;=90,10,5)))+IFERROR(VLOOKUP(AN27,Listes!$V$3:$W$5,2,FALSE),0)+IFERROR(VLOOKUP(AO27,Listes!$Y$3:$Z$5,2,FALSE),0))</f>
        <v/>
      </c>
      <c r="R27" s="12" t="n"/>
      <c r="S27" s="12" t="n"/>
      <c r="T27" s="12" t="n"/>
      <c r="U27" s="15" t="n"/>
      <c r="V27" s="15" t="n"/>
      <c r="W27" s="13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3" t="n"/>
      <c r="AK27" s="12" t="n"/>
      <c r="AL27" s="12" t="n"/>
      <c r="AM27" s="12" t="n"/>
      <c r="AN27" s="12" t="n"/>
      <c r="AO27" s="12" t="n"/>
      <c r="AP27" s="12" t="n"/>
      <c r="AQ27" s="7">
        <f>IF(A27="","",IF(AP27&lt;&gt;"",AP27,IF(LEFT(Z27,11)="gads_marque","Google Search – Marque",IF(LEFT(Z27,12)="gads_mariage","Google Search – Mariage et privé",IF(LEFT(Z27,10)="gads_corpo","Google Search – Corporatif",IF(LEFT(Z27,5)="meta_","Meta – Leads",IF(LEFT(Z27,5)="msft_","Microsoft Ads",IF(LEFT(Z27,8)="chatgpt_","ChatGPT Ads – Test",IF(X27="gbp","Fiche Google (organique)","Autre / non payé")))))))))</f>
        <v/>
      </c>
      <c r="AR27" s="7">
        <f>IF(K27="","",IFERROR(VLOOKUP(K27,Listes!$F$3:$H$8,3,FALSE),""))</f>
        <v/>
      </c>
      <c r="AS27" s="7">
        <f>IF(O27="","",IF(AND(M27="Autre (plus de 40 km)",OR(O27="lt600",O27="600_999",O27="1000_2499")),"D",IF(OR(O27="lt600",AND(O27="600_999",K27&lt;&gt;"mariage",K27&lt;&gt;"prive")),"C",IF(OR(O27="2500_4999",O27="5000p",J27="entreprise",J27="organisme",J27="agence"),"A",IF(OR(O27="1000_2499",O27="600_999"),"B",IF(O27="inconnu",IF(OR(N27="75_149",N27="150p"),"A","B"),""))))))</f>
        <v/>
      </c>
      <c r="AT27" s="7">
        <f>IF(A27="","",IF(P27&lt;&gt;"",P27,AS27))</f>
        <v/>
      </c>
      <c r="AU27" s="7">
        <f>IF(A27="","",IF(OR(AT27="A",AT27="B"),1,0))</f>
        <v/>
      </c>
      <c r="AV27" s="7">
        <f>IF(A27="","",IF(OR(R27="Dépôt payé (gagné)",R27="Événement livré",R27="Avis obtenu"),1,0))</f>
        <v/>
      </c>
      <c r="AW27" s="7">
        <f>IF(A27="","",IF(Q27&gt;70,"Immédiat – propriétaire",IF(Q27&gt;=40,"15 min – personne de garde","Selon la route")))</f>
        <v/>
      </c>
      <c r="AX27" s="11">
        <f>IF(A27="","",IF(AT27="A",400,IF(AT27="B",150,0)))</f>
        <v/>
      </c>
      <c r="AY27" s="11">
        <f>IF(A27="","",IF(AV27=1,N(V27),IF(N(U27)&gt;0,ROUND(N(U27)*IFERROR(VLOOKUP(R27,Listes!$AE$3:$AG$12,2,FALSE),0),0),0)))</f>
        <v/>
      </c>
      <c r="AZ27" s="7">
        <f>IF(LEFT(A27,7)="EXEMPLE",1,0)</f>
        <v/>
      </c>
      <c r="BA27" s="7">
        <f>IF(AND(AV27=1,AZ27=0,AC27&lt;&gt;"",W27&lt;&gt;"",N(V27)&gt;0),COUNTIFS($AV$3:AV27,1,$AZ$3:AZ27,0,$AC$3:AC27,"&lt;&gt;",$W$3:W27,"&lt;&gt;",$V$3:V27,"&gt;0"),"")</f>
        <v/>
      </c>
    </row>
    <row r="28">
      <c r="A28" s="12" t="n"/>
      <c r="B28" s="13" t="n"/>
      <c r="C28" s="13" t="n"/>
      <c r="D28" s="7">
        <f>IF(OR(B28="",C28=""),"",ROUND((C28-B28)*1440,0))</f>
        <v/>
      </c>
      <c r="E28" s="12" t="n"/>
      <c r="F28" s="12" t="n"/>
      <c r="G28" s="12" t="n"/>
      <c r="H28" s="12" t="n"/>
      <c r="I28" s="12" t="n"/>
      <c r="J28" s="12" t="n"/>
      <c r="K28" s="12" t="n"/>
      <c r="L28" s="14" t="n"/>
      <c r="M28" s="12" t="n"/>
      <c r="N28" s="12" t="n"/>
      <c r="O28" s="12" t="n"/>
      <c r="P28" s="12" t="n"/>
      <c r="Q28" s="7">
        <f>IF(A28="","",IFERROR(VLOOKUP(O28,Listes!$R$3:$T$8,2,FALSE),0)+IFERROR(VLOOKUP(J28,Listes!$J$3:$L$6,2,FALSE),0)+IFERROR(VLOOKUP(N28,Listes!$N$3:$P$6,2,FALSE),0)+IF(OR(L28="",B28=""),0,IF(L28-INT(B28)&lt;10,8,IF(L28-INT(B28)&lt;=90,10,5)))+IFERROR(VLOOKUP(AN28,Listes!$V$3:$W$5,2,FALSE),0)+IFERROR(VLOOKUP(AO28,Listes!$Y$3:$Z$5,2,FALSE),0))</f>
        <v/>
      </c>
      <c r="R28" s="12" t="n"/>
      <c r="S28" s="12" t="n"/>
      <c r="T28" s="12" t="n"/>
      <c r="U28" s="15" t="n"/>
      <c r="V28" s="15" t="n"/>
      <c r="W28" s="13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3" t="n"/>
      <c r="AK28" s="12" t="n"/>
      <c r="AL28" s="12" t="n"/>
      <c r="AM28" s="12" t="n"/>
      <c r="AN28" s="12" t="n"/>
      <c r="AO28" s="12" t="n"/>
      <c r="AP28" s="12" t="n"/>
      <c r="AQ28" s="7">
        <f>IF(A28="","",IF(AP28&lt;&gt;"",AP28,IF(LEFT(Z28,11)="gads_marque","Google Search – Marque",IF(LEFT(Z28,12)="gads_mariage","Google Search – Mariage et privé",IF(LEFT(Z28,10)="gads_corpo","Google Search – Corporatif",IF(LEFT(Z28,5)="meta_","Meta – Leads",IF(LEFT(Z28,5)="msft_","Microsoft Ads",IF(LEFT(Z28,8)="chatgpt_","ChatGPT Ads – Test",IF(X28="gbp","Fiche Google (organique)","Autre / non payé")))))))))</f>
        <v/>
      </c>
      <c r="AR28" s="7">
        <f>IF(K28="","",IFERROR(VLOOKUP(K28,Listes!$F$3:$H$8,3,FALSE),""))</f>
        <v/>
      </c>
      <c r="AS28" s="7">
        <f>IF(O28="","",IF(AND(M28="Autre (plus de 40 km)",OR(O28="lt600",O28="600_999",O28="1000_2499")),"D",IF(OR(O28="lt600",AND(O28="600_999",K28&lt;&gt;"mariage",K28&lt;&gt;"prive")),"C",IF(OR(O28="2500_4999",O28="5000p",J28="entreprise",J28="organisme",J28="agence"),"A",IF(OR(O28="1000_2499",O28="600_999"),"B",IF(O28="inconnu",IF(OR(N28="75_149",N28="150p"),"A","B"),""))))))</f>
        <v/>
      </c>
      <c r="AT28" s="7">
        <f>IF(A28="","",IF(P28&lt;&gt;"",P28,AS28))</f>
        <v/>
      </c>
      <c r="AU28" s="7">
        <f>IF(A28="","",IF(OR(AT28="A",AT28="B"),1,0))</f>
        <v/>
      </c>
      <c r="AV28" s="7">
        <f>IF(A28="","",IF(OR(R28="Dépôt payé (gagné)",R28="Événement livré",R28="Avis obtenu"),1,0))</f>
        <v/>
      </c>
      <c r="AW28" s="7">
        <f>IF(A28="","",IF(Q28&gt;70,"Immédiat – propriétaire",IF(Q28&gt;=40,"15 min – personne de garde","Selon la route")))</f>
        <v/>
      </c>
      <c r="AX28" s="11">
        <f>IF(A28="","",IF(AT28="A",400,IF(AT28="B",150,0)))</f>
        <v/>
      </c>
      <c r="AY28" s="11">
        <f>IF(A28="","",IF(AV28=1,N(V28),IF(N(U28)&gt;0,ROUND(N(U28)*IFERROR(VLOOKUP(R28,Listes!$AE$3:$AG$12,2,FALSE),0),0),0)))</f>
        <v/>
      </c>
      <c r="AZ28" s="7">
        <f>IF(LEFT(A28,7)="EXEMPLE",1,0)</f>
        <v/>
      </c>
      <c r="BA28" s="7">
        <f>IF(AND(AV28=1,AZ28=0,AC28&lt;&gt;"",W28&lt;&gt;"",N(V28)&gt;0),COUNTIFS($AV$3:AV28,1,$AZ$3:AZ28,0,$AC$3:AC28,"&lt;&gt;",$W$3:W28,"&lt;&gt;",$V$3:V28,"&gt;0"),"")</f>
        <v/>
      </c>
    </row>
    <row r="29">
      <c r="A29" s="12" t="n"/>
      <c r="B29" s="13" t="n"/>
      <c r="C29" s="13" t="n"/>
      <c r="D29" s="7">
        <f>IF(OR(B29="",C29=""),"",ROUND((C29-B29)*1440,0))</f>
        <v/>
      </c>
      <c r="E29" s="12" t="n"/>
      <c r="F29" s="12" t="n"/>
      <c r="G29" s="12" t="n"/>
      <c r="H29" s="12" t="n"/>
      <c r="I29" s="12" t="n"/>
      <c r="J29" s="12" t="n"/>
      <c r="K29" s="12" t="n"/>
      <c r="L29" s="14" t="n"/>
      <c r="M29" s="12" t="n"/>
      <c r="N29" s="12" t="n"/>
      <c r="O29" s="12" t="n"/>
      <c r="P29" s="12" t="n"/>
      <c r="Q29" s="7">
        <f>IF(A29="","",IFERROR(VLOOKUP(O29,Listes!$R$3:$T$8,2,FALSE),0)+IFERROR(VLOOKUP(J29,Listes!$J$3:$L$6,2,FALSE),0)+IFERROR(VLOOKUP(N29,Listes!$N$3:$P$6,2,FALSE),0)+IF(OR(L29="",B29=""),0,IF(L29-INT(B29)&lt;10,8,IF(L29-INT(B29)&lt;=90,10,5)))+IFERROR(VLOOKUP(AN29,Listes!$V$3:$W$5,2,FALSE),0)+IFERROR(VLOOKUP(AO29,Listes!$Y$3:$Z$5,2,FALSE),0))</f>
        <v/>
      </c>
      <c r="R29" s="12" t="n"/>
      <c r="S29" s="12" t="n"/>
      <c r="T29" s="12" t="n"/>
      <c r="U29" s="15" t="n"/>
      <c r="V29" s="15" t="n"/>
      <c r="W29" s="13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3" t="n"/>
      <c r="AK29" s="12" t="n"/>
      <c r="AL29" s="12" t="n"/>
      <c r="AM29" s="12" t="n"/>
      <c r="AN29" s="12" t="n"/>
      <c r="AO29" s="12" t="n"/>
      <c r="AP29" s="12" t="n"/>
      <c r="AQ29" s="7">
        <f>IF(A29="","",IF(AP29&lt;&gt;"",AP29,IF(LEFT(Z29,11)="gads_marque","Google Search – Marque",IF(LEFT(Z29,12)="gads_mariage","Google Search – Mariage et privé",IF(LEFT(Z29,10)="gads_corpo","Google Search – Corporatif",IF(LEFT(Z29,5)="meta_","Meta – Leads",IF(LEFT(Z29,5)="msft_","Microsoft Ads",IF(LEFT(Z29,8)="chatgpt_","ChatGPT Ads – Test",IF(X29="gbp","Fiche Google (organique)","Autre / non payé")))))))))</f>
        <v/>
      </c>
      <c r="AR29" s="7">
        <f>IF(K29="","",IFERROR(VLOOKUP(K29,Listes!$F$3:$H$8,3,FALSE),""))</f>
        <v/>
      </c>
      <c r="AS29" s="7">
        <f>IF(O29="","",IF(AND(M29="Autre (plus de 40 km)",OR(O29="lt600",O29="600_999",O29="1000_2499")),"D",IF(OR(O29="lt600",AND(O29="600_999",K29&lt;&gt;"mariage",K29&lt;&gt;"prive")),"C",IF(OR(O29="2500_4999",O29="5000p",J29="entreprise",J29="organisme",J29="agence"),"A",IF(OR(O29="1000_2499",O29="600_999"),"B",IF(O29="inconnu",IF(OR(N29="75_149",N29="150p"),"A","B"),""))))))</f>
        <v/>
      </c>
      <c r="AT29" s="7">
        <f>IF(A29="","",IF(P29&lt;&gt;"",P29,AS29))</f>
        <v/>
      </c>
      <c r="AU29" s="7">
        <f>IF(A29="","",IF(OR(AT29="A",AT29="B"),1,0))</f>
        <v/>
      </c>
      <c r="AV29" s="7">
        <f>IF(A29="","",IF(OR(R29="Dépôt payé (gagné)",R29="Événement livré",R29="Avis obtenu"),1,0))</f>
        <v/>
      </c>
      <c r="AW29" s="7">
        <f>IF(A29="","",IF(Q29&gt;70,"Immédiat – propriétaire",IF(Q29&gt;=40,"15 min – personne de garde","Selon la route")))</f>
        <v/>
      </c>
      <c r="AX29" s="11">
        <f>IF(A29="","",IF(AT29="A",400,IF(AT29="B",150,0)))</f>
        <v/>
      </c>
      <c r="AY29" s="11">
        <f>IF(A29="","",IF(AV29=1,N(V29),IF(N(U29)&gt;0,ROUND(N(U29)*IFERROR(VLOOKUP(R29,Listes!$AE$3:$AG$12,2,FALSE),0),0),0)))</f>
        <v/>
      </c>
      <c r="AZ29" s="7">
        <f>IF(LEFT(A29,7)="EXEMPLE",1,0)</f>
        <v/>
      </c>
      <c r="BA29" s="7">
        <f>IF(AND(AV29=1,AZ29=0,AC29&lt;&gt;"",W29&lt;&gt;"",N(V29)&gt;0),COUNTIFS($AV$3:AV29,1,$AZ$3:AZ29,0,$AC$3:AC29,"&lt;&gt;",$W$3:W29,"&lt;&gt;",$V$3:V29,"&gt;0"),"")</f>
        <v/>
      </c>
    </row>
    <row r="30">
      <c r="A30" s="12" t="n"/>
      <c r="B30" s="13" t="n"/>
      <c r="C30" s="13" t="n"/>
      <c r="D30" s="7">
        <f>IF(OR(B30="",C30=""),"",ROUND((C30-B30)*1440,0))</f>
        <v/>
      </c>
      <c r="E30" s="12" t="n"/>
      <c r="F30" s="12" t="n"/>
      <c r="G30" s="12" t="n"/>
      <c r="H30" s="12" t="n"/>
      <c r="I30" s="12" t="n"/>
      <c r="J30" s="12" t="n"/>
      <c r="K30" s="12" t="n"/>
      <c r="L30" s="14" t="n"/>
      <c r="M30" s="12" t="n"/>
      <c r="N30" s="12" t="n"/>
      <c r="O30" s="12" t="n"/>
      <c r="P30" s="12" t="n"/>
      <c r="Q30" s="7">
        <f>IF(A30="","",IFERROR(VLOOKUP(O30,Listes!$R$3:$T$8,2,FALSE),0)+IFERROR(VLOOKUP(J30,Listes!$J$3:$L$6,2,FALSE),0)+IFERROR(VLOOKUP(N30,Listes!$N$3:$P$6,2,FALSE),0)+IF(OR(L30="",B30=""),0,IF(L30-INT(B30)&lt;10,8,IF(L30-INT(B30)&lt;=90,10,5)))+IFERROR(VLOOKUP(AN30,Listes!$V$3:$W$5,2,FALSE),0)+IFERROR(VLOOKUP(AO30,Listes!$Y$3:$Z$5,2,FALSE),0))</f>
        <v/>
      </c>
      <c r="R30" s="12" t="n"/>
      <c r="S30" s="12" t="n"/>
      <c r="T30" s="12" t="n"/>
      <c r="U30" s="15" t="n"/>
      <c r="V30" s="15" t="n"/>
      <c r="W30" s="13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3" t="n"/>
      <c r="AK30" s="12" t="n"/>
      <c r="AL30" s="12" t="n"/>
      <c r="AM30" s="12" t="n"/>
      <c r="AN30" s="12" t="n"/>
      <c r="AO30" s="12" t="n"/>
      <c r="AP30" s="12" t="n"/>
      <c r="AQ30" s="7">
        <f>IF(A30="","",IF(AP30&lt;&gt;"",AP30,IF(LEFT(Z30,11)="gads_marque","Google Search – Marque",IF(LEFT(Z30,12)="gads_mariage","Google Search – Mariage et privé",IF(LEFT(Z30,10)="gads_corpo","Google Search – Corporatif",IF(LEFT(Z30,5)="meta_","Meta – Leads",IF(LEFT(Z30,5)="msft_","Microsoft Ads",IF(LEFT(Z30,8)="chatgpt_","ChatGPT Ads – Test",IF(X30="gbp","Fiche Google (organique)","Autre / non payé")))))))))</f>
        <v/>
      </c>
      <c r="AR30" s="7">
        <f>IF(K30="","",IFERROR(VLOOKUP(K30,Listes!$F$3:$H$8,3,FALSE),""))</f>
        <v/>
      </c>
      <c r="AS30" s="7">
        <f>IF(O30="","",IF(AND(M30="Autre (plus de 40 km)",OR(O30="lt600",O30="600_999",O30="1000_2499")),"D",IF(OR(O30="lt600",AND(O30="600_999",K30&lt;&gt;"mariage",K30&lt;&gt;"prive")),"C",IF(OR(O30="2500_4999",O30="5000p",J30="entreprise",J30="organisme",J30="agence"),"A",IF(OR(O30="1000_2499",O30="600_999"),"B",IF(O30="inconnu",IF(OR(N30="75_149",N30="150p"),"A","B"),""))))))</f>
        <v/>
      </c>
      <c r="AT30" s="7">
        <f>IF(A30="","",IF(P30&lt;&gt;"",P30,AS30))</f>
        <v/>
      </c>
      <c r="AU30" s="7">
        <f>IF(A30="","",IF(OR(AT30="A",AT30="B"),1,0))</f>
        <v/>
      </c>
      <c r="AV30" s="7">
        <f>IF(A30="","",IF(OR(R30="Dépôt payé (gagné)",R30="Événement livré",R30="Avis obtenu"),1,0))</f>
        <v/>
      </c>
      <c r="AW30" s="7">
        <f>IF(A30="","",IF(Q30&gt;70,"Immédiat – propriétaire",IF(Q30&gt;=40,"15 min – personne de garde","Selon la route")))</f>
        <v/>
      </c>
      <c r="AX30" s="11">
        <f>IF(A30="","",IF(AT30="A",400,IF(AT30="B",150,0)))</f>
        <v/>
      </c>
      <c r="AY30" s="11">
        <f>IF(A30="","",IF(AV30=1,N(V30),IF(N(U30)&gt;0,ROUND(N(U30)*IFERROR(VLOOKUP(R30,Listes!$AE$3:$AG$12,2,FALSE),0),0),0)))</f>
        <v/>
      </c>
      <c r="AZ30" s="7">
        <f>IF(LEFT(A30,7)="EXEMPLE",1,0)</f>
        <v/>
      </c>
      <c r="BA30" s="7">
        <f>IF(AND(AV30=1,AZ30=0,AC30&lt;&gt;"",W30&lt;&gt;"",N(V30)&gt;0),COUNTIFS($AV$3:AV30,1,$AZ$3:AZ30,0,$AC$3:AC30,"&lt;&gt;",$W$3:W30,"&lt;&gt;",$V$3:V30,"&gt;0"),"")</f>
        <v/>
      </c>
    </row>
    <row r="31">
      <c r="A31" s="12" t="n"/>
      <c r="B31" s="13" t="n"/>
      <c r="C31" s="13" t="n"/>
      <c r="D31" s="7">
        <f>IF(OR(B31="",C31=""),"",ROUND((C31-B31)*1440,0))</f>
        <v/>
      </c>
      <c r="E31" s="12" t="n"/>
      <c r="F31" s="12" t="n"/>
      <c r="G31" s="12" t="n"/>
      <c r="H31" s="12" t="n"/>
      <c r="I31" s="12" t="n"/>
      <c r="J31" s="12" t="n"/>
      <c r="K31" s="12" t="n"/>
      <c r="L31" s="14" t="n"/>
      <c r="M31" s="12" t="n"/>
      <c r="N31" s="12" t="n"/>
      <c r="O31" s="12" t="n"/>
      <c r="P31" s="12" t="n"/>
      <c r="Q31" s="7">
        <f>IF(A31="","",IFERROR(VLOOKUP(O31,Listes!$R$3:$T$8,2,FALSE),0)+IFERROR(VLOOKUP(J31,Listes!$J$3:$L$6,2,FALSE),0)+IFERROR(VLOOKUP(N31,Listes!$N$3:$P$6,2,FALSE),0)+IF(OR(L31="",B31=""),0,IF(L31-INT(B31)&lt;10,8,IF(L31-INT(B31)&lt;=90,10,5)))+IFERROR(VLOOKUP(AN31,Listes!$V$3:$W$5,2,FALSE),0)+IFERROR(VLOOKUP(AO31,Listes!$Y$3:$Z$5,2,FALSE),0))</f>
        <v/>
      </c>
      <c r="R31" s="12" t="n"/>
      <c r="S31" s="12" t="n"/>
      <c r="T31" s="12" t="n"/>
      <c r="U31" s="15" t="n"/>
      <c r="V31" s="15" t="n"/>
      <c r="W31" s="13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3" t="n"/>
      <c r="AK31" s="12" t="n"/>
      <c r="AL31" s="12" t="n"/>
      <c r="AM31" s="12" t="n"/>
      <c r="AN31" s="12" t="n"/>
      <c r="AO31" s="12" t="n"/>
      <c r="AP31" s="12" t="n"/>
      <c r="AQ31" s="7">
        <f>IF(A31="","",IF(AP31&lt;&gt;"",AP31,IF(LEFT(Z31,11)="gads_marque","Google Search – Marque",IF(LEFT(Z31,12)="gads_mariage","Google Search – Mariage et privé",IF(LEFT(Z31,10)="gads_corpo","Google Search – Corporatif",IF(LEFT(Z31,5)="meta_","Meta – Leads",IF(LEFT(Z31,5)="msft_","Microsoft Ads",IF(LEFT(Z31,8)="chatgpt_","ChatGPT Ads – Test",IF(X31="gbp","Fiche Google (organique)","Autre / non payé")))))))))</f>
        <v/>
      </c>
      <c r="AR31" s="7">
        <f>IF(K31="","",IFERROR(VLOOKUP(K31,Listes!$F$3:$H$8,3,FALSE),""))</f>
        <v/>
      </c>
      <c r="AS31" s="7">
        <f>IF(O31="","",IF(AND(M31="Autre (plus de 40 km)",OR(O31="lt600",O31="600_999",O31="1000_2499")),"D",IF(OR(O31="lt600",AND(O31="600_999",K31&lt;&gt;"mariage",K31&lt;&gt;"prive")),"C",IF(OR(O31="2500_4999",O31="5000p",J31="entreprise",J31="organisme",J31="agence"),"A",IF(OR(O31="1000_2499",O31="600_999"),"B",IF(O31="inconnu",IF(OR(N31="75_149",N31="150p"),"A","B"),""))))))</f>
        <v/>
      </c>
      <c r="AT31" s="7">
        <f>IF(A31="","",IF(P31&lt;&gt;"",P31,AS31))</f>
        <v/>
      </c>
      <c r="AU31" s="7">
        <f>IF(A31="","",IF(OR(AT31="A",AT31="B"),1,0))</f>
        <v/>
      </c>
      <c r="AV31" s="7">
        <f>IF(A31="","",IF(OR(R31="Dépôt payé (gagné)",R31="Événement livré",R31="Avis obtenu"),1,0))</f>
        <v/>
      </c>
      <c r="AW31" s="7">
        <f>IF(A31="","",IF(Q31&gt;70,"Immédiat – propriétaire",IF(Q31&gt;=40,"15 min – personne de garde","Selon la route")))</f>
        <v/>
      </c>
      <c r="AX31" s="11">
        <f>IF(A31="","",IF(AT31="A",400,IF(AT31="B",150,0)))</f>
        <v/>
      </c>
      <c r="AY31" s="11">
        <f>IF(A31="","",IF(AV31=1,N(V31),IF(N(U31)&gt;0,ROUND(N(U31)*IFERROR(VLOOKUP(R31,Listes!$AE$3:$AG$12,2,FALSE),0),0),0)))</f>
        <v/>
      </c>
      <c r="AZ31" s="7">
        <f>IF(LEFT(A31,7)="EXEMPLE",1,0)</f>
        <v/>
      </c>
      <c r="BA31" s="7">
        <f>IF(AND(AV31=1,AZ31=0,AC31&lt;&gt;"",W31&lt;&gt;"",N(V31)&gt;0),COUNTIFS($AV$3:AV31,1,$AZ$3:AZ31,0,$AC$3:AC31,"&lt;&gt;",$W$3:W31,"&lt;&gt;",$V$3:V31,"&gt;0"),"")</f>
        <v/>
      </c>
    </row>
    <row r="32">
      <c r="A32" s="12" t="n"/>
      <c r="B32" s="13" t="n"/>
      <c r="C32" s="13" t="n"/>
      <c r="D32" s="7">
        <f>IF(OR(B32="",C32=""),"",ROUND((C32-B32)*1440,0))</f>
        <v/>
      </c>
      <c r="E32" s="12" t="n"/>
      <c r="F32" s="12" t="n"/>
      <c r="G32" s="12" t="n"/>
      <c r="H32" s="12" t="n"/>
      <c r="I32" s="12" t="n"/>
      <c r="J32" s="12" t="n"/>
      <c r="K32" s="12" t="n"/>
      <c r="L32" s="14" t="n"/>
      <c r="M32" s="12" t="n"/>
      <c r="N32" s="12" t="n"/>
      <c r="O32" s="12" t="n"/>
      <c r="P32" s="12" t="n"/>
      <c r="Q32" s="7">
        <f>IF(A32="","",IFERROR(VLOOKUP(O32,Listes!$R$3:$T$8,2,FALSE),0)+IFERROR(VLOOKUP(J32,Listes!$J$3:$L$6,2,FALSE),0)+IFERROR(VLOOKUP(N32,Listes!$N$3:$P$6,2,FALSE),0)+IF(OR(L32="",B32=""),0,IF(L32-INT(B32)&lt;10,8,IF(L32-INT(B32)&lt;=90,10,5)))+IFERROR(VLOOKUP(AN32,Listes!$V$3:$W$5,2,FALSE),0)+IFERROR(VLOOKUP(AO32,Listes!$Y$3:$Z$5,2,FALSE),0))</f>
        <v/>
      </c>
      <c r="R32" s="12" t="n"/>
      <c r="S32" s="12" t="n"/>
      <c r="T32" s="12" t="n"/>
      <c r="U32" s="15" t="n"/>
      <c r="V32" s="15" t="n"/>
      <c r="W32" s="13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3" t="n"/>
      <c r="AK32" s="12" t="n"/>
      <c r="AL32" s="12" t="n"/>
      <c r="AM32" s="12" t="n"/>
      <c r="AN32" s="12" t="n"/>
      <c r="AO32" s="12" t="n"/>
      <c r="AP32" s="12" t="n"/>
      <c r="AQ32" s="7">
        <f>IF(A32="","",IF(AP32&lt;&gt;"",AP32,IF(LEFT(Z32,11)="gads_marque","Google Search – Marque",IF(LEFT(Z32,12)="gads_mariage","Google Search – Mariage et privé",IF(LEFT(Z32,10)="gads_corpo","Google Search – Corporatif",IF(LEFT(Z32,5)="meta_","Meta – Leads",IF(LEFT(Z32,5)="msft_","Microsoft Ads",IF(LEFT(Z32,8)="chatgpt_","ChatGPT Ads – Test",IF(X32="gbp","Fiche Google (organique)","Autre / non payé")))))))))</f>
        <v/>
      </c>
      <c r="AR32" s="7">
        <f>IF(K32="","",IFERROR(VLOOKUP(K32,Listes!$F$3:$H$8,3,FALSE),""))</f>
        <v/>
      </c>
      <c r="AS32" s="7">
        <f>IF(O32="","",IF(AND(M32="Autre (plus de 40 km)",OR(O32="lt600",O32="600_999",O32="1000_2499")),"D",IF(OR(O32="lt600",AND(O32="600_999",K32&lt;&gt;"mariage",K32&lt;&gt;"prive")),"C",IF(OR(O32="2500_4999",O32="5000p",J32="entreprise",J32="organisme",J32="agence"),"A",IF(OR(O32="1000_2499",O32="600_999"),"B",IF(O32="inconnu",IF(OR(N32="75_149",N32="150p"),"A","B"),""))))))</f>
        <v/>
      </c>
      <c r="AT32" s="7">
        <f>IF(A32="","",IF(P32&lt;&gt;"",P32,AS32))</f>
        <v/>
      </c>
      <c r="AU32" s="7">
        <f>IF(A32="","",IF(OR(AT32="A",AT32="B"),1,0))</f>
        <v/>
      </c>
      <c r="AV32" s="7">
        <f>IF(A32="","",IF(OR(R32="Dépôt payé (gagné)",R32="Événement livré",R32="Avis obtenu"),1,0))</f>
        <v/>
      </c>
      <c r="AW32" s="7">
        <f>IF(A32="","",IF(Q32&gt;70,"Immédiat – propriétaire",IF(Q32&gt;=40,"15 min – personne de garde","Selon la route")))</f>
        <v/>
      </c>
      <c r="AX32" s="11">
        <f>IF(A32="","",IF(AT32="A",400,IF(AT32="B",150,0)))</f>
        <v/>
      </c>
      <c r="AY32" s="11">
        <f>IF(A32="","",IF(AV32=1,N(V32),IF(N(U32)&gt;0,ROUND(N(U32)*IFERROR(VLOOKUP(R32,Listes!$AE$3:$AG$12,2,FALSE),0),0),0)))</f>
        <v/>
      </c>
      <c r="AZ32" s="7">
        <f>IF(LEFT(A32,7)="EXEMPLE",1,0)</f>
        <v/>
      </c>
      <c r="BA32" s="7">
        <f>IF(AND(AV32=1,AZ32=0,AC32&lt;&gt;"",W32&lt;&gt;"",N(V32)&gt;0),COUNTIFS($AV$3:AV32,1,$AZ$3:AZ32,0,$AC$3:AC32,"&lt;&gt;",$W$3:W32,"&lt;&gt;",$V$3:V32,"&gt;0"),"")</f>
        <v/>
      </c>
    </row>
    <row r="33">
      <c r="A33" s="12" t="n"/>
      <c r="B33" s="13" t="n"/>
      <c r="C33" s="13" t="n"/>
      <c r="D33" s="7">
        <f>IF(OR(B33="",C33=""),"",ROUND((C33-B33)*1440,0))</f>
        <v/>
      </c>
      <c r="E33" s="12" t="n"/>
      <c r="F33" s="12" t="n"/>
      <c r="G33" s="12" t="n"/>
      <c r="H33" s="12" t="n"/>
      <c r="I33" s="12" t="n"/>
      <c r="J33" s="12" t="n"/>
      <c r="K33" s="12" t="n"/>
      <c r="L33" s="14" t="n"/>
      <c r="M33" s="12" t="n"/>
      <c r="N33" s="12" t="n"/>
      <c r="O33" s="12" t="n"/>
      <c r="P33" s="12" t="n"/>
      <c r="Q33" s="7">
        <f>IF(A33="","",IFERROR(VLOOKUP(O33,Listes!$R$3:$T$8,2,FALSE),0)+IFERROR(VLOOKUP(J33,Listes!$J$3:$L$6,2,FALSE),0)+IFERROR(VLOOKUP(N33,Listes!$N$3:$P$6,2,FALSE),0)+IF(OR(L33="",B33=""),0,IF(L33-INT(B33)&lt;10,8,IF(L33-INT(B33)&lt;=90,10,5)))+IFERROR(VLOOKUP(AN33,Listes!$V$3:$W$5,2,FALSE),0)+IFERROR(VLOOKUP(AO33,Listes!$Y$3:$Z$5,2,FALSE),0))</f>
        <v/>
      </c>
      <c r="R33" s="12" t="n"/>
      <c r="S33" s="12" t="n"/>
      <c r="T33" s="12" t="n"/>
      <c r="U33" s="15" t="n"/>
      <c r="V33" s="15" t="n"/>
      <c r="W33" s="13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3" t="n"/>
      <c r="AK33" s="12" t="n"/>
      <c r="AL33" s="12" t="n"/>
      <c r="AM33" s="12" t="n"/>
      <c r="AN33" s="12" t="n"/>
      <c r="AO33" s="12" t="n"/>
      <c r="AP33" s="12" t="n"/>
      <c r="AQ33" s="7">
        <f>IF(A33="","",IF(AP33&lt;&gt;"",AP33,IF(LEFT(Z33,11)="gads_marque","Google Search – Marque",IF(LEFT(Z33,12)="gads_mariage","Google Search – Mariage et privé",IF(LEFT(Z33,10)="gads_corpo","Google Search – Corporatif",IF(LEFT(Z33,5)="meta_","Meta – Leads",IF(LEFT(Z33,5)="msft_","Microsoft Ads",IF(LEFT(Z33,8)="chatgpt_","ChatGPT Ads – Test",IF(X33="gbp","Fiche Google (organique)","Autre / non payé")))))))))</f>
        <v/>
      </c>
      <c r="AR33" s="7">
        <f>IF(K33="","",IFERROR(VLOOKUP(K33,Listes!$F$3:$H$8,3,FALSE),""))</f>
        <v/>
      </c>
      <c r="AS33" s="7">
        <f>IF(O33="","",IF(AND(M33="Autre (plus de 40 km)",OR(O33="lt600",O33="600_999",O33="1000_2499")),"D",IF(OR(O33="lt600",AND(O33="600_999",K33&lt;&gt;"mariage",K33&lt;&gt;"prive")),"C",IF(OR(O33="2500_4999",O33="5000p",J33="entreprise",J33="organisme",J33="agence"),"A",IF(OR(O33="1000_2499",O33="600_999"),"B",IF(O33="inconnu",IF(OR(N33="75_149",N33="150p"),"A","B"),""))))))</f>
        <v/>
      </c>
      <c r="AT33" s="7">
        <f>IF(A33="","",IF(P33&lt;&gt;"",P33,AS33))</f>
        <v/>
      </c>
      <c r="AU33" s="7">
        <f>IF(A33="","",IF(OR(AT33="A",AT33="B"),1,0))</f>
        <v/>
      </c>
      <c r="AV33" s="7">
        <f>IF(A33="","",IF(OR(R33="Dépôt payé (gagné)",R33="Événement livré",R33="Avis obtenu"),1,0))</f>
        <v/>
      </c>
      <c r="AW33" s="7">
        <f>IF(A33="","",IF(Q33&gt;70,"Immédiat – propriétaire",IF(Q33&gt;=40,"15 min – personne de garde","Selon la route")))</f>
        <v/>
      </c>
      <c r="AX33" s="11">
        <f>IF(A33="","",IF(AT33="A",400,IF(AT33="B",150,0)))</f>
        <v/>
      </c>
      <c r="AY33" s="11">
        <f>IF(A33="","",IF(AV33=1,N(V33),IF(N(U33)&gt;0,ROUND(N(U33)*IFERROR(VLOOKUP(R33,Listes!$AE$3:$AG$12,2,FALSE),0),0),0)))</f>
        <v/>
      </c>
      <c r="AZ33" s="7">
        <f>IF(LEFT(A33,7)="EXEMPLE",1,0)</f>
        <v/>
      </c>
      <c r="BA33" s="7">
        <f>IF(AND(AV33=1,AZ33=0,AC33&lt;&gt;"",W33&lt;&gt;"",N(V33)&gt;0),COUNTIFS($AV$3:AV33,1,$AZ$3:AZ33,0,$AC$3:AC33,"&lt;&gt;",$W$3:W33,"&lt;&gt;",$V$3:V33,"&gt;0"),"")</f>
        <v/>
      </c>
    </row>
    <row r="34">
      <c r="A34" s="12" t="n"/>
      <c r="B34" s="13" t="n"/>
      <c r="C34" s="13" t="n"/>
      <c r="D34" s="7">
        <f>IF(OR(B34="",C34=""),"",ROUND((C34-B34)*1440,0))</f>
        <v/>
      </c>
      <c r="E34" s="12" t="n"/>
      <c r="F34" s="12" t="n"/>
      <c r="G34" s="12" t="n"/>
      <c r="H34" s="12" t="n"/>
      <c r="I34" s="12" t="n"/>
      <c r="J34" s="12" t="n"/>
      <c r="K34" s="12" t="n"/>
      <c r="L34" s="14" t="n"/>
      <c r="M34" s="12" t="n"/>
      <c r="N34" s="12" t="n"/>
      <c r="O34" s="12" t="n"/>
      <c r="P34" s="12" t="n"/>
      <c r="Q34" s="7">
        <f>IF(A34="","",IFERROR(VLOOKUP(O34,Listes!$R$3:$T$8,2,FALSE),0)+IFERROR(VLOOKUP(J34,Listes!$J$3:$L$6,2,FALSE),0)+IFERROR(VLOOKUP(N34,Listes!$N$3:$P$6,2,FALSE),0)+IF(OR(L34="",B34=""),0,IF(L34-INT(B34)&lt;10,8,IF(L34-INT(B34)&lt;=90,10,5)))+IFERROR(VLOOKUP(AN34,Listes!$V$3:$W$5,2,FALSE),0)+IFERROR(VLOOKUP(AO34,Listes!$Y$3:$Z$5,2,FALSE),0))</f>
        <v/>
      </c>
      <c r="R34" s="12" t="n"/>
      <c r="S34" s="12" t="n"/>
      <c r="T34" s="12" t="n"/>
      <c r="U34" s="15" t="n"/>
      <c r="V34" s="15" t="n"/>
      <c r="W34" s="13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3" t="n"/>
      <c r="AK34" s="12" t="n"/>
      <c r="AL34" s="12" t="n"/>
      <c r="AM34" s="12" t="n"/>
      <c r="AN34" s="12" t="n"/>
      <c r="AO34" s="12" t="n"/>
      <c r="AP34" s="12" t="n"/>
      <c r="AQ34" s="7">
        <f>IF(A34="","",IF(AP34&lt;&gt;"",AP34,IF(LEFT(Z34,11)="gads_marque","Google Search – Marque",IF(LEFT(Z34,12)="gads_mariage","Google Search – Mariage et privé",IF(LEFT(Z34,10)="gads_corpo","Google Search – Corporatif",IF(LEFT(Z34,5)="meta_","Meta – Leads",IF(LEFT(Z34,5)="msft_","Microsoft Ads",IF(LEFT(Z34,8)="chatgpt_","ChatGPT Ads – Test",IF(X34="gbp","Fiche Google (organique)","Autre / non payé")))))))))</f>
        <v/>
      </c>
      <c r="AR34" s="7">
        <f>IF(K34="","",IFERROR(VLOOKUP(K34,Listes!$F$3:$H$8,3,FALSE),""))</f>
        <v/>
      </c>
      <c r="AS34" s="7">
        <f>IF(O34="","",IF(AND(M34="Autre (plus de 40 km)",OR(O34="lt600",O34="600_999",O34="1000_2499")),"D",IF(OR(O34="lt600",AND(O34="600_999",K34&lt;&gt;"mariage",K34&lt;&gt;"prive")),"C",IF(OR(O34="2500_4999",O34="5000p",J34="entreprise",J34="organisme",J34="agence"),"A",IF(OR(O34="1000_2499",O34="600_999"),"B",IF(O34="inconnu",IF(OR(N34="75_149",N34="150p"),"A","B"),""))))))</f>
        <v/>
      </c>
      <c r="AT34" s="7">
        <f>IF(A34="","",IF(P34&lt;&gt;"",P34,AS34))</f>
        <v/>
      </c>
      <c r="AU34" s="7">
        <f>IF(A34="","",IF(OR(AT34="A",AT34="B"),1,0))</f>
        <v/>
      </c>
      <c r="AV34" s="7">
        <f>IF(A34="","",IF(OR(R34="Dépôt payé (gagné)",R34="Événement livré",R34="Avis obtenu"),1,0))</f>
        <v/>
      </c>
      <c r="AW34" s="7">
        <f>IF(A34="","",IF(Q34&gt;70,"Immédiat – propriétaire",IF(Q34&gt;=40,"15 min – personne de garde","Selon la route")))</f>
        <v/>
      </c>
      <c r="AX34" s="11">
        <f>IF(A34="","",IF(AT34="A",400,IF(AT34="B",150,0)))</f>
        <v/>
      </c>
      <c r="AY34" s="11">
        <f>IF(A34="","",IF(AV34=1,N(V34),IF(N(U34)&gt;0,ROUND(N(U34)*IFERROR(VLOOKUP(R34,Listes!$AE$3:$AG$12,2,FALSE),0),0),0)))</f>
        <v/>
      </c>
      <c r="AZ34" s="7">
        <f>IF(LEFT(A34,7)="EXEMPLE",1,0)</f>
        <v/>
      </c>
      <c r="BA34" s="7">
        <f>IF(AND(AV34=1,AZ34=0,AC34&lt;&gt;"",W34&lt;&gt;"",N(V34)&gt;0),COUNTIFS($AV$3:AV34,1,$AZ$3:AZ34,0,$AC$3:AC34,"&lt;&gt;",$W$3:W34,"&lt;&gt;",$V$3:V34,"&gt;0"),"")</f>
        <v/>
      </c>
    </row>
    <row r="35">
      <c r="A35" s="12" t="n"/>
      <c r="B35" s="13" t="n"/>
      <c r="C35" s="13" t="n"/>
      <c r="D35" s="7">
        <f>IF(OR(B35="",C35=""),"",ROUND((C35-B35)*1440,0))</f>
        <v/>
      </c>
      <c r="E35" s="12" t="n"/>
      <c r="F35" s="12" t="n"/>
      <c r="G35" s="12" t="n"/>
      <c r="H35" s="12" t="n"/>
      <c r="I35" s="12" t="n"/>
      <c r="J35" s="12" t="n"/>
      <c r="K35" s="12" t="n"/>
      <c r="L35" s="14" t="n"/>
      <c r="M35" s="12" t="n"/>
      <c r="N35" s="12" t="n"/>
      <c r="O35" s="12" t="n"/>
      <c r="P35" s="12" t="n"/>
      <c r="Q35" s="7">
        <f>IF(A35="","",IFERROR(VLOOKUP(O35,Listes!$R$3:$T$8,2,FALSE),0)+IFERROR(VLOOKUP(J35,Listes!$J$3:$L$6,2,FALSE),0)+IFERROR(VLOOKUP(N35,Listes!$N$3:$P$6,2,FALSE),0)+IF(OR(L35="",B35=""),0,IF(L35-INT(B35)&lt;10,8,IF(L35-INT(B35)&lt;=90,10,5)))+IFERROR(VLOOKUP(AN35,Listes!$V$3:$W$5,2,FALSE),0)+IFERROR(VLOOKUP(AO35,Listes!$Y$3:$Z$5,2,FALSE),0))</f>
        <v/>
      </c>
      <c r="R35" s="12" t="n"/>
      <c r="S35" s="12" t="n"/>
      <c r="T35" s="12" t="n"/>
      <c r="U35" s="15" t="n"/>
      <c r="V35" s="15" t="n"/>
      <c r="W35" s="13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3" t="n"/>
      <c r="AK35" s="12" t="n"/>
      <c r="AL35" s="12" t="n"/>
      <c r="AM35" s="12" t="n"/>
      <c r="AN35" s="12" t="n"/>
      <c r="AO35" s="12" t="n"/>
      <c r="AP35" s="12" t="n"/>
      <c r="AQ35" s="7">
        <f>IF(A35="","",IF(AP35&lt;&gt;"",AP35,IF(LEFT(Z35,11)="gads_marque","Google Search – Marque",IF(LEFT(Z35,12)="gads_mariage","Google Search – Mariage et privé",IF(LEFT(Z35,10)="gads_corpo","Google Search – Corporatif",IF(LEFT(Z35,5)="meta_","Meta – Leads",IF(LEFT(Z35,5)="msft_","Microsoft Ads",IF(LEFT(Z35,8)="chatgpt_","ChatGPT Ads – Test",IF(X35="gbp","Fiche Google (organique)","Autre / non payé")))))))))</f>
        <v/>
      </c>
      <c r="AR35" s="7">
        <f>IF(K35="","",IFERROR(VLOOKUP(K35,Listes!$F$3:$H$8,3,FALSE),""))</f>
        <v/>
      </c>
      <c r="AS35" s="7">
        <f>IF(O35="","",IF(AND(M35="Autre (plus de 40 km)",OR(O35="lt600",O35="600_999",O35="1000_2499")),"D",IF(OR(O35="lt600",AND(O35="600_999",K35&lt;&gt;"mariage",K35&lt;&gt;"prive")),"C",IF(OR(O35="2500_4999",O35="5000p",J35="entreprise",J35="organisme",J35="agence"),"A",IF(OR(O35="1000_2499",O35="600_999"),"B",IF(O35="inconnu",IF(OR(N35="75_149",N35="150p"),"A","B"),""))))))</f>
        <v/>
      </c>
      <c r="AT35" s="7">
        <f>IF(A35="","",IF(P35&lt;&gt;"",P35,AS35))</f>
        <v/>
      </c>
      <c r="AU35" s="7">
        <f>IF(A35="","",IF(OR(AT35="A",AT35="B"),1,0))</f>
        <v/>
      </c>
      <c r="AV35" s="7">
        <f>IF(A35="","",IF(OR(R35="Dépôt payé (gagné)",R35="Événement livré",R35="Avis obtenu"),1,0))</f>
        <v/>
      </c>
      <c r="AW35" s="7">
        <f>IF(A35="","",IF(Q35&gt;70,"Immédiat – propriétaire",IF(Q35&gt;=40,"15 min – personne de garde","Selon la route")))</f>
        <v/>
      </c>
      <c r="AX35" s="11">
        <f>IF(A35="","",IF(AT35="A",400,IF(AT35="B",150,0)))</f>
        <v/>
      </c>
      <c r="AY35" s="11">
        <f>IF(A35="","",IF(AV35=1,N(V35),IF(N(U35)&gt;0,ROUND(N(U35)*IFERROR(VLOOKUP(R35,Listes!$AE$3:$AG$12,2,FALSE),0),0),0)))</f>
        <v/>
      </c>
      <c r="AZ35" s="7">
        <f>IF(LEFT(A35,7)="EXEMPLE",1,0)</f>
        <v/>
      </c>
      <c r="BA35" s="7">
        <f>IF(AND(AV35=1,AZ35=0,AC35&lt;&gt;"",W35&lt;&gt;"",N(V35)&gt;0),COUNTIFS($AV$3:AV35,1,$AZ$3:AZ35,0,$AC$3:AC35,"&lt;&gt;",$W$3:W35,"&lt;&gt;",$V$3:V35,"&gt;0"),"")</f>
        <v/>
      </c>
    </row>
    <row r="36">
      <c r="A36" s="12" t="n"/>
      <c r="B36" s="13" t="n"/>
      <c r="C36" s="13" t="n"/>
      <c r="D36" s="7">
        <f>IF(OR(B36="",C36=""),"",ROUND((C36-B36)*1440,0))</f>
        <v/>
      </c>
      <c r="E36" s="12" t="n"/>
      <c r="F36" s="12" t="n"/>
      <c r="G36" s="12" t="n"/>
      <c r="H36" s="12" t="n"/>
      <c r="I36" s="12" t="n"/>
      <c r="J36" s="12" t="n"/>
      <c r="K36" s="12" t="n"/>
      <c r="L36" s="14" t="n"/>
      <c r="M36" s="12" t="n"/>
      <c r="N36" s="12" t="n"/>
      <c r="O36" s="12" t="n"/>
      <c r="P36" s="12" t="n"/>
      <c r="Q36" s="7">
        <f>IF(A36="","",IFERROR(VLOOKUP(O36,Listes!$R$3:$T$8,2,FALSE),0)+IFERROR(VLOOKUP(J36,Listes!$J$3:$L$6,2,FALSE),0)+IFERROR(VLOOKUP(N36,Listes!$N$3:$P$6,2,FALSE),0)+IF(OR(L36="",B36=""),0,IF(L36-INT(B36)&lt;10,8,IF(L36-INT(B36)&lt;=90,10,5)))+IFERROR(VLOOKUP(AN36,Listes!$V$3:$W$5,2,FALSE),0)+IFERROR(VLOOKUP(AO36,Listes!$Y$3:$Z$5,2,FALSE),0))</f>
        <v/>
      </c>
      <c r="R36" s="12" t="n"/>
      <c r="S36" s="12" t="n"/>
      <c r="T36" s="12" t="n"/>
      <c r="U36" s="15" t="n"/>
      <c r="V36" s="15" t="n"/>
      <c r="W36" s="13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3" t="n"/>
      <c r="AK36" s="12" t="n"/>
      <c r="AL36" s="12" t="n"/>
      <c r="AM36" s="12" t="n"/>
      <c r="AN36" s="12" t="n"/>
      <c r="AO36" s="12" t="n"/>
      <c r="AP36" s="12" t="n"/>
      <c r="AQ36" s="7">
        <f>IF(A36="","",IF(AP36&lt;&gt;"",AP36,IF(LEFT(Z36,11)="gads_marque","Google Search – Marque",IF(LEFT(Z36,12)="gads_mariage","Google Search – Mariage et privé",IF(LEFT(Z36,10)="gads_corpo","Google Search – Corporatif",IF(LEFT(Z36,5)="meta_","Meta – Leads",IF(LEFT(Z36,5)="msft_","Microsoft Ads",IF(LEFT(Z36,8)="chatgpt_","ChatGPT Ads – Test",IF(X36="gbp","Fiche Google (organique)","Autre / non payé")))))))))</f>
        <v/>
      </c>
      <c r="AR36" s="7">
        <f>IF(K36="","",IFERROR(VLOOKUP(K36,Listes!$F$3:$H$8,3,FALSE),""))</f>
        <v/>
      </c>
      <c r="AS36" s="7">
        <f>IF(O36="","",IF(AND(M36="Autre (plus de 40 km)",OR(O36="lt600",O36="600_999",O36="1000_2499")),"D",IF(OR(O36="lt600",AND(O36="600_999",K36&lt;&gt;"mariage",K36&lt;&gt;"prive")),"C",IF(OR(O36="2500_4999",O36="5000p",J36="entreprise",J36="organisme",J36="agence"),"A",IF(OR(O36="1000_2499",O36="600_999"),"B",IF(O36="inconnu",IF(OR(N36="75_149",N36="150p"),"A","B"),""))))))</f>
        <v/>
      </c>
      <c r="AT36" s="7">
        <f>IF(A36="","",IF(P36&lt;&gt;"",P36,AS36))</f>
        <v/>
      </c>
      <c r="AU36" s="7">
        <f>IF(A36="","",IF(OR(AT36="A",AT36="B"),1,0))</f>
        <v/>
      </c>
      <c r="AV36" s="7">
        <f>IF(A36="","",IF(OR(R36="Dépôt payé (gagné)",R36="Événement livré",R36="Avis obtenu"),1,0))</f>
        <v/>
      </c>
      <c r="AW36" s="7">
        <f>IF(A36="","",IF(Q36&gt;70,"Immédiat – propriétaire",IF(Q36&gt;=40,"15 min – personne de garde","Selon la route")))</f>
        <v/>
      </c>
      <c r="AX36" s="11">
        <f>IF(A36="","",IF(AT36="A",400,IF(AT36="B",150,0)))</f>
        <v/>
      </c>
      <c r="AY36" s="11">
        <f>IF(A36="","",IF(AV36=1,N(V36),IF(N(U36)&gt;0,ROUND(N(U36)*IFERROR(VLOOKUP(R36,Listes!$AE$3:$AG$12,2,FALSE),0),0),0)))</f>
        <v/>
      </c>
      <c r="AZ36" s="7">
        <f>IF(LEFT(A36,7)="EXEMPLE",1,0)</f>
        <v/>
      </c>
      <c r="BA36" s="7">
        <f>IF(AND(AV36=1,AZ36=0,AC36&lt;&gt;"",W36&lt;&gt;"",N(V36)&gt;0),COUNTIFS($AV$3:AV36,1,$AZ$3:AZ36,0,$AC$3:AC36,"&lt;&gt;",$W$3:W36,"&lt;&gt;",$V$3:V36,"&gt;0"),"")</f>
        <v/>
      </c>
    </row>
    <row r="37">
      <c r="A37" s="12" t="n"/>
      <c r="B37" s="13" t="n"/>
      <c r="C37" s="13" t="n"/>
      <c r="D37" s="7">
        <f>IF(OR(B37="",C37=""),"",ROUND((C37-B37)*1440,0))</f>
        <v/>
      </c>
      <c r="E37" s="12" t="n"/>
      <c r="F37" s="12" t="n"/>
      <c r="G37" s="12" t="n"/>
      <c r="H37" s="12" t="n"/>
      <c r="I37" s="12" t="n"/>
      <c r="J37" s="12" t="n"/>
      <c r="K37" s="12" t="n"/>
      <c r="L37" s="14" t="n"/>
      <c r="M37" s="12" t="n"/>
      <c r="N37" s="12" t="n"/>
      <c r="O37" s="12" t="n"/>
      <c r="P37" s="12" t="n"/>
      <c r="Q37" s="7">
        <f>IF(A37="","",IFERROR(VLOOKUP(O37,Listes!$R$3:$T$8,2,FALSE),0)+IFERROR(VLOOKUP(J37,Listes!$J$3:$L$6,2,FALSE),0)+IFERROR(VLOOKUP(N37,Listes!$N$3:$P$6,2,FALSE),0)+IF(OR(L37="",B37=""),0,IF(L37-INT(B37)&lt;10,8,IF(L37-INT(B37)&lt;=90,10,5)))+IFERROR(VLOOKUP(AN37,Listes!$V$3:$W$5,2,FALSE),0)+IFERROR(VLOOKUP(AO37,Listes!$Y$3:$Z$5,2,FALSE),0))</f>
        <v/>
      </c>
      <c r="R37" s="12" t="n"/>
      <c r="S37" s="12" t="n"/>
      <c r="T37" s="12" t="n"/>
      <c r="U37" s="15" t="n"/>
      <c r="V37" s="15" t="n"/>
      <c r="W37" s="13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3" t="n"/>
      <c r="AK37" s="12" t="n"/>
      <c r="AL37" s="12" t="n"/>
      <c r="AM37" s="12" t="n"/>
      <c r="AN37" s="12" t="n"/>
      <c r="AO37" s="12" t="n"/>
      <c r="AP37" s="12" t="n"/>
      <c r="AQ37" s="7">
        <f>IF(A37="","",IF(AP37&lt;&gt;"",AP37,IF(LEFT(Z37,11)="gads_marque","Google Search – Marque",IF(LEFT(Z37,12)="gads_mariage","Google Search – Mariage et privé",IF(LEFT(Z37,10)="gads_corpo","Google Search – Corporatif",IF(LEFT(Z37,5)="meta_","Meta – Leads",IF(LEFT(Z37,5)="msft_","Microsoft Ads",IF(LEFT(Z37,8)="chatgpt_","ChatGPT Ads – Test",IF(X37="gbp","Fiche Google (organique)","Autre / non payé")))))))))</f>
        <v/>
      </c>
      <c r="AR37" s="7">
        <f>IF(K37="","",IFERROR(VLOOKUP(K37,Listes!$F$3:$H$8,3,FALSE),""))</f>
        <v/>
      </c>
      <c r="AS37" s="7">
        <f>IF(O37="","",IF(AND(M37="Autre (plus de 40 km)",OR(O37="lt600",O37="600_999",O37="1000_2499")),"D",IF(OR(O37="lt600",AND(O37="600_999",K37&lt;&gt;"mariage",K37&lt;&gt;"prive")),"C",IF(OR(O37="2500_4999",O37="5000p",J37="entreprise",J37="organisme",J37="agence"),"A",IF(OR(O37="1000_2499",O37="600_999"),"B",IF(O37="inconnu",IF(OR(N37="75_149",N37="150p"),"A","B"),""))))))</f>
        <v/>
      </c>
      <c r="AT37" s="7">
        <f>IF(A37="","",IF(P37&lt;&gt;"",P37,AS37))</f>
        <v/>
      </c>
      <c r="AU37" s="7">
        <f>IF(A37="","",IF(OR(AT37="A",AT37="B"),1,0))</f>
        <v/>
      </c>
      <c r="AV37" s="7">
        <f>IF(A37="","",IF(OR(R37="Dépôt payé (gagné)",R37="Événement livré",R37="Avis obtenu"),1,0))</f>
        <v/>
      </c>
      <c r="AW37" s="7">
        <f>IF(A37="","",IF(Q37&gt;70,"Immédiat – propriétaire",IF(Q37&gt;=40,"15 min – personne de garde","Selon la route")))</f>
        <v/>
      </c>
      <c r="AX37" s="11">
        <f>IF(A37="","",IF(AT37="A",400,IF(AT37="B",150,0)))</f>
        <v/>
      </c>
      <c r="AY37" s="11">
        <f>IF(A37="","",IF(AV37=1,N(V37),IF(N(U37)&gt;0,ROUND(N(U37)*IFERROR(VLOOKUP(R37,Listes!$AE$3:$AG$12,2,FALSE),0),0),0)))</f>
        <v/>
      </c>
      <c r="AZ37" s="7">
        <f>IF(LEFT(A37,7)="EXEMPLE",1,0)</f>
        <v/>
      </c>
      <c r="BA37" s="7">
        <f>IF(AND(AV37=1,AZ37=0,AC37&lt;&gt;"",W37&lt;&gt;"",N(V37)&gt;0),COUNTIFS($AV$3:AV37,1,$AZ$3:AZ37,0,$AC$3:AC37,"&lt;&gt;",$W$3:W37,"&lt;&gt;",$V$3:V37,"&gt;0"),"")</f>
        <v/>
      </c>
    </row>
    <row r="38">
      <c r="A38" s="12" t="n"/>
      <c r="B38" s="13" t="n"/>
      <c r="C38" s="13" t="n"/>
      <c r="D38" s="7">
        <f>IF(OR(B38="",C38=""),"",ROUND((C38-B38)*1440,0))</f>
        <v/>
      </c>
      <c r="E38" s="12" t="n"/>
      <c r="F38" s="12" t="n"/>
      <c r="G38" s="12" t="n"/>
      <c r="H38" s="12" t="n"/>
      <c r="I38" s="12" t="n"/>
      <c r="J38" s="12" t="n"/>
      <c r="K38" s="12" t="n"/>
      <c r="L38" s="14" t="n"/>
      <c r="M38" s="12" t="n"/>
      <c r="N38" s="12" t="n"/>
      <c r="O38" s="12" t="n"/>
      <c r="P38" s="12" t="n"/>
      <c r="Q38" s="7">
        <f>IF(A38="","",IFERROR(VLOOKUP(O38,Listes!$R$3:$T$8,2,FALSE),0)+IFERROR(VLOOKUP(J38,Listes!$J$3:$L$6,2,FALSE),0)+IFERROR(VLOOKUP(N38,Listes!$N$3:$P$6,2,FALSE),0)+IF(OR(L38="",B38=""),0,IF(L38-INT(B38)&lt;10,8,IF(L38-INT(B38)&lt;=90,10,5)))+IFERROR(VLOOKUP(AN38,Listes!$V$3:$W$5,2,FALSE),0)+IFERROR(VLOOKUP(AO38,Listes!$Y$3:$Z$5,2,FALSE),0))</f>
        <v/>
      </c>
      <c r="R38" s="12" t="n"/>
      <c r="S38" s="12" t="n"/>
      <c r="T38" s="12" t="n"/>
      <c r="U38" s="15" t="n"/>
      <c r="V38" s="15" t="n"/>
      <c r="W38" s="13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3" t="n"/>
      <c r="AK38" s="12" t="n"/>
      <c r="AL38" s="12" t="n"/>
      <c r="AM38" s="12" t="n"/>
      <c r="AN38" s="12" t="n"/>
      <c r="AO38" s="12" t="n"/>
      <c r="AP38" s="12" t="n"/>
      <c r="AQ38" s="7">
        <f>IF(A38="","",IF(AP38&lt;&gt;"",AP38,IF(LEFT(Z38,11)="gads_marque","Google Search – Marque",IF(LEFT(Z38,12)="gads_mariage","Google Search – Mariage et privé",IF(LEFT(Z38,10)="gads_corpo","Google Search – Corporatif",IF(LEFT(Z38,5)="meta_","Meta – Leads",IF(LEFT(Z38,5)="msft_","Microsoft Ads",IF(LEFT(Z38,8)="chatgpt_","ChatGPT Ads – Test",IF(X38="gbp","Fiche Google (organique)","Autre / non payé")))))))))</f>
        <v/>
      </c>
      <c r="AR38" s="7">
        <f>IF(K38="","",IFERROR(VLOOKUP(K38,Listes!$F$3:$H$8,3,FALSE),""))</f>
        <v/>
      </c>
      <c r="AS38" s="7">
        <f>IF(O38="","",IF(AND(M38="Autre (plus de 40 km)",OR(O38="lt600",O38="600_999",O38="1000_2499")),"D",IF(OR(O38="lt600",AND(O38="600_999",K38&lt;&gt;"mariage",K38&lt;&gt;"prive")),"C",IF(OR(O38="2500_4999",O38="5000p",J38="entreprise",J38="organisme",J38="agence"),"A",IF(OR(O38="1000_2499",O38="600_999"),"B",IF(O38="inconnu",IF(OR(N38="75_149",N38="150p"),"A","B"),""))))))</f>
        <v/>
      </c>
      <c r="AT38" s="7">
        <f>IF(A38="","",IF(P38&lt;&gt;"",P38,AS38))</f>
        <v/>
      </c>
      <c r="AU38" s="7">
        <f>IF(A38="","",IF(OR(AT38="A",AT38="B"),1,0))</f>
        <v/>
      </c>
      <c r="AV38" s="7">
        <f>IF(A38="","",IF(OR(R38="Dépôt payé (gagné)",R38="Événement livré",R38="Avis obtenu"),1,0))</f>
        <v/>
      </c>
      <c r="AW38" s="7">
        <f>IF(A38="","",IF(Q38&gt;70,"Immédiat – propriétaire",IF(Q38&gt;=40,"15 min – personne de garde","Selon la route")))</f>
        <v/>
      </c>
      <c r="AX38" s="11">
        <f>IF(A38="","",IF(AT38="A",400,IF(AT38="B",150,0)))</f>
        <v/>
      </c>
      <c r="AY38" s="11">
        <f>IF(A38="","",IF(AV38=1,N(V38),IF(N(U38)&gt;0,ROUND(N(U38)*IFERROR(VLOOKUP(R38,Listes!$AE$3:$AG$12,2,FALSE),0),0),0)))</f>
        <v/>
      </c>
      <c r="AZ38" s="7">
        <f>IF(LEFT(A38,7)="EXEMPLE",1,0)</f>
        <v/>
      </c>
      <c r="BA38" s="7">
        <f>IF(AND(AV38=1,AZ38=0,AC38&lt;&gt;"",W38&lt;&gt;"",N(V38)&gt;0),COUNTIFS($AV$3:AV38,1,$AZ$3:AZ38,0,$AC$3:AC38,"&lt;&gt;",$W$3:W38,"&lt;&gt;",$V$3:V38,"&gt;0"),"")</f>
        <v/>
      </c>
    </row>
    <row r="39">
      <c r="A39" s="12" t="n"/>
      <c r="B39" s="13" t="n"/>
      <c r="C39" s="13" t="n"/>
      <c r="D39" s="7">
        <f>IF(OR(B39="",C39=""),"",ROUND((C39-B39)*1440,0))</f>
        <v/>
      </c>
      <c r="E39" s="12" t="n"/>
      <c r="F39" s="12" t="n"/>
      <c r="G39" s="12" t="n"/>
      <c r="H39" s="12" t="n"/>
      <c r="I39" s="12" t="n"/>
      <c r="J39" s="12" t="n"/>
      <c r="K39" s="12" t="n"/>
      <c r="L39" s="14" t="n"/>
      <c r="M39" s="12" t="n"/>
      <c r="N39" s="12" t="n"/>
      <c r="O39" s="12" t="n"/>
      <c r="P39" s="12" t="n"/>
      <c r="Q39" s="7">
        <f>IF(A39="","",IFERROR(VLOOKUP(O39,Listes!$R$3:$T$8,2,FALSE),0)+IFERROR(VLOOKUP(J39,Listes!$J$3:$L$6,2,FALSE),0)+IFERROR(VLOOKUP(N39,Listes!$N$3:$P$6,2,FALSE),0)+IF(OR(L39="",B39=""),0,IF(L39-INT(B39)&lt;10,8,IF(L39-INT(B39)&lt;=90,10,5)))+IFERROR(VLOOKUP(AN39,Listes!$V$3:$W$5,2,FALSE),0)+IFERROR(VLOOKUP(AO39,Listes!$Y$3:$Z$5,2,FALSE),0))</f>
        <v/>
      </c>
      <c r="R39" s="12" t="n"/>
      <c r="S39" s="12" t="n"/>
      <c r="T39" s="12" t="n"/>
      <c r="U39" s="15" t="n"/>
      <c r="V39" s="15" t="n"/>
      <c r="W39" s="13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3" t="n"/>
      <c r="AK39" s="12" t="n"/>
      <c r="AL39" s="12" t="n"/>
      <c r="AM39" s="12" t="n"/>
      <c r="AN39" s="12" t="n"/>
      <c r="AO39" s="12" t="n"/>
      <c r="AP39" s="12" t="n"/>
      <c r="AQ39" s="7">
        <f>IF(A39="","",IF(AP39&lt;&gt;"",AP39,IF(LEFT(Z39,11)="gads_marque","Google Search – Marque",IF(LEFT(Z39,12)="gads_mariage","Google Search – Mariage et privé",IF(LEFT(Z39,10)="gads_corpo","Google Search – Corporatif",IF(LEFT(Z39,5)="meta_","Meta – Leads",IF(LEFT(Z39,5)="msft_","Microsoft Ads",IF(LEFT(Z39,8)="chatgpt_","ChatGPT Ads – Test",IF(X39="gbp","Fiche Google (organique)","Autre / non payé")))))))))</f>
        <v/>
      </c>
      <c r="AR39" s="7">
        <f>IF(K39="","",IFERROR(VLOOKUP(K39,Listes!$F$3:$H$8,3,FALSE),""))</f>
        <v/>
      </c>
      <c r="AS39" s="7">
        <f>IF(O39="","",IF(AND(M39="Autre (plus de 40 km)",OR(O39="lt600",O39="600_999",O39="1000_2499")),"D",IF(OR(O39="lt600",AND(O39="600_999",K39&lt;&gt;"mariage",K39&lt;&gt;"prive")),"C",IF(OR(O39="2500_4999",O39="5000p",J39="entreprise",J39="organisme",J39="agence"),"A",IF(OR(O39="1000_2499",O39="600_999"),"B",IF(O39="inconnu",IF(OR(N39="75_149",N39="150p"),"A","B"),""))))))</f>
        <v/>
      </c>
      <c r="AT39" s="7">
        <f>IF(A39="","",IF(P39&lt;&gt;"",P39,AS39))</f>
        <v/>
      </c>
      <c r="AU39" s="7">
        <f>IF(A39="","",IF(OR(AT39="A",AT39="B"),1,0))</f>
        <v/>
      </c>
      <c r="AV39" s="7">
        <f>IF(A39="","",IF(OR(R39="Dépôt payé (gagné)",R39="Événement livré",R39="Avis obtenu"),1,0))</f>
        <v/>
      </c>
      <c r="AW39" s="7">
        <f>IF(A39="","",IF(Q39&gt;70,"Immédiat – propriétaire",IF(Q39&gt;=40,"15 min – personne de garde","Selon la route")))</f>
        <v/>
      </c>
      <c r="AX39" s="11">
        <f>IF(A39="","",IF(AT39="A",400,IF(AT39="B",150,0)))</f>
        <v/>
      </c>
      <c r="AY39" s="11">
        <f>IF(A39="","",IF(AV39=1,N(V39),IF(N(U39)&gt;0,ROUND(N(U39)*IFERROR(VLOOKUP(R39,Listes!$AE$3:$AG$12,2,FALSE),0),0),0)))</f>
        <v/>
      </c>
      <c r="AZ39" s="7">
        <f>IF(LEFT(A39,7)="EXEMPLE",1,0)</f>
        <v/>
      </c>
      <c r="BA39" s="7">
        <f>IF(AND(AV39=1,AZ39=0,AC39&lt;&gt;"",W39&lt;&gt;"",N(V39)&gt;0),COUNTIFS($AV$3:AV39,1,$AZ$3:AZ39,0,$AC$3:AC39,"&lt;&gt;",$W$3:W39,"&lt;&gt;",$V$3:V39,"&gt;0"),"")</f>
        <v/>
      </c>
    </row>
    <row r="40">
      <c r="A40" s="12" t="n"/>
      <c r="B40" s="13" t="n"/>
      <c r="C40" s="13" t="n"/>
      <c r="D40" s="7">
        <f>IF(OR(B40="",C40=""),"",ROUND((C40-B40)*1440,0))</f>
        <v/>
      </c>
      <c r="E40" s="12" t="n"/>
      <c r="F40" s="12" t="n"/>
      <c r="G40" s="12" t="n"/>
      <c r="H40" s="12" t="n"/>
      <c r="I40" s="12" t="n"/>
      <c r="J40" s="12" t="n"/>
      <c r="K40" s="12" t="n"/>
      <c r="L40" s="14" t="n"/>
      <c r="M40" s="12" t="n"/>
      <c r="N40" s="12" t="n"/>
      <c r="O40" s="12" t="n"/>
      <c r="P40" s="12" t="n"/>
      <c r="Q40" s="7">
        <f>IF(A40="","",IFERROR(VLOOKUP(O40,Listes!$R$3:$T$8,2,FALSE),0)+IFERROR(VLOOKUP(J40,Listes!$J$3:$L$6,2,FALSE),0)+IFERROR(VLOOKUP(N40,Listes!$N$3:$P$6,2,FALSE),0)+IF(OR(L40="",B40=""),0,IF(L40-INT(B40)&lt;10,8,IF(L40-INT(B40)&lt;=90,10,5)))+IFERROR(VLOOKUP(AN40,Listes!$V$3:$W$5,2,FALSE),0)+IFERROR(VLOOKUP(AO40,Listes!$Y$3:$Z$5,2,FALSE),0))</f>
        <v/>
      </c>
      <c r="R40" s="12" t="n"/>
      <c r="S40" s="12" t="n"/>
      <c r="T40" s="12" t="n"/>
      <c r="U40" s="15" t="n"/>
      <c r="V40" s="15" t="n"/>
      <c r="W40" s="13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3" t="n"/>
      <c r="AK40" s="12" t="n"/>
      <c r="AL40" s="12" t="n"/>
      <c r="AM40" s="12" t="n"/>
      <c r="AN40" s="12" t="n"/>
      <c r="AO40" s="12" t="n"/>
      <c r="AP40" s="12" t="n"/>
      <c r="AQ40" s="7">
        <f>IF(A40="","",IF(AP40&lt;&gt;"",AP40,IF(LEFT(Z40,11)="gads_marque","Google Search – Marque",IF(LEFT(Z40,12)="gads_mariage","Google Search – Mariage et privé",IF(LEFT(Z40,10)="gads_corpo","Google Search – Corporatif",IF(LEFT(Z40,5)="meta_","Meta – Leads",IF(LEFT(Z40,5)="msft_","Microsoft Ads",IF(LEFT(Z40,8)="chatgpt_","ChatGPT Ads – Test",IF(X40="gbp","Fiche Google (organique)","Autre / non payé")))))))))</f>
        <v/>
      </c>
      <c r="AR40" s="7">
        <f>IF(K40="","",IFERROR(VLOOKUP(K40,Listes!$F$3:$H$8,3,FALSE),""))</f>
        <v/>
      </c>
      <c r="AS40" s="7">
        <f>IF(O40="","",IF(AND(M40="Autre (plus de 40 km)",OR(O40="lt600",O40="600_999",O40="1000_2499")),"D",IF(OR(O40="lt600",AND(O40="600_999",K40&lt;&gt;"mariage",K40&lt;&gt;"prive")),"C",IF(OR(O40="2500_4999",O40="5000p",J40="entreprise",J40="organisme",J40="agence"),"A",IF(OR(O40="1000_2499",O40="600_999"),"B",IF(O40="inconnu",IF(OR(N40="75_149",N40="150p"),"A","B"),""))))))</f>
        <v/>
      </c>
      <c r="AT40" s="7">
        <f>IF(A40="","",IF(P40&lt;&gt;"",P40,AS40))</f>
        <v/>
      </c>
      <c r="AU40" s="7">
        <f>IF(A40="","",IF(OR(AT40="A",AT40="B"),1,0))</f>
        <v/>
      </c>
      <c r="AV40" s="7">
        <f>IF(A40="","",IF(OR(R40="Dépôt payé (gagné)",R40="Événement livré",R40="Avis obtenu"),1,0))</f>
        <v/>
      </c>
      <c r="AW40" s="7">
        <f>IF(A40="","",IF(Q40&gt;70,"Immédiat – propriétaire",IF(Q40&gt;=40,"15 min – personne de garde","Selon la route")))</f>
        <v/>
      </c>
      <c r="AX40" s="11">
        <f>IF(A40="","",IF(AT40="A",400,IF(AT40="B",150,0)))</f>
        <v/>
      </c>
      <c r="AY40" s="11">
        <f>IF(A40="","",IF(AV40=1,N(V40),IF(N(U40)&gt;0,ROUND(N(U40)*IFERROR(VLOOKUP(R40,Listes!$AE$3:$AG$12,2,FALSE),0),0),0)))</f>
        <v/>
      </c>
      <c r="AZ40" s="7">
        <f>IF(LEFT(A40,7)="EXEMPLE",1,0)</f>
        <v/>
      </c>
      <c r="BA40" s="7">
        <f>IF(AND(AV40=1,AZ40=0,AC40&lt;&gt;"",W40&lt;&gt;"",N(V40)&gt;0),COUNTIFS($AV$3:AV40,1,$AZ$3:AZ40,0,$AC$3:AC40,"&lt;&gt;",$W$3:W40,"&lt;&gt;",$V$3:V40,"&gt;0"),"")</f>
        <v/>
      </c>
    </row>
    <row r="41">
      <c r="A41" s="12" t="n"/>
      <c r="B41" s="13" t="n"/>
      <c r="C41" s="13" t="n"/>
      <c r="D41" s="7">
        <f>IF(OR(B41="",C41=""),"",ROUND((C41-B41)*1440,0))</f>
        <v/>
      </c>
      <c r="E41" s="12" t="n"/>
      <c r="F41" s="12" t="n"/>
      <c r="G41" s="12" t="n"/>
      <c r="H41" s="12" t="n"/>
      <c r="I41" s="12" t="n"/>
      <c r="J41" s="12" t="n"/>
      <c r="K41" s="12" t="n"/>
      <c r="L41" s="14" t="n"/>
      <c r="M41" s="12" t="n"/>
      <c r="N41" s="12" t="n"/>
      <c r="O41" s="12" t="n"/>
      <c r="P41" s="12" t="n"/>
      <c r="Q41" s="7">
        <f>IF(A41="","",IFERROR(VLOOKUP(O41,Listes!$R$3:$T$8,2,FALSE),0)+IFERROR(VLOOKUP(J41,Listes!$J$3:$L$6,2,FALSE),0)+IFERROR(VLOOKUP(N41,Listes!$N$3:$P$6,2,FALSE),0)+IF(OR(L41="",B41=""),0,IF(L41-INT(B41)&lt;10,8,IF(L41-INT(B41)&lt;=90,10,5)))+IFERROR(VLOOKUP(AN41,Listes!$V$3:$W$5,2,FALSE),0)+IFERROR(VLOOKUP(AO41,Listes!$Y$3:$Z$5,2,FALSE),0))</f>
        <v/>
      </c>
      <c r="R41" s="12" t="n"/>
      <c r="S41" s="12" t="n"/>
      <c r="T41" s="12" t="n"/>
      <c r="U41" s="15" t="n"/>
      <c r="V41" s="15" t="n"/>
      <c r="W41" s="13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3" t="n"/>
      <c r="AK41" s="12" t="n"/>
      <c r="AL41" s="12" t="n"/>
      <c r="AM41" s="12" t="n"/>
      <c r="AN41" s="12" t="n"/>
      <c r="AO41" s="12" t="n"/>
      <c r="AP41" s="12" t="n"/>
      <c r="AQ41" s="7">
        <f>IF(A41="","",IF(AP41&lt;&gt;"",AP41,IF(LEFT(Z41,11)="gads_marque","Google Search – Marque",IF(LEFT(Z41,12)="gads_mariage","Google Search – Mariage et privé",IF(LEFT(Z41,10)="gads_corpo","Google Search – Corporatif",IF(LEFT(Z41,5)="meta_","Meta – Leads",IF(LEFT(Z41,5)="msft_","Microsoft Ads",IF(LEFT(Z41,8)="chatgpt_","ChatGPT Ads – Test",IF(X41="gbp","Fiche Google (organique)","Autre / non payé")))))))))</f>
        <v/>
      </c>
      <c r="AR41" s="7">
        <f>IF(K41="","",IFERROR(VLOOKUP(K41,Listes!$F$3:$H$8,3,FALSE),""))</f>
        <v/>
      </c>
      <c r="AS41" s="7">
        <f>IF(O41="","",IF(AND(M41="Autre (plus de 40 km)",OR(O41="lt600",O41="600_999",O41="1000_2499")),"D",IF(OR(O41="lt600",AND(O41="600_999",K41&lt;&gt;"mariage",K41&lt;&gt;"prive")),"C",IF(OR(O41="2500_4999",O41="5000p",J41="entreprise",J41="organisme",J41="agence"),"A",IF(OR(O41="1000_2499",O41="600_999"),"B",IF(O41="inconnu",IF(OR(N41="75_149",N41="150p"),"A","B"),""))))))</f>
        <v/>
      </c>
      <c r="AT41" s="7">
        <f>IF(A41="","",IF(P41&lt;&gt;"",P41,AS41))</f>
        <v/>
      </c>
      <c r="AU41" s="7">
        <f>IF(A41="","",IF(OR(AT41="A",AT41="B"),1,0))</f>
        <v/>
      </c>
      <c r="AV41" s="7">
        <f>IF(A41="","",IF(OR(R41="Dépôt payé (gagné)",R41="Événement livré",R41="Avis obtenu"),1,0))</f>
        <v/>
      </c>
      <c r="AW41" s="7">
        <f>IF(A41="","",IF(Q41&gt;70,"Immédiat – propriétaire",IF(Q41&gt;=40,"15 min – personne de garde","Selon la route")))</f>
        <v/>
      </c>
      <c r="AX41" s="11">
        <f>IF(A41="","",IF(AT41="A",400,IF(AT41="B",150,0)))</f>
        <v/>
      </c>
      <c r="AY41" s="11">
        <f>IF(A41="","",IF(AV41=1,N(V41),IF(N(U41)&gt;0,ROUND(N(U41)*IFERROR(VLOOKUP(R41,Listes!$AE$3:$AG$12,2,FALSE),0),0),0)))</f>
        <v/>
      </c>
      <c r="AZ41" s="7">
        <f>IF(LEFT(A41,7)="EXEMPLE",1,0)</f>
        <v/>
      </c>
      <c r="BA41" s="7">
        <f>IF(AND(AV41=1,AZ41=0,AC41&lt;&gt;"",W41&lt;&gt;"",N(V41)&gt;0),COUNTIFS($AV$3:AV41,1,$AZ$3:AZ41,0,$AC$3:AC41,"&lt;&gt;",$W$3:W41,"&lt;&gt;",$V$3:V41,"&gt;0"),"")</f>
        <v/>
      </c>
    </row>
    <row r="42">
      <c r="A42" s="12" t="n"/>
      <c r="B42" s="13" t="n"/>
      <c r="C42" s="13" t="n"/>
      <c r="D42" s="7">
        <f>IF(OR(B42="",C42=""),"",ROUND((C42-B42)*1440,0))</f>
        <v/>
      </c>
      <c r="E42" s="12" t="n"/>
      <c r="F42" s="12" t="n"/>
      <c r="G42" s="12" t="n"/>
      <c r="H42" s="12" t="n"/>
      <c r="I42" s="12" t="n"/>
      <c r="J42" s="12" t="n"/>
      <c r="K42" s="12" t="n"/>
      <c r="L42" s="14" t="n"/>
      <c r="M42" s="12" t="n"/>
      <c r="N42" s="12" t="n"/>
      <c r="O42" s="12" t="n"/>
      <c r="P42" s="12" t="n"/>
      <c r="Q42" s="7">
        <f>IF(A42="","",IFERROR(VLOOKUP(O42,Listes!$R$3:$T$8,2,FALSE),0)+IFERROR(VLOOKUP(J42,Listes!$J$3:$L$6,2,FALSE),0)+IFERROR(VLOOKUP(N42,Listes!$N$3:$P$6,2,FALSE),0)+IF(OR(L42="",B42=""),0,IF(L42-INT(B42)&lt;10,8,IF(L42-INT(B42)&lt;=90,10,5)))+IFERROR(VLOOKUP(AN42,Listes!$V$3:$W$5,2,FALSE),0)+IFERROR(VLOOKUP(AO42,Listes!$Y$3:$Z$5,2,FALSE),0))</f>
        <v/>
      </c>
      <c r="R42" s="12" t="n"/>
      <c r="S42" s="12" t="n"/>
      <c r="T42" s="12" t="n"/>
      <c r="U42" s="15" t="n"/>
      <c r="V42" s="15" t="n"/>
      <c r="W42" s="13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3" t="n"/>
      <c r="AK42" s="12" t="n"/>
      <c r="AL42" s="12" t="n"/>
      <c r="AM42" s="12" t="n"/>
      <c r="AN42" s="12" t="n"/>
      <c r="AO42" s="12" t="n"/>
      <c r="AP42" s="12" t="n"/>
      <c r="AQ42" s="7">
        <f>IF(A42="","",IF(AP42&lt;&gt;"",AP42,IF(LEFT(Z42,11)="gads_marque","Google Search – Marque",IF(LEFT(Z42,12)="gads_mariage","Google Search – Mariage et privé",IF(LEFT(Z42,10)="gads_corpo","Google Search – Corporatif",IF(LEFT(Z42,5)="meta_","Meta – Leads",IF(LEFT(Z42,5)="msft_","Microsoft Ads",IF(LEFT(Z42,8)="chatgpt_","ChatGPT Ads – Test",IF(X42="gbp","Fiche Google (organique)","Autre / non payé")))))))))</f>
        <v/>
      </c>
      <c r="AR42" s="7">
        <f>IF(K42="","",IFERROR(VLOOKUP(K42,Listes!$F$3:$H$8,3,FALSE),""))</f>
        <v/>
      </c>
      <c r="AS42" s="7">
        <f>IF(O42="","",IF(AND(M42="Autre (plus de 40 km)",OR(O42="lt600",O42="600_999",O42="1000_2499")),"D",IF(OR(O42="lt600",AND(O42="600_999",K42&lt;&gt;"mariage",K42&lt;&gt;"prive")),"C",IF(OR(O42="2500_4999",O42="5000p",J42="entreprise",J42="organisme",J42="agence"),"A",IF(OR(O42="1000_2499",O42="600_999"),"B",IF(O42="inconnu",IF(OR(N42="75_149",N42="150p"),"A","B"),""))))))</f>
        <v/>
      </c>
      <c r="AT42" s="7">
        <f>IF(A42="","",IF(P42&lt;&gt;"",P42,AS42))</f>
        <v/>
      </c>
      <c r="AU42" s="7">
        <f>IF(A42="","",IF(OR(AT42="A",AT42="B"),1,0))</f>
        <v/>
      </c>
      <c r="AV42" s="7">
        <f>IF(A42="","",IF(OR(R42="Dépôt payé (gagné)",R42="Événement livré",R42="Avis obtenu"),1,0))</f>
        <v/>
      </c>
      <c r="AW42" s="7">
        <f>IF(A42="","",IF(Q42&gt;70,"Immédiat – propriétaire",IF(Q42&gt;=40,"15 min – personne de garde","Selon la route")))</f>
        <v/>
      </c>
      <c r="AX42" s="11">
        <f>IF(A42="","",IF(AT42="A",400,IF(AT42="B",150,0)))</f>
        <v/>
      </c>
      <c r="AY42" s="11">
        <f>IF(A42="","",IF(AV42=1,N(V42),IF(N(U42)&gt;0,ROUND(N(U42)*IFERROR(VLOOKUP(R42,Listes!$AE$3:$AG$12,2,FALSE),0),0),0)))</f>
        <v/>
      </c>
      <c r="AZ42" s="7">
        <f>IF(LEFT(A42,7)="EXEMPLE",1,0)</f>
        <v/>
      </c>
      <c r="BA42" s="7">
        <f>IF(AND(AV42=1,AZ42=0,AC42&lt;&gt;"",W42&lt;&gt;"",N(V42)&gt;0),COUNTIFS($AV$3:AV42,1,$AZ$3:AZ42,0,$AC$3:AC42,"&lt;&gt;",$W$3:W42,"&lt;&gt;",$V$3:V42,"&gt;0"),"")</f>
        <v/>
      </c>
    </row>
    <row r="43">
      <c r="A43" s="12" t="n"/>
      <c r="B43" s="13" t="n"/>
      <c r="C43" s="13" t="n"/>
      <c r="D43" s="7">
        <f>IF(OR(B43="",C43=""),"",ROUND((C43-B43)*1440,0))</f>
        <v/>
      </c>
      <c r="E43" s="12" t="n"/>
      <c r="F43" s="12" t="n"/>
      <c r="G43" s="12" t="n"/>
      <c r="H43" s="12" t="n"/>
      <c r="I43" s="12" t="n"/>
      <c r="J43" s="12" t="n"/>
      <c r="K43" s="12" t="n"/>
      <c r="L43" s="14" t="n"/>
      <c r="M43" s="12" t="n"/>
      <c r="N43" s="12" t="n"/>
      <c r="O43" s="12" t="n"/>
      <c r="P43" s="12" t="n"/>
      <c r="Q43" s="7">
        <f>IF(A43="","",IFERROR(VLOOKUP(O43,Listes!$R$3:$T$8,2,FALSE),0)+IFERROR(VLOOKUP(J43,Listes!$J$3:$L$6,2,FALSE),0)+IFERROR(VLOOKUP(N43,Listes!$N$3:$P$6,2,FALSE),0)+IF(OR(L43="",B43=""),0,IF(L43-INT(B43)&lt;10,8,IF(L43-INT(B43)&lt;=90,10,5)))+IFERROR(VLOOKUP(AN43,Listes!$V$3:$W$5,2,FALSE),0)+IFERROR(VLOOKUP(AO43,Listes!$Y$3:$Z$5,2,FALSE),0))</f>
        <v/>
      </c>
      <c r="R43" s="12" t="n"/>
      <c r="S43" s="12" t="n"/>
      <c r="T43" s="12" t="n"/>
      <c r="U43" s="15" t="n"/>
      <c r="V43" s="15" t="n"/>
      <c r="W43" s="13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3" t="n"/>
      <c r="AK43" s="12" t="n"/>
      <c r="AL43" s="12" t="n"/>
      <c r="AM43" s="12" t="n"/>
      <c r="AN43" s="12" t="n"/>
      <c r="AO43" s="12" t="n"/>
      <c r="AP43" s="12" t="n"/>
      <c r="AQ43" s="7">
        <f>IF(A43="","",IF(AP43&lt;&gt;"",AP43,IF(LEFT(Z43,11)="gads_marque","Google Search – Marque",IF(LEFT(Z43,12)="gads_mariage","Google Search – Mariage et privé",IF(LEFT(Z43,10)="gads_corpo","Google Search – Corporatif",IF(LEFT(Z43,5)="meta_","Meta – Leads",IF(LEFT(Z43,5)="msft_","Microsoft Ads",IF(LEFT(Z43,8)="chatgpt_","ChatGPT Ads – Test",IF(X43="gbp","Fiche Google (organique)","Autre / non payé")))))))))</f>
        <v/>
      </c>
      <c r="AR43" s="7">
        <f>IF(K43="","",IFERROR(VLOOKUP(K43,Listes!$F$3:$H$8,3,FALSE),""))</f>
        <v/>
      </c>
      <c r="AS43" s="7">
        <f>IF(O43="","",IF(AND(M43="Autre (plus de 40 km)",OR(O43="lt600",O43="600_999",O43="1000_2499")),"D",IF(OR(O43="lt600",AND(O43="600_999",K43&lt;&gt;"mariage",K43&lt;&gt;"prive")),"C",IF(OR(O43="2500_4999",O43="5000p",J43="entreprise",J43="organisme",J43="agence"),"A",IF(OR(O43="1000_2499",O43="600_999"),"B",IF(O43="inconnu",IF(OR(N43="75_149",N43="150p"),"A","B"),""))))))</f>
        <v/>
      </c>
      <c r="AT43" s="7">
        <f>IF(A43="","",IF(P43&lt;&gt;"",P43,AS43))</f>
        <v/>
      </c>
      <c r="AU43" s="7">
        <f>IF(A43="","",IF(OR(AT43="A",AT43="B"),1,0))</f>
        <v/>
      </c>
      <c r="AV43" s="7">
        <f>IF(A43="","",IF(OR(R43="Dépôt payé (gagné)",R43="Événement livré",R43="Avis obtenu"),1,0))</f>
        <v/>
      </c>
      <c r="AW43" s="7">
        <f>IF(A43="","",IF(Q43&gt;70,"Immédiat – propriétaire",IF(Q43&gt;=40,"15 min – personne de garde","Selon la route")))</f>
        <v/>
      </c>
      <c r="AX43" s="11">
        <f>IF(A43="","",IF(AT43="A",400,IF(AT43="B",150,0)))</f>
        <v/>
      </c>
      <c r="AY43" s="11">
        <f>IF(A43="","",IF(AV43=1,N(V43),IF(N(U43)&gt;0,ROUND(N(U43)*IFERROR(VLOOKUP(R43,Listes!$AE$3:$AG$12,2,FALSE),0),0),0)))</f>
        <v/>
      </c>
      <c r="AZ43" s="7">
        <f>IF(LEFT(A43,7)="EXEMPLE",1,0)</f>
        <v/>
      </c>
      <c r="BA43" s="7">
        <f>IF(AND(AV43=1,AZ43=0,AC43&lt;&gt;"",W43&lt;&gt;"",N(V43)&gt;0),COUNTIFS($AV$3:AV43,1,$AZ$3:AZ43,0,$AC$3:AC43,"&lt;&gt;",$W$3:W43,"&lt;&gt;",$V$3:V43,"&gt;0"),"")</f>
        <v/>
      </c>
    </row>
    <row r="44">
      <c r="A44" s="12" t="n"/>
      <c r="B44" s="13" t="n"/>
      <c r="C44" s="13" t="n"/>
      <c r="D44" s="7">
        <f>IF(OR(B44="",C44=""),"",ROUND((C44-B44)*1440,0))</f>
        <v/>
      </c>
      <c r="E44" s="12" t="n"/>
      <c r="F44" s="12" t="n"/>
      <c r="G44" s="12" t="n"/>
      <c r="H44" s="12" t="n"/>
      <c r="I44" s="12" t="n"/>
      <c r="J44" s="12" t="n"/>
      <c r="K44" s="12" t="n"/>
      <c r="L44" s="14" t="n"/>
      <c r="M44" s="12" t="n"/>
      <c r="N44" s="12" t="n"/>
      <c r="O44" s="12" t="n"/>
      <c r="P44" s="12" t="n"/>
      <c r="Q44" s="7">
        <f>IF(A44="","",IFERROR(VLOOKUP(O44,Listes!$R$3:$T$8,2,FALSE),0)+IFERROR(VLOOKUP(J44,Listes!$J$3:$L$6,2,FALSE),0)+IFERROR(VLOOKUP(N44,Listes!$N$3:$P$6,2,FALSE),0)+IF(OR(L44="",B44=""),0,IF(L44-INT(B44)&lt;10,8,IF(L44-INT(B44)&lt;=90,10,5)))+IFERROR(VLOOKUP(AN44,Listes!$V$3:$W$5,2,FALSE),0)+IFERROR(VLOOKUP(AO44,Listes!$Y$3:$Z$5,2,FALSE),0))</f>
        <v/>
      </c>
      <c r="R44" s="12" t="n"/>
      <c r="S44" s="12" t="n"/>
      <c r="T44" s="12" t="n"/>
      <c r="U44" s="15" t="n"/>
      <c r="V44" s="15" t="n"/>
      <c r="W44" s="13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3" t="n"/>
      <c r="AK44" s="12" t="n"/>
      <c r="AL44" s="12" t="n"/>
      <c r="AM44" s="12" t="n"/>
      <c r="AN44" s="12" t="n"/>
      <c r="AO44" s="12" t="n"/>
      <c r="AP44" s="12" t="n"/>
      <c r="AQ44" s="7">
        <f>IF(A44="","",IF(AP44&lt;&gt;"",AP44,IF(LEFT(Z44,11)="gads_marque","Google Search – Marque",IF(LEFT(Z44,12)="gads_mariage","Google Search – Mariage et privé",IF(LEFT(Z44,10)="gads_corpo","Google Search – Corporatif",IF(LEFT(Z44,5)="meta_","Meta – Leads",IF(LEFT(Z44,5)="msft_","Microsoft Ads",IF(LEFT(Z44,8)="chatgpt_","ChatGPT Ads – Test",IF(X44="gbp","Fiche Google (organique)","Autre / non payé")))))))))</f>
        <v/>
      </c>
      <c r="AR44" s="7">
        <f>IF(K44="","",IFERROR(VLOOKUP(K44,Listes!$F$3:$H$8,3,FALSE),""))</f>
        <v/>
      </c>
      <c r="AS44" s="7">
        <f>IF(O44="","",IF(AND(M44="Autre (plus de 40 km)",OR(O44="lt600",O44="600_999",O44="1000_2499")),"D",IF(OR(O44="lt600",AND(O44="600_999",K44&lt;&gt;"mariage",K44&lt;&gt;"prive")),"C",IF(OR(O44="2500_4999",O44="5000p",J44="entreprise",J44="organisme",J44="agence"),"A",IF(OR(O44="1000_2499",O44="600_999"),"B",IF(O44="inconnu",IF(OR(N44="75_149",N44="150p"),"A","B"),""))))))</f>
        <v/>
      </c>
      <c r="AT44" s="7">
        <f>IF(A44="","",IF(P44&lt;&gt;"",P44,AS44))</f>
        <v/>
      </c>
      <c r="AU44" s="7">
        <f>IF(A44="","",IF(OR(AT44="A",AT44="B"),1,0))</f>
        <v/>
      </c>
      <c r="AV44" s="7">
        <f>IF(A44="","",IF(OR(R44="Dépôt payé (gagné)",R44="Événement livré",R44="Avis obtenu"),1,0))</f>
        <v/>
      </c>
      <c r="AW44" s="7">
        <f>IF(A44="","",IF(Q44&gt;70,"Immédiat – propriétaire",IF(Q44&gt;=40,"15 min – personne de garde","Selon la route")))</f>
        <v/>
      </c>
      <c r="AX44" s="11">
        <f>IF(A44="","",IF(AT44="A",400,IF(AT44="B",150,0)))</f>
        <v/>
      </c>
      <c r="AY44" s="11">
        <f>IF(A44="","",IF(AV44=1,N(V44),IF(N(U44)&gt;0,ROUND(N(U44)*IFERROR(VLOOKUP(R44,Listes!$AE$3:$AG$12,2,FALSE),0),0),0)))</f>
        <v/>
      </c>
      <c r="AZ44" s="7">
        <f>IF(LEFT(A44,7)="EXEMPLE",1,0)</f>
        <v/>
      </c>
      <c r="BA44" s="7">
        <f>IF(AND(AV44=1,AZ44=0,AC44&lt;&gt;"",W44&lt;&gt;"",N(V44)&gt;0),COUNTIFS($AV$3:AV44,1,$AZ$3:AZ44,0,$AC$3:AC44,"&lt;&gt;",$W$3:W44,"&lt;&gt;",$V$3:V44,"&gt;0"),"")</f>
        <v/>
      </c>
    </row>
    <row r="45">
      <c r="A45" s="12" t="n"/>
      <c r="B45" s="13" t="n"/>
      <c r="C45" s="13" t="n"/>
      <c r="D45" s="7">
        <f>IF(OR(B45="",C45=""),"",ROUND((C45-B45)*1440,0))</f>
        <v/>
      </c>
      <c r="E45" s="12" t="n"/>
      <c r="F45" s="12" t="n"/>
      <c r="G45" s="12" t="n"/>
      <c r="H45" s="12" t="n"/>
      <c r="I45" s="12" t="n"/>
      <c r="J45" s="12" t="n"/>
      <c r="K45" s="12" t="n"/>
      <c r="L45" s="14" t="n"/>
      <c r="M45" s="12" t="n"/>
      <c r="N45" s="12" t="n"/>
      <c r="O45" s="12" t="n"/>
      <c r="P45" s="12" t="n"/>
      <c r="Q45" s="7">
        <f>IF(A45="","",IFERROR(VLOOKUP(O45,Listes!$R$3:$T$8,2,FALSE),0)+IFERROR(VLOOKUP(J45,Listes!$J$3:$L$6,2,FALSE),0)+IFERROR(VLOOKUP(N45,Listes!$N$3:$P$6,2,FALSE),0)+IF(OR(L45="",B45=""),0,IF(L45-INT(B45)&lt;10,8,IF(L45-INT(B45)&lt;=90,10,5)))+IFERROR(VLOOKUP(AN45,Listes!$V$3:$W$5,2,FALSE),0)+IFERROR(VLOOKUP(AO45,Listes!$Y$3:$Z$5,2,FALSE),0))</f>
        <v/>
      </c>
      <c r="R45" s="12" t="n"/>
      <c r="S45" s="12" t="n"/>
      <c r="T45" s="12" t="n"/>
      <c r="U45" s="15" t="n"/>
      <c r="V45" s="15" t="n"/>
      <c r="W45" s="13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3" t="n"/>
      <c r="AK45" s="12" t="n"/>
      <c r="AL45" s="12" t="n"/>
      <c r="AM45" s="12" t="n"/>
      <c r="AN45" s="12" t="n"/>
      <c r="AO45" s="12" t="n"/>
      <c r="AP45" s="12" t="n"/>
      <c r="AQ45" s="7">
        <f>IF(A45="","",IF(AP45&lt;&gt;"",AP45,IF(LEFT(Z45,11)="gads_marque","Google Search – Marque",IF(LEFT(Z45,12)="gads_mariage","Google Search – Mariage et privé",IF(LEFT(Z45,10)="gads_corpo","Google Search – Corporatif",IF(LEFT(Z45,5)="meta_","Meta – Leads",IF(LEFT(Z45,5)="msft_","Microsoft Ads",IF(LEFT(Z45,8)="chatgpt_","ChatGPT Ads – Test",IF(X45="gbp","Fiche Google (organique)","Autre / non payé")))))))))</f>
        <v/>
      </c>
      <c r="AR45" s="7">
        <f>IF(K45="","",IFERROR(VLOOKUP(K45,Listes!$F$3:$H$8,3,FALSE),""))</f>
        <v/>
      </c>
      <c r="AS45" s="7">
        <f>IF(O45="","",IF(AND(M45="Autre (plus de 40 km)",OR(O45="lt600",O45="600_999",O45="1000_2499")),"D",IF(OR(O45="lt600",AND(O45="600_999",K45&lt;&gt;"mariage",K45&lt;&gt;"prive")),"C",IF(OR(O45="2500_4999",O45="5000p",J45="entreprise",J45="organisme",J45="agence"),"A",IF(OR(O45="1000_2499",O45="600_999"),"B",IF(O45="inconnu",IF(OR(N45="75_149",N45="150p"),"A","B"),""))))))</f>
        <v/>
      </c>
      <c r="AT45" s="7">
        <f>IF(A45="","",IF(P45&lt;&gt;"",P45,AS45))</f>
        <v/>
      </c>
      <c r="AU45" s="7">
        <f>IF(A45="","",IF(OR(AT45="A",AT45="B"),1,0))</f>
        <v/>
      </c>
      <c r="AV45" s="7">
        <f>IF(A45="","",IF(OR(R45="Dépôt payé (gagné)",R45="Événement livré",R45="Avis obtenu"),1,0))</f>
        <v/>
      </c>
      <c r="AW45" s="7">
        <f>IF(A45="","",IF(Q45&gt;70,"Immédiat – propriétaire",IF(Q45&gt;=40,"15 min – personne de garde","Selon la route")))</f>
        <v/>
      </c>
      <c r="AX45" s="11">
        <f>IF(A45="","",IF(AT45="A",400,IF(AT45="B",150,0)))</f>
        <v/>
      </c>
      <c r="AY45" s="11">
        <f>IF(A45="","",IF(AV45=1,N(V45),IF(N(U45)&gt;0,ROUND(N(U45)*IFERROR(VLOOKUP(R45,Listes!$AE$3:$AG$12,2,FALSE),0),0),0)))</f>
        <v/>
      </c>
      <c r="AZ45" s="7">
        <f>IF(LEFT(A45,7)="EXEMPLE",1,0)</f>
        <v/>
      </c>
      <c r="BA45" s="7">
        <f>IF(AND(AV45=1,AZ45=0,AC45&lt;&gt;"",W45&lt;&gt;"",N(V45)&gt;0),COUNTIFS($AV$3:AV45,1,$AZ$3:AZ45,0,$AC$3:AC45,"&lt;&gt;",$W$3:W45,"&lt;&gt;",$V$3:V45,"&gt;0"),"")</f>
        <v/>
      </c>
    </row>
    <row r="46">
      <c r="A46" s="12" t="n"/>
      <c r="B46" s="13" t="n"/>
      <c r="C46" s="13" t="n"/>
      <c r="D46" s="7">
        <f>IF(OR(B46="",C46=""),"",ROUND((C46-B46)*1440,0))</f>
        <v/>
      </c>
      <c r="E46" s="12" t="n"/>
      <c r="F46" s="12" t="n"/>
      <c r="G46" s="12" t="n"/>
      <c r="H46" s="12" t="n"/>
      <c r="I46" s="12" t="n"/>
      <c r="J46" s="12" t="n"/>
      <c r="K46" s="12" t="n"/>
      <c r="L46" s="14" t="n"/>
      <c r="M46" s="12" t="n"/>
      <c r="N46" s="12" t="n"/>
      <c r="O46" s="12" t="n"/>
      <c r="P46" s="12" t="n"/>
      <c r="Q46" s="7">
        <f>IF(A46="","",IFERROR(VLOOKUP(O46,Listes!$R$3:$T$8,2,FALSE),0)+IFERROR(VLOOKUP(J46,Listes!$J$3:$L$6,2,FALSE),0)+IFERROR(VLOOKUP(N46,Listes!$N$3:$P$6,2,FALSE),0)+IF(OR(L46="",B46=""),0,IF(L46-INT(B46)&lt;10,8,IF(L46-INT(B46)&lt;=90,10,5)))+IFERROR(VLOOKUP(AN46,Listes!$V$3:$W$5,2,FALSE),0)+IFERROR(VLOOKUP(AO46,Listes!$Y$3:$Z$5,2,FALSE),0))</f>
        <v/>
      </c>
      <c r="R46" s="12" t="n"/>
      <c r="S46" s="12" t="n"/>
      <c r="T46" s="12" t="n"/>
      <c r="U46" s="15" t="n"/>
      <c r="V46" s="15" t="n"/>
      <c r="W46" s="13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3" t="n"/>
      <c r="AK46" s="12" t="n"/>
      <c r="AL46" s="12" t="n"/>
      <c r="AM46" s="12" t="n"/>
      <c r="AN46" s="12" t="n"/>
      <c r="AO46" s="12" t="n"/>
      <c r="AP46" s="12" t="n"/>
      <c r="AQ46" s="7">
        <f>IF(A46="","",IF(AP46&lt;&gt;"",AP46,IF(LEFT(Z46,11)="gads_marque","Google Search – Marque",IF(LEFT(Z46,12)="gads_mariage","Google Search – Mariage et privé",IF(LEFT(Z46,10)="gads_corpo","Google Search – Corporatif",IF(LEFT(Z46,5)="meta_","Meta – Leads",IF(LEFT(Z46,5)="msft_","Microsoft Ads",IF(LEFT(Z46,8)="chatgpt_","ChatGPT Ads – Test",IF(X46="gbp","Fiche Google (organique)","Autre / non payé")))))))))</f>
        <v/>
      </c>
      <c r="AR46" s="7">
        <f>IF(K46="","",IFERROR(VLOOKUP(K46,Listes!$F$3:$H$8,3,FALSE),""))</f>
        <v/>
      </c>
      <c r="AS46" s="7">
        <f>IF(O46="","",IF(AND(M46="Autre (plus de 40 km)",OR(O46="lt600",O46="600_999",O46="1000_2499")),"D",IF(OR(O46="lt600",AND(O46="600_999",K46&lt;&gt;"mariage",K46&lt;&gt;"prive")),"C",IF(OR(O46="2500_4999",O46="5000p",J46="entreprise",J46="organisme",J46="agence"),"A",IF(OR(O46="1000_2499",O46="600_999"),"B",IF(O46="inconnu",IF(OR(N46="75_149",N46="150p"),"A","B"),""))))))</f>
        <v/>
      </c>
      <c r="AT46" s="7">
        <f>IF(A46="","",IF(P46&lt;&gt;"",P46,AS46))</f>
        <v/>
      </c>
      <c r="AU46" s="7">
        <f>IF(A46="","",IF(OR(AT46="A",AT46="B"),1,0))</f>
        <v/>
      </c>
      <c r="AV46" s="7">
        <f>IF(A46="","",IF(OR(R46="Dépôt payé (gagné)",R46="Événement livré",R46="Avis obtenu"),1,0))</f>
        <v/>
      </c>
      <c r="AW46" s="7">
        <f>IF(A46="","",IF(Q46&gt;70,"Immédiat – propriétaire",IF(Q46&gt;=40,"15 min – personne de garde","Selon la route")))</f>
        <v/>
      </c>
      <c r="AX46" s="11">
        <f>IF(A46="","",IF(AT46="A",400,IF(AT46="B",150,0)))</f>
        <v/>
      </c>
      <c r="AY46" s="11">
        <f>IF(A46="","",IF(AV46=1,N(V46),IF(N(U46)&gt;0,ROUND(N(U46)*IFERROR(VLOOKUP(R46,Listes!$AE$3:$AG$12,2,FALSE),0),0),0)))</f>
        <v/>
      </c>
      <c r="AZ46" s="7">
        <f>IF(LEFT(A46,7)="EXEMPLE",1,0)</f>
        <v/>
      </c>
      <c r="BA46" s="7">
        <f>IF(AND(AV46=1,AZ46=0,AC46&lt;&gt;"",W46&lt;&gt;"",N(V46)&gt;0),COUNTIFS($AV$3:AV46,1,$AZ$3:AZ46,0,$AC$3:AC46,"&lt;&gt;",$W$3:W46,"&lt;&gt;",$V$3:V46,"&gt;0"),"")</f>
        <v/>
      </c>
    </row>
    <row r="47">
      <c r="A47" s="12" t="n"/>
      <c r="B47" s="13" t="n"/>
      <c r="C47" s="13" t="n"/>
      <c r="D47" s="7">
        <f>IF(OR(B47="",C47=""),"",ROUND((C47-B47)*1440,0))</f>
        <v/>
      </c>
      <c r="E47" s="12" t="n"/>
      <c r="F47" s="12" t="n"/>
      <c r="G47" s="12" t="n"/>
      <c r="H47" s="12" t="n"/>
      <c r="I47" s="12" t="n"/>
      <c r="J47" s="12" t="n"/>
      <c r="K47" s="12" t="n"/>
      <c r="L47" s="14" t="n"/>
      <c r="M47" s="12" t="n"/>
      <c r="N47" s="12" t="n"/>
      <c r="O47" s="12" t="n"/>
      <c r="P47" s="12" t="n"/>
      <c r="Q47" s="7">
        <f>IF(A47="","",IFERROR(VLOOKUP(O47,Listes!$R$3:$T$8,2,FALSE),0)+IFERROR(VLOOKUP(J47,Listes!$J$3:$L$6,2,FALSE),0)+IFERROR(VLOOKUP(N47,Listes!$N$3:$P$6,2,FALSE),0)+IF(OR(L47="",B47=""),0,IF(L47-INT(B47)&lt;10,8,IF(L47-INT(B47)&lt;=90,10,5)))+IFERROR(VLOOKUP(AN47,Listes!$V$3:$W$5,2,FALSE),0)+IFERROR(VLOOKUP(AO47,Listes!$Y$3:$Z$5,2,FALSE),0))</f>
        <v/>
      </c>
      <c r="R47" s="12" t="n"/>
      <c r="S47" s="12" t="n"/>
      <c r="T47" s="12" t="n"/>
      <c r="U47" s="15" t="n"/>
      <c r="V47" s="15" t="n"/>
      <c r="W47" s="13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3" t="n"/>
      <c r="AK47" s="12" t="n"/>
      <c r="AL47" s="12" t="n"/>
      <c r="AM47" s="12" t="n"/>
      <c r="AN47" s="12" t="n"/>
      <c r="AO47" s="12" t="n"/>
      <c r="AP47" s="12" t="n"/>
      <c r="AQ47" s="7">
        <f>IF(A47="","",IF(AP47&lt;&gt;"",AP47,IF(LEFT(Z47,11)="gads_marque","Google Search – Marque",IF(LEFT(Z47,12)="gads_mariage","Google Search – Mariage et privé",IF(LEFT(Z47,10)="gads_corpo","Google Search – Corporatif",IF(LEFT(Z47,5)="meta_","Meta – Leads",IF(LEFT(Z47,5)="msft_","Microsoft Ads",IF(LEFT(Z47,8)="chatgpt_","ChatGPT Ads – Test",IF(X47="gbp","Fiche Google (organique)","Autre / non payé")))))))))</f>
        <v/>
      </c>
      <c r="AR47" s="7">
        <f>IF(K47="","",IFERROR(VLOOKUP(K47,Listes!$F$3:$H$8,3,FALSE),""))</f>
        <v/>
      </c>
      <c r="AS47" s="7">
        <f>IF(O47="","",IF(AND(M47="Autre (plus de 40 km)",OR(O47="lt600",O47="600_999",O47="1000_2499")),"D",IF(OR(O47="lt600",AND(O47="600_999",K47&lt;&gt;"mariage",K47&lt;&gt;"prive")),"C",IF(OR(O47="2500_4999",O47="5000p",J47="entreprise",J47="organisme",J47="agence"),"A",IF(OR(O47="1000_2499",O47="600_999"),"B",IF(O47="inconnu",IF(OR(N47="75_149",N47="150p"),"A","B"),""))))))</f>
        <v/>
      </c>
      <c r="AT47" s="7">
        <f>IF(A47="","",IF(P47&lt;&gt;"",P47,AS47))</f>
        <v/>
      </c>
      <c r="AU47" s="7">
        <f>IF(A47="","",IF(OR(AT47="A",AT47="B"),1,0))</f>
        <v/>
      </c>
      <c r="AV47" s="7">
        <f>IF(A47="","",IF(OR(R47="Dépôt payé (gagné)",R47="Événement livré",R47="Avis obtenu"),1,0))</f>
        <v/>
      </c>
      <c r="AW47" s="7">
        <f>IF(A47="","",IF(Q47&gt;70,"Immédiat – propriétaire",IF(Q47&gt;=40,"15 min – personne de garde","Selon la route")))</f>
        <v/>
      </c>
      <c r="AX47" s="11">
        <f>IF(A47="","",IF(AT47="A",400,IF(AT47="B",150,0)))</f>
        <v/>
      </c>
      <c r="AY47" s="11">
        <f>IF(A47="","",IF(AV47=1,N(V47),IF(N(U47)&gt;0,ROUND(N(U47)*IFERROR(VLOOKUP(R47,Listes!$AE$3:$AG$12,2,FALSE),0),0),0)))</f>
        <v/>
      </c>
      <c r="AZ47" s="7">
        <f>IF(LEFT(A47,7)="EXEMPLE",1,0)</f>
        <v/>
      </c>
      <c r="BA47" s="7">
        <f>IF(AND(AV47=1,AZ47=0,AC47&lt;&gt;"",W47&lt;&gt;"",N(V47)&gt;0),COUNTIFS($AV$3:AV47,1,$AZ$3:AZ47,0,$AC$3:AC47,"&lt;&gt;",$W$3:W47,"&lt;&gt;",$V$3:V47,"&gt;0"),"")</f>
        <v/>
      </c>
    </row>
    <row r="48">
      <c r="A48" s="12" t="n"/>
      <c r="B48" s="13" t="n"/>
      <c r="C48" s="13" t="n"/>
      <c r="D48" s="7">
        <f>IF(OR(B48="",C48=""),"",ROUND((C48-B48)*1440,0))</f>
        <v/>
      </c>
      <c r="E48" s="12" t="n"/>
      <c r="F48" s="12" t="n"/>
      <c r="G48" s="12" t="n"/>
      <c r="H48" s="12" t="n"/>
      <c r="I48" s="12" t="n"/>
      <c r="J48" s="12" t="n"/>
      <c r="K48" s="12" t="n"/>
      <c r="L48" s="14" t="n"/>
      <c r="M48" s="12" t="n"/>
      <c r="N48" s="12" t="n"/>
      <c r="O48" s="12" t="n"/>
      <c r="P48" s="12" t="n"/>
      <c r="Q48" s="7">
        <f>IF(A48="","",IFERROR(VLOOKUP(O48,Listes!$R$3:$T$8,2,FALSE),0)+IFERROR(VLOOKUP(J48,Listes!$J$3:$L$6,2,FALSE),0)+IFERROR(VLOOKUP(N48,Listes!$N$3:$P$6,2,FALSE),0)+IF(OR(L48="",B48=""),0,IF(L48-INT(B48)&lt;10,8,IF(L48-INT(B48)&lt;=90,10,5)))+IFERROR(VLOOKUP(AN48,Listes!$V$3:$W$5,2,FALSE),0)+IFERROR(VLOOKUP(AO48,Listes!$Y$3:$Z$5,2,FALSE),0))</f>
        <v/>
      </c>
      <c r="R48" s="12" t="n"/>
      <c r="S48" s="12" t="n"/>
      <c r="T48" s="12" t="n"/>
      <c r="U48" s="15" t="n"/>
      <c r="V48" s="15" t="n"/>
      <c r="W48" s="13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3" t="n"/>
      <c r="AK48" s="12" t="n"/>
      <c r="AL48" s="12" t="n"/>
      <c r="AM48" s="12" t="n"/>
      <c r="AN48" s="12" t="n"/>
      <c r="AO48" s="12" t="n"/>
      <c r="AP48" s="12" t="n"/>
      <c r="AQ48" s="7">
        <f>IF(A48="","",IF(AP48&lt;&gt;"",AP48,IF(LEFT(Z48,11)="gads_marque","Google Search – Marque",IF(LEFT(Z48,12)="gads_mariage","Google Search – Mariage et privé",IF(LEFT(Z48,10)="gads_corpo","Google Search – Corporatif",IF(LEFT(Z48,5)="meta_","Meta – Leads",IF(LEFT(Z48,5)="msft_","Microsoft Ads",IF(LEFT(Z48,8)="chatgpt_","ChatGPT Ads – Test",IF(X48="gbp","Fiche Google (organique)","Autre / non payé")))))))))</f>
        <v/>
      </c>
      <c r="AR48" s="7">
        <f>IF(K48="","",IFERROR(VLOOKUP(K48,Listes!$F$3:$H$8,3,FALSE),""))</f>
        <v/>
      </c>
      <c r="AS48" s="7">
        <f>IF(O48="","",IF(AND(M48="Autre (plus de 40 km)",OR(O48="lt600",O48="600_999",O48="1000_2499")),"D",IF(OR(O48="lt600",AND(O48="600_999",K48&lt;&gt;"mariage",K48&lt;&gt;"prive")),"C",IF(OR(O48="2500_4999",O48="5000p",J48="entreprise",J48="organisme",J48="agence"),"A",IF(OR(O48="1000_2499",O48="600_999"),"B",IF(O48="inconnu",IF(OR(N48="75_149",N48="150p"),"A","B"),""))))))</f>
        <v/>
      </c>
      <c r="AT48" s="7">
        <f>IF(A48="","",IF(P48&lt;&gt;"",P48,AS48))</f>
        <v/>
      </c>
      <c r="AU48" s="7">
        <f>IF(A48="","",IF(OR(AT48="A",AT48="B"),1,0))</f>
        <v/>
      </c>
      <c r="AV48" s="7">
        <f>IF(A48="","",IF(OR(R48="Dépôt payé (gagné)",R48="Événement livré",R48="Avis obtenu"),1,0))</f>
        <v/>
      </c>
      <c r="AW48" s="7">
        <f>IF(A48="","",IF(Q48&gt;70,"Immédiat – propriétaire",IF(Q48&gt;=40,"15 min – personne de garde","Selon la route")))</f>
        <v/>
      </c>
      <c r="AX48" s="11">
        <f>IF(A48="","",IF(AT48="A",400,IF(AT48="B",150,0)))</f>
        <v/>
      </c>
      <c r="AY48" s="11">
        <f>IF(A48="","",IF(AV48=1,N(V48),IF(N(U48)&gt;0,ROUND(N(U48)*IFERROR(VLOOKUP(R48,Listes!$AE$3:$AG$12,2,FALSE),0),0),0)))</f>
        <v/>
      </c>
      <c r="AZ48" s="7">
        <f>IF(LEFT(A48,7)="EXEMPLE",1,0)</f>
        <v/>
      </c>
      <c r="BA48" s="7">
        <f>IF(AND(AV48=1,AZ48=0,AC48&lt;&gt;"",W48&lt;&gt;"",N(V48)&gt;0),COUNTIFS($AV$3:AV48,1,$AZ$3:AZ48,0,$AC$3:AC48,"&lt;&gt;",$W$3:W48,"&lt;&gt;",$V$3:V48,"&gt;0"),"")</f>
        <v/>
      </c>
    </row>
    <row r="49">
      <c r="A49" s="12" t="n"/>
      <c r="B49" s="13" t="n"/>
      <c r="C49" s="13" t="n"/>
      <c r="D49" s="7">
        <f>IF(OR(B49="",C49=""),"",ROUND((C49-B49)*1440,0))</f>
        <v/>
      </c>
      <c r="E49" s="12" t="n"/>
      <c r="F49" s="12" t="n"/>
      <c r="G49" s="12" t="n"/>
      <c r="H49" s="12" t="n"/>
      <c r="I49" s="12" t="n"/>
      <c r="J49" s="12" t="n"/>
      <c r="K49" s="12" t="n"/>
      <c r="L49" s="14" t="n"/>
      <c r="M49" s="12" t="n"/>
      <c r="N49" s="12" t="n"/>
      <c r="O49" s="12" t="n"/>
      <c r="P49" s="12" t="n"/>
      <c r="Q49" s="7">
        <f>IF(A49="","",IFERROR(VLOOKUP(O49,Listes!$R$3:$T$8,2,FALSE),0)+IFERROR(VLOOKUP(J49,Listes!$J$3:$L$6,2,FALSE),0)+IFERROR(VLOOKUP(N49,Listes!$N$3:$P$6,2,FALSE),0)+IF(OR(L49="",B49=""),0,IF(L49-INT(B49)&lt;10,8,IF(L49-INT(B49)&lt;=90,10,5)))+IFERROR(VLOOKUP(AN49,Listes!$V$3:$W$5,2,FALSE),0)+IFERROR(VLOOKUP(AO49,Listes!$Y$3:$Z$5,2,FALSE),0))</f>
        <v/>
      </c>
      <c r="R49" s="12" t="n"/>
      <c r="S49" s="12" t="n"/>
      <c r="T49" s="12" t="n"/>
      <c r="U49" s="15" t="n"/>
      <c r="V49" s="15" t="n"/>
      <c r="W49" s="13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3" t="n"/>
      <c r="AK49" s="12" t="n"/>
      <c r="AL49" s="12" t="n"/>
      <c r="AM49" s="12" t="n"/>
      <c r="AN49" s="12" t="n"/>
      <c r="AO49" s="12" t="n"/>
      <c r="AP49" s="12" t="n"/>
      <c r="AQ49" s="7">
        <f>IF(A49="","",IF(AP49&lt;&gt;"",AP49,IF(LEFT(Z49,11)="gads_marque","Google Search – Marque",IF(LEFT(Z49,12)="gads_mariage","Google Search – Mariage et privé",IF(LEFT(Z49,10)="gads_corpo","Google Search – Corporatif",IF(LEFT(Z49,5)="meta_","Meta – Leads",IF(LEFT(Z49,5)="msft_","Microsoft Ads",IF(LEFT(Z49,8)="chatgpt_","ChatGPT Ads – Test",IF(X49="gbp","Fiche Google (organique)","Autre / non payé")))))))))</f>
        <v/>
      </c>
      <c r="AR49" s="7">
        <f>IF(K49="","",IFERROR(VLOOKUP(K49,Listes!$F$3:$H$8,3,FALSE),""))</f>
        <v/>
      </c>
      <c r="AS49" s="7">
        <f>IF(O49="","",IF(AND(M49="Autre (plus de 40 km)",OR(O49="lt600",O49="600_999",O49="1000_2499")),"D",IF(OR(O49="lt600",AND(O49="600_999",K49&lt;&gt;"mariage",K49&lt;&gt;"prive")),"C",IF(OR(O49="2500_4999",O49="5000p",J49="entreprise",J49="organisme",J49="agence"),"A",IF(OR(O49="1000_2499",O49="600_999"),"B",IF(O49="inconnu",IF(OR(N49="75_149",N49="150p"),"A","B"),""))))))</f>
        <v/>
      </c>
      <c r="AT49" s="7">
        <f>IF(A49="","",IF(P49&lt;&gt;"",P49,AS49))</f>
        <v/>
      </c>
      <c r="AU49" s="7">
        <f>IF(A49="","",IF(OR(AT49="A",AT49="B"),1,0))</f>
        <v/>
      </c>
      <c r="AV49" s="7">
        <f>IF(A49="","",IF(OR(R49="Dépôt payé (gagné)",R49="Événement livré",R49="Avis obtenu"),1,0))</f>
        <v/>
      </c>
      <c r="AW49" s="7">
        <f>IF(A49="","",IF(Q49&gt;70,"Immédiat – propriétaire",IF(Q49&gt;=40,"15 min – personne de garde","Selon la route")))</f>
        <v/>
      </c>
      <c r="AX49" s="11">
        <f>IF(A49="","",IF(AT49="A",400,IF(AT49="B",150,0)))</f>
        <v/>
      </c>
      <c r="AY49" s="11">
        <f>IF(A49="","",IF(AV49=1,N(V49),IF(N(U49)&gt;0,ROUND(N(U49)*IFERROR(VLOOKUP(R49,Listes!$AE$3:$AG$12,2,FALSE),0),0),0)))</f>
        <v/>
      </c>
      <c r="AZ49" s="7">
        <f>IF(LEFT(A49,7)="EXEMPLE",1,0)</f>
        <v/>
      </c>
      <c r="BA49" s="7">
        <f>IF(AND(AV49=1,AZ49=0,AC49&lt;&gt;"",W49&lt;&gt;"",N(V49)&gt;0),COUNTIFS($AV$3:AV49,1,$AZ$3:AZ49,0,$AC$3:AC49,"&lt;&gt;",$W$3:W49,"&lt;&gt;",$V$3:V49,"&gt;0"),"")</f>
        <v/>
      </c>
    </row>
    <row r="50">
      <c r="A50" s="12" t="n"/>
      <c r="B50" s="13" t="n"/>
      <c r="C50" s="13" t="n"/>
      <c r="D50" s="7">
        <f>IF(OR(B50="",C50=""),"",ROUND((C50-B50)*1440,0))</f>
        <v/>
      </c>
      <c r="E50" s="12" t="n"/>
      <c r="F50" s="12" t="n"/>
      <c r="G50" s="12" t="n"/>
      <c r="H50" s="12" t="n"/>
      <c r="I50" s="12" t="n"/>
      <c r="J50" s="12" t="n"/>
      <c r="K50" s="12" t="n"/>
      <c r="L50" s="14" t="n"/>
      <c r="M50" s="12" t="n"/>
      <c r="N50" s="12" t="n"/>
      <c r="O50" s="12" t="n"/>
      <c r="P50" s="12" t="n"/>
      <c r="Q50" s="7">
        <f>IF(A50="","",IFERROR(VLOOKUP(O50,Listes!$R$3:$T$8,2,FALSE),0)+IFERROR(VLOOKUP(J50,Listes!$J$3:$L$6,2,FALSE),0)+IFERROR(VLOOKUP(N50,Listes!$N$3:$P$6,2,FALSE),0)+IF(OR(L50="",B50=""),0,IF(L50-INT(B50)&lt;10,8,IF(L50-INT(B50)&lt;=90,10,5)))+IFERROR(VLOOKUP(AN50,Listes!$V$3:$W$5,2,FALSE),0)+IFERROR(VLOOKUP(AO50,Listes!$Y$3:$Z$5,2,FALSE),0))</f>
        <v/>
      </c>
      <c r="R50" s="12" t="n"/>
      <c r="S50" s="12" t="n"/>
      <c r="T50" s="12" t="n"/>
      <c r="U50" s="15" t="n"/>
      <c r="V50" s="15" t="n"/>
      <c r="W50" s="13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3" t="n"/>
      <c r="AK50" s="12" t="n"/>
      <c r="AL50" s="12" t="n"/>
      <c r="AM50" s="12" t="n"/>
      <c r="AN50" s="12" t="n"/>
      <c r="AO50" s="12" t="n"/>
      <c r="AP50" s="12" t="n"/>
      <c r="AQ50" s="7">
        <f>IF(A50="","",IF(AP50&lt;&gt;"",AP50,IF(LEFT(Z50,11)="gads_marque","Google Search – Marque",IF(LEFT(Z50,12)="gads_mariage","Google Search – Mariage et privé",IF(LEFT(Z50,10)="gads_corpo","Google Search – Corporatif",IF(LEFT(Z50,5)="meta_","Meta – Leads",IF(LEFT(Z50,5)="msft_","Microsoft Ads",IF(LEFT(Z50,8)="chatgpt_","ChatGPT Ads – Test",IF(X50="gbp","Fiche Google (organique)","Autre / non payé")))))))))</f>
        <v/>
      </c>
      <c r="AR50" s="7">
        <f>IF(K50="","",IFERROR(VLOOKUP(K50,Listes!$F$3:$H$8,3,FALSE),""))</f>
        <v/>
      </c>
      <c r="AS50" s="7">
        <f>IF(O50="","",IF(AND(M50="Autre (plus de 40 km)",OR(O50="lt600",O50="600_999",O50="1000_2499")),"D",IF(OR(O50="lt600",AND(O50="600_999",K50&lt;&gt;"mariage",K50&lt;&gt;"prive")),"C",IF(OR(O50="2500_4999",O50="5000p",J50="entreprise",J50="organisme",J50="agence"),"A",IF(OR(O50="1000_2499",O50="600_999"),"B",IF(O50="inconnu",IF(OR(N50="75_149",N50="150p"),"A","B"),""))))))</f>
        <v/>
      </c>
      <c r="AT50" s="7">
        <f>IF(A50="","",IF(P50&lt;&gt;"",P50,AS50))</f>
        <v/>
      </c>
      <c r="AU50" s="7">
        <f>IF(A50="","",IF(OR(AT50="A",AT50="B"),1,0))</f>
        <v/>
      </c>
      <c r="AV50" s="7">
        <f>IF(A50="","",IF(OR(R50="Dépôt payé (gagné)",R50="Événement livré",R50="Avis obtenu"),1,0))</f>
        <v/>
      </c>
      <c r="AW50" s="7">
        <f>IF(A50="","",IF(Q50&gt;70,"Immédiat – propriétaire",IF(Q50&gt;=40,"15 min – personne de garde","Selon la route")))</f>
        <v/>
      </c>
      <c r="AX50" s="11">
        <f>IF(A50="","",IF(AT50="A",400,IF(AT50="B",150,0)))</f>
        <v/>
      </c>
      <c r="AY50" s="11">
        <f>IF(A50="","",IF(AV50=1,N(V50),IF(N(U50)&gt;0,ROUND(N(U50)*IFERROR(VLOOKUP(R50,Listes!$AE$3:$AG$12,2,FALSE),0),0),0)))</f>
        <v/>
      </c>
      <c r="AZ50" s="7">
        <f>IF(LEFT(A50,7)="EXEMPLE",1,0)</f>
        <v/>
      </c>
      <c r="BA50" s="7">
        <f>IF(AND(AV50=1,AZ50=0,AC50&lt;&gt;"",W50&lt;&gt;"",N(V50)&gt;0),COUNTIFS($AV$3:AV50,1,$AZ$3:AZ50,0,$AC$3:AC50,"&lt;&gt;",$W$3:W50,"&lt;&gt;",$V$3:V50,"&gt;0"),"")</f>
        <v/>
      </c>
    </row>
    <row r="51">
      <c r="A51" s="12" t="n"/>
      <c r="B51" s="13" t="n"/>
      <c r="C51" s="13" t="n"/>
      <c r="D51" s="7">
        <f>IF(OR(B51="",C51=""),"",ROUND((C51-B51)*1440,0))</f>
        <v/>
      </c>
      <c r="E51" s="12" t="n"/>
      <c r="F51" s="12" t="n"/>
      <c r="G51" s="12" t="n"/>
      <c r="H51" s="12" t="n"/>
      <c r="I51" s="12" t="n"/>
      <c r="J51" s="12" t="n"/>
      <c r="K51" s="12" t="n"/>
      <c r="L51" s="14" t="n"/>
      <c r="M51" s="12" t="n"/>
      <c r="N51" s="12" t="n"/>
      <c r="O51" s="12" t="n"/>
      <c r="P51" s="12" t="n"/>
      <c r="Q51" s="7">
        <f>IF(A51="","",IFERROR(VLOOKUP(O51,Listes!$R$3:$T$8,2,FALSE),0)+IFERROR(VLOOKUP(J51,Listes!$J$3:$L$6,2,FALSE),0)+IFERROR(VLOOKUP(N51,Listes!$N$3:$P$6,2,FALSE),0)+IF(OR(L51="",B51=""),0,IF(L51-INT(B51)&lt;10,8,IF(L51-INT(B51)&lt;=90,10,5)))+IFERROR(VLOOKUP(AN51,Listes!$V$3:$W$5,2,FALSE),0)+IFERROR(VLOOKUP(AO51,Listes!$Y$3:$Z$5,2,FALSE),0))</f>
        <v/>
      </c>
      <c r="R51" s="12" t="n"/>
      <c r="S51" s="12" t="n"/>
      <c r="T51" s="12" t="n"/>
      <c r="U51" s="15" t="n"/>
      <c r="V51" s="15" t="n"/>
      <c r="W51" s="13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3" t="n"/>
      <c r="AK51" s="12" t="n"/>
      <c r="AL51" s="12" t="n"/>
      <c r="AM51" s="12" t="n"/>
      <c r="AN51" s="12" t="n"/>
      <c r="AO51" s="12" t="n"/>
      <c r="AP51" s="12" t="n"/>
      <c r="AQ51" s="7">
        <f>IF(A51="","",IF(AP51&lt;&gt;"",AP51,IF(LEFT(Z51,11)="gads_marque","Google Search – Marque",IF(LEFT(Z51,12)="gads_mariage","Google Search – Mariage et privé",IF(LEFT(Z51,10)="gads_corpo","Google Search – Corporatif",IF(LEFT(Z51,5)="meta_","Meta – Leads",IF(LEFT(Z51,5)="msft_","Microsoft Ads",IF(LEFT(Z51,8)="chatgpt_","ChatGPT Ads – Test",IF(X51="gbp","Fiche Google (organique)","Autre / non payé")))))))))</f>
        <v/>
      </c>
      <c r="AR51" s="7">
        <f>IF(K51="","",IFERROR(VLOOKUP(K51,Listes!$F$3:$H$8,3,FALSE),""))</f>
        <v/>
      </c>
      <c r="AS51" s="7">
        <f>IF(O51="","",IF(AND(M51="Autre (plus de 40 km)",OR(O51="lt600",O51="600_999",O51="1000_2499")),"D",IF(OR(O51="lt600",AND(O51="600_999",K51&lt;&gt;"mariage",K51&lt;&gt;"prive")),"C",IF(OR(O51="2500_4999",O51="5000p",J51="entreprise",J51="organisme",J51="agence"),"A",IF(OR(O51="1000_2499",O51="600_999"),"B",IF(O51="inconnu",IF(OR(N51="75_149",N51="150p"),"A","B"),""))))))</f>
        <v/>
      </c>
      <c r="AT51" s="7">
        <f>IF(A51="","",IF(P51&lt;&gt;"",P51,AS51))</f>
        <v/>
      </c>
      <c r="AU51" s="7">
        <f>IF(A51="","",IF(OR(AT51="A",AT51="B"),1,0))</f>
        <v/>
      </c>
      <c r="AV51" s="7">
        <f>IF(A51="","",IF(OR(R51="Dépôt payé (gagné)",R51="Événement livré",R51="Avis obtenu"),1,0))</f>
        <v/>
      </c>
      <c r="AW51" s="7">
        <f>IF(A51="","",IF(Q51&gt;70,"Immédiat – propriétaire",IF(Q51&gt;=40,"15 min – personne de garde","Selon la route")))</f>
        <v/>
      </c>
      <c r="AX51" s="11">
        <f>IF(A51="","",IF(AT51="A",400,IF(AT51="B",150,0)))</f>
        <v/>
      </c>
      <c r="AY51" s="11">
        <f>IF(A51="","",IF(AV51=1,N(V51),IF(N(U51)&gt;0,ROUND(N(U51)*IFERROR(VLOOKUP(R51,Listes!$AE$3:$AG$12,2,FALSE),0),0),0)))</f>
        <v/>
      </c>
      <c r="AZ51" s="7">
        <f>IF(LEFT(A51,7)="EXEMPLE",1,0)</f>
        <v/>
      </c>
      <c r="BA51" s="7">
        <f>IF(AND(AV51=1,AZ51=0,AC51&lt;&gt;"",W51&lt;&gt;"",N(V51)&gt;0),COUNTIFS($AV$3:AV51,1,$AZ$3:AZ51,0,$AC$3:AC51,"&lt;&gt;",$W$3:W51,"&lt;&gt;",$V$3:V51,"&gt;0"),"")</f>
        <v/>
      </c>
    </row>
    <row r="52">
      <c r="A52" s="12" t="n"/>
      <c r="B52" s="13" t="n"/>
      <c r="C52" s="13" t="n"/>
      <c r="D52" s="7">
        <f>IF(OR(B52="",C52=""),"",ROUND((C52-B52)*1440,0))</f>
        <v/>
      </c>
      <c r="E52" s="12" t="n"/>
      <c r="F52" s="12" t="n"/>
      <c r="G52" s="12" t="n"/>
      <c r="H52" s="12" t="n"/>
      <c r="I52" s="12" t="n"/>
      <c r="J52" s="12" t="n"/>
      <c r="K52" s="12" t="n"/>
      <c r="L52" s="14" t="n"/>
      <c r="M52" s="12" t="n"/>
      <c r="N52" s="12" t="n"/>
      <c r="O52" s="12" t="n"/>
      <c r="P52" s="12" t="n"/>
      <c r="Q52" s="7">
        <f>IF(A52="","",IFERROR(VLOOKUP(O52,Listes!$R$3:$T$8,2,FALSE),0)+IFERROR(VLOOKUP(J52,Listes!$J$3:$L$6,2,FALSE),0)+IFERROR(VLOOKUP(N52,Listes!$N$3:$P$6,2,FALSE),0)+IF(OR(L52="",B52=""),0,IF(L52-INT(B52)&lt;10,8,IF(L52-INT(B52)&lt;=90,10,5)))+IFERROR(VLOOKUP(AN52,Listes!$V$3:$W$5,2,FALSE),0)+IFERROR(VLOOKUP(AO52,Listes!$Y$3:$Z$5,2,FALSE),0))</f>
        <v/>
      </c>
      <c r="R52" s="12" t="n"/>
      <c r="S52" s="12" t="n"/>
      <c r="T52" s="12" t="n"/>
      <c r="U52" s="15" t="n"/>
      <c r="V52" s="15" t="n"/>
      <c r="W52" s="13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3" t="n"/>
      <c r="AK52" s="12" t="n"/>
      <c r="AL52" s="12" t="n"/>
      <c r="AM52" s="12" t="n"/>
      <c r="AN52" s="12" t="n"/>
      <c r="AO52" s="12" t="n"/>
      <c r="AP52" s="12" t="n"/>
      <c r="AQ52" s="7">
        <f>IF(A52="","",IF(AP52&lt;&gt;"",AP52,IF(LEFT(Z52,11)="gads_marque","Google Search – Marque",IF(LEFT(Z52,12)="gads_mariage","Google Search – Mariage et privé",IF(LEFT(Z52,10)="gads_corpo","Google Search – Corporatif",IF(LEFT(Z52,5)="meta_","Meta – Leads",IF(LEFT(Z52,5)="msft_","Microsoft Ads",IF(LEFT(Z52,8)="chatgpt_","ChatGPT Ads – Test",IF(X52="gbp","Fiche Google (organique)","Autre / non payé")))))))))</f>
        <v/>
      </c>
      <c r="AR52" s="7">
        <f>IF(K52="","",IFERROR(VLOOKUP(K52,Listes!$F$3:$H$8,3,FALSE),""))</f>
        <v/>
      </c>
      <c r="AS52" s="7">
        <f>IF(O52="","",IF(AND(M52="Autre (plus de 40 km)",OR(O52="lt600",O52="600_999",O52="1000_2499")),"D",IF(OR(O52="lt600",AND(O52="600_999",K52&lt;&gt;"mariage",K52&lt;&gt;"prive")),"C",IF(OR(O52="2500_4999",O52="5000p",J52="entreprise",J52="organisme",J52="agence"),"A",IF(OR(O52="1000_2499",O52="600_999"),"B",IF(O52="inconnu",IF(OR(N52="75_149",N52="150p"),"A","B"),""))))))</f>
        <v/>
      </c>
      <c r="AT52" s="7">
        <f>IF(A52="","",IF(P52&lt;&gt;"",P52,AS52))</f>
        <v/>
      </c>
      <c r="AU52" s="7">
        <f>IF(A52="","",IF(OR(AT52="A",AT52="B"),1,0))</f>
        <v/>
      </c>
      <c r="AV52" s="7">
        <f>IF(A52="","",IF(OR(R52="Dépôt payé (gagné)",R52="Événement livré",R52="Avis obtenu"),1,0))</f>
        <v/>
      </c>
      <c r="AW52" s="7">
        <f>IF(A52="","",IF(Q52&gt;70,"Immédiat – propriétaire",IF(Q52&gt;=40,"15 min – personne de garde","Selon la route")))</f>
        <v/>
      </c>
      <c r="AX52" s="11">
        <f>IF(A52="","",IF(AT52="A",400,IF(AT52="B",150,0)))</f>
        <v/>
      </c>
      <c r="AY52" s="11">
        <f>IF(A52="","",IF(AV52=1,N(V52),IF(N(U52)&gt;0,ROUND(N(U52)*IFERROR(VLOOKUP(R52,Listes!$AE$3:$AG$12,2,FALSE),0),0),0)))</f>
        <v/>
      </c>
      <c r="AZ52" s="7">
        <f>IF(LEFT(A52,7)="EXEMPLE",1,0)</f>
        <v/>
      </c>
      <c r="BA52" s="7">
        <f>IF(AND(AV52=1,AZ52=0,AC52&lt;&gt;"",W52&lt;&gt;"",N(V52)&gt;0),COUNTIFS($AV$3:AV52,1,$AZ$3:AZ52,0,$AC$3:AC52,"&lt;&gt;",$W$3:W52,"&lt;&gt;",$V$3:V52,"&gt;0"),"")</f>
        <v/>
      </c>
    </row>
    <row r="53">
      <c r="A53" s="12" t="n"/>
      <c r="B53" s="13" t="n"/>
      <c r="C53" s="13" t="n"/>
      <c r="D53" s="7">
        <f>IF(OR(B53="",C53=""),"",ROUND((C53-B53)*1440,0))</f>
        <v/>
      </c>
      <c r="E53" s="12" t="n"/>
      <c r="F53" s="12" t="n"/>
      <c r="G53" s="12" t="n"/>
      <c r="H53" s="12" t="n"/>
      <c r="I53" s="12" t="n"/>
      <c r="J53" s="12" t="n"/>
      <c r="K53" s="12" t="n"/>
      <c r="L53" s="14" t="n"/>
      <c r="M53" s="12" t="n"/>
      <c r="N53" s="12" t="n"/>
      <c r="O53" s="12" t="n"/>
      <c r="P53" s="12" t="n"/>
      <c r="Q53" s="7">
        <f>IF(A53="","",IFERROR(VLOOKUP(O53,Listes!$R$3:$T$8,2,FALSE),0)+IFERROR(VLOOKUP(J53,Listes!$J$3:$L$6,2,FALSE),0)+IFERROR(VLOOKUP(N53,Listes!$N$3:$P$6,2,FALSE),0)+IF(OR(L53="",B53=""),0,IF(L53-INT(B53)&lt;10,8,IF(L53-INT(B53)&lt;=90,10,5)))+IFERROR(VLOOKUP(AN53,Listes!$V$3:$W$5,2,FALSE),0)+IFERROR(VLOOKUP(AO53,Listes!$Y$3:$Z$5,2,FALSE),0))</f>
        <v/>
      </c>
      <c r="R53" s="12" t="n"/>
      <c r="S53" s="12" t="n"/>
      <c r="T53" s="12" t="n"/>
      <c r="U53" s="15" t="n"/>
      <c r="V53" s="15" t="n"/>
      <c r="W53" s="13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3" t="n"/>
      <c r="AK53" s="12" t="n"/>
      <c r="AL53" s="12" t="n"/>
      <c r="AM53" s="12" t="n"/>
      <c r="AN53" s="12" t="n"/>
      <c r="AO53" s="12" t="n"/>
      <c r="AP53" s="12" t="n"/>
      <c r="AQ53" s="7">
        <f>IF(A53="","",IF(AP53&lt;&gt;"",AP53,IF(LEFT(Z53,11)="gads_marque","Google Search – Marque",IF(LEFT(Z53,12)="gads_mariage","Google Search – Mariage et privé",IF(LEFT(Z53,10)="gads_corpo","Google Search – Corporatif",IF(LEFT(Z53,5)="meta_","Meta – Leads",IF(LEFT(Z53,5)="msft_","Microsoft Ads",IF(LEFT(Z53,8)="chatgpt_","ChatGPT Ads – Test",IF(X53="gbp","Fiche Google (organique)","Autre / non payé")))))))))</f>
        <v/>
      </c>
      <c r="AR53" s="7">
        <f>IF(K53="","",IFERROR(VLOOKUP(K53,Listes!$F$3:$H$8,3,FALSE),""))</f>
        <v/>
      </c>
      <c r="AS53" s="7">
        <f>IF(O53="","",IF(AND(M53="Autre (plus de 40 km)",OR(O53="lt600",O53="600_999",O53="1000_2499")),"D",IF(OR(O53="lt600",AND(O53="600_999",K53&lt;&gt;"mariage",K53&lt;&gt;"prive")),"C",IF(OR(O53="2500_4999",O53="5000p",J53="entreprise",J53="organisme",J53="agence"),"A",IF(OR(O53="1000_2499",O53="600_999"),"B",IF(O53="inconnu",IF(OR(N53="75_149",N53="150p"),"A","B"),""))))))</f>
        <v/>
      </c>
      <c r="AT53" s="7">
        <f>IF(A53="","",IF(P53&lt;&gt;"",P53,AS53))</f>
        <v/>
      </c>
      <c r="AU53" s="7">
        <f>IF(A53="","",IF(OR(AT53="A",AT53="B"),1,0))</f>
        <v/>
      </c>
      <c r="AV53" s="7">
        <f>IF(A53="","",IF(OR(R53="Dépôt payé (gagné)",R53="Événement livré",R53="Avis obtenu"),1,0))</f>
        <v/>
      </c>
      <c r="AW53" s="7">
        <f>IF(A53="","",IF(Q53&gt;70,"Immédiat – propriétaire",IF(Q53&gt;=40,"15 min – personne de garde","Selon la route")))</f>
        <v/>
      </c>
      <c r="AX53" s="11">
        <f>IF(A53="","",IF(AT53="A",400,IF(AT53="B",150,0)))</f>
        <v/>
      </c>
      <c r="AY53" s="11">
        <f>IF(A53="","",IF(AV53=1,N(V53),IF(N(U53)&gt;0,ROUND(N(U53)*IFERROR(VLOOKUP(R53,Listes!$AE$3:$AG$12,2,FALSE),0),0),0)))</f>
        <v/>
      </c>
      <c r="AZ53" s="7">
        <f>IF(LEFT(A53,7)="EXEMPLE",1,0)</f>
        <v/>
      </c>
      <c r="BA53" s="7">
        <f>IF(AND(AV53=1,AZ53=0,AC53&lt;&gt;"",W53&lt;&gt;"",N(V53)&gt;0),COUNTIFS($AV$3:AV53,1,$AZ$3:AZ53,0,$AC$3:AC53,"&lt;&gt;",$W$3:W53,"&lt;&gt;",$V$3:V53,"&gt;0"),"")</f>
        <v/>
      </c>
    </row>
    <row r="54">
      <c r="A54" s="12" t="n"/>
      <c r="B54" s="13" t="n"/>
      <c r="C54" s="13" t="n"/>
      <c r="D54" s="7">
        <f>IF(OR(B54="",C54=""),"",ROUND((C54-B54)*1440,0))</f>
        <v/>
      </c>
      <c r="E54" s="12" t="n"/>
      <c r="F54" s="12" t="n"/>
      <c r="G54" s="12" t="n"/>
      <c r="H54" s="12" t="n"/>
      <c r="I54" s="12" t="n"/>
      <c r="J54" s="12" t="n"/>
      <c r="K54" s="12" t="n"/>
      <c r="L54" s="14" t="n"/>
      <c r="M54" s="12" t="n"/>
      <c r="N54" s="12" t="n"/>
      <c r="O54" s="12" t="n"/>
      <c r="P54" s="12" t="n"/>
      <c r="Q54" s="7">
        <f>IF(A54="","",IFERROR(VLOOKUP(O54,Listes!$R$3:$T$8,2,FALSE),0)+IFERROR(VLOOKUP(J54,Listes!$J$3:$L$6,2,FALSE),0)+IFERROR(VLOOKUP(N54,Listes!$N$3:$P$6,2,FALSE),0)+IF(OR(L54="",B54=""),0,IF(L54-INT(B54)&lt;10,8,IF(L54-INT(B54)&lt;=90,10,5)))+IFERROR(VLOOKUP(AN54,Listes!$V$3:$W$5,2,FALSE),0)+IFERROR(VLOOKUP(AO54,Listes!$Y$3:$Z$5,2,FALSE),0))</f>
        <v/>
      </c>
      <c r="R54" s="12" t="n"/>
      <c r="S54" s="12" t="n"/>
      <c r="T54" s="12" t="n"/>
      <c r="U54" s="15" t="n"/>
      <c r="V54" s="15" t="n"/>
      <c r="W54" s="13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3" t="n"/>
      <c r="AK54" s="12" t="n"/>
      <c r="AL54" s="12" t="n"/>
      <c r="AM54" s="12" t="n"/>
      <c r="AN54" s="12" t="n"/>
      <c r="AO54" s="12" t="n"/>
      <c r="AP54" s="12" t="n"/>
      <c r="AQ54" s="7">
        <f>IF(A54="","",IF(AP54&lt;&gt;"",AP54,IF(LEFT(Z54,11)="gads_marque","Google Search – Marque",IF(LEFT(Z54,12)="gads_mariage","Google Search – Mariage et privé",IF(LEFT(Z54,10)="gads_corpo","Google Search – Corporatif",IF(LEFT(Z54,5)="meta_","Meta – Leads",IF(LEFT(Z54,5)="msft_","Microsoft Ads",IF(LEFT(Z54,8)="chatgpt_","ChatGPT Ads – Test",IF(X54="gbp","Fiche Google (organique)","Autre / non payé")))))))))</f>
        <v/>
      </c>
      <c r="AR54" s="7">
        <f>IF(K54="","",IFERROR(VLOOKUP(K54,Listes!$F$3:$H$8,3,FALSE),""))</f>
        <v/>
      </c>
      <c r="AS54" s="7">
        <f>IF(O54="","",IF(AND(M54="Autre (plus de 40 km)",OR(O54="lt600",O54="600_999",O54="1000_2499")),"D",IF(OR(O54="lt600",AND(O54="600_999",K54&lt;&gt;"mariage",K54&lt;&gt;"prive")),"C",IF(OR(O54="2500_4999",O54="5000p",J54="entreprise",J54="organisme",J54="agence"),"A",IF(OR(O54="1000_2499",O54="600_999"),"B",IF(O54="inconnu",IF(OR(N54="75_149",N54="150p"),"A","B"),""))))))</f>
        <v/>
      </c>
      <c r="AT54" s="7">
        <f>IF(A54="","",IF(P54&lt;&gt;"",P54,AS54))</f>
        <v/>
      </c>
      <c r="AU54" s="7">
        <f>IF(A54="","",IF(OR(AT54="A",AT54="B"),1,0))</f>
        <v/>
      </c>
      <c r="AV54" s="7">
        <f>IF(A54="","",IF(OR(R54="Dépôt payé (gagné)",R54="Événement livré",R54="Avis obtenu"),1,0))</f>
        <v/>
      </c>
      <c r="AW54" s="7">
        <f>IF(A54="","",IF(Q54&gt;70,"Immédiat – propriétaire",IF(Q54&gt;=40,"15 min – personne de garde","Selon la route")))</f>
        <v/>
      </c>
      <c r="AX54" s="11">
        <f>IF(A54="","",IF(AT54="A",400,IF(AT54="B",150,0)))</f>
        <v/>
      </c>
      <c r="AY54" s="11">
        <f>IF(A54="","",IF(AV54=1,N(V54),IF(N(U54)&gt;0,ROUND(N(U54)*IFERROR(VLOOKUP(R54,Listes!$AE$3:$AG$12,2,FALSE),0),0),0)))</f>
        <v/>
      </c>
      <c r="AZ54" s="7">
        <f>IF(LEFT(A54,7)="EXEMPLE",1,0)</f>
        <v/>
      </c>
      <c r="BA54" s="7">
        <f>IF(AND(AV54=1,AZ54=0,AC54&lt;&gt;"",W54&lt;&gt;"",N(V54)&gt;0),COUNTIFS($AV$3:AV54,1,$AZ$3:AZ54,0,$AC$3:AC54,"&lt;&gt;",$W$3:W54,"&lt;&gt;",$V$3:V54,"&gt;0"),"")</f>
        <v/>
      </c>
    </row>
    <row r="55">
      <c r="A55" s="12" t="n"/>
      <c r="B55" s="13" t="n"/>
      <c r="C55" s="13" t="n"/>
      <c r="D55" s="7">
        <f>IF(OR(B55="",C55=""),"",ROUND((C55-B55)*1440,0))</f>
        <v/>
      </c>
      <c r="E55" s="12" t="n"/>
      <c r="F55" s="12" t="n"/>
      <c r="G55" s="12" t="n"/>
      <c r="H55" s="12" t="n"/>
      <c r="I55" s="12" t="n"/>
      <c r="J55" s="12" t="n"/>
      <c r="K55" s="12" t="n"/>
      <c r="L55" s="14" t="n"/>
      <c r="M55" s="12" t="n"/>
      <c r="N55" s="12" t="n"/>
      <c r="O55" s="12" t="n"/>
      <c r="P55" s="12" t="n"/>
      <c r="Q55" s="7">
        <f>IF(A55="","",IFERROR(VLOOKUP(O55,Listes!$R$3:$T$8,2,FALSE),0)+IFERROR(VLOOKUP(J55,Listes!$J$3:$L$6,2,FALSE),0)+IFERROR(VLOOKUP(N55,Listes!$N$3:$P$6,2,FALSE),0)+IF(OR(L55="",B55=""),0,IF(L55-INT(B55)&lt;10,8,IF(L55-INT(B55)&lt;=90,10,5)))+IFERROR(VLOOKUP(AN55,Listes!$V$3:$W$5,2,FALSE),0)+IFERROR(VLOOKUP(AO55,Listes!$Y$3:$Z$5,2,FALSE),0))</f>
        <v/>
      </c>
      <c r="R55" s="12" t="n"/>
      <c r="S55" s="12" t="n"/>
      <c r="T55" s="12" t="n"/>
      <c r="U55" s="15" t="n"/>
      <c r="V55" s="15" t="n"/>
      <c r="W55" s="13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3" t="n"/>
      <c r="AK55" s="12" t="n"/>
      <c r="AL55" s="12" t="n"/>
      <c r="AM55" s="12" t="n"/>
      <c r="AN55" s="12" t="n"/>
      <c r="AO55" s="12" t="n"/>
      <c r="AP55" s="12" t="n"/>
      <c r="AQ55" s="7">
        <f>IF(A55="","",IF(AP55&lt;&gt;"",AP55,IF(LEFT(Z55,11)="gads_marque","Google Search – Marque",IF(LEFT(Z55,12)="gads_mariage","Google Search – Mariage et privé",IF(LEFT(Z55,10)="gads_corpo","Google Search – Corporatif",IF(LEFT(Z55,5)="meta_","Meta – Leads",IF(LEFT(Z55,5)="msft_","Microsoft Ads",IF(LEFT(Z55,8)="chatgpt_","ChatGPT Ads – Test",IF(X55="gbp","Fiche Google (organique)","Autre / non payé")))))))))</f>
        <v/>
      </c>
      <c r="AR55" s="7">
        <f>IF(K55="","",IFERROR(VLOOKUP(K55,Listes!$F$3:$H$8,3,FALSE),""))</f>
        <v/>
      </c>
      <c r="AS55" s="7">
        <f>IF(O55="","",IF(AND(M55="Autre (plus de 40 km)",OR(O55="lt600",O55="600_999",O55="1000_2499")),"D",IF(OR(O55="lt600",AND(O55="600_999",K55&lt;&gt;"mariage",K55&lt;&gt;"prive")),"C",IF(OR(O55="2500_4999",O55="5000p",J55="entreprise",J55="organisme",J55="agence"),"A",IF(OR(O55="1000_2499",O55="600_999"),"B",IF(O55="inconnu",IF(OR(N55="75_149",N55="150p"),"A","B"),""))))))</f>
        <v/>
      </c>
      <c r="AT55" s="7">
        <f>IF(A55="","",IF(P55&lt;&gt;"",P55,AS55))</f>
        <v/>
      </c>
      <c r="AU55" s="7">
        <f>IF(A55="","",IF(OR(AT55="A",AT55="B"),1,0))</f>
        <v/>
      </c>
      <c r="AV55" s="7">
        <f>IF(A55="","",IF(OR(R55="Dépôt payé (gagné)",R55="Événement livré",R55="Avis obtenu"),1,0))</f>
        <v/>
      </c>
      <c r="AW55" s="7">
        <f>IF(A55="","",IF(Q55&gt;70,"Immédiat – propriétaire",IF(Q55&gt;=40,"15 min – personne de garde","Selon la route")))</f>
        <v/>
      </c>
      <c r="AX55" s="11">
        <f>IF(A55="","",IF(AT55="A",400,IF(AT55="B",150,0)))</f>
        <v/>
      </c>
      <c r="AY55" s="11">
        <f>IF(A55="","",IF(AV55=1,N(V55),IF(N(U55)&gt;0,ROUND(N(U55)*IFERROR(VLOOKUP(R55,Listes!$AE$3:$AG$12,2,FALSE),0),0),0)))</f>
        <v/>
      </c>
      <c r="AZ55" s="7">
        <f>IF(LEFT(A55,7)="EXEMPLE",1,0)</f>
        <v/>
      </c>
      <c r="BA55" s="7">
        <f>IF(AND(AV55=1,AZ55=0,AC55&lt;&gt;"",W55&lt;&gt;"",N(V55)&gt;0),COUNTIFS($AV$3:AV55,1,$AZ$3:AZ55,0,$AC$3:AC55,"&lt;&gt;",$W$3:W55,"&lt;&gt;",$V$3:V55,"&gt;0"),"")</f>
        <v/>
      </c>
    </row>
    <row r="56">
      <c r="A56" s="12" t="n"/>
      <c r="B56" s="13" t="n"/>
      <c r="C56" s="13" t="n"/>
      <c r="D56" s="7">
        <f>IF(OR(B56="",C56=""),"",ROUND((C56-B56)*1440,0))</f>
        <v/>
      </c>
      <c r="E56" s="12" t="n"/>
      <c r="F56" s="12" t="n"/>
      <c r="G56" s="12" t="n"/>
      <c r="H56" s="12" t="n"/>
      <c r="I56" s="12" t="n"/>
      <c r="J56" s="12" t="n"/>
      <c r="K56" s="12" t="n"/>
      <c r="L56" s="14" t="n"/>
      <c r="M56" s="12" t="n"/>
      <c r="N56" s="12" t="n"/>
      <c r="O56" s="12" t="n"/>
      <c r="P56" s="12" t="n"/>
      <c r="Q56" s="7">
        <f>IF(A56="","",IFERROR(VLOOKUP(O56,Listes!$R$3:$T$8,2,FALSE),0)+IFERROR(VLOOKUP(J56,Listes!$J$3:$L$6,2,FALSE),0)+IFERROR(VLOOKUP(N56,Listes!$N$3:$P$6,2,FALSE),0)+IF(OR(L56="",B56=""),0,IF(L56-INT(B56)&lt;10,8,IF(L56-INT(B56)&lt;=90,10,5)))+IFERROR(VLOOKUP(AN56,Listes!$V$3:$W$5,2,FALSE),0)+IFERROR(VLOOKUP(AO56,Listes!$Y$3:$Z$5,2,FALSE),0))</f>
        <v/>
      </c>
      <c r="R56" s="12" t="n"/>
      <c r="S56" s="12" t="n"/>
      <c r="T56" s="12" t="n"/>
      <c r="U56" s="15" t="n"/>
      <c r="V56" s="15" t="n"/>
      <c r="W56" s="13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3" t="n"/>
      <c r="AK56" s="12" t="n"/>
      <c r="AL56" s="12" t="n"/>
      <c r="AM56" s="12" t="n"/>
      <c r="AN56" s="12" t="n"/>
      <c r="AO56" s="12" t="n"/>
      <c r="AP56" s="12" t="n"/>
      <c r="AQ56" s="7">
        <f>IF(A56="","",IF(AP56&lt;&gt;"",AP56,IF(LEFT(Z56,11)="gads_marque","Google Search – Marque",IF(LEFT(Z56,12)="gads_mariage","Google Search – Mariage et privé",IF(LEFT(Z56,10)="gads_corpo","Google Search – Corporatif",IF(LEFT(Z56,5)="meta_","Meta – Leads",IF(LEFT(Z56,5)="msft_","Microsoft Ads",IF(LEFT(Z56,8)="chatgpt_","ChatGPT Ads – Test",IF(X56="gbp","Fiche Google (organique)","Autre / non payé")))))))))</f>
        <v/>
      </c>
      <c r="AR56" s="7">
        <f>IF(K56="","",IFERROR(VLOOKUP(K56,Listes!$F$3:$H$8,3,FALSE),""))</f>
        <v/>
      </c>
      <c r="AS56" s="7">
        <f>IF(O56="","",IF(AND(M56="Autre (plus de 40 km)",OR(O56="lt600",O56="600_999",O56="1000_2499")),"D",IF(OR(O56="lt600",AND(O56="600_999",K56&lt;&gt;"mariage",K56&lt;&gt;"prive")),"C",IF(OR(O56="2500_4999",O56="5000p",J56="entreprise",J56="organisme",J56="agence"),"A",IF(OR(O56="1000_2499",O56="600_999"),"B",IF(O56="inconnu",IF(OR(N56="75_149",N56="150p"),"A","B"),""))))))</f>
        <v/>
      </c>
      <c r="AT56" s="7">
        <f>IF(A56="","",IF(P56&lt;&gt;"",P56,AS56))</f>
        <v/>
      </c>
      <c r="AU56" s="7">
        <f>IF(A56="","",IF(OR(AT56="A",AT56="B"),1,0))</f>
        <v/>
      </c>
      <c r="AV56" s="7">
        <f>IF(A56="","",IF(OR(R56="Dépôt payé (gagné)",R56="Événement livré",R56="Avis obtenu"),1,0))</f>
        <v/>
      </c>
      <c r="AW56" s="7">
        <f>IF(A56="","",IF(Q56&gt;70,"Immédiat – propriétaire",IF(Q56&gt;=40,"15 min – personne de garde","Selon la route")))</f>
        <v/>
      </c>
      <c r="AX56" s="11">
        <f>IF(A56="","",IF(AT56="A",400,IF(AT56="B",150,0)))</f>
        <v/>
      </c>
      <c r="AY56" s="11">
        <f>IF(A56="","",IF(AV56=1,N(V56),IF(N(U56)&gt;0,ROUND(N(U56)*IFERROR(VLOOKUP(R56,Listes!$AE$3:$AG$12,2,FALSE),0),0),0)))</f>
        <v/>
      </c>
      <c r="AZ56" s="7">
        <f>IF(LEFT(A56,7)="EXEMPLE",1,0)</f>
        <v/>
      </c>
      <c r="BA56" s="7">
        <f>IF(AND(AV56=1,AZ56=0,AC56&lt;&gt;"",W56&lt;&gt;"",N(V56)&gt;0),COUNTIFS($AV$3:AV56,1,$AZ$3:AZ56,0,$AC$3:AC56,"&lt;&gt;",$W$3:W56,"&lt;&gt;",$V$3:V56,"&gt;0"),"")</f>
        <v/>
      </c>
    </row>
    <row r="57">
      <c r="A57" s="12" t="n"/>
      <c r="B57" s="13" t="n"/>
      <c r="C57" s="13" t="n"/>
      <c r="D57" s="7">
        <f>IF(OR(B57="",C57=""),"",ROUND((C57-B57)*1440,0))</f>
        <v/>
      </c>
      <c r="E57" s="12" t="n"/>
      <c r="F57" s="12" t="n"/>
      <c r="G57" s="12" t="n"/>
      <c r="H57" s="12" t="n"/>
      <c r="I57" s="12" t="n"/>
      <c r="J57" s="12" t="n"/>
      <c r="K57" s="12" t="n"/>
      <c r="L57" s="14" t="n"/>
      <c r="M57" s="12" t="n"/>
      <c r="N57" s="12" t="n"/>
      <c r="O57" s="12" t="n"/>
      <c r="P57" s="12" t="n"/>
      <c r="Q57" s="7">
        <f>IF(A57="","",IFERROR(VLOOKUP(O57,Listes!$R$3:$T$8,2,FALSE),0)+IFERROR(VLOOKUP(J57,Listes!$J$3:$L$6,2,FALSE),0)+IFERROR(VLOOKUP(N57,Listes!$N$3:$P$6,2,FALSE),0)+IF(OR(L57="",B57=""),0,IF(L57-INT(B57)&lt;10,8,IF(L57-INT(B57)&lt;=90,10,5)))+IFERROR(VLOOKUP(AN57,Listes!$V$3:$W$5,2,FALSE),0)+IFERROR(VLOOKUP(AO57,Listes!$Y$3:$Z$5,2,FALSE),0))</f>
        <v/>
      </c>
      <c r="R57" s="12" t="n"/>
      <c r="S57" s="12" t="n"/>
      <c r="T57" s="12" t="n"/>
      <c r="U57" s="15" t="n"/>
      <c r="V57" s="15" t="n"/>
      <c r="W57" s="13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3" t="n"/>
      <c r="AK57" s="12" t="n"/>
      <c r="AL57" s="12" t="n"/>
      <c r="AM57" s="12" t="n"/>
      <c r="AN57" s="12" t="n"/>
      <c r="AO57" s="12" t="n"/>
      <c r="AP57" s="12" t="n"/>
      <c r="AQ57" s="7">
        <f>IF(A57="","",IF(AP57&lt;&gt;"",AP57,IF(LEFT(Z57,11)="gads_marque","Google Search – Marque",IF(LEFT(Z57,12)="gads_mariage","Google Search – Mariage et privé",IF(LEFT(Z57,10)="gads_corpo","Google Search – Corporatif",IF(LEFT(Z57,5)="meta_","Meta – Leads",IF(LEFT(Z57,5)="msft_","Microsoft Ads",IF(LEFT(Z57,8)="chatgpt_","ChatGPT Ads – Test",IF(X57="gbp","Fiche Google (organique)","Autre / non payé")))))))))</f>
        <v/>
      </c>
      <c r="AR57" s="7">
        <f>IF(K57="","",IFERROR(VLOOKUP(K57,Listes!$F$3:$H$8,3,FALSE),""))</f>
        <v/>
      </c>
      <c r="AS57" s="7">
        <f>IF(O57="","",IF(AND(M57="Autre (plus de 40 km)",OR(O57="lt600",O57="600_999",O57="1000_2499")),"D",IF(OR(O57="lt600",AND(O57="600_999",K57&lt;&gt;"mariage",K57&lt;&gt;"prive")),"C",IF(OR(O57="2500_4999",O57="5000p",J57="entreprise",J57="organisme",J57="agence"),"A",IF(OR(O57="1000_2499",O57="600_999"),"B",IF(O57="inconnu",IF(OR(N57="75_149",N57="150p"),"A","B"),""))))))</f>
        <v/>
      </c>
      <c r="AT57" s="7">
        <f>IF(A57="","",IF(P57&lt;&gt;"",P57,AS57))</f>
        <v/>
      </c>
      <c r="AU57" s="7">
        <f>IF(A57="","",IF(OR(AT57="A",AT57="B"),1,0))</f>
        <v/>
      </c>
      <c r="AV57" s="7">
        <f>IF(A57="","",IF(OR(R57="Dépôt payé (gagné)",R57="Événement livré",R57="Avis obtenu"),1,0))</f>
        <v/>
      </c>
      <c r="AW57" s="7">
        <f>IF(A57="","",IF(Q57&gt;70,"Immédiat – propriétaire",IF(Q57&gt;=40,"15 min – personne de garde","Selon la route")))</f>
        <v/>
      </c>
      <c r="AX57" s="11">
        <f>IF(A57="","",IF(AT57="A",400,IF(AT57="B",150,0)))</f>
        <v/>
      </c>
      <c r="AY57" s="11">
        <f>IF(A57="","",IF(AV57=1,N(V57),IF(N(U57)&gt;0,ROUND(N(U57)*IFERROR(VLOOKUP(R57,Listes!$AE$3:$AG$12,2,FALSE),0),0),0)))</f>
        <v/>
      </c>
      <c r="AZ57" s="7">
        <f>IF(LEFT(A57,7)="EXEMPLE",1,0)</f>
        <v/>
      </c>
      <c r="BA57" s="7">
        <f>IF(AND(AV57=1,AZ57=0,AC57&lt;&gt;"",W57&lt;&gt;"",N(V57)&gt;0),COUNTIFS($AV$3:AV57,1,$AZ$3:AZ57,0,$AC$3:AC57,"&lt;&gt;",$W$3:W57,"&lt;&gt;",$V$3:V57,"&gt;0"),"")</f>
        <v/>
      </c>
    </row>
    <row r="58">
      <c r="A58" s="12" t="n"/>
      <c r="B58" s="13" t="n"/>
      <c r="C58" s="13" t="n"/>
      <c r="D58" s="7">
        <f>IF(OR(B58="",C58=""),"",ROUND((C58-B58)*1440,0))</f>
        <v/>
      </c>
      <c r="E58" s="12" t="n"/>
      <c r="F58" s="12" t="n"/>
      <c r="G58" s="12" t="n"/>
      <c r="H58" s="12" t="n"/>
      <c r="I58" s="12" t="n"/>
      <c r="J58" s="12" t="n"/>
      <c r="K58" s="12" t="n"/>
      <c r="L58" s="14" t="n"/>
      <c r="M58" s="12" t="n"/>
      <c r="N58" s="12" t="n"/>
      <c r="O58" s="12" t="n"/>
      <c r="P58" s="12" t="n"/>
      <c r="Q58" s="7">
        <f>IF(A58="","",IFERROR(VLOOKUP(O58,Listes!$R$3:$T$8,2,FALSE),0)+IFERROR(VLOOKUP(J58,Listes!$J$3:$L$6,2,FALSE),0)+IFERROR(VLOOKUP(N58,Listes!$N$3:$P$6,2,FALSE),0)+IF(OR(L58="",B58=""),0,IF(L58-INT(B58)&lt;10,8,IF(L58-INT(B58)&lt;=90,10,5)))+IFERROR(VLOOKUP(AN58,Listes!$V$3:$W$5,2,FALSE),0)+IFERROR(VLOOKUP(AO58,Listes!$Y$3:$Z$5,2,FALSE),0))</f>
        <v/>
      </c>
      <c r="R58" s="12" t="n"/>
      <c r="S58" s="12" t="n"/>
      <c r="T58" s="12" t="n"/>
      <c r="U58" s="15" t="n"/>
      <c r="V58" s="15" t="n"/>
      <c r="W58" s="13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3" t="n"/>
      <c r="AK58" s="12" t="n"/>
      <c r="AL58" s="12" t="n"/>
      <c r="AM58" s="12" t="n"/>
      <c r="AN58" s="12" t="n"/>
      <c r="AO58" s="12" t="n"/>
      <c r="AP58" s="12" t="n"/>
      <c r="AQ58" s="7">
        <f>IF(A58="","",IF(AP58&lt;&gt;"",AP58,IF(LEFT(Z58,11)="gads_marque","Google Search – Marque",IF(LEFT(Z58,12)="gads_mariage","Google Search – Mariage et privé",IF(LEFT(Z58,10)="gads_corpo","Google Search – Corporatif",IF(LEFT(Z58,5)="meta_","Meta – Leads",IF(LEFT(Z58,5)="msft_","Microsoft Ads",IF(LEFT(Z58,8)="chatgpt_","ChatGPT Ads – Test",IF(X58="gbp","Fiche Google (organique)","Autre / non payé")))))))))</f>
        <v/>
      </c>
      <c r="AR58" s="7">
        <f>IF(K58="","",IFERROR(VLOOKUP(K58,Listes!$F$3:$H$8,3,FALSE),""))</f>
        <v/>
      </c>
      <c r="AS58" s="7">
        <f>IF(O58="","",IF(AND(M58="Autre (plus de 40 km)",OR(O58="lt600",O58="600_999",O58="1000_2499")),"D",IF(OR(O58="lt600",AND(O58="600_999",K58&lt;&gt;"mariage",K58&lt;&gt;"prive")),"C",IF(OR(O58="2500_4999",O58="5000p",J58="entreprise",J58="organisme",J58="agence"),"A",IF(OR(O58="1000_2499",O58="600_999"),"B",IF(O58="inconnu",IF(OR(N58="75_149",N58="150p"),"A","B"),""))))))</f>
        <v/>
      </c>
      <c r="AT58" s="7">
        <f>IF(A58="","",IF(P58&lt;&gt;"",P58,AS58))</f>
        <v/>
      </c>
      <c r="AU58" s="7">
        <f>IF(A58="","",IF(OR(AT58="A",AT58="B"),1,0))</f>
        <v/>
      </c>
      <c r="AV58" s="7">
        <f>IF(A58="","",IF(OR(R58="Dépôt payé (gagné)",R58="Événement livré",R58="Avis obtenu"),1,0))</f>
        <v/>
      </c>
      <c r="AW58" s="7">
        <f>IF(A58="","",IF(Q58&gt;70,"Immédiat – propriétaire",IF(Q58&gt;=40,"15 min – personne de garde","Selon la route")))</f>
        <v/>
      </c>
      <c r="AX58" s="11">
        <f>IF(A58="","",IF(AT58="A",400,IF(AT58="B",150,0)))</f>
        <v/>
      </c>
      <c r="AY58" s="11">
        <f>IF(A58="","",IF(AV58=1,N(V58),IF(N(U58)&gt;0,ROUND(N(U58)*IFERROR(VLOOKUP(R58,Listes!$AE$3:$AG$12,2,FALSE),0),0),0)))</f>
        <v/>
      </c>
      <c r="AZ58" s="7">
        <f>IF(LEFT(A58,7)="EXEMPLE",1,0)</f>
        <v/>
      </c>
      <c r="BA58" s="7">
        <f>IF(AND(AV58=1,AZ58=0,AC58&lt;&gt;"",W58&lt;&gt;"",N(V58)&gt;0),COUNTIFS($AV$3:AV58,1,$AZ$3:AZ58,0,$AC$3:AC58,"&lt;&gt;",$W$3:W58,"&lt;&gt;",$V$3:V58,"&gt;0"),"")</f>
        <v/>
      </c>
    </row>
    <row r="59">
      <c r="A59" s="12" t="n"/>
      <c r="B59" s="13" t="n"/>
      <c r="C59" s="13" t="n"/>
      <c r="D59" s="7">
        <f>IF(OR(B59="",C59=""),"",ROUND((C59-B59)*1440,0))</f>
        <v/>
      </c>
      <c r="E59" s="12" t="n"/>
      <c r="F59" s="12" t="n"/>
      <c r="G59" s="12" t="n"/>
      <c r="H59" s="12" t="n"/>
      <c r="I59" s="12" t="n"/>
      <c r="J59" s="12" t="n"/>
      <c r="K59" s="12" t="n"/>
      <c r="L59" s="14" t="n"/>
      <c r="M59" s="12" t="n"/>
      <c r="N59" s="12" t="n"/>
      <c r="O59" s="12" t="n"/>
      <c r="P59" s="12" t="n"/>
      <c r="Q59" s="7">
        <f>IF(A59="","",IFERROR(VLOOKUP(O59,Listes!$R$3:$T$8,2,FALSE),0)+IFERROR(VLOOKUP(J59,Listes!$J$3:$L$6,2,FALSE),0)+IFERROR(VLOOKUP(N59,Listes!$N$3:$P$6,2,FALSE),0)+IF(OR(L59="",B59=""),0,IF(L59-INT(B59)&lt;10,8,IF(L59-INT(B59)&lt;=90,10,5)))+IFERROR(VLOOKUP(AN59,Listes!$V$3:$W$5,2,FALSE),0)+IFERROR(VLOOKUP(AO59,Listes!$Y$3:$Z$5,2,FALSE),0))</f>
        <v/>
      </c>
      <c r="R59" s="12" t="n"/>
      <c r="S59" s="12" t="n"/>
      <c r="T59" s="12" t="n"/>
      <c r="U59" s="15" t="n"/>
      <c r="V59" s="15" t="n"/>
      <c r="W59" s="13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3" t="n"/>
      <c r="AK59" s="12" t="n"/>
      <c r="AL59" s="12" t="n"/>
      <c r="AM59" s="12" t="n"/>
      <c r="AN59" s="12" t="n"/>
      <c r="AO59" s="12" t="n"/>
      <c r="AP59" s="12" t="n"/>
      <c r="AQ59" s="7">
        <f>IF(A59="","",IF(AP59&lt;&gt;"",AP59,IF(LEFT(Z59,11)="gads_marque","Google Search – Marque",IF(LEFT(Z59,12)="gads_mariage","Google Search – Mariage et privé",IF(LEFT(Z59,10)="gads_corpo","Google Search – Corporatif",IF(LEFT(Z59,5)="meta_","Meta – Leads",IF(LEFT(Z59,5)="msft_","Microsoft Ads",IF(LEFT(Z59,8)="chatgpt_","ChatGPT Ads – Test",IF(X59="gbp","Fiche Google (organique)","Autre / non payé")))))))))</f>
        <v/>
      </c>
      <c r="AR59" s="7">
        <f>IF(K59="","",IFERROR(VLOOKUP(K59,Listes!$F$3:$H$8,3,FALSE),""))</f>
        <v/>
      </c>
      <c r="AS59" s="7">
        <f>IF(O59="","",IF(AND(M59="Autre (plus de 40 km)",OR(O59="lt600",O59="600_999",O59="1000_2499")),"D",IF(OR(O59="lt600",AND(O59="600_999",K59&lt;&gt;"mariage",K59&lt;&gt;"prive")),"C",IF(OR(O59="2500_4999",O59="5000p",J59="entreprise",J59="organisme",J59="agence"),"A",IF(OR(O59="1000_2499",O59="600_999"),"B",IF(O59="inconnu",IF(OR(N59="75_149",N59="150p"),"A","B"),""))))))</f>
        <v/>
      </c>
      <c r="AT59" s="7">
        <f>IF(A59="","",IF(P59&lt;&gt;"",P59,AS59))</f>
        <v/>
      </c>
      <c r="AU59" s="7">
        <f>IF(A59="","",IF(OR(AT59="A",AT59="B"),1,0))</f>
        <v/>
      </c>
      <c r="AV59" s="7">
        <f>IF(A59="","",IF(OR(R59="Dépôt payé (gagné)",R59="Événement livré",R59="Avis obtenu"),1,0))</f>
        <v/>
      </c>
      <c r="AW59" s="7">
        <f>IF(A59="","",IF(Q59&gt;70,"Immédiat – propriétaire",IF(Q59&gt;=40,"15 min – personne de garde","Selon la route")))</f>
        <v/>
      </c>
      <c r="AX59" s="11">
        <f>IF(A59="","",IF(AT59="A",400,IF(AT59="B",150,0)))</f>
        <v/>
      </c>
      <c r="AY59" s="11">
        <f>IF(A59="","",IF(AV59=1,N(V59),IF(N(U59)&gt;0,ROUND(N(U59)*IFERROR(VLOOKUP(R59,Listes!$AE$3:$AG$12,2,FALSE),0),0),0)))</f>
        <v/>
      </c>
      <c r="AZ59" s="7">
        <f>IF(LEFT(A59,7)="EXEMPLE",1,0)</f>
        <v/>
      </c>
      <c r="BA59" s="7">
        <f>IF(AND(AV59=1,AZ59=0,AC59&lt;&gt;"",W59&lt;&gt;"",N(V59)&gt;0),COUNTIFS($AV$3:AV59,1,$AZ$3:AZ59,0,$AC$3:AC59,"&lt;&gt;",$W$3:W59,"&lt;&gt;",$V$3:V59,"&gt;0"),"")</f>
        <v/>
      </c>
    </row>
    <row r="60">
      <c r="A60" s="12" t="n"/>
      <c r="B60" s="13" t="n"/>
      <c r="C60" s="13" t="n"/>
      <c r="D60" s="7">
        <f>IF(OR(B60="",C60=""),"",ROUND((C60-B60)*1440,0))</f>
        <v/>
      </c>
      <c r="E60" s="12" t="n"/>
      <c r="F60" s="12" t="n"/>
      <c r="G60" s="12" t="n"/>
      <c r="H60" s="12" t="n"/>
      <c r="I60" s="12" t="n"/>
      <c r="J60" s="12" t="n"/>
      <c r="K60" s="12" t="n"/>
      <c r="L60" s="14" t="n"/>
      <c r="M60" s="12" t="n"/>
      <c r="N60" s="12" t="n"/>
      <c r="O60" s="12" t="n"/>
      <c r="P60" s="12" t="n"/>
      <c r="Q60" s="7">
        <f>IF(A60="","",IFERROR(VLOOKUP(O60,Listes!$R$3:$T$8,2,FALSE),0)+IFERROR(VLOOKUP(J60,Listes!$J$3:$L$6,2,FALSE),0)+IFERROR(VLOOKUP(N60,Listes!$N$3:$P$6,2,FALSE),0)+IF(OR(L60="",B60=""),0,IF(L60-INT(B60)&lt;10,8,IF(L60-INT(B60)&lt;=90,10,5)))+IFERROR(VLOOKUP(AN60,Listes!$V$3:$W$5,2,FALSE),0)+IFERROR(VLOOKUP(AO60,Listes!$Y$3:$Z$5,2,FALSE),0))</f>
        <v/>
      </c>
      <c r="R60" s="12" t="n"/>
      <c r="S60" s="12" t="n"/>
      <c r="T60" s="12" t="n"/>
      <c r="U60" s="15" t="n"/>
      <c r="V60" s="15" t="n"/>
      <c r="W60" s="13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3" t="n"/>
      <c r="AK60" s="12" t="n"/>
      <c r="AL60" s="12" t="n"/>
      <c r="AM60" s="12" t="n"/>
      <c r="AN60" s="12" t="n"/>
      <c r="AO60" s="12" t="n"/>
      <c r="AP60" s="12" t="n"/>
      <c r="AQ60" s="7">
        <f>IF(A60="","",IF(AP60&lt;&gt;"",AP60,IF(LEFT(Z60,11)="gads_marque","Google Search – Marque",IF(LEFT(Z60,12)="gads_mariage","Google Search – Mariage et privé",IF(LEFT(Z60,10)="gads_corpo","Google Search – Corporatif",IF(LEFT(Z60,5)="meta_","Meta – Leads",IF(LEFT(Z60,5)="msft_","Microsoft Ads",IF(LEFT(Z60,8)="chatgpt_","ChatGPT Ads – Test",IF(X60="gbp","Fiche Google (organique)","Autre / non payé")))))))))</f>
        <v/>
      </c>
      <c r="AR60" s="7">
        <f>IF(K60="","",IFERROR(VLOOKUP(K60,Listes!$F$3:$H$8,3,FALSE),""))</f>
        <v/>
      </c>
      <c r="AS60" s="7">
        <f>IF(O60="","",IF(AND(M60="Autre (plus de 40 km)",OR(O60="lt600",O60="600_999",O60="1000_2499")),"D",IF(OR(O60="lt600",AND(O60="600_999",K60&lt;&gt;"mariage",K60&lt;&gt;"prive")),"C",IF(OR(O60="2500_4999",O60="5000p",J60="entreprise",J60="organisme",J60="agence"),"A",IF(OR(O60="1000_2499",O60="600_999"),"B",IF(O60="inconnu",IF(OR(N60="75_149",N60="150p"),"A","B"),""))))))</f>
        <v/>
      </c>
      <c r="AT60" s="7">
        <f>IF(A60="","",IF(P60&lt;&gt;"",P60,AS60))</f>
        <v/>
      </c>
      <c r="AU60" s="7">
        <f>IF(A60="","",IF(OR(AT60="A",AT60="B"),1,0))</f>
        <v/>
      </c>
      <c r="AV60" s="7">
        <f>IF(A60="","",IF(OR(R60="Dépôt payé (gagné)",R60="Événement livré",R60="Avis obtenu"),1,0))</f>
        <v/>
      </c>
      <c r="AW60" s="7">
        <f>IF(A60="","",IF(Q60&gt;70,"Immédiat – propriétaire",IF(Q60&gt;=40,"15 min – personne de garde","Selon la route")))</f>
        <v/>
      </c>
      <c r="AX60" s="11">
        <f>IF(A60="","",IF(AT60="A",400,IF(AT60="B",150,0)))</f>
        <v/>
      </c>
      <c r="AY60" s="11">
        <f>IF(A60="","",IF(AV60=1,N(V60),IF(N(U60)&gt;0,ROUND(N(U60)*IFERROR(VLOOKUP(R60,Listes!$AE$3:$AG$12,2,FALSE),0),0),0)))</f>
        <v/>
      </c>
      <c r="AZ60" s="7">
        <f>IF(LEFT(A60,7)="EXEMPLE",1,0)</f>
        <v/>
      </c>
      <c r="BA60" s="7">
        <f>IF(AND(AV60=1,AZ60=0,AC60&lt;&gt;"",W60&lt;&gt;"",N(V60)&gt;0),COUNTIFS($AV$3:AV60,1,$AZ$3:AZ60,0,$AC$3:AC60,"&lt;&gt;",$W$3:W60,"&lt;&gt;",$V$3:V60,"&gt;0"),"")</f>
        <v/>
      </c>
    </row>
    <row r="61">
      <c r="A61" s="12" t="n"/>
      <c r="B61" s="13" t="n"/>
      <c r="C61" s="13" t="n"/>
      <c r="D61" s="7">
        <f>IF(OR(B61="",C61=""),"",ROUND((C61-B61)*1440,0))</f>
        <v/>
      </c>
      <c r="E61" s="12" t="n"/>
      <c r="F61" s="12" t="n"/>
      <c r="G61" s="12" t="n"/>
      <c r="H61" s="12" t="n"/>
      <c r="I61" s="12" t="n"/>
      <c r="J61" s="12" t="n"/>
      <c r="K61" s="12" t="n"/>
      <c r="L61" s="14" t="n"/>
      <c r="M61" s="12" t="n"/>
      <c r="N61" s="12" t="n"/>
      <c r="O61" s="12" t="n"/>
      <c r="P61" s="12" t="n"/>
      <c r="Q61" s="7">
        <f>IF(A61="","",IFERROR(VLOOKUP(O61,Listes!$R$3:$T$8,2,FALSE),0)+IFERROR(VLOOKUP(J61,Listes!$J$3:$L$6,2,FALSE),0)+IFERROR(VLOOKUP(N61,Listes!$N$3:$P$6,2,FALSE),0)+IF(OR(L61="",B61=""),0,IF(L61-INT(B61)&lt;10,8,IF(L61-INT(B61)&lt;=90,10,5)))+IFERROR(VLOOKUP(AN61,Listes!$V$3:$W$5,2,FALSE),0)+IFERROR(VLOOKUP(AO61,Listes!$Y$3:$Z$5,2,FALSE),0))</f>
        <v/>
      </c>
      <c r="R61" s="12" t="n"/>
      <c r="S61" s="12" t="n"/>
      <c r="T61" s="12" t="n"/>
      <c r="U61" s="15" t="n"/>
      <c r="V61" s="15" t="n"/>
      <c r="W61" s="13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3" t="n"/>
      <c r="AK61" s="12" t="n"/>
      <c r="AL61" s="12" t="n"/>
      <c r="AM61" s="12" t="n"/>
      <c r="AN61" s="12" t="n"/>
      <c r="AO61" s="12" t="n"/>
      <c r="AP61" s="12" t="n"/>
      <c r="AQ61" s="7">
        <f>IF(A61="","",IF(AP61&lt;&gt;"",AP61,IF(LEFT(Z61,11)="gads_marque","Google Search – Marque",IF(LEFT(Z61,12)="gads_mariage","Google Search – Mariage et privé",IF(LEFT(Z61,10)="gads_corpo","Google Search – Corporatif",IF(LEFT(Z61,5)="meta_","Meta – Leads",IF(LEFT(Z61,5)="msft_","Microsoft Ads",IF(LEFT(Z61,8)="chatgpt_","ChatGPT Ads – Test",IF(X61="gbp","Fiche Google (organique)","Autre / non payé")))))))))</f>
        <v/>
      </c>
      <c r="AR61" s="7">
        <f>IF(K61="","",IFERROR(VLOOKUP(K61,Listes!$F$3:$H$8,3,FALSE),""))</f>
        <v/>
      </c>
      <c r="AS61" s="7">
        <f>IF(O61="","",IF(AND(M61="Autre (plus de 40 km)",OR(O61="lt600",O61="600_999",O61="1000_2499")),"D",IF(OR(O61="lt600",AND(O61="600_999",K61&lt;&gt;"mariage",K61&lt;&gt;"prive")),"C",IF(OR(O61="2500_4999",O61="5000p",J61="entreprise",J61="organisme",J61="agence"),"A",IF(OR(O61="1000_2499",O61="600_999"),"B",IF(O61="inconnu",IF(OR(N61="75_149",N61="150p"),"A","B"),""))))))</f>
        <v/>
      </c>
      <c r="AT61" s="7">
        <f>IF(A61="","",IF(P61&lt;&gt;"",P61,AS61))</f>
        <v/>
      </c>
      <c r="AU61" s="7">
        <f>IF(A61="","",IF(OR(AT61="A",AT61="B"),1,0))</f>
        <v/>
      </c>
      <c r="AV61" s="7">
        <f>IF(A61="","",IF(OR(R61="Dépôt payé (gagné)",R61="Événement livré",R61="Avis obtenu"),1,0))</f>
        <v/>
      </c>
      <c r="AW61" s="7">
        <f>IF(A61="","",IF(Q61&gt;70,"Immédiat – propriétaire",IF(Q61&gt;=40,"15 min – personne de garde","Selon la route")))</f>
        <v/>
      </c>
      <c r="AX61" s="11">
        <f>IF(A61="","",IF(AT61="A",400,IF(AT61="B",150,0)))</f>
        <v/>
      </c>
      <c r="AY61" s="11">
        <f>IF(A61="","",IF(AV61=1,N(V61),IF(N(U61)&gt;0,ROUND(N(U61)*IFERROR(VLOOKUP(R61,Listes!$AE$3:$AG$12,2,FALSE),0),0),0)))</f>
        <v/>
      </c>
      <c r="AZ61" s="7">
        <f>IF(LEFT(A61,7)="EXEMPLE",1,0)</f>
        <v/>
      </c>
      <c r="BA61" s="7">
        <f>IF(AND(AV61=1,AZ61=0,AC61&lt;&gt;"",W61&lt;&gt;"",N(V61)&gt;0),COUNTIFS($AV$3:AV61,1,$AZ$3:AZ61,0,$AC$3:AC61,"&lt;&gt;",$W$3:W61,"&lt;&gt;",$V$3:V61,"&gt;0"),"")</f>
        <v/>
      </c>
    </row>
    <row r="62">
      <c r="A62" s="12" t="n"/>
      <c r="B62" s="13" t="n"/>
      <c r="C62" s="13" t="n"/>
      <c r="D62" s="7">
        <f>IF(OR(B62="",C62=""),"",ROUND((C62-B62)*1440,0))</f>
        <v/>
      </c>
      <c r="E62" s="12" t="n"/>
      <c r="F62" s="12" t="n"/>
      <c r="G62" s="12" t="n"/>
      <c r="H62" s="12" t="n"/>
      <c r="I62" s="12" t="n"/>
      <c r="J62" s="12" t="n"/>
      <c r="K62" s="12" t="n"/>
      <c r="L62" s="14" t="n"/>
      <c r="M62" s="12" t="n"/>
      <c r="N62" s="12" t="n"/>
      <c r="O62" s="12" t="n"/>
      <c r="P62" s="12" t="n"/>
      <c r="Q62" s="7">
        <f>IF(A62="","",IFERROR(VLOOKUP(O62,Listes!$R$3:$T$8,2,FALSE),0)+IFERROR(VLOOKUP(J62,Listes!$J$3:$L$6,2,FALSE),0)+IFERROR(VLOOKUP(N62,Listes!$N$3:$P$6,2,FALSE),0)+IF(OR(L62="",B62=""),0,IF(L62-INT(B62)&lt;10,8,IF(L62-INT(B62)&lt;=90,10,5)))+IFERROR(VLOOKUP(AN62,Listes!$V$3:$W$5,2,FALSE),0)+IFERROR(VLOOKUP(AO62,Listes!$Y$3:$Z$5,2,FALSE),0))</f>
        <v/>
      </c>
      <c r="R62" s="12" t="n"/>
      <c r="S62" s="12" t="n"/>
      <c r="T62" s="12" t="n"/>
      <c r="U62" s="15" t="n"/>
      <c r="V62" s="15" t="n"/>
      <c r="W62" s="13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3" t="n"/>
      <c r="AK62" s="12" t="n"/>
      <c r="AL62" s="12" t="n"/>
      <c r="AM62" s="12" t="n"/>
      <c r="AN62" s="12" t="n"/>
      <c r="AO62" s="12" t="n"/>
      <c r="AP62" s="12" t="n"/>
      <c r="AQ62" s="7">
        <f>IF(A62="","",IF(AP62&lt;&gt;"",AP62,IF(LEFT(Z62,11)="gads_marque","Google Search – Marque",IF(LEFT(Z62,12)="gads_mariage","Google Search – Mariage et privé",IF(LEFT(Z62,10)="gads_corpo","Google Search – Corporatif",IF(LEFT(Z62,5)="meta_","Meta – Leads",IF(LEFT(Z62,5)="msft_","Microsoft Ads",IF(LEFT(Z62,8)="chatgpt_","ChatGPT Ads – Test",IF(X62="gbp","Fiche Google (organique)","Autre / non payé")))))))))</f>
        <v/>
      </c>
      <c r="AR62" s="7">
        <f>IF(K62="","",IFERROR(VLOOKUP(K62,Listes!$F$3:$H$8,3,FALSE),""))</f>
        <v/>
      </c>
      <c r="AS62" s="7">
        <f>IF(O62="","",IF(AND(M62="Autre (plus de 40 km)",OR(O62="lt600",O62="600_999",O62="1000_2499")),"D",IF(OR(O62="lt600",AND(O62="600_999",K62&lt;&gt;"mariage",K62&lt;&gt;"prive")),"C",IF(OR(O62="2500_4999",O62="5000p",J62="entreprise",J62="organisme",J62="agence"),"A",IF(OR(O62="1000_2499",O62="600_999"),"B",IF(O62="inconnu",IF(OR(N62="75_149",N62="150p"),"A","B"),""))))))</f>
        <v/>
      </c>
      <c r="AT62" s="7">
        <f>IF(A62="","",IF(P62&lt;&gt;"",P62,AS62))</f>
        <v/>
      </c>
      <c r="AU62" s="7">
        <f>IF(A62="","",IF(OR(AT62="A",AT62="B"),1,0))</f>
        <v/>
      </c>
      <c r="AV62" s="7">
        <f>IF(A62="","",IF(OR(R62="Dépôt payé (gagné)",R62="Événement livré",R62="Avis obtenu"),1,0))</f>
        <v/>
      </c>
      <c r="AW62" s="7">
        <f>IF(A62="","",IF(Q62&gt;70,"Immédiat – propriétaire",IF(Q62&gt;=40,"15 min – personne de garde","Selon la route")))</f>
        <v/>
      </c>
      <c r="AX62" s="11">
        <f>IF(A62="","",IF(AT62="A",400,IF(AT62="B",150,0)))</f>
        <v/>
      </c>
      <c r="AY62" s="11">
        <f>IF(A62="","",IF(AV62=1,N(V62),IF(N(U62)&gt;0,ROUND(N(U62)*IFERROR(VLOOKUP(R62,Listes!$AE$3:$AG$12,2,FALSE),0),0),0)))</f>
        <v/>
      </c>
      <c r="AZ62" s="7">
        <f>IF(LEFT(A62,7)="EXEMPLE",1,0)</f>
        <v/>
      </c>
      <c r="BA62" s="7">
        <f>IF(AND(AV62=1,AZ62=0,AC62&lt;&gt;"",W62&lt;&gt;"",N(V62)&gt;0),COUNTIFS($AV$3:AV62,1,$AZ$3:AZ62,0,$AC$3:AC62,"&lt;&gt;",$W$3:W62,"&lt;&gt;",$V$3:V62,"&gt;0"),"")</f>
        <v/>
      </c>
    </row>
    <row r="63">
      <c r="A63" s="12" t="n"/>
      <c r="B63" s="13" t="n"/>
      <c r="C63" s="13" t="n"/>
      <c r="D63" s="7">
        <f>IF(OR(B63="",C63=""),"",ROUND((C63-B63)*1440,0))</f>
        <v/>
      </c>
      <c r="E63" s="12" t="n"/>
      <c r="F63" s="12" t="n"/>
      <c r="G63" s="12" t="n"/>
      <c r="H63" s="12" t="n"/>
      <c r="I63" s="12" t="n"/>
      <c r="J63" s="12" t="n"/>
      <c r="K63" s="12" t="n"/>
      <c r="L63" s="14" t="n"/>
      <c r="M63" s="12" t="n"/>
      <c r="N63" s="12" t="n"/>
      <c r="O63" s="12" t="n"/>
      <c r="P63" s="12" t="n"/>
      <c r="Q63" s="7">
        <f>IF(A63="","",IFERROR(VLOOKUP(O63,Listes!$R$3:$T$8,2,FALSE),0)+IFERROR(VLOOKUP(J63,Listes!$J$3:$L$6,2,FALSE),0)+IFERROR(VLOOKUP(N63,Listes!$N$3:$P$6,2,FALSE),0)+IF(OR(L63="",B63=""),0,IF(L63-INT(B63)&lt;10,8,IF(L63-INT(B63)&lt;=90,10,5)))+IFERROR(VLOOKUP(AN63,Listes!$V$3:$W$5,2,FALSE),0)+IFERROR(VLOOKUP(AO63,Listes!$Y$3:$Z$5,2,FALSE),0))</f>
        <v/>
      </c>
      <c r="R63" s="12" t="n"/>
      <c r="S63" s="12" t="n"/>
      <c r="T63" s="12" t="n"/>
      <c r="U63" s="15" t="n"/>
      <c r="V63" s="15" t="n"/>
      <c r="W63" s="13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3" t="n"/>
      <c r="AK63" s="12" t="n"/>
      <c r="AL63" s="12" t="n"/>
      <c r="AM63" s="12" t="n"/>
      <c r="AN63" s="12" t="n"/>
      <c r="AO63" s="12" t="n"/>
      <c r="AP63" s="12" t="n"/>
      <c r="AQ63" s="7">
        <f>IF(A63="","",IF(AP63&lt;&gt;"",AP63,IF(LEFT(Z63,11)="gads_marque","Google Search – Marque",IF(LEFT(Z63,12)="gads_mariage","Google Search – Mariage et privé",IF(LEFT(Z63,10)="gads_corpo","Google Search – Corporatif",IF(LEFT(Z63,5)="meta_","Meta – Leads",IF(LEFT(Z63,5)="msft_","Microsoft Ads",IF(LEFT(Z63,8)="chatgpt_","ChatGPT Ads – Test",IF(X63="gbp","Fiche Google (organique)","Autre / non payé")))))))))</f>
        <v/>
      </c>
      <c r="AR63" s="7">
        <f>IF(K63="","",IFERROR(VLOOKUP(K63,Listes!$F$3:$H$8,3,FALSE),""))</f>
        <v/>
      </c>
      <c r="AS63" s="7">
        <f>IF(O63="","",IF(AND(M63="Autre (plus de 40 km)",OR(O63="lt600",O63="600_999",O63="1000_2499")),"D",IF(OR(O63="lt600",AND(O63="600_999",K63&lt;&gt;"mariage",K63&lt;&gt;"prive")),"C",IF(OR(O63="2500_4999",O63="5000p",J63="entreprise",J63="organisme",J63="agence"),"A",IF(OR(O63="1000_2499",O63="600_999"),"B",IF(O63="inconnu",IF(OR(N63="75_149",N63="150p"),"A","B"),""))))))</f>
        <v/>
      </c>
      <c r="AT63" s="7">
        <f>IF(A63="","",IF(P63&lt;&gt;"",P63,AS63))</f>
        <v/>
      </c>
      <c r="AU63" s="7">
        <f>IF(A63="","",IF(OR(AT63="A",AT63="B"),1,0))</f>
        <v/>
      </c>
      <c r="AV63" s="7">
        <f>IF(A63="","",IF(OR(R63="Dépôt payé (gagné)",R63="Événement livré",R63="Avis obtenu"),1,0))</f>
        <v/>
      </c>
      <c r="AW63" s="7">
        <f>IF(A63="","",IF(Q63&gt;70,"Immédiat – propriétaire",IF(Q63&gt;=40,"15 min – personne de garde","Selon la route")))</f>
        <v/>
      </c>
      <c r="AX63" s="11">
        <f>IF(A63="","",IF(AT63="A",400,IF(AT63="B",150,0)))</f>
        <v/>
      </c>
      <c r="AY63" s="11">
        <f>IF(A63="","",IF(AV63=1,N(V63),IF(N(U63)&gt;0,ROUND(N(U63)*IFERROR(VLOOKUP(R63,Listes!$AE$3:$AG$12,2,FALSE),0),0),0)))</f>
        <v/>
      </c>
      <c r="AZ63" s="7">
        <f>IF(LEFT(A63,7)="EXEMPLE",1,0)</f>
        <v/>
      </c>
      <c r="BA63" s="7">
        <f>IF(AND(AV63=1,AZ63=0,AC63&lt;&gt;"",W63&lt;&gt;"",N(V63)&gt;0),COUNTIFS($AV$3:AV63,1,$AZ$3:AZ63,0,$AC$3:AC63,"&lt;&gt;",$W$3:W63,"&lt;&gt;",$V$3:V63,"&gt;0"),"")</f>
        <v/>
      </c>
    </row>
    <row r="64">
      <c r="A64" s="12" t="n"/>
      <c r="B64" s="13" t="n"/>
      <c r="C64" s="13" t="n"/>
      <c r="D64" s="7">
        <f>IF(OR(B64="",C64=""),"",ROUND((C64-B64)*1440,0))</f>
        <v/>
      </c>
      <c r="E64" s="12" t="n"/>
      <c r="F64" s="12" t="n"/>
      <c r="G64" s="12" t="n"/>
      <c r="H64" s="12" t="n"/>
      <c r="I64" s="12" t="n"/>
      <c r="J64" s="12" t="n"/>
      <c r="K64" s="12" t="n"/>
      <c r="L64" s="14" t="n"/>
      <c r="M64" s="12" t="n"/>
      <c r="N64" s="12" t="n"/>
      <c r="O64" s="12" t="n"/>
      <c r="P64" s="12" t="n"/>
      <c r="Q64" s="7">
        <f>IF(A64="","",IFERROR(VLOOKUP(O64,Listes!$R$3:$T$8,2,FALSE),0)+IFERROR(VLOOKUP(J64,Listes!$J$3:$L$6,2,FALSE),0)+IFERROR(VLOOKUP(N64,Listes!$N$3:$P$6,2,FALSE),0)+IF(OR(L64="",B64=""),0,IF(L64-INT(B64)&lt;10,8,IF(L64-INT(B64)&lt;=90,10,5)))+IFERROR(VLOOKUP(AN64,Listes!$V$3:$W$5,2,FALSE),0)+IFERROR(VLOOKUP(AO64,Listes!$Y$3:$Z$5,2,FALSE),0))</f>
        <v/>
      </c>
      <c r="R64" s="12" t="n"/>
      <c r="S64" s="12" t="n"/>
      <c r="T64" s="12" t="n"/>
      <c r="U64" s="15" t="n"/>
      <c r="V64" s="15" t="n"/>
      <c r="W64" s="13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3" t="n"/>
      <c r="AK64" s="12" t="n"/>
      <c r="AL64" s="12" t="n"/>
      <c r="AM64" s="12" t="n"/>
      <c r="AN64" s="12" t="n"/>
      <c r="AO64" s="12" t="n"/>
      <c r="AP64" s="12" t="n"/>
      <c r="AQ64" s="7">
        <f>IF(A64="","",IF(AP64&lt;&gt;"",AP64,IF(LEFT(Z64,11)="gads_marque","Google Search – Marque",IF(LEFT(Z64,12)="gads_mariage","Google Search – Mariage et privé",IF(LEFT(Z64,10)="gads_corpo","Google Search – Corporatif",IF(LEFT(Z64,5)="meta_","Meta – Leads",IF(LEFT(Z64,5)="msft_","Microsoft Ads",IF(LEFT(Z64,8)="chatgpt_","ChatGPT Ads – Test",IF(X64="gbp","Fiche Google (organique)","Autre / non payé")))))))))</f>
        <v/>
      </c>
      <c r="AR64" s="7">
        <f>IF(K64="","",IFERROR(VLOOKUP(K64,Listes!$F$3:$H$8,3,FALSE),""))</f>
        <v/>
      </c>
      <c r="AS64" s="7">
        <f>IF(O64="","",IF(AND(M64="Autre (plus de 40 km)",OR(O64="lt600",O64="600_999",O64="1000_2499")),"D",IF(OR(O64="lt600",AND(O64="600_999",K64&lt;&gt;"mariage",K64&lt;&gt;"prive")),"C",IF(OR(O64="2500_4999",O64="5000p",J64="entreprise",J64="organisme",J64="agence"),"A",IF(OR(O64="1000_2499",O64="600_999"),"B",IF(O64="inconnu",IF(OR(N64="75_149",N64="150p"),"A","B"),""))))))</f>
        <v/>
      </c>
      <c r="AT64" s="7">
        <f>IF(A64="","",IF(P64&lt;&gt;"",P64,AS64))</f>
        <v/>
      </c>
      <c r="AU64" s="7">
        <f>IF(A64="","",IF(OR(AT64="A",AT64="B"),1,0))</f>
        <v/>
      </c>
      <c r="AV64" s="7">
        <f>IF(A64="","",IF(OR(R64="Dépôt payé (gagné)",R64="Événement livré",R64="Avis obtenu"),1,0))</f>
        <v/>
      </c>
      <c r="AW64" s="7">
        <f>IF(A64="","",IF(Q64&gt;70,"Immédiat – propriétaire",IF(Q64&gt;=40,"15 min – personne de garde","Selon la route")))</f>
        <v/>
      </c>
      <c r="AX64" s="11">
        <f>IF(A64="","",IF(AT64="A",400,IF(AT64="B",150,0)))</f>
        <v/>
      </c>
      <c r="AY64" s="11">
        <f>IF(A64="","",IF(AV64=1,N(V64),IF(N(U64)&gt;0,ROUND(N(U64)*IFERROR(VLOOKUP(R64,Listes!$AE$3:$AG$12,2,FALSE),0),0),0)))</f>
        <v/>
      </c>
      <c r="AZ64" s="7">
        <f>IF(LEFT(A64,7)="EXEMPLE",1,0)</f>
        <v/>
      </c>
      <c r="BA64" s="7">
        <f>IF(AND(AV64=1,AZ64=0,AC64&lt;&gt;"",W64&lt;&gt;"",N(V64)&gt;0),COUNTIFS($AV$3:AV64,1,$AZ$3:AZ64,0,$AC$3:AC64,"&lt;&gt;",$W$3:W64,"&lt;&gt;",$V$3:V64,"&gt;0"),"")</f>
        <v/>
      </c>
    </row>
    <row r="65">
      <c r="A65" s="12" t="n"/>
      <c r="B65" s="13" t="n"/>
      <c r="C65" s="13" t="n"/>
      <c r="D65" s="7">
        <f>IF(OR(B65="",C65=""),"",ROUND((C65-B65)*1440,0))</f>
        <v/>
      </c>
      <c r="E65" s="12" t="n"/>
      <c r="F65" s="12" t="n"/>
      <c r="G65" s="12" t="n"/>
      <c r="H65" s="12" t="n"/>
      <c r="I65" s="12" t="n"/>
      <c r="J65" s="12" t="n"/>
      <c r="K65" s="12" t="n"/>
      <c r="L65" s="14" t="n"/>
      <c r="M65" s="12" t="n"/>
      <c r="N65" s="12" t="n"/>
      <c r="O65" s="12" t="n"/>
      <c r="P65" s="12" t="n"/>
      <c r="Q65" s="7">
        <f>IF(A65="","",IFERROR(VLOOKUP(O65,Listes!$R$3:$T$8,2,FALSE),0)+IFERROR(VLOOKUP(J65,Listes!$J$3:$L$6,2,FALSE),0)+IFERROR(VLOOKUP(N65,Listes!$N$3:$P$6,2,FALSE),0)+IF(OR(L65="",B65=""),0,IF(L65-INT(B65)&lt;10,8,IF(L65-INT(B65)&lt;=90,10,5)))+IFERROR(VLOOKUP(AN65,Listes!$V$3:$W$5,2,FALSE),0)+IFERROR(VLOOKUP(AO65,Listes!$Y$3:$Z$5,2,FALSE),0))</f>
        <v/>
      </c>
      <c r="R65" s="12" t="n"/>
      <c r="S65" s="12" t="n"/>
      <c r="T65" s="12" t="n"/>
      <c r="U65" s="15" t="n"/>
      <c r="V65" s="15" t="n"/>
      <c r="W65" s="13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3" t="n"/>
      <c r="AK65" s="12" t="n"/>
      <c r="AL65" s="12" t="n"/>
      <c r="AM65" s="12" t="n"/>
      <c r="AN65" s="12" t="n"/>
      <c r="AO65" s="12" t="n"/>
      <c r="AP65" s="12" t="n"/>
      <c r="AQ65" s="7">
        <f>IF(A65="","",IF(AP65&lt;&gt;"",AP65,IF(LEFT(Z65,11)="gads_marque","Google Search – Marque",IF(LEFT(Z65,12)="gads_mariage","Google Search – Mariage et privé",IF(LEFT(Z65,10)="gads_corpo","Google Search – Corporatif",IF(LEFT(Z65,5)="meta_","Meta – Leads",IF(LEFT(Z65,5)="msft_","Microsoft Ads",IF(LEFT(Z65,8)="chatgpt_","ChatGPT Ads – Test",IF(X65="gbp","Fiche Google (organique)","Autre / non payé")))))))))</f>
        <v/>
      </c>
      <c r="AR65" s="7">
        <f>IF(K65="","",IFERROR(VLOOKUP(K65,Listes!$F$3:$H$8,3,FALSE),""))</f>
        <v/>
      </c>
      <c r="AS65" s="7">
        <f>IF(O65="","",IF(AND(M65="Autre (plus de 40 km)",OR(O65="lt600",O65="600_999",O65="1000_2499")),"D",IF(OR(O65="lt600",AND(O65="600_999",K65&lt;&gt;"mariage",K65&lt;&gt;"prive")),"C",IF(OR(O65="2500_4999",O65="5000p",J65="entreprise",J65="organisme",J65="agence"),"A",IF(OR(O65="1000_2499",O65="600_999"),"B",IF(O65="inconnu",IF(OR(N65="75_149",N65="150p"),"A","B"),""))))))</f>
        <v/>
      </c>
      <c r="AT65" s="7">
        <f>IF(A65="","",IF(P65&lt;&gt;"",P65,AS65))</f>
        <v/>
      </c>
      <c r="AU65" s="7">
        <f>IF(A65="","",IF(OR(AT65="A",AT65="B"),1,0))</f>
        <v/>
      </c>
      <c r="AV65" s="7">
        <f>IF(A65="","",IF(OR(R65="Dépôt payé (gagné)",R65="Événement livré",R65="Avis obtenu"),1,0))</f>
        <v/>
      </c>
      <c r="AW65" s="7">
        <f>IF(A65="","",IF(Q65&gt;70,"Immédiat – propriétaire",IF(Q65&gt;=40,"15 min – personne de garde","Selon la route")))</f>
        <v/>
      </c>
      <c r="AX65" s="11">
        <f>IF(A65="","",IF(AT65="A",400,IF(AT65="B",150,0)))</f>
        <v/>
      </c>
      <c r="AY65" s="11">
        <f>IF(A65="","",IF(AV65=1,N(V65),IF(N(U65)&gt;0,ROUND(N(U65)*IFERROR(VLOOKUP(R65,Listes!$AE$3:$AG$12,2,FALSE),0),0),0)))</f>
        <v/>
      </c>
      <c r="AZ65" s="7">
        <f>IF(LEFT(A65,7)="EXEMPLE",1,0)</f>
        <v/>
      </c>
      <c r="BA65" s="7">
        <f>IF(AND(AV65=1,AZ65=0,AC65&lt;&gt;"",W65&lt;&gt;"",N(V65)&gt;0),COUNTIFS($AV$3:AV65,1,$AZ$3:AZ65,0,$AC$3:AC65,"&lt;&gt;",$W$3:W65,"&lt;&gt;",$V$3:V65,"&gt;0"),"")</f>
        <v/>
      </c>
    </row>
    <row r="66">
      <c r="A66" s="12" t="n"/>
      <c r="B66" s="13" t="n"/>
      <c r="C66" s="13" t="n"/>
      <c r="D66" s="7">
        <f>IF(OR(B66="",C66=""),"",ROUND((C66-B66)*1440,0))</f>
        <v/>
      </c>
      <c r="E66" s="12" t="n"/>
      <c r="F66" s="12" t="n"/>
      <c r="G66" s="12" t="n"/>
      <c r="H66" s="12" t="n"/>
      <c r="I66" s="12" t="n"/>
      <c r="J66" s="12" t="n"/>
      <c r="K66" s="12" t="n"/>
      <c r="L66" s="14" t="n"/>
      <c r="M66" s="12" t="n"/>
      <c r="N66" s="12" t="n"/>
      <c r="O66" s="12" t="n"/>
      <c r="P66" s="12" t="n"/>
      <c r="Q66" s="7">
        <f>IF(A66="","",IFERROR(VLOOKUP(O66,Listes!$R$3:$T$8,2,FALSE),0)+IFERROR(VLOOKUP(J66,Listes!$J$3:$L$6,2,FALSE),0)+IFERROR(VLOOKUP(N66,Listes!$N$3:$P$6,2,FALSE),0)+IF(OR(L66="",B66=""),0,IF(L66-INT(B66)&lt;10,8,IF(L66-INT(B66)&lt;=90,10,5)))+IFERROR(VLOOKUP(AN66,Listes!$V$3:$W$5,2,FALSE),0)+IFERROR(VLOOKUP(AO66,Listes!$Y$3:$Z$5,2,FALSE),0))</f>
        <v/>
      </c>
      <c r="R66" s="12" t="n"/>
      <c r="S66" s="12" t="n"/>
      <c r="T66" s="12" t="n"/>
      <c r="U66" s="15" t="n"/>
      <c r="V66" s="15" t="n"/>
      <c r="W66" s="13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3" t="n"/>
      <c r="AK66" s="12" t="n"/>
      <c r="AL66" s="12" t="n"/>
      <c r="AM66" s="12" t="n"/>
      <c r="AN66" s="12" t="n"/>
      <c r="AO66" s="12" t="n"/>
      <c r="AP66" s="12" t="n"/>
      <c r="AQ66" s="7">
        <f>IF(A66="","",IF(AP66&lt;&gt;"",AP66,IF(LEFT(Z66,11)="gads_marque","Google Search – Marque",IF(LEFT(Z66,12)="gads_mariage","Google Search – Mariage et privé",IF(LEFT(Z66,10)="gads_corpo","Google Search – Corporatif",IF(LEFT(Z66,5)="meta_","Meta – Leads",IF(LEFT(Z66,5)="msft_","Microsoft Ads",IF(LEFT(Z66,8)="chatgpt_","ChatGPT Ads – Test",IF(X66="gbp","Fiche Google (organique)","Autre / non payé")))))))))</f>
        <v/>
      </c>
      <c r="AR66" s="7">
        <f>IF(K66="","",IFERROR(VLOOKUP(K66,Listes!$F$3:$H$8,3,FALSE),""))</f>
        <v/>
      </c>
      <c r="AS66" s="7">
        <f>IF(O66="","",IF(AND(M66="Autre (plus de 40 km)",OR(O66="lt600",O66="600_999",O66="1000_2499")),"D",IF(OR(O66="lt600",AND(O66="600_999",K66&lt;&gt;"mariage",K66&lt;&gt;"prive")),"C",IF(OR(O66="2500_4999",O66="5000p",J66="entreprise",J66="organisme",J66="agence"),"A",IF(OR(O66="1000_2499",O66="600_999"),"B",IF(O66="inconnu",IF(OR(N66="75_149",N66="150p"),"A","B"),""))))))</f>
        <v/>
      </c>
      <c r="AT66" s="7">
        <f>IF(A66="","",IF(P66&lt;&gt;"",P66,AS66))</f>
        <v/>
      </c>
      <c r="AU66" s="7">
        <f>IF(A66="","",IF(OR(AT66="A",AT66="B"),1,0))</f>
        <v/>
      </c>
      <c r="AV66" s="7">
        <f>IF(A66="","",IF(OR(R66="Dépôt payé (gagné)",R66="Événement livré",R66="Avis obtenu"),1,0))</f>
        <v/>
      </c>
      <c r="AW66" s="7">
        <f>IF(A66="","",IF(Q66&gt;70,"Immédiat – propriétaire",IF(Q66&gt;=40,"15 min – personne de garde","Selon la route")))</f>
        <v/>
      </c>
      <c r="AX66" s="11">
        <f>IF(A66="","",IF(AT66="A",400,IF(AT66="B",150,0)))</f>
        <v/>
      </c>
      <c r="AY66" s="11">
        <f>IF(A66="","",IF(AV66=1,N(V66),IF(N(U66)&gt;0,ROUND(N(U66)*IFERROR(VLOOKUP(R66,Listes!$AE$3:$AG$12,2,FALSE),0),0),0)))</f>
        <v/>
      </c>
      <c r="AZ66" s="7">
        <f>IF(LEFT(A66,7)="EXEMPLE",1,0)</f>
        <v/>
      </c>
      <c r="BA66" s="7">
        <f>IF(AND(AV66=1,AZ66=0,AC66&lt;&gt;"",W66&lt;&gt;"",N(V66)&gt;0),COUNTIFS($AV$3:AV66,1,$AZ$3:AZ66,0,$AC$3:AC66,"&lt;&gt;",$W$3:W66,"&lt;&gt;",$V$3:V66,"&gt;0"),"")</f>
        <v/>
      </c>
    </row>
    <row r="67">
      <c r="A67" s="12" t="n"/>
      <c r="B67" s="13" t="n"/>
      <c r="C67" s="13" t="n"/>
      <c r="D67" s="7">
        <f>IF(OR(B67="",C67=""),"",ROUND((C67-B67)*1440,0))</f>
        <v/>
      </c>
      <c r="E67" s="12" t="n"/>
      <c r="F67" s="12" t="n"/>
      <c r="G67" s="12" t="n"/>
      <c r="H67" s="12" t="n"/>
      <c r="I67" s="12" t="n"/>
      <c r="J67" s="12" t="n"/>
      <c r="K67" s="12" t="n"/>
      <c r="L67" s="14" t="n"/>
      <c r="M67" s="12" t="n"/>
      <c r="N67" s="12" t="n"/>
      <c r="O67" s="12" t="n"/>
      <c r="P67" s="12" t="n"/>
      <c r="Q67" s="7">
        <f>IF(A67="","",IFERROR(VLOOKUP(O67,Listes!$R$3:$T$8,2,FALSE),0)+IFERROR(VLOOKUP(J67,Listes!$J$3:$L$6,2,FALSE),0)+IFERROR(VLOOKUP(N67,Listes!$N$3:$P$6,2,FALSE),0)+IF(OR(L67="",B67=""),0,IF(L67-INT(B67)&lt;10,8,IF(L67-INT(B67)&lt;=90,10,5)))+IFERROR(VLOOKUP(AN67,Listes!$V$3:$W$5,2,FALSE),0)+IFERROR(VLOOKUP(AO67,Listes!$Y$3:$Z$5,2,FALSE),0))</f>
        <v/>
      </c>
      <c r="R67" s="12" t="n"/>
      <c r="S67" s="12" t="n"/>
      <c r="T67" s="12" t="n"/>
      <c r="U67" s="15" t="n"/>
      <c r="V67" s="15" t="n"/>
      <c r="W67" s="13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3" t="n"/>
      <c r="AK67" s="12" t="n"/>
      <c r="AL67" s="12" t="n"/>
      <c r="AM67" s="12" t="n"/>
      <c r="AN67" s="12" t="n"/>
      <c r="AO67" s="12" t="n"/>
      <c r="AP67" s="12" t="n"/>
      <c r="AQ67" s="7">
        <f>IF(A67="","",IF(AP67&lt;&gt;"",AP67,IF(LEFT(Z67,11)="gads_marque","Google Search – Marque",IF(LEFT(Z67,12)="gads_mariage","Google Search – Mariage et privé",IF(LEFT(Z67,10)="gads_corpo","Google Search – Corporatif",IF(LEFT(Z67,5)="meta_","Meta – Leads",IF(LEFT(Z67,5)="msft_","Microsoft Ads",IF(LEFT(Z67,8)="chatgpt_","ChatGPT Ads – Test",IF(X67="gbp","Fiche Google (organique)","Autre / non payé")))))))))</f>
        <v/>
      </c>
      <c r="AR67" s="7">
        <f>IF(K67="","",IFERROR(VLOOKUP(K67,Listes!$F$3:$H$8,3,FALSE),""))</f>
        <v/>
      </c>
      <c r="AS67" s="7">
        <f>IF(O67="","",IF(AND(M67="Autre (plus de 40 km)",OR(O67="lt600",O67="600_999",O67="1000_2499")),"D",IF(OR(O67="lt600",AND(O67="600_999",K67&lt;&gt;"mariage",K67&lt;&gt;"prive")),"C",IF(OR(O67="2500_4999",O67="5000p",J67="entreprise",J67="organisme",J67="agence"),"A",IF(OR(O67="1000_2499",O67="600_999"),"B",IF(O67="inconnu",IF(OR(N67="75_149",N67="150p"),"A","B"),""))))))</f>
        <v/>
      </c>
      <c r="AT67" s="7">
        <f>IF(A67="","",IF(P67&lt;&gt;"",P67,AS67))</f>
        <v/>
      </c>
      <c r="AU67" s="7">
        <f>IF(A67="","",IF(OR(AT67="A",AT67="B"),1,0))</f>
        <v/>
      </c>
      <c r="AV67" s="7">
        <f>IF(A67="","",IF(OR(R67="Dépôt payé (gagné)",R67="Événement livré",R67="Avis obtenu"),1,0))</f>
        <v/>
      </c>
      <c r="AW67" s="7">
        <f>IF(A67="","",IF(Q67&gt;70,"Immédiat – propriétaire",IF(Q67&gt;=40,"15 min – personne de garde","Selon la route")))</f>
        <v/>
      </c>
      <c r="AX67" s="11">
        <f>IF(A67="","",IF(AT67="A",400,IF(AT67="B",150,0)))</f>
        <v/>
      </c>
      <c r="AY67" s="11">
        <f>IF(A67="","",IF(AV67=1,N(V67),IF(N(U67)&gt;0,ROUND(N(U67)*IFERROR(VLOOKUP(R67,Listes!$AE$3:$AG$12,2,FALSE),0),0),0)))</f>
        <v/>
      </c>
      <c r="AZ67" s="7">
        <f>IF(LEFT(A67,7)="EXEMPLE",1,0)</f>
        <v/>
      </c>
      <c r="BA67" s="7">
        <f>IF(AND(AV67=1,AZ67=0,AC67&lt;&gt;"",W67&lt;&gt;"",N(V67)&gt;0),COUNTIFS($AV$3:AV67,1,$AZ$3:AZ67,0,$AC$3:AC67,"&lt;&gt;",$W$3:W67,"&lt;&gt;",$V$3:V67,"&gt;0"),"")</f>
        <v/>
      </c>
    </row>
    <row r="68">
      <c r="A68" s="12" t="n"/>
      <c r="B68" s="13" t="n"/>
      <c r="C68" s="13" t="n"/>
      <c r="D68" s="7">
        <f>IF(OR(B68="",C68=""),"",ROUND((C68-B68)*1440,0))</f>
        <v/>
      </c>
      <c r="E68" s="12" t="n"/>
      <c r="F68" s="12" t="n"/>
      <c r="G68" s="12" t="n"/>
      <c r="H68" s="12" t="n"/>
      <c r="I68" s="12" t="n"/>
      <c r="J68" s="12" t="n"/>
      <c r="K68" s="12" t="n"/>
      <c r="L68" s="14" t="n"/>
      <c r="M68" s="12" t="n"/>
      <c r="N68" s="12" t="n"/>
      <c r="O68" s="12" t="n"/>
      <c r="P68" s="12" t="n"/>
      <c r="Q68" s="7">
        <f>IF(A68="","",IFERROR(VLOOKUP(O68,Listes!$R$3:$T$8,2,FALSE),0)+IFERROR(VLOOKUP(J68,Listes!$J$3:$L$6,2,FALSE),0)+IFERROR(VLOOKUP(N68,Listes!$N$3:$P$6,2,FALSE),0)+IF(OR(L68="",B68=""),0,IF(L68-INT(B68)&lt;10,8,IF(L68-INT(B68)&lt;=90,10,5)))+IFERROR(VLOOKUP(AN68,Listes!$V$3:$W$5,2,FALSE),0)+IFERROR(VLOOKUP(AO68,Listes!$Y$3:$Z$5,2,FALSE),0))</f>
        <v/>
      </c>
      <c r="R68" s="12" t="n"/>
      <c r="S68" s="12" t="n"/>
      <c r="T68" s="12" t="n"/>
      <c r="U68" s="15" t="n"/>
      <c r="V68" s="15" t="n"/>
      <c r="W68" s="13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3" t="n"/>
      <c r="AK68" s="12" t="n"/>
      <c r="AL68" s="12" t="n"/>
      <c r="AM68" s="12" t="n"/>
      <c r="AN68" s="12" t="n"/>
      <c r="AO68" s="12" t="n"/>
      <c r="AP68" s="12" t="n"/>
      <c r="AQ68" s="7">
        <f>IF(A68="","",IF(AP68&lt;&gt;"",AP68,IF(LEFT(Z68,11)="gads_marque","Google Search – Marque",IF(LEFT(Z68,12)="gads_mariage","Google Search – Mariage et privé",IF(LEFT(Z68,10)="gads_corpo","Google Search – Corporatif",IF(LEFT(Z68,5)="meta_","Meta – Leads",IF(LEFT(Z68,5)="msft_","Microsoft Ads",IF(LEFT(Z68,8)="chatgpt_","ChatGPT Ads – Test",IF(X68="gbp","Fiche Google (organique)","Autre / non payé")))))))))</f>
        <v/>
      </c>
      <c r="AR68" s="7">
        <f>IF(K68="","",IFERROR(VLOOKUP(K68,Listes!$F$3:$H$8,3,FALSE),""))</f>
        <v/>
      </c>
      <c r="AS68" s="7">
        <f>IF(O68="","",IF(AND(M68="Autre (plus de 40 km)",OR(O68="lt600",O68="600_999",O68="1000_2499")),"D",IF(OR(O68="lt600",AND(O68="600_999",K68&lt;&gt;"mariage",K68&lt;&gt;"prive")),"C",IF(OR(O68="2500_4999",O68="5000p",J68="entreprise",J68="organisme",J68="agence"),"A",IF(OR(O68="1000_2499",O68="600_999"),"B",IF(O68="inconnu",IF(OR(N68="75_149",N68="150p"),"A","B"),""))))))</f>
        <v/>
      </c>
      <c r="AT68" s="7">
        <f>IF(A68="","",IF(P68&lt;&gt;"",P68,AS68))</f>
        <v/>
      </c>
      <c r="AU68" s="7">
        <f>IF(A68="","",IF(OR(AT68="A",AT68="B"),1,0))</f>
        <v/>
      </c>
      <c r="AV68" s="7">
        <f>IF(A68="","",IF(OR(R68="Dépôt payé (gagné)",R68="Événement livré",R68="Avis obtenu"),1,0))</f>
        <v/>
      </c>
      <c r="AW68" s="7">
        <f>IF(A68="","",IF(Q68&gt;70,"Immédiat – propriétaire",IF(Q68&gt;=40,"15 min – personne de garde","Selon la route")))</f>
        <v/>
      </c>
      <c r="AX68" s="11">
        <f>IF(A68="","",IF(AT68="A",400,IF(AT68="B",150,0)))</f>
        <v/>
      </c>
      <c r="AY68" s="11">
        <f>IF(A68="","",IF(AV68=1,N(V68),IF(N(U68)&gt;0,ROUND(N(U68)*IFERROR(VLOOKUP(R68,Listes!$AE$3:$AG$12,2,FALSE),0),0),0)))</f>
        <v/>
      </c>
      <c r="AZ68" s="7">
        <f>IF(LEFT(A68,7)="EXEMPLE",1,0)</f>
        <v/>
      </c>
      <c r="BA68" s="7">
        <f>IF(AND(AV68=1,AZ68=0,AC68&lt;&gt;"",W68&lt;&gt;"",N(V68)&gt;0),COUNTIFS($AV$3:AV68,1,$AZ$3:AZ68,0,$AC$3:AC68,"&lt;&gt;",$W$3:W68,"&lt;&gt;",$V$3:V68,"&gt;0"),"")</f>
        <v/>
      </c>
    </row>
    <row r="69">
      <c r="A69" s="12" t="n"/>
      <c r="B69" s="13" t="n"/>
      <c r="C69" s="13" t="n"/>
      <c r="D69" s="7">
        <f>IF(OR(B69="",C69=""),"",ROUND((C69-B69)*1440,0))</f>
        <v/>
      </c>
      <c r="E69" s="12" t="n"/>
      <c r="F69" s="12" t="n"/>
      <c r="G69" s="12" t="n"/>
      <c r="H69" s="12" t="n"/>
      <c r="I69" s="12" t="n"/>
      <c r="J69" s="12" t="n"/>
      <c r="K69" s="12" t="n"/>
      <c r="L69" s="14" t="n"/>
      <c r="M69" s="12" t="n"/>
      <c r="N69" s="12" t="n"/>
      <c r="O69" s="12" t="n"/>
      <c r="P69" s="12" t="n"/>
      <c r="Q69" s="7">
        <f>IF(A69="","",IFERROR(VLOOKUP(O69,Listes!$R$3:$T$8,2,FALSE),0)+IFERROR(VLOOKUP(J69,Listes!$J$3:$L$6,2,FALSE),0)+IFERROR(VLOOKUP(N69,Listes!$N$3:$P$6,2,FALSE),0)+IF(OR(L69="",B69=""),0,IF(L69-INT(B69)&lt;10,8,IF(L69-INT(B69)&lt;=90,10,5)))+IFERROR(VLOOKUP(AN69,Listes!$V$3:$W$5,2,FALSE),0)+IFERROR(VLOOKUP(AO69,Listes!$Y$3:$Z$5,2,FALSE),0))</f>
        <v/>
      </c>
      <c r="R69" s="12" t="n"/>
      <c r="S69" s="12" t="n"/>
      <c r="T69" s="12" t="n"/>
      <c r="U69" s="15" t="n"/>
      <c r="V69" s="15" t="n"/>
      <c r="W69" s="13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3" t="n"/>
      <c r="AK69" s="12" t="n"/>
      <c r="AL69" s="12" t="n"/>
      <c r="AM69" s="12" t="n"/>
      <c r="AN69" s="12" t="n"/>
      <c r="AO69" s="12" t="n"/>
      <c r="AP69" s="12" t="n"/>
      <c r="AQ69" s="7">
        <f>IF(A69="","",IF(AP69&lt;&gt;"",AP69,IF(LEFT(Z69,11)="gads_marque","Google Search – Marque",IF(LEFT(Z69,12)="gads_mariage","Google Search – Mariage et privé",IF(LEFT(Z69,10)="gads_corpo","Google Search – Corporatif",IF(LEFT(Z69,5)="meta_","Meta – Leads",IF(LEFT(Z69,5)="msft_","Microsoft Ads",IF(LEFT(Z69,8)="chatgpt_","ChatGPT Ads – Test",IF(X69="gbp","Fiche Google (organique)","Autre / non payé")))))))))</f>
        <v/>
      </c>
      <c r="AR69" s="7">
        <f>IF(K69="","",IFERROR(VLOOKUP(K69,Listes!$F$3:$H$8,3,FALSE),""))</f>
        <v/>
      </c>
      <c r="AS69" s="7">
        <f>IF(O69="","",IF(AND(M69="Autre (plus de 40 km)",OR(O69="lt600",O69="600_999",O69="1000_2499")),"D",IF(OR(O69="lt600",AND(O69="600_999",K69&lt;&gt;"mariage",K69&lt;&gt;"prive")),"C",IF(OR(O69="2500_4999",O69="5000p",J69="entreprise",J69="organisme",J69="agence"),"A",IF(OR(O69="1000_2499",O69="600_999"),"B",IF(O69="inconnu",IF(OR(N69="75_149",N69="150p"),"A","B"),""))))))</f>
        <v/>
      </c>
      <c r="AT69" s="7">
        <f>IF(A69="","",IF(P69&lt;&gt;"",P69,AS69))</f>
        <v/>
      </c>
      <c r="AU69" s="7">
        <f>IF(A69="","",IF(OR(AT69="A",AT69="B"),1,0))</f>
        <v/>
      </c>
      <c r="AV69" s="7">
        <f>IF(A69="","",IF(OR(R69="Dépôt payé (gagné)",R69="Événement livré",R69="Avis obtenu"),1,0))</f>
        <v/>
      </c>
      <c r="AW69" s="7">
        <f>IF(A69="","",IF(Q69&gt;70,"Immédiat – propriétaire",IF(Q69&gt;=40,"15 min – personne de garde","Selon la route")))</f>
        <v/>
      </c>
      <c r="AX69" s="11">
        <f>IF(A69="","",IF(AT69="A",400,IF(AT69="B",150,0)))</f>
        <v/>
      </c>
      <c r="AY69" s="11">
        <f>IF(A69="","",IF(AV69=1,N(V69),IF(N(U69)&gt;0,ROUND(N(U69)*IFERROR(VLOOKUP(R69,Listes!$AE$3:$AG$12,2,FALSE),0),0),0)))</f>
        <v/>
      </c>
      <c r="AZ69" s="7">
        <f>IF(LEFT(A69,7)="EXEMPLE",1,0)</f>
        <v/>
      </c>
      <c r="BA69" s="7">
        <f>IF(AND(AV69=1,AZ69=0,AC69&lt;&gt;"",W69&lt;&gt;"",N(V69)&gt;0),COUNTIFS($AV$3:AV69,1,$AZ$3:AZ69,0,$AC$3:AC69,"&lt;&gt;",$W$3:W69,"&lt;&gt;",$V$3:V69,"&gt;0"),"")</f>
        <v/>
      </c>
    </row>
    <row r="70">
      <c r="A70" s="12" t="n"/>
      <c r="B70" s="13" t="n"/>
      <c r="C70" s="13" t="n"/>
      <c r="D70" s="7">
        <f>IF(OR(B70="",C70=""),"",ROUND((C70-B70)*1440,0))</f>
        <v/>
      </c>
      <c r="E70" s="12" t="n"/>
      <c r="F70" s="12" t="n"/>
      <c r="G70" s="12" t="n"/>
      <c r="H70" s="12" t="n"/>
      <c r="I70" s="12" t="n"/>
      <c r="J70" s="12" t="n"/>
      <c r="K70" s="12" t="n"/>
      <c r="L70" s="14" t="n"/>
      <c r="M70" s="12" t="n"/>
      <c r="N70" s="12" t="n"/>
      <c r="O70" s="12" t="n"/>
      <c r="P70" s="12" t="n"/>
      <c r="Q70" s="7">
        <f>IF(A70="","",IFERROR(VLOOKUP(O70,Listes!$R$3:$T$8,2,FALSE),0)+IFERROR(VLOOKUP(J70,Listes!$J$3:$L$6,2,FALSE),0)+IFERROR(VLOOKUP(N70,Listes!$N$3:$P$6,2,FALSE),0)+IF(OR(L70="",B70=""),0,IF(L70-INT(B70)&lt;10,8,IF(L70-INT(B70)&lt;=90,10,5)))+IFERROR(VLOOKUP(AN70,Listes!$V$3:$W$5,2,FALSE),0)+IFERROR(VLOOKUP(AO70,Listes!$Y$3:$Z$5,2,FALSE),0))</f>
        <v/>
      </c>
      <c r="R70" s="12" t="n"/>
      <c r="S70" s="12" t="n"/>
      <c r="T70" s="12" t="n"/>
      <c r="U70" s="15" t="n"/>
      <c r="V70" s="15" t="n"/>
      <c r="W70" s="13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3" t="n"/>
      <c r="AK70" s="12" t="n"/>
      <c r="AL70" s="12" t="n"/>
      <c r="AM70" s="12" t="n"/>
      <c r="AN70" s="12" t="n"/>
      <c r="AO70" s="12" t="n"/>
      <c r="AP70" s="12" t="n"/>
      <c r="AQ70" s="7">
        <f>IF(A70="","",IF(AP70&lt;&gt;"",AP70,IF(LEFT(Z70,11)="gads_marque","Google Search – Marque",IF(LEFT(Z70,12)="gads_mariage","Google Search – Mariage et privé",IF(LEFT(Z70,10)="gads_corpo","Google Search – Corporatif",IF(LEFT(Z70,5)="meta_","Meta – Leads",IF(LEFT(Z70,5)="msft_","Microsoft Ads",IF(LEFT(Z70,8)="chatgpt_","ChatGPT Ads – Test",IF(X70="gbp","Fiche Google (organique)","Autre / non payé")))))))))</f>
        <v/>
      </c>
      <c r="AR70" s="7">
        <f>IF(K70="","",IFERROR(VLOOKUP(K70,Listes!$F$3:$H$8,3,FALSE),""))</f>
        <v/>
      </c>
      <c r="AS70" s="7">
        <f>IF(O70="","",IF(AND(M70="Autre (plus de 40 km)",OR(O70="lt600",O70="600_999",O70="1000_2499")),"D",IF(OR(O70="lt600",AND(O70="600_999",K70&lt;&gt;"mariage",K70&lt;&gt;"prive")),"C",IF(OR(O70="2500_4999",O70="5000p",J70="entreprise",J70="organisme",J70="agence"),"A",IF(OR(O70="1000_2499",O70="600_999"),"B",IF(O70="inconnu",IF(OR(N70="75_149",N70="150p"),"A","B"),""))))))</f>
        <v/>
      </c>
      <c r="AT70" s="7">
        <f>IF(A70="","",IF(P70&lt;&gt;"",P70,AS70))</f>
        <v/>
      </c>
      <c r="AU70" s="7">
        <f>IF(A70="","",IF(OR(AT70="A",AT70="B"),1,0))</f>
        <v/>
      </c>
      <c r="AV70" s="7">
        <f>IF(A70="","",IF(OR(R70="Dépôt payé (gagné)",R70="Événement livré",R70="Avis obtenu"),1,0))</f>
        <v/>
      </c>
      <c r="AW70" s="7">
        <f>IF(A70="","",IF(Q70&gt;70,"Immédiat – propriétaire",IF(Q70&gt;=40,"15 min – personne de garde","Selon la route")))</f>
        <v/>
      </c>
      <c r="AX70" s="11">
        <f>IF(A70="","",IF(AT70="A",400,IF(AT70="B",150,0)))</f>
        <v/>
      </c>
      <c r="AY70" s="11">
        <f>IF(A70="","",IF(AV70=1,N(V70),IF(N(U70)&gt;0,ROUND(N(U70)*IFERROR(VLOOKUP(R70,Listes!$AE$3:$AG$12,2,FALSE),0),0),0)))</f>
        <v/>
      </c>
      <c r="AZ70" s="7">
        <f>IF(LEFT(A70,7)="EXEMPLE",1,0)</f>
        <v/>
      </c>
      <c r="BA70" s="7">
        <f>IF(AND(AV70=1,AZ70=0,AC70&lt;&gt;"",W70&lt;&gt;"",N(V70)&gt;0),COUNTIFS($AV$3:AV70,1,$AZ$3:AZ70,0,$AC$3:AC70,"&lt;&gt;",$W$3:W70,"&lt;&gt;",$V$3:V70,"&gt;0"),"")</f>
        <v/>
      </c>
    </row>
    <row r="71">
      <c r="A71" s="12" t="n"/>
      <c r="B71" s="13" t="n"/>
      <c r="C71" s="13" t="n"/>
      <c r="D71" s="7">
        <f>IF(OR(B71="",C71=""),"",ROUND((C71-B71)*1440,0))</f>
        <v/>
      </c>
      <c r="E71" s="12" t="n"/>
      <c r="F71" s="12" t="n"/>
      <c r="G71" s="12" t="n"/>
      <c r="H71" s="12" t="n"/>
      <c r="I71" s="12" t="n"/>
      <c r="J71" s="12" t="n"/>
      <c r="K71" s="12" t="n"/>
      <c r="L71" s="14" t="n"/>
      <c r="M71" s="12" t="n"/>
      <c r="N71" s="12" t="n"/>
      <c r="O71" s="12" t="n"/>
      <c r="P71" s="12" t="n"/>
      <c r="Q71" s="7">
        <f>IF(A71="","",IFERROR(VLOOKUP(O71,Listes!$R$3:$T$8,2,FALSE),0)+IFERROR(VLOOKUP(J71,Listes!$J$3:$L$6,2,FALSE),0)+IFERROR(VLOOKUP(N71,Listes!$N$3:$P$6,2,FALSE),0)+IF(OR(L71="",B71=""),0,IF(L71-INT(B71)&lt;10,8,IF(L71-INT(B71)&lt;=90,10,5)))+IFERROR(VLOOKUP(AN71,Listes!$V$3:$W$5,2,FALSE),0)+IFERROR(VLOOKUP(AO71,Listes!$Y$3:$Z$5,2,FALSE),0))</f>
        <v/>
      </c>
      <c r="R71" s="12" t="n"/>
      <c r="S71" s="12" t="n"/>
      <c r="T71" s="12" t="n"/>
      <c r="U71" s="15" t="n"/>
      <c r="V71" s="15" t="n"/>
      <c r="W71" s="13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3" t="n"/>
      <c r="AK71" s="12" t="n"/>
      <c r="AL71" s="12" t="n"/>
      <c r="AM71" s="12" t="n"/>
      <c r="AN71" s="12" t="n"/>
      <c r="AO71" s="12" t="n"/>
      <c r="AP71" s="12" t="n"/>
      <c r="AQ71" s="7">
        <f>IF(A71="","",IF(AP71&lt;&gt;"",AP71,IF(LEFT(Z71,11)="gads_marque","Google Search – Marque",IF(LEFT(Z71,12)="gads_mariage","Google Search – Mariage et privé",IF(LEFT(Z71,10)="gads_corpo","Google Search – Corporatif",IF(LEFT(Z71,5)="meta_","Meta – Leads",IF(LEFT(Z71,5)="msft_","Microsoft Ads",IF(LEFT(Z71,8)="chatgpt_","ChatGPT Ads – Test",IF(X71="gbp","Fiche Google (organique)","Autre / non payé")))))))))</f>
        <v/>
      </c>
      <c r="AR71" s="7">
        <f>IF(K71="","",IFERROR(VLOOKUP(K71,Listes!$F$3:$H$8,3,FALSE),""))</f>
        <v/>
      </c>
      <c r="AS71" s="7">
        <f>IF(O71="","",IF(AND(M71="Autre (plus de 40 km)",OR(O71="lt600",O71="600_999",O71="1000_2499")),"D",IF(OR(O71="lt600",AND(O71="600_999",K71&lt;&gt;"mariage",K71&lt;&gt;"prive")),"C",IF(OR(O71="2500_4999",O71="5000p",J71="entreprise",J71="organisme",J71="agence"),"A",IF(OR(O71="1000_2499",O71="600_999"),"B",IF(O71="inconnu",IF(OR(N71="75_149",N71="150p"),"A","B"),""))))))</f>
        <v/>
      </c>
      <c r="AT71" s="7">
        <f>IF(A71="","",IF(P71&lt;&gt;"",P71,AS71))</f>
        <v/>
      </c>
      <c r="AU71" s="7">
        <f>IF(A71="","",IF(OR(AT71="A",AT71="B"),1,0))</f>
        <v/>
      </c>
      <c r="AV71" s="7">
        <f>IF(A71="","",IF(OR(R71="Dépôt payé (gagné)",R71="Événement livré",R71="Avis obtenu"),1,0))</f>
        <v/>
      </c>
      <c r="AW71" s="7">
        <f>IF(A71="","",IF(Q71&gt;70,"Immédiat – propriétaire",IF(Q71&gt;=40,"15 min – personne de garde","Selon la route")))</f>
        <v/>
      </c>
      <c r="AX71" s="11">
        <f>IF(A71="","",IF(AT71="A",400,IF(AT71="B",150,0)))</f>
        <v/>
      </c>
      <c r="AY71" s="11">
        <f>IF(A71="","",IF(AV71=1,N(V71),IF(N(U71)&gt;0,ROUND(N(U71)*IFERROR(VLOOKUP(R71,Listes!$AE$3:$AG$12,2,FALSE),0),0),0)))</f>
        <v/>
      </c>
      <c r="AZ71" s="7">
        <f>IF(LEFT(A71,7)="EXEMPLE",1,0)</f>
        <v/>
      </c>
      <c r="BA71" s="7">
        <f>IF(AND(AV71=1,AZ71=0,AC71&lt;&gt;"",W71&lt;&gt;"",N(V71)&gt;0),COUNTIFS($AV$3:AV71,1,$AZ$3:AZ71,0,$AC$3:AC71,"&lt;&gt;",$W$3:W71,"&lt;&gt;",$V$3:V71,"&gt;0"),"")</f>
        <v/>
      </c>
    </row>
    <row r="72">
      <c r="A72" s="12" t="n"/>
      <c r="B72" s="13" t="n"/>
      <c r="C72" s="13" t="n"/>
      <c r="D72" s="7">
        <f>IF(OR(B72="",C72=""),"",ROUND((C72-B72)*1440,0))</f>
        <v/>
      </c>
      <c r="E72" s="12" t="n"/>
      <c r="F72" s="12" t="n"/>
      <c r="G72" s="12" t="n"/>
      <c r="H72" s="12" t="n"/>
      <c r="I72" s="12" t="n"/>
      <c r="J72" s="12" t="n"/>
      <c r="K72" s="12" t="n"/>
      <c r="L72" s="14" t="n"/>
      <c r="M72" s="12" t="n"/>
      <c r="N72" s="12" t="n"/>
      <c r="O72" s="12" t="n"/>
      <c r="P72" s="12" t="n"/>
      <c r="Q72" s="7">
        <f>IF(A72="","",IFERROR(VLOOKUP(O72,Listes!$R$3:$T$8,2,FALSE),0)+IFERROR(VLOOKUP(J72,Listes!$J$3:$L$6,2,FALSE),0)+IFERROR(VLOOKUP(N72,Listes!$N$3:$P$6,2,FALSE),0)+IF(OR(L72="",B72=""),0,IF(L72-INT(B72)&lt;10,8,IF(L72-INT(B72)&lt;=90,10,5)))+IFERROR(VLOOKUP(AN72,Listes!$V$3:$W$5,2,FALSE),0)+IFERROR(VLOOKUP(AO72,Listes!$Y$3:$Z$5,2,FALSE),0))</f>
        <v/>
      </c>
      <c r="R72" s="12" t="n"/>
      <c r="S72" s="12" t="n"/>
      <c r="T72" s="12" t="n"/>
      <c r="U72" s="15" t="n"/>
      <c r="V72" s="15" t="n"/>
      <c r="W72" s="13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3" t="n"/>
      <c r="AK72" s="12" t="n"/>
      <c r="AL72" s="12" t="n"/>
      <c r="AM72" s="12" t="n"/>
      <c r="AN72" s="12" t="n"/>
      <c r="AO72" s="12" t="n"/>
      <c r="AP72" s="12" t="n"/>
      <c r="AQ72" s="7">
        <f>IF(A72="","",IF(AP72&lt;&gt;"",AP72,IF(LEFT(Z72,11)="gads_marque","Google Search – Marque",IF(LEFT(Z72,12)="gads_mariage","Google Search – Mariage et privé",IF(LEFT(Z72,10)="gads_corpo","Google Search – Corporatif",IF(LEFT(Z72,5)="meta_","Meta – Leads",IF(LEFT(Z72,5)="msft_","Microsoft Ads",IF(LEFT(Z72,8)="chatgpt_","ChatGPT Ads – Test",IF(X72="gbp","Fiche Google (organique)","Autre / non payé")))))))))</f>
        <v/>
      </c>
      <c r="AR72" s="7">
        <f>IF(K72="","",IFERROR(VLOOKUP(K72,Listes!$F$3:$H$8,3,FALSE),""))</f>
        <v/>
      </c>
      <c r="AS72" s="7">
        <f>IF(O72="","",IF(AND(M72="Autre (plus de 40 km)",OR(O72="lt600",O72="600_999",O72="1000_2499")),"D",IF(OR(O72="lt600",AND(O72="600_999",K72&lt;&gt;"mariage",K72&lt;&gt;"prive")),"C",IF(OR(O72="2500_4999",O72="5000p",J72="entreprise",J72="organisme",J72="agence"),"A",IF(OR(O72="1000_2499",O72="600_999"),"B",IF(O72="inconnu",IF(OR(N72="75_149",N72="150p"),"A","B"),""))))))</f>
        <v/>
      </c>
      <c r="AT72" s="7">
        <f>IF(A72="","",IF(P72&lt;&gt;"",P72,AS72))</f>
        <v/>
      </c>
      <c r="AU72" s="7">
        <f>IF(A72="","",IF(OR(AT72="A",AT72="B"),1,0))</f>
        <v/>
      </c>
      <c r="AV72" s="7">
        <f>IF(A72="","",IF(OR(R72="Dépôt payé (gagné)",R72="Événement livré",R72="Avis obtenu"),1,0))</f>
        <v/>
      </c>
      <c r="AW72" s="7">
        <f>IF(A72="","",IF(Q72&gt;70,"Immédiat – propriétaire",IF(Q72&gt;=40,"15 min – personne de garde","Selon la route")))</f>
        <v/>
      </c>
      <c r="AX72" s="11">
        <f>IF(A72="","",IF(AT72="A",400,IF(AT72="B",150,0)))</f>
        <v/>
      </c>
      <c r="AY72" s="11">
        <f>IF(A72="","",IF(AV72=1,N(V72),IF(N(U72)&gt;0,ROUND(N(U72)*IFERROR(VLOOKUP(R72,Listes!$AE$3:$AG$12,2,FALSE),0),0),0)))</f>
        <v/>
      </c>
      <c r="AZ72" s="7">
        <f>IF(LEFT(A72,7)="EXEMPLE",1,0)</f>
        <v/>
      </c>
      <c r="BA72" s="7">
        <f>IF(AND(AV72=1,AZ72=0,AC72&lt;&gt;"",W72&lt;&gt;"",N(V72)&gt;0),COUNTIFS($AV$3:AV72,1,$AZ$3:AZ72,0,$AC$3:AC72,"&lt;&gt;",$W$3:W72,"&lt;&gt;",$V$3:V72,"&gt;0"),"")</f>
        <v/>
      </c>
    </row>
    <row r="73">
      <c r="A73" s="12" t="n"/>
      <c r="B73" s="13" t="n"/>
      <c r="C73" s="13" t="n"/>
      <c r="D73" s="7">
        <f>IF(OR(B73="",C73=""),"",ROUND((C73-B73)*1440,0))</f>
        <v/>
      </c>
      <c r="E73" s="12" t="n"/>
      <c r="F73" s="12" t="n"/>
      <c r="G73" s="12" t="n"/>
      <c r="H73" s="12" t="n"/>
      <c r="I73" s="12" t="n"/>
      <c r="J73" s="12" t="n"/>
      <c r="K73" s="12" t="n"/>
      <c r="L73" s="14" t="n"/>
      <c r="M73" s="12" t="n"/>
      <c r="N73" s="12" t="n"/>
      <c r="O73" s="12" t="n"/>
      <c r="P73" s="12" t="n"/>
      <c r="Q73" s="7">
        <f>IF(A73="","",IFERROR(VLOOKUP(O73,Listes!$R$3:$T$8,2,FALSE),0)+IFERROR(VLOOKUP(J73,Listes!$J$3:$L$6,2,FALSE),0)+IFERROR(VLOOKUP(N73,Listes!$N$3:$P$6,2,FALSE),0)+IF(OR(L73="",B73=""),0,IF(L73-INT(B73)&lt;10,8,IF(L73-INT(B73)&lt;=90,10,5)))+IFERROR(VLOOKUP(AN73,Listes!$V$3:$W$5,2,FALSE),0)+IFERROR(VLOOKUP(AO73,Listes!$Y$3:$Z$5,2,FALSE),0))</f>
        <v/>
      </c>
      <c r="R73" s="12" t="n"/>
      <c r="S73" s="12" t="n"/>
      <c r="T73" s="12" t="n"/>
      <c r="U73" s="15" t="n"/>
      <c r="V73" s="15" t="n"/>
      <c r="W73" s="13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3" t="n"/>
      <c r="AK73" s="12" t="n"/>
      <c r="AL73" s="12" t="n"/>
      <c r="AM73" s="12" t="n"/>
      <c r="AN73" s="12" t="n"/>
      <c r="AO73" s="12" t="n"/>
      <c r="AP73" s="12" t="n"/>
      <c r="AQ73" s="7">
        <f>IF(A73="","",IF(AP73&lt;&gt;"",AP73,IF(LEFT(Z73,11)="gads_marque","Google Search – Marque",IF(LEFT(Z73,12)="gads_mariage","Google Search – Mariage et privé",IF(LEFT(Z73,10)="gads_corpo","Google Search – Corporatif",IF(LEFT(Z73,5)="meta_","Meta – Leads",IF(LEFT(Z73,5)="msft_","Microsoft Ads",IF(LEFT(Z73,8)="chatgpt_","ChatGPT Ads – Test",IF(X73="gbp","Fiche Google (organique)","Autre / non payé")))))))))</f>
        <v/>
      </c>
      <c r="AR73" s="7">
        <f>IF(K73="","",IFERROR(VLOOKUP(K73,Listes!$F$3:$H$8,3,FALSE),""))</f>
        <v/>
      </c>
      <c r="AS73" s="7">
        <f>IF(O73="","",IF(AND(M73="Autre (plus de 40 km)",OR(O73="lt600",O73="600_999",O73="1000_2499")),"D",IF(OR(O73="lt600",AND(O73="600_999",K73&lt;&gt;"mariage",K73&lt;&gt;"prive")),"C",IF(OR(O73="2500_4999",O73="5000p",J73="entreprise",J73="organisme",J73="agence"),"A",IF(OR(O73="1000_2499",O73="600_999"),"B",IF(O73="inconnu",IF(OR(N73="75_149",N73="150p"),"A","B"),""))))))</f>
        <v/>
      </c>
      <c r="AT73" s="7">
        <f>IF(A73="","",IF(P73&lt;&gt;"",P73,AS73))</f>
        <v/>
      </c>
      <c r="AU73" s="7">
        <f>IF(A73="","",IF(OR(AT73="A",AT73="B"),1,0))</f>
        <v/>
      </c>
      <c r="AV73" s="7">
        <f>IF(A73="","",IF(OR(R73="Dépôt payé (gagné)",R73="Événement livré",R73="Avis obtenu"),1,0))</f>
        <v/>
      </c>
      <c r="AW73" s="7">
        <f>IF(A73="","",IF(Q73&gt;70,"Immédiat – propriétaire",IF(Q73&gt;=40,"15 min – personne de garde","Selon la route")))</f>
        <v/>
      </c>
      <c r="AX73" s="11">
        <f>IF(A73="","",IF(AT73="A",400,IF(AT73="B",150,0)))</f>
        <v/>
      </c>
      <c r="AY73" s="11">
        <f>IF(A73="","",IF(AV73=1,N(V73),IF(N(U73)&gt;0,ROUND(N(U73)*IFERROR(VLOOKUP(R73,Listes!$AE$3:$AG$12,2,FALSE),0),0),0)))</f>
        <v/>
      </c>
      <c r="AZ73" s="7">
        <f>IF(LEFT(A73,7)="EXEMPLE",1,0)</f>
        <v/>
      </c>
      <c r="BA73" s="7">
        <f>IF(AND(AV73=1,AZ73=0,AC73&lt;&gt;"",W73&lt;&gt;"",N(V73)&gt;0),COUNTIFS($AV$3:AV73,1,$AZ$3:AZ73,0,$AC$3:AC73,"&lt;&gt;",$W$3:W73,"&lt;&gt;",$V$3:V73,"&gt;0"),"")</f>
        <v/>
      </c>
    </row>
    <row r="74">
      <c r="A74" s="12" t="n"/>
      <c r="B74" s="13" t="n"/>
      <c r="C74" s="13" t="n"/>
      <c r="D74" s="7">
        <f>IF(OR(B74="",C74=""),"",ROUND((C74-B74)*1440,0))</f>
        <v/>
      </c>
      <c r="E74" s="12" t="n"/>
      <c r="F74" s="12" t="n"/>
      <c r="G74" s="12" t="n"/>
      <c r="H74" s="12" t="n"/>
      <c r="I74" s="12" t="n"/>
      <c r="J74" s="12" t="n"/>
      <c r="K74" s="12" t="n"/>
      <c r="L74" s="14" t="n"/>
      <c r="M74" s="12" t="n"/>
      <c r="N74" s="12" t="n"/>
      <c r="O74" s="12" t="n"/>
      <c r="P74" s="12" t="n"/>
      <c r="Q74" s="7">
        <f>IF(A74="","",IFERROR(VLOOKUP(O74,Listes!$R$3:$T$8,2,FALSE),0)+IFERROR(VLOOKUP(J74,Listes!$J$3:$L$6,2,FALSE),0)+IFERROR(VLOOKUP(N74,Listes!$N$3:$P$6,2,FALSE),0)+IF(OR(L74="",B74=""),0,IF(L74-INT(B74)&lt;10,8,IF(L74-INT(B74)&lt;=90,10,5)))+IFERROR(VLOOKUP(AN74,Listes!$V$3:$W$5,2,FALSE),0)+IFERROR(VLOOKUP(AO74,Listes!$Y$3:$Z$5,2,FALSE),0))</f>
        <v/>
      </c>
      <c r="R74" s="12" t="n"/>
      <c r="S74" s="12" t="n"/>
      <c r="T74" s="12" t="n"/>
      <c r="U74" s="15" t="n"/>
      <c r="V74" s="15" t="n"/>
      <c r="W74" s="13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3" t="n"/>
      <c r="AK74" s="12" t="n"/>
      <c r="AL74" s="12" t="n"/>
      <c r="AM74" s="12" t="n"/>
      <c r="AN74" s="12" t="n"/>
      <c r="AO74" s="12" t="n"/>
      <c r="AP74" s="12" t="n"/>
      <c r="AQ74" s="7">
        <f>IF(A74="","",IF(AP74&lt;&gt;"",AP74,IF(LEFT(Z74,11)="gads_marque","Google Search – Marque",IF(LEFT(Z74,12)="gads_mariage","Google Search – Mariage et privé",IF(LEFT(Z74,10)="gads_corpo","Google Search – Corporatif",IF(LEFT(Z74,5)="meta_","Meta – Leads",IF(LEFT(Z74,5)="msft_","Microsoft Ads",IF(LEFT(Z74,8)="chatgpt_","ChatGPT Ads – Test",IF(X74="gbp","Fiche Google (organique)","Autre / non payé")))))))))</f>
        <v/>
      </c>
      <c r="AR74" s="7">
        <f>IF(K74="","",IFERROR(VLOOKUP(K74,Listes!$F$3:$H$8,3,FALSE),""))</f>
        <v/>
      </c>
      <c r="AS74" s="7">
        <f>IF(O74="","",IF(AND(M74="Autre (plus de 40 km)",OR(O74="lt600",O74="600_999",O74="1000_2499")),"D",IF(OR(O74="lt600",AND(O74="600_999",K74&lt;&gt;"mariage",K74&lt;&gt;"prive")),"C",IF(OR(O74="2500_4999",O74="5000p",J74="entreprise",J74="organisme",J74="agence"),"A",IF(OR(O74="1000_2499",O74="600_999"),"B",IF(O74="inconnu",IF(OR(N74="75_149",N74="150p"),"A","B"),""))))))</f>
        <v/>
      </c>
      <c r="AT74" s="7">
        <f>IF(A74="","",IF(P74&lt;&gt;"",P74,AS74))</f>
        <v/>
      </c>
      <c r="AU74" s="7">
        <f>IF(A74="","",IF(OR(AT74="A",AT74="B"),1,0))</f>
        <v/>
      </c>
      <c r="AV74" s="7">
        <f>IF(A74="","",IF(OR(R74="Dépôt payé (gagné)",R74="Événement livré",R74="Avis obtenu"),1,0))</f>
        <v/>
      </c>
      <c r="AW74" s="7">
        <f>IF(A74="","",IF(Q74&gt;70,"Immédiat – propriétaire",IF(Q74&gt;=40,"15 min – personne de garde","Selon la route")))</f>
        <v/>
      </c>
      <c r="AX74" s="11">
        <f>IF(A74="","",IF(AT74="A",400,IF(AT74="B",150,0)))</f>
        <v/>
      </c>
      <c r="AY74" s="11">
        <f>IF(A74="","",IF(AV74=1,N(V74),IF(N(U74)&gt;0,ROUND(N(U74)*IFERROR(VLOOKUP(R74,Listes!$AE$3:$AG$12,2,FALSE),0),0),0)))</f>
        <v/>
      </c>
      <c r="AZ74" s="7">
        <f>IF(LEFT(A74,7)="EXEMPLE",1,0)</f>
        <v/>
      </c>
      <c r="BA74" s="7">
        <f>IF(AND(AV74=1,AZ74=0,AC74&lt;&gt;"",W74&lt;&gt;"",N(V74)&gt;0),COUNTIFS($AV$3:AV74,1,$AZ$3:AZ74,0,$AC$3:AC74,"&lt;&gt;",$W$3:W74,"&lt;&gt;",$V$3:V74,"&gt;0"),"")</f>
        <v/>
      </c>
    </row>
    <row r="75">
      <c r="A75" s="12" t="n"/>
      <c r="B75" s="13" t="n"/>
      <c r="C75" s="13" t="n"/>
      <c r="D75" s="7">
        <f>IF(OR(B75="",C75=""),"",ROUND((C75-B75)*1440,0))</f>
        <v/>
      </c>
      <c r="E75" s="12" t="n"/>
      <c r="F75" s="12" t="n"/>
      <c r="G75" s="12" t="n"/>
      <c r="H75" s="12" t="n"/>
      <c r="I75" s="12" t="n"/>
      <c r="J75" s="12" t="n"/>
      <c r="K75" s="12" t="n"/>
      <c r="L75" s="14" t="n"/>
      <c r="M75" s="12" t="n"/>
      <c r="N75" s="12" t="n"/>
      <c r="O75" s="12" t="n"/>
      <c r="P75" s="12" t="n"/>
      <c r="Q75" s="7">
        <f>IF(A75="","",IFERROR(VLOOKUP(O75,Listes!$R$3:$T$8,2,FALSE),0)+IFERROR(VLOOKUP(J75,Listes!$J$3:$L$6,2,FALSE),0)+IFERROR(VLOOKUP(N75,Listes!$N$3:$P$6,2,FALSE),0)+IF(OR(L75="",B75=""),0,IF(L75-INT(B75)&lt;10,8,IF(L75-INT(B75)&lt;=90,10,5)))+IFERROR(VLOOKUP(AN75,Listes!$V$3:$W$5,2,FALSE),0)+IFERROR(VLOOKUP(AO75,Listes!$Y$3:$Z$5,2,FALSE),0))</f>
        <v/>
      </c>
      <c r="R75" s="12" t="n"/>
      <c r="S75" s="12" t="n"/>
      <c r="T75" s="12" t="n"/>
      <c r="U75" s="15" t="n"/>
      <c r="V75" s="15" t="n"/>
      <c r="W75" s="13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3" t="n"/>
      <c r="AK75" s="12" t="n"/>
      <c r="AL75" s="12" t="n"/>
      <c r="AM75" s="12" t="n"/>
      <c r="AN75" s="12" t="n"/>
      <c r="AO75" s="12" t="n"/>
      <c r="AP75" s="12" t="n"/>
      <c r="AQ75" s="7">
        <f>IF(A75="","",IF(AP75&lt;&gt;"",AP75,IF(LEFT(Z75,11)="gads_marque","Google Search – Marque",IF(LEFT(Z75,12)="gads_mariage","Google Search – Mariage et privé",IF(LEFT(Z75,10)="gads_corpo","Google Search – Corporatif",IF(LEFT(Z75,5)="meta_","Meta – Leads",IF(LEFT(Z75,5)="msft_","Microsoft Ads",IF(LEFT(Z75,8)="chatgpt_","ChatGPT Ads – Test",IF(X75="gbp","Fiche Google (organique)","Autre / non payé")))))))))</f>
        <v/>
      </c>
      <c r="AR75" s="7">
        <f>IF(K75="","",IFERROR(VLOOKUP(K75,Listes!$F$3:$H$8,3,FALSE),""))</f>
        <v/>
      </c>
      <c r="AS75" s="7">
        <f>IF(O75="","",IF(AND(M75="Autre (plus de 40 km)",OR(O75="lt600",O75="600_999",O75="1000_2499")),"D",IF(OR(O75="lt600",AND(O75="600_999",K75&lt;&gt;"mariage",K75&lt;&gt;"prive")),"C",IF(OR(O75="2500_4999",O75="5000p",J75="entreprise",J75="organisme",J75="agence"),"A",IF(OR(O75="1000_2499",O75="600_999"),"B",IF(O75="inconnu",IF(OR(N75="75_149",N75="150p"),"A","B"),""))))))</f>
        <v/>
      </c>
      <c r="AT75" s="7">
        <f>IF(A75="","",IF(P75&lt;&gt;"",P75,AS75))</f>
        <v/>
      </c>
      <c r="AU75" s="7">
        <f>IF(A75="","",IF(OR(AT75="A",AT75="B"),1,0))</f>
        <v/>
      </c>
      <c r="AV75" s="7">
        <f>IF(A75="","",IF(OR(R75="Dépôt payé (gagné)",R75="Événement livré",R75="Avis obtenu"),1,0))</f>
        <v/>
      </c>
      <c r="AW75" s="7">
        <f>IF(A75="","",IF(Q75&gt;70,"Immédiat – propriétaire",IF(Q75&gt;=40,"15 min – personne de garde","Selon la route")))</f>
        <v/>
      </c>
      <c r="AX75" s="11">
        <f>IF(A75="","",IF(AT75="A",400,IF(AT75="B",150,0)))</f>
        <v/>
      </c>
      <c r="AY75" s="11">
        <f>IF(A75="","",IF(AV75=1,N(V75),IF(N(U75)&gt;0,ROUND(N(U75)*IFERROR(VLOOKUP(R75,Listes!$AE$3:$AG$12,2,FALSE),0),0),0)))</f>
        <v/>
      </c>
      <c r="AZ75" s="7">
        <f>IF(LEFT(A75,7)="EXEMPLE",1,0)</f>
        <v/>
      </c>
      <c r="BA75" s="7">
        <f>IF(AND(AV75=1,AZ75=0,AC75&lt;&gt;"",W75&lt;&gt;"",N(V75)&gt;0),COUNTIFS($AV$3:AV75,1,$AZ$3:AZ75,0,$AC$3:AC75,"&lt;&gt;",$W$3:W75,"&lt;&gt;",$V$3:V75,"&gt;0"),"")</f>
        <v/>
      </c>
    </row>
    <row r="76">
      <c r="A76" s="12" t="n"/>
      <c r="B76" s="13" t="n"/>
      <c r="C76" s="13" t="n"/>
      <c r="D76" s="7">
        <f>IF(OR(B76="",C76=""),"",ROUND((C76-B76)*1440,0))</f>
        <v/>
      </c>
      <c r="E76" s="12" t="n"/>
      <c r="F76" s="12" t="n"/>
      <c r="G76" s="12" t="n"/>
      <c r="H76" s="12" t="n"/>
      <c r="I76" s="12" t="n"/>
      <c r="J76" s="12" t="n"/>
      <c r="K76" s="12" t="n"/>
      <c r="L76" s="14" t="n"/>
      <c r="M76" s="12" t="n"/>
      <c r="N76" s="12" t="n"/>
      <c r="O76" s="12" t="n"/>
      <c r="P76" s="12" t="n"/>
      <c r="Q76" s="7">
        <f>IF(A76="","",IFERROR(VLOOKUP(O76,Listes!$R$3:$T$8,2,FALSE),0)+IFERROR(VLOOKUP(J76,Listes!$J$3:$L$6,2,FALSE),0)+IFERROR(VLOOKUP(N76,Listes!$N$3:$P$6,2,FALSE),0)+IF(OR(L76="",B76=""),0,IF(L76-INT(B76)&lt;10,8,IF(L76-INT(B76)&lt;=90,10,5)))+IFERROR(VLOOKUP(AN76,Listes!$V$3:$W$5,2,FALSE),0)+IFERROR(VLOOKUP(AO76,Listes!$Y$3:$Z$5,2,FALSE),0))</f>
        <v/>
      </c>
      <c r="R76" s="12" t="n"/>
      <c r="S76" s="12" t="n"/>
      <c r="T76" s="12" t="n"/>
      <c r="U76" s="15" t="n"/>
      <c r="V76" s="15" t="n"/>
      <c r="W76" s="13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3" t="n"/>
      <c r="AK76" s="12" t="n"/>
      <c r="AL76" s="12" t="n"/>
      <c r="AM76" s="12" t="n"/>
      <c r="AN76" s="12" t="n"/>
      <c r="AO76" s="12" t="n"/>
      <c r="AP76" s="12" t="n"/>
      <c r="AQ76" s="7">
        <f>IF(A76="","",IF(AP76&lt;&gt;"",AP76,IF(LEFT(Z76,11)="gads_marque","Google Search – Marque",IF(LEFT(Z76,12)="gads_mariage","Google Search – Mariage et privé",IF(LEFT(Z76,10)="gads_corpo","Google Search – Corporatif",IF(LEFT(Z76,5)="meta_","Meta – Leads",IF(LEFT(Z76,5)="msft_","Microsoft Ads",IF(LEFT(Z76,8)="chatgpt_","ChatGPT Ads – Test",IF(X76="gbp","Fiche Google (organique)","Autre / non payé")))))))))</f>
        <v/>
      </c>
      <c r="AR76" s="7">
        <f>IF(K76="","",IFERROR(VLOOKUP(K76,Listes!$F$3:$H$8,3,FALSE),""))</f>
        <v/>
      </c>
      <c r="AS76" s="7">
        <f>IF(O76="","",IF(AND(M76="Autre (plus de 40 km)",OR(O76="lt600",O76="600_999",O76="1000_2499")),"D",IF(OR(O76="lt600",AND(O76="600_999",K76&lt;&gt;"mariage",K76&lt;&gt;"prive")),"C",IF(OR(O76="2500_4999",O76="5000p",J76="entreprise",J76="organisme",J76="agence"),"A",IF(OR(O76="1000_2499",O76="600_999"),"B",IF(O76="inconnu",IF(OR(N76="75_149",N76="150p"),"A","B"),""))))))</f>
        <v/>
      </c>
      <c r="AT76" s="7">
        <f>IF(A76="","",IF(P76&lt;&gt;"",P76,AS76))</f>
        <v/>
      </c>
      <c r="AU76" s="7">
        <f>IF(A76="","",IF(OR(AT76="A",AT76="B"),1,0))</f>
        <v/>
      </c>
      <c r="AV76" s="7">
        <f>IF(A76="","",IF(OR(R76="Dépôt payé (gagné)",R76="Événement livré",R76="Avis obtenu"),1,0))</f>
        <v/>
      </c>
      <c r="AW76" s="7">
        <f>IF(A76="","",IF(Q76&gt;70,"Immédiat – propriétaire",IF(Q76&gt;=40,"15 min – personne de garde","Selon la route")))</f>
        <v/>
      </c>
      <c r="AX76" s="11">
        <f>IF(A76="","",IF(AT76="A",400,IF(AT76="B",150,0)))</f>
        <v/>
      </c>
      <c r="AY76" s="11">
        <f>IF(A76="","",IF(AV76=1,N(V76),IF(N(U76)&gt;0,ROUND(N(U76)*IFERROR(VLOOKUP(R76,Listes!$AE$3:$AG$12,2,FALSE),0),0),0)))</f>
        <v/>
      </c>
      <c r="AZ76" s="7">
        <f>IF(LEFT(A76,7)="EXEMPLE",1,0)</f>
        <v/>
      </c>
      <c r="BA76" s="7">
        <f>IF(AND(AV76=1,AZ76=0,AC76&lt;&gt;"",W76&lt;&gt;"",N(V76)&gt;0),COUNTIFS($AV$3:AV76,1,$AZ$3:AZ76,0,$AC$3:AC76,"&lt;&gt;",$W$3:W76,"&lt;&gt;",$V$3:V76,"&gt;0"),"")</f>
        <v/>
      </c>
    </row>
    <row r="77">
      <c r="A77" s="12" t="n"/>
      <c r="B77" s="13" t="n"/>
      <c r="C77" s="13" t="n"/>
      <c r="D77" s="7">
        <f>IF(OR(B77="",C77=""),"",ROUND((C77-B77)*1440,0))</f>
        <v/>
      </c>
      <c r="E77" s="12" t="n"/>
      <c r="F77" s="12" t="n"/>
      <c r="G77" s="12" t="n"/>
      <c r="H77" s="12" t="n"/>
      <c r="I77" s="12" t="n"/>
      <c r="J77" s="12" t="n"/>
      <c r="K77" s="12" t="n"/>
      <c r="L77" s="14" t="n"/>
      <c r="M77" s="12" t="n"/>
      <c r="N77" s="12" t="n"/>
      <c r="O77" s="12" t="n"/>
      <c r="P77" s="12" t="n"/>
      <c r="Q77" s="7">
        <f>IF(A77="","",IFERROR(VLOOKUP(O77,Listes!$R$3:$T$8,2,FALSE),0)+IFERROR(VLOOKUP(J77,Listes!$J$3:$L$6,2,FALSE),0)+IFERROR(VLOOKUP(N77,Listes!$N$3:$P$6,2,FALSE),0)+IF(OR(L77="",B77=""),0,IF(L77-INT(B77)&lt;10,8,IF(L77-INT(B77)&lt;=90,10,5)))+IFERROR(VLOOKUP(AN77,Listes!$V$3:$W$5,2,FALSE),0)+IFERROR(VLOOKUP(AO77,Listes!$Y$3:$Z$5,2,FALSE),0))</f>
        <v/>
      </c>
      <c r="R77" s="12" t="n"/>
      <c r="S77" s="12" t="n"/>
      <c r="T77" s="12" t="n"/>
      <c r="U77" s="15" t="n"/>
      <c r="V77" s="15" t="n"/>
      <c r="W77" s="13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3" t="n"/>
      <c r="AK77" s="12" t="n"/>
      <c r="AL77" s="12" t="n"/>
      <c r="AM77" s="12" t="n"/>
      <c r="AN77" s="12" t="n"/>
      <c r="AO77" s="12" t="n"/>
      <c r="AP77" s="12" t="n"/>
      <c r="AQ77" s="7">
        <f>IF(A77="","",IF(AP77&lt;&gt;"",AP77,IF(LEFT(Z77,11)="gads_marque","Google Search – Marque",IF(LEFT(Z77,12)="gads_mariage","Google Search – Mariage et privé",IF(LEFT(Z77,10)="gads_corpo","Google Search – Corporatif",IF(LEFT(Z77,5)="meta_","Meta – Leads",IF(LEFT(Z77,5)="msft_","Microsoft Ads",IF(LEFT(Z77,8)="chatgpt_","ChatGPT Ads – Test",IF(X77="gbp","Fiche Google (organique)","Autre / non payé")))))))))</f>
        <v/>
      </c>
      <c r="AR77" s="7">
        <f>IF(K77="","",IFERROR(VLOOKUP(K77,Listes!$F$3:$H$8,3,FALSE),""))</f>
        <v/>
      </c>
      <c r="AS77" s="7">
        <f>IF(O77="","",IF(AND(M77="Autre (plus de 40 km)",OR(O77="lt600",O77="600_999",O77="1000_2499")),"D",IF(OR(O77="lt600",AND(O77="600_999",K77&lt;&gt;"mariage",K77&lt;&gt;"prive")),"C",IF(OR(O77="2500_4999",O77="5000p",J77="entreprise",J77="organisme",J77="agence"),"A",IF(OR(O77="1000_2499",O77="600_999"),"B",IF(O77="inconnu",IF(OR(N77="75_149",N77="150p"),"A","B"),""))))))</f>
        <v/>
      </c>
      <c r="AT77" s="7">
        <f>IF(A77="","",IF(P77&lt;&gt;"",P77,AS77))</f>
        <v/>
      </c>
      <c r="AU77" s="7">
        <f>IF(A77="","",IF(OR(AT77="A",AT77="B"),1,0))</f>
        <v/>
      </c>
      <c r="AV77" s="7">
        <f>IF(A77="","",IF(OR(R77="Dépôt payé (gagné)",R77="Événement livré",R77="Avis obtenu"),1,0))</f>
        <v/>
      </c>
      <c r="AW77" s="7">
        <f>IF(A77="","",IF(Q77&gt;70,"Immédiat – propriétaire",IF(Q77&gt;=40,"15 min – personne de garde","Selon la route")))</f>
        <v/>
      </c>
      <c r="AX77" s="11">
        <f>IF(A77="","",IF(AT77="A",400,IF(AT77="B",150,0)))</f>
        <v/>
      </c>
      <c r="AY77" s="11">
        <f>IF(A77="","",IF(AV77=1,N(V77),IF(N(U77)&gt;0,ROUND(N(U77)*IFERROR(VLOOKUP(R77,Listes!$AE$3:$AG$12,2,FALSE),0),0),0)))</f>
        <v/>
      </c>
      <c r="AZ77" s="7">
        <f>IF(LEFT(A77,7)="EXEMPLE",1,0)</f>
        <v/>
      </c>
      <c r="BA77" s="7">
        <f>IF(AND(AV77=1,AZ77=0,AC77&lt;&gt;"",W77&lt;&gt;"",N(V77)&gt;0),COUNTIFS($AV$3:AV77,1,$AZ$3:AZ77,0,$AC$3:AC77,"&lt;&gt;",$W$3:W77,"&lt;&gt;",$V$3:V77,"&gt;0"),"")</f>
        <v/>
      </c>
    </row>
    <row r="78">
      <c r="A78" s="12" t="n"/>
      <c r="B78" s="13" t="n"/>
      <c r="C78" s="13" t="n"/>
      <c r="D78" s="7">
        <f>IF(OR(B78="",C78=""),"",ROUND((C78-B78)*1440,0))</f>
        <v/>
      </c>
      <c r="E78" s="12" t="n"/>
      <c r="F78" s="12" t="n"/>
      <c r="G78" s="12" t="n"/>
      <c r="H78" s="12" t="n"/>
      <c r="I78" s="12" t="n"/>
      <c r="J78" s="12" t="n"/>
      <c r="K78" s="12" t="n"/>
      <c r="L78" s="14" t="n"/>
      <c r="M78" s="12" t="n"/>
      <c r="N78" s="12" t="n"/>
      <c r="O78" s="12" t="n"/>
      <c r="P78" s="12" t="n"/>
      <c r="Q78" s="7">
        <f>IF(A78="","",IFERROR(VLOOKUP(O78,Listes!$R$3:$T$8,2,FALSE),0)+IFERROR(VLOOKUP(J78,Listes!$J$3:$L$6,2,FALSE),0)+IFERROR(VLOOKUP(N78,Listes!$N$3:$P$6,2,FALSE),0)+IF(OR(L78="",B78=""),0,IF(L78-INT(B78)&lt;10,8,IF(L78-INT(B78)&lt;=90,10,5)))+IFERROR(VLOOKUP(AN78,Listes!$V$3:$W$5,2,FALSE),0)+IFERROR(VLOOKUP(AO78,Listes!$Y$3:$Z$5,2,FALSE),0))</f>
        <v/>
      </c>
      <c r="R78" s="12" t="n"/>
      <c r="S78" s="12" t="n"/>
      <c r="T78" s="12" t="n"/>
      <c r="U78" s="15" t="n"/>
      <c r="V78" s="15" t="n"/>
      <c r="W78" s="13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3" t="n"/>
      <c r="AK78" s="12" t="n"/>
      <c r="AL78" s="12" t="n"/>
      <c r="AM78" s="12" t="n"/>
      <c r="AN78" s="12" t="n"/>
      <c r="AO78" s="12" t="n"/>
      <c r="AP78" s="12" t="n"/>
      <c r="AQ78" s="7">
        <f>IF(A78="","",IF(AP78&lt;&gt;"",AP78,IF(LEFT(Z78,11)="gads_marque","Google Search – Marque",IF(LEFT(Z78,12)="gads_mariage","Google Search – Mariage et privé",IF(LEFT(Z78,10)="gads_corpo","Google Search – Corporatif",IF(LEFT(Z78,5)="meta_","Meta – Leads",IF(LEFT(Z78,5)="msft_","Microsoft Ads",IF(LEFT(Z78,8)="chatgpt_","ChatGPT Ads – Test",IF(X78="gbp","Fiche Google (organique)","Autre / non payé")))))))))</f>
        <v/>
      </c>
      <c r="AR78" s="7">
        <f>IF(K78="","",IFERROR(VLOOKUP(K78,Listes!$F$3:$H$8,3,FALSE),""))</f>
        <v/>
      </c>
      <c r="AS78" s="7">
        <f>IF(O78="","",IF(AND(M78="Autre (plus de 40 km)",OR(O78="lt600",O78="600_999",O78="1000_2499")),"D",IF(OR(O78="lt600",AND(O78="600_999",K78&lt;&gt;"mariage",K78&lt;&gt;"prive")),"C",IF(OR(O78="2500_4999",O78="5000p",J78="entreprise",J78="organisme",J78="agence"),"A",IF(OR(O78="1000_2499",O78="600_999"),"B",IF(O78="inconnu",IF(OR(N78="75_149",N78="150p"),"A","B"),""))))))</f>
        <v/>
      </c>
      <c r="AT78" s="7">
        <f>IF(A78="","",IF(P78&lt;&gt;"",P78,AS78))</f>
        <v/>
      </c>
      <c r="AU78" s="7">
        <f>IF(A78="","",IF(OR(AT78="A",AT78="B"),1,0))</f>
        <v/>
      </c>
      <c r="AV78" s="7">
        <f>IF(A78="","",IF(OR(R78="Dépôt payé (gagné)",R78="Événement livré",R78="Avis obtenu"),1,0))</f>
        <v/>
      </c>
      <c r="AW78" s="7">
        <f>IF(A78="","",IF(Q78&gt;70,"Immédiat – propriétaire",IF(Q78&gt;=40,"15 min – personne de garde","Selon la route")))</f>
        <v/>
      </c>
      <c r="AX78" s="11">
        <f>IF(A78="","",IF(AT78="A",400,IF(AT78="B",150,0)))</f>
        <v/>
      </c>
      <c r="AY78" s="11">
        <f>IF(A78="","",IF(AV78=1,N(V78),IF(N(U78)&gt;0,ROUND(N(U78)*IFERROR(VLOOKUP(R78,Listes!$AE$3:$AG$12,2,FALSE),0),0),0)))</f>
        <v/>
      </c>
      <c r="AZ78" s="7">
        <f>IF(LEFT(A78,7)="EXEMPLE",1,0)</f>
        <v/>
      </c>
      <c r="BA78" s="7">
        <f>IF(AND(AV78=1,AZ78=0,AC78&lt;&gt;"",W78&lt;&gt;"",N(V78)&gt;0),COUNTIFS($AV$3:AV78,1,$AZ$3:AZ78,0,$AC$3:AC78,"&lt;&gt;",$W$3:W78,"&lt;&gt;",$V$3:V78,"&gt;0"),"")</f>
        <v/>
      </c>
    </row>
    <row r="79">
      <c r="A79" s="12" t="n"/>
      <c r="B79" s="13" t="n"/>
      <c r="C79" s="13" t="n"/>
      <c r="D79" s="7">
        <f>IF(OR(B79="",C79=""),"",ROUND((C79-B79)*1440,0))</f>
        <v/>
      </c>
      <c r="E79" s="12" t="n"/>
      <c r="F79" s="12" t="n"/>
      <c r="G79" s="12" t="n"/>
      <c r="H79" s="12" t="n"/>
      <c r="I79" s="12" t="n"/>
      <c r="J79" s="12" t="n"/>
      <c r="K79" s="12" t="n"/>
      <c r="L79" s="14" t="n"/>
      <c r="M79" s="12" t="n"/>
      <c r="N79" s="12" t="n"/>
      <c r="O79" s="12" t="n"/>
      <c r="P79" s="12" t="n"/>
      <c r="Q79" s="7">
        <f>IF(A79="","",IFERROR(VLOOKUP(O79,Listes!$R$3:$T$8,2,FALSE),0)+IFERROR(VLOOKUP(J79,Listes!$J$3:$L$6,2,FALSE),0)+IFERROR(VLOOKUP(N79,Listes!$N$3:$P$6,2,FALSE),0)+IF(OR(L79="",B79=""),0,IF(L79-INT(B79)&lt;10,8,IF(L79-INT(B79)&lt;=90,10,5)))+IFERROR(VLOOKUP(AN79,Listes!$V$3:$W$5,2,FALSE),0)+IFERROR(VLOOKUP(AO79,Listes!$Y$3:$Z$5,2,FALSE),0))</f>
        <v/>
      </c>
      <c r="R79" s="12" t="n"/>
      <c r="S79" s="12" t="n"/>
      <c r="T79" s="12" t="n"/>
      <c r="U79" s="15" t="n"/>
      <c r="V79" s="15" t="n"/>
      <c r="W79" s="13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3" t="n"/>
      <c r="AK79" s="12" t="n"/>
      <c r="AL79" s="12" t="n"/>
      <c r="AM79" s="12" t="n"/>
      <c r="AN79" s="12" t="n"/>
      <c r="AO79" s="12" t="n"/>
      <c r="AP79" s="12" t="n"/>
      <c r="AQ79" s="7">
        <f>IF(A79="","",IF(AP79&lt;&gt;"",AP79,IF(LEFT(Z79,11)="gads_marque","Google Search – Marque",IF(LEFT(Z79,12)="gads_mariage","Google Search – Mariage et privé",IF(LEFT(Z79,10)="gads_corpo","Google Search – Corporatif",IF(LEFT(Z79,5)="meta_","Meta – Leads",IF(LEFT(Z79,5)="msft_","Microsoft Ads",IF(LEFT(Z79,8)="chatgpt_","ChatGPT Ads – Test",IF(X79="gbp","Fiche Google (organique)","Autre / non payé")))))))))</f>
        <v/>
      </c>
      <c r="AR79" s="7">
        <f>IF(K79="","",IFERROR(VLOOKUP(K79,Listes!$F$3:$H$8,3,FALSE),""))</f>
        <v/>
      </c>
      <c r="AS79" s="7">
        <f>IF(O79="","",IF(AND(M79="Autre (plus de 40 km)",OR(O79="lt600",O79="600_999",O79="1000_2499")),"D",IF(OR(O79="lt600",AND(O79="600_999",K79&lt;&gt;"mariage",K79&lt;&gt;"prive")),"C",IF(OR(O79="2500_4999",O79="5000p",J79="entreprise",J79="organisme",J79="agence"),"A",IF(OR(O79="1000_2499",O79="600_999"),"B",IF(O79="inconnu",IF(OR(N79="75_149",N79="150p"),"A","B"),""))))))</f>
        <v/>
      </c>
      <c r="AT79" s="7">
        <f>IF(A79="","",IF(P79&lt;&gt;"",P79,AS79))</f>
        <v/>
      </c>
      <c r="AU79" s="7">
        <f>IF(A79="","",IF(OR(AT79="A",AT79="B"),1,0))</f>
        <v/>
      </c>
      <c r="AV79" s="7">
        <f>IF(A79="","",IF(OR(R79="Dépôt payé (gagné)",R79="Événement livré",R79="Avis obtenu"),1,0))</f>
        <v/>
      </c>
      <c r="AW79" s="7">
        <f>IF(A79="","",IF(Q79&gt;70,"Immédiat – propriétaire",IF(Q79&gt;=40,"15 min – personne de garde","Selon la route")))</f>
        <v/>
      </c>
      <c r="AX79" s="11">
        <f>IF(A79="","",IF(AT79="A",400,IF(AT79="B",150,0)))</f>
        <v/>
      </c>
      <c r="AY79" s="11">
        <f>IF(A79="","",IF(AV79=1,N(V79),IF(N(U79)&gt;0,ROUND(N(U79)*IFERROR(VLOOKUP(R79,Listes!$AE$3:$AG$12,2,FALSE),0),0),0)))</f>
        <v/>
      </c>
      <c r="AZ79" s="7">
        <f>IF(LEFT(A79,7)="EXEMPLE",1,0)</f>
        <v/>
      </c>
      <c r="BA79" s="7">
        <f>IF(AND(AV79=1,AZ79=0,AC79&lt;&gt;"",W79&lt;&gt;"",N(V79)&gt;0),COUNTIFS($AV$3:AV79,1,$AZ$3:AZ79,0,$AC$3:AC79,"&lt;&gt;",$W$3:W79,"&lt;&gt;",$V$3:V79,"&gt;0"),"")</f>
        <v/>
      </c>
    </row>
    <row r="80">
      <c r="A80" s="12" t="n"/>
      <c r="B80" s="13" t="n"/>
      <c r="C80" s="13" t="n"/>
      <c r="D80" s="7">
        <f>IF(OR(B80="",C80=""),"",ROUND((C80-B80)*1440,0))</f>
        <v/>
      </c>
      <c r="E80" s="12" t="n"/>
      <c r="F80" s="12" t="n"/>
      <c r="G80" s="12" t="n"/>
      <c r="H80" s="12" t="n"/>
      <c r="I80" s="12" t="n"/>
      <c r="J80" s="12" t="n"/>
      <c r="K80" s="12" t="n"/>
      <c r="L80" s="14" t="n"/>
      <c r="M80" s="12" t="n"/>
      <c r="N80" s="12" t="n"/>
      <c r="O80" s="12" t="n"/>
      <c r="P80" s="12" t="n"/>
      <c r="Q80" s="7">
        <f>IF(A80="","",IFERROR(VLOOKUP(O80,Listes!$R$3:$T$8,2,FALSE),0)+IFERROR(VLOOKUP(J80,Listes!$J$3:$L$6,2,FALSE),0)+IFERROR(VLOOKUP(N80,Listes!$N$3:$P$6,2,FALSE),0)+IF(OR(L80="",B80=""),0,IF(L80-INT(B80)&lt;10,8,IF(L80-INT(B80)&lt;=90,10,5)))+IFERROR(VLOOKUP(AN80,Listes!$V$3:$W$5,2,FALSE),0)+IFERROR(VLOOKUP(AO80,Listes!$Y$3:$Z$5,2,FALSE),0))</f>
        <v/>
      </c>
      <c r="R80" s="12" t="n"/>
      <c r="S80" s="12" t="n"/>
      <c r="T80" s="12" t="n"/>
      <c r="U80" s="15" t="n"/>
      <c r="V80" s="15" t="n"/>
      <c r="W80" s="13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3" t="n"/>
      <c r="AK80" s="12" t="n"/>
      <c r="AL80" s="12" t="n"/>
      <c r="AM80" s="12" t="n"/>
      <c r="AN80" s="12" t="n"/>
      <c r="AO80" s="12" t="n"/>
      <c r="AP80" s="12" t="n"/>
      <c r="AQ80" s="7">
        <f>IF(A80="","",IF(AP80&lt;&gt;"",AP80,IF(LEFT(Z80,11)="gads_marque","Google Search – Marque",IF(LEFT(Z80,12)="gads_mariage","Google Search – Mariage et privé",IF(LEFT(Z80,10)="gads_corpo","Google Search – Corporatif",IF(LEFT(Z80,5)="meta_","Meta – Leads",IF(LEFT(Z80,5)="msft_","Microsoft Ads",IF(LEFT(Z80,8)="chatgpt_","ChatGPT Ads – Test",IF(X80="gbp","Fiche Google (organique)","Autre / non payé")))))))))</f>
        <v/>
      </c>
      <c r="AR80" s="7">
        <f>IF(K80="","",IFERROR(VLOOKUP(K80,Listes!$F$3:$H$8,3,FALSE),""))</f>
        <v/>
      </c>
      <c r="AS80" s="7">
        <f>IF(O80="","",IF(AND(M80="Autre (plus de 40 km)",OR(O80="lt600",O80="600_999",O80="1000_2499")),"D",IF(OR(O80="lt600",AND(O80="600_999",K80&lt;&gt;"mariage",K80&lt;&gt;"prive")),"C",IF(OR(O80="2500_4999",O80="5000p",J80="entreprise",J80="organisme",J80="agence"),"A",IF(OR(O80="1000_2499",O80="600_999"),"B",IF(O80="inconnu",IF(OR(N80="75_149",N80="150p"),"A","B"),""))))))</f>
        <v/>
      </c>
      <c r="AT80" s="7">
        <f>IF(A80="","",IF(P80&lt;&gt;"",P80,AS80))</f>
        <v/>
      </c>
      <c r="AU80" s="7">
        <f>IF(A80="","",IF(OR(AT80="A",AT80="B"),1,0))</f>
        <v/>
      </c>
      <c r="AV80" s="7">
        <f>IF(A80="","",IF(OR(R80="Dépôt payé (gagné)",R80="Événement livré",R80="Avis obtenu"),1,0))</f>
        <v/>
      </c>
      <c r="AW80" s="7">
        <f>IF(A80="","",IF(Q80&gt;70,"Immédiat – propriétaire",IF(Q80&gt;=40,"15 min – personne de garde","Selon la route")))</f>
        <v/>
      </c>
      <c r="AX80" s="11">
        <f>IF(A80="","",IF(AT80="A",400,IF(AT80="B",150,0)))</f>
        <v/>
      </c>
      <c r="AY80" s="11">
        <f>IF(A80="","",IF(AV80=1,N(V80),IF(N(U80)&gt;0,ROUND(N(U80)*IFERROR(VLOOKUP(R80,Listes!$AE$3:$AG$12,2,FALSE),0),0),0)))</f>
        <v/>
      </c>
      <c r="AZ80" s="7">
        <f>IF(LEFT(A80,7)="EXEMPLE",1,0)</f>
        <v/>
      </c>
      <c r="BA80" s="7">
        <f>IF(AND(AV80=1,AZ80=0,AC80&lt;&gt;"",W80&lt;&gt;"",N(V80)&gt;0),COUNTIFS($AV$3:AV80,1,$AZ$3:AZ80,0,$AC$3:AC80,"&lt;&gt;",$W$3:W80,"&lt;&gt;",$V$3:V80,"&gt;0"),"")</f>
        <v/>
      </c>
    </row>
    <row r="81">
      <c r="A81" s="12" t="n"/>
      <c r="B81" s="13" t="n"/>
      <c r="C81" s="13" t="n"/>
      <c r="D81" s="7">
        <f>IF(OR(B81="",C81=""),"",ROUND((C81-B81)*1440,0))</f>
        <v/>
      </c>
      <c r="E81" s="12" t="n"/>
      <c r="F81" s="12" t="n"/>
      <c r="G81" s="12" t="n"/>
      <c r="H81" s="12" t="n"/>
      <c r="I81" s="12" t="n"/>
      <c r="J81" s="12" t="n"/>
      <c r="K81" s="12" t="n"/>
      <c r="L81" s="14" t="n"/>
      <c r="M81" s="12" t="n"/>
      <c r="N81" s="12" t="n"/>
      <c r="O81" s="12" t="n"/>
      <c r="P81" s="12" t="n"/>
      <c r="Q81" s="7">
        <f>IF(A81="","",IFERROR(VLOOKUP(O81,Listes!$R$3:$T$8,2,FALSE),0)+IFERROR(VLOOKUP(J81,Listes!$J$3:$L$6,2,FALSE),0)+IFERROR(VLOOKUP(N81,Listes!$N$3:$P$6,2,FALSE),0)+IF(OR(L81="",B81=""),0,IF(L81-INT(B81)&lt;10,8,IF(L81-INT(B81)&lt;=90,10,5)))+IFERROR(VLOOKUP(AN81,Listes!$V$3:$W$5,2,FALSE),0)+IFERROR(VLOOKUP(AO81,Listes!$Y$3:$Z$5,2,FALSE),0))</f>
        <v/>
      </c>
      <c r="R81" s="12" t="n"/>
      <c r="S81" s="12" t="n"/>
      <c r="T81" s="12" t="n"/>
      <c r="U81" s="15" t="n"/>
      <c r="V81" s="15" t="n"/>
      <c r="W81" s="13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3" t="n"/>
      <c r="AK81" s="12" t="n"/>
      <c r="AL81" s="12" t="n"/>
      <c r="AM81" s="12" t="n"/>
      <c r="AN81" s="12" t="n"/>
      <c r="AO81" s="12" t="n"/>
      <c r="AP81" s="12" t="n"/>
      <c r="AQ81" s="7">
        <f>IF(A81="","",IF(AP81&lt;&gt;"",AP81,IF(LEFT(Z81,11)="gads_marque","Google Search – Marque",IF(LEFT(Z81,12)="gads_mariage","Google Search – Mariage et privé",IF(LEFT(Z81,10)="gads_corpo","Google Search – Corporatif",IF(LEFT(Z81,5)="meta_","Meta – Leads",IF(LEFT(Z81,5)="msft_","Microsoft Ads",IF(LEFT(Z81,8)="chatgpt_","ChatGPT Ads – Test",IF(X81="gbp","Fiche Google (organique)","Autre / non payé")))))))))</f>
        <v/>
      </c>
      <c r="AR81" s="7">
        <f>IF(K81="","",IFERROR(VLOOKUP(K81,Listes!$F$3:$H$8,3,FALSE),""))</f>
        <v/>
      </c>
      <c r="AS81" s="7">
        <f>IF(O81="","",IF(AND(M81="Autre (plus de 40 km)",OR(O81="lt600",O81="600_999",O81="1000_2499")),"D",IF(OR(O81="lt600",AND(O81="600_999",K81&lt;&gt;"mariage",K81&lt;&gt;"prive")),"C",IF(OR(O81="2500_4999",O81="5000p",J81="entreprise",J81="organisme",J81="agence"),"A",IF(OR(O81="1000_2499",O81="600_999"),"B",IF(O81="inconnu",IF(OR(N81="75_149",N81="150p"),"A","B"),""))))))</f>
        <v/>
      </c>
      <c r="AT81" s="7">
        <f>IF(A81="","",IF(P81&lt;&gt;"",P81,AS81))</f>
        <v/>
      </c>
      <c r="AU81" s="7">
        <f>IF(A81="","",IF(OR(AT81="A",AT81="B"),1,0))</f>
        <v/>
      </c>
      <c r="AV81" s="7">
        <f>IF(A81="","",IF(OR(R81="Dépôt payé (gagné)",R81="Événement livré",R81="Avis obtenu"),1,0))</f>
        <v/>
      </c>
      <c r="AW81" s="7">
        <f>IF(A81="","",IF(Q81&gt;70,"Immédiat – propriétaire",IF(Q81&gt;=40,"15 min – personne de garde","Selon la route")))</f>
        <v/>
      </c>
      <c r="AX81" s="11">
        <f>IF(A81="","",IF(AT81="A",400,IF(AT81="B",150,0)))</f>
        <v/>
      </c>
      <c r="AY81" s="11">
        <f>IF(A81="","",IF(AV81=1,N(V81),IF(N(U81)&gt;0,ROUND(N(U81)*IFERROR(VLOOKUP(R81,Listes!$AE$3:$AG$12,2,FALSE),0),0),0)))</f>
        <v/>
      </c>
      <c r="AZ81" s="7">
        <f>IF(LEFT(A81,7)="EXEMPLE",1,0)</f>
        <v/>
      </c>
      <c r="BA81" s="7">
        <f>IF(AND(AV81=1,AZ81=0,AC81&lt;&gt;"",W81&lt;&gt;"",N(V81)&gt;0),COUNTIFS($AV$3:AV81,1,$AZ$3:AZ81,0,$AC$3:AC81,"&lt;&gt;",$W$3:W81,"&lt;&gt;",$V$3:V81,"&gt;0"),"")</f>
        <v/>
      </c>
    </row>
    <row r="82">
      <c r="A82" s="12" t="n"/>
      <c r="B82" s="13" t="n"/>
      <c r="C82" s="13" t="n"/>
      <c r="D82" s="7">
        <f>IF(OR(B82="",C82=""),"",ROUND((C82-B82)*1440,0))</f>
        <v/>
      </c>
      <c r="E82" s="12" t="n"/>
      <c r="F82" s="12" t="n"/>
      <c r="G82" s="12" t="n"/>
      <c r="H82" s="12" t="n"/>
      <c r="I82" s="12" t="n"/>
      <c r="J82" s="12" t="n"/>
      <c r="K82" s="12" t="n"/>
      <c r="L82" s="14" t="n"/>
      <c r="M82" s="12" t="n"/>
      <c r="N82" s="12" t="n"/>
      <c r="O82" s="12" t="n"/>
      <c r="P82" s="12" t="n"/>
      <c r="Q82" s="7">
        <f>IF(A82="","",IFERROR(VLOOKUP(O82,Listes!$R$3:$T$8,2,FALSE),0)+IFERROR(VLOOKUP(J82,Listes!$J$3:$L$6,2,FALSE),0)+IFERROR(VLOOKUP(N82,Listes!$N$3:$P$6,2,FALSE),0)+IF(OR(L82="",B82=""),0,IF(L82-INT(B82)&lt;10,8,IF(L82-INT(B82)&lt;=90,10,5)))+IFERROR(VLOOKUP(AN82,Listes!$V$3:$W$5,2,FALSE),0)+IFERROR(VLOOKUP(AO82,Listes!$Y$3:$Z$5,2,FALSE),0))</f>
        <v/>
      </c>
      <c r="R82" s="12" t="n"/>
      <c r="S82" s="12" t="n"/>
      <c r="T82" s="12" t="n"/>
      <c r="U82" s="15" t="n"/>
      <c r="V82" s="15" t="n"/>
      <c r="W82" s="13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3" t="n"/>
      <c r="AK82" s="12" t="n"/>
      <c r="AL82" s="12" t="n"/>
      <c r="AM82" s="12" t="n"/>
      <c r="AN82" s="12" t="n"/>
      <c r="AO82" s="12" t="n"/>
      <c r="AP82" s="12" t="n"/>
      <c r="AQ82" s="7">
        <f>IF(A82="","",IF(AP82&lt;&gt;"",AP82,IF(LEFT(Z82,11)="gads_marque","Google Search – Marque",IF(LEFT(Z82,12)="gads_mariage","Google Search – Mariage et privé",IF(LEFT(Z82,10)="gads_corpo","Google Search – Corporatif",IF(LEFT(Z82,5)="meta_","Meta – Leads",IF(LEFT(Z82,5)="msft_","Microsoft Ads",IF(LEFT(Z82,8)="chatgpt_","ChatGPT Ads – Test",IF(X82="gbp","Fiche Google (organique)","Autre / non payé")))))))))</f>
        <v/>
      </c>
      <c r="AR82" s="7">
        <f>IF(K82="","",IFERROR(VLOOKUP(K82,Listes!$F$3:$H$8,3,FALSE),""))</f>
        <v/>
      </c>
      <c r="AS82" s="7">
        <f>IF(O82="","",IF(AND(M82="Autre (plus de 40 km)",OR(O82="lt600",O82="600_999",O82="1000_2499")),"D",IF(OR(O82="lt600",AND(O82="600_999",K82&lt;&gt;"mariage",K82&lt;&gt;"prive")),"C",IF(OR(O82="2500_4999",O82="5000p",J82="entreprise",J82="organisme",J82="agence"),"A",IF(OR(O82="1000_2499",O82="600_999"),"B",IF(O82="inconnu",IF(OR(N82="75_149",N82="150p"),"A","B"),""))))))</f>
        <v/>
      </c>
      <c r="AT82" s="7">
        <f>IF(A82="","",IF(P82&lt;&gt;"",P82,AS82))</f>
        <v/>
      </c>
      <c r="AU82" s="7">
        <f>IF(A82="","",IF(OR(AT82="A",AT82="B"),1,0))</f>
        <v/>
      </c>
      <c r="AV82" s="7">
        <f>IF(A82="","",IF(OR(R82="Dépôt payé (gagné)",R82="Événement livré",R82="Avis obtenu"),1,0))</f>
        <v/>
      </c>
      <c r="AW82" s="7">
        <f>IF(A82="","",IF(Q82&gt;70,"Immédiat – propriétaire",IF(Q82&gt;=40,"15 min – personne de garde","Selon la route")))</f>
        <v/>
      </c>
      <c r="AX82" s="11">
        <f>IF(A82="","",IF(AT82="A",400,IF(AT82="B",150,0)))</f>
        <v/>
      </c>
      <c r="AY82" s="11">
        <f>IF(A82="","",IF(AV82=1,N(V82),IF(N(U82)&gt;0,ROUND(N(U82)*IFERROR(VLOOKUP(R82,Listes!$AE$3:$AG$12,2,FALSE),0),0),0)))</f>
        <v/>
      </c>
      <c r="AZ82" s="7">
        <f>IF(LEFT(A82,7)="EXEMPLE",1,0)</f>
        <v/>
      </c>
      <c r="BA82" s="7">
        <f>IF(AND(AV82=1,AZ82=0,AC82&lt;&gt;"",W82&lt;&gt;"",N(V82)&gt;0),COUNTIFS($AV$3:AV82,1,$AZ$3:AZ82,0,$AC$3:AC82,"&lt;&gt;",$W$3:W82,"&lt;&gt;",$V$3:V82,"&gt;0"),"")</f>
        <v/>
      </c>
    </row>
    <row r="83">
      <c r="A83" s="12" t="n"/>
      <c r="B83" s="13" t="n"/>
      <c r="C83" s="13" t="n"/>
      <c r="D83" s="7">
        <f>IF(OR(B83="",C83=""),"",ROUND((C83-B83)*1440,0))</f>
        <v/>
      </c>
      <c r="E83" s="12" t="n"/>
      <c r="F83" s="12" t="n"/>
      <c r="G83" s="12" t="n"/>
      <c r="H83" s="12" t="n"/>
      <c r="I83" s="12" t="n"/>
      <c r="J83" s="12" t="n"/>
      <c r="K83" s="12" t="n"/>
      <c r="L83" s="14" t="n"/>
      <c r="M83" s="12" t="n"/>
      <c r="N83" s="12" t="n"/>
      <c r="O83" s="12" t="n"/>
      <c r="P83" s="12" t="n"/>
      <c r="Q83" s="7">
        <f>IF(A83="","",IFERROR(VLOOKUP(O83,Listes!$R$3:$T$8,2,FALSE),0)+IFERROR(VLOOKUP(J83,Listes!$J$3:$L$6,2,FALSE),0)+IFERROR(VLOOKUP(N83,Listes!$N$3:$P$6,2,FALSE),0)+IF(OR(L83="",B83=""),0,IF(L83-INT(B83)&lt;10,8,IF(L83-INT(B83)&lt;=90,10,5)))+IFERROR(VLOOKUP(AN83,Listes!$V$3:$W$5,2,FALSE),0)+IFERROR(VLOOKUP(AO83,Listes!$Y$3:$Z$5,2,FALSE),0))</f>
        <v/>
      </c>
      <c r="R83" s="12" t="n"/>
      <c r="S83" s="12" t="n"/>
      <c r="T83" s="12" t="n"/>
      <c r="U83" s="15" t="n"/>
      <c r="V83" s="15" t="n"/>
      <c r="W83" s="13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3" t="n"/>
      <c r="AK83" s="12" t="n"/>
      <c r="AL83" s="12" t="n"/>
      <c r="AM83" s="12" t="n"/>
      <c r="AN83" s="12" t="n"/>
      <c r="AO83" s="12" t="n"/>
      <c r="AP83" s="12" t="n"/>
      <c r="AQ83" s="7">
        <f>IF(A83="","",IF(AP83&lt;&gt;"",AP83,IF(LEFT(Z83,11)="gads_marque","Google Search – Marque",IF(LEFT(Z83,12)="gads_mariage","Google Search – Mariage et privé",IF(LEFT(Z83,10)="gads_corpo","Google Search – Corporatif",IF(LEFT(Z83,5)="meta_","Meta – Leads",IF(LEFT(Z83,5)="msft_","Microsoft Ads",IF(LEFT(Z83,8)="chatgpt_","ChatGPT Ads – Test",IF(X83="gbp","Fiche Google (organique)","Autre / non payé")))))))))</f>
        <v/>
      </c>
      <c r="AR83" s="7">
        <f>IF(K83="","",IFERROR(VLOOKUP(K83,Listes!$F$3:$H$8,3,FALSE),""))</f>
        <v/>
      </c>
      <c r="AS83" s="7">
        <f>IF(O83="","",IF(AND(M83="Autre (plus de 40 km)",OR(O83="lt600",O83="600_999",O83="1000_2499")),"D",IF(OR(O83="lt600",AND(O83="600_999",K83&lt;&gt;"mariage",K83&lt;&gt;"prive")),"C",IF(OR(O83="2500_4999",O83="5000p",J83="entreprise",J83="organisme",J83="agence"),"A",IF(OR(O83="1000_2499",O83="600_999"),"B",IF(O83="inconnu",IF(OR(N83="75_149",N83="150p"),"A","B"),""))))))</f>
        <v/>
      </c>
      <c r="AT83" s="7">
        <f>IF(A83="","",IF(P83&lt;&gt;"",P83,AS83))</f>
        <v/>
      </c>
      <c r="AU83" s="7">
        <f>IF(A83="","",IF(OR(AT83="A",AT83="B"),1,0))</f>
        <v/>
      </c>
      <c r="AV83" s="7">
        <f>IF(A83="","",IF(OR(R83="Dépôt payé (gagné)",R83="Événement livré",R83="Avis obtenu"),1,0))</f>
        <v/>
      </c>
      <c r="AW83" s="7">
        <f>IF(A83="","",IF(Q83&gt;70,"Immédiat – propriétaire",IF(Q83&gt;=40,"15 min – personne de garde","Selon la route")))</f>
        <v/>
      </c>
      <c r="AX83" s="11">
        <f>IF(A83="","",IF(AT83="A",400,IF(AT83="B",150,0)))</f>
        <v/>
      </c>
      <c r="AY83" s="11">
        <f>IF(A83="","",IF(AV83=1,N(V83),IF(N(U83)&gt;0,ROUND(N(U83)*IFERROR(VLOOKUP(R83,Listes!$AE$3:$AG$12,2,FALSE),0),0),0)))</f>
        <v/>
      </c>
      <c r="AZ83" s="7">
        <f>IF(LEFT(A83,7)="EXEMPLE",1,0)</f>
        <v/>
      </c>
      <c r="BA83" s="7">
        <f>IF(AND(AV83=1,AZ83=0,AC83&lt;&gt;"",W83&lt;&gt;"",N(V83)&gt;0),COUNTIFS($AV$3:AV83,1,$AZ$3:AZ83,0,$AC$3:AC83,"&lt;&gt;",$W$3:W83,"&lt;&gt;",$V$3:V83,"&gt;0"),"")</f>
        <v/>
      </c>
    </row>
    <row r="84">
      <c r="A84" s="12" t="n"/>
      <c r="B84" s="13" t="n"/>
      <c r="C84" s="13" t="n"/>
      <c r="D84" s="7">
        <f>IF(OR(B84="",C84=""),"",ROUND((C84-B84)*1440,0))</f>
        <v/>
      </c>
      <c r="E84" s="12" t="n"/>
      <c r="F84" s="12" t="n"/>
      <c r="G84" s="12" t="n"/>
      <c r="H84" s="12" t="n"/>
      <c r="I84" s="12" t="n"/>
      <c r="J84" s="12" t="n"/>
      <c r="K84" s="12" t="n"/>
      <c r="L84" s="14" t="n"/>
      <c r="M84" s="12" t="n"/>
      <c r="N84" s="12" t="n"/>
      <c r="O84" s="12" t="n"/>
      <c r="P84" s="12" t="n"/>
      <c r="Q84" s="7">
        <f>IF(A84="","",IFERROR(VLOOKUP(O84,Listes!$R$3:$T$8,2,FALSE),0)+IFERROR(VLOOKUP(J84,Listes!$J$3:$L$6,2,FALSE),0)+IFERROR(VLOOKUP(N84,Listes!$N$3:$P$6,2,FALSE),0)+IF(OR(L84="",B84=""),0,IF(L84-INT(B84)&lt;10,8,IF(L84-INT(B84)&lt;=90,10,5)))+IFERROR(VLOOKUP(AN84,Listes!$V$3:$W$5,2,FALSE),0)+IFERROR(VLOOKUP(AO84,Listes!$Y$3:$Z$5,2,FALSE),0))</f>
        <v/>
      </c>
      <c r="R84" s="12" t="n"/>
      <c r="S84" s="12" t="n"/>
      <c r="T84" s="12" t="n"/>
      <c r="U84" s="15" t="n"/>
      <c r="V84" s="15" t="n"/>
      <c r="W84" s="13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3" t="n"/>
      <c r="AK84" s="12" t="n"/>
      <c r="AL84" s="12" t="n"/>
      <c r="AM84" s="12" t="n"/>
      <c r="AN84" s="12" t="n"/>
      <c r="AO84" s="12" t="n"/>
      <c r="AP84" s="12" t="n"/>
      <c r="AQ84" s="7">
        <f>IF(A84="","",IF(AP84&lt;&gt;"",AP84,IF(LEFT(Z84,11)="gads_marque","Google Search – Marque",IF(LEFT(Z84,12)="gads_mariage","Google Search – Mariage et privé",IF(LEFT(Z84,10)="gads_corpo","Google Search – Corporatif",IF(LEFT(Z84,5)="meta_","Meta – Leads",IF(LEFT(Z84,5)="msft_","Microsoft Ads",IF(LEFT(Z84,8)="chatgpt_","ChatGPT Ads – Test",IF(X84="gbp","Fiche Google (organique)","Autre / non payé")))))))))</f>
        <v/>
      </c>
      <c r="AR84" s="7">
        <f>IF(K84="","",IFERROR(VLOOKUP(K84,Listes!$F$3:$H$8,3,FALSE),""))</f>
        <v/>
      </c>
      <c r="AS84" s="7">
        <f>IF(O84="","",IF(AND(M84="Autre (plus de 40 km)",OR(O84="lt600",O84="600_999",O84="1000_2499")),"D",IF(OR(O84="lt600",AND(O84="600_999",K84&lt;&gt;"mariage",K84&lt;&gt;"prive")),"C",IF(OR(O84="2500_4999",O84="5000p",J84="entreprise",J84="organisme",J84="agence"),"A",IF(OR(O84="1000_2499",O84="600_999"),"B",IF(O84="inconnu",IF(OR(N84="75_149",N84="150p"),"A","B"),""))))))</f>
        <v/>
      </c>
      <c r="AT84" s="7">
        <f>IF(A84="","",IF(P84&lt;&gt;"",P84,AS84))</f>
        <v/>
      </c>
      <c r="AU84" s="7">
        <f>IF(A84="","",IF(OR(AT84="A",AT84="B"),1,0))</f>
        <v/>
      </c>
      <c r="AV84" s="7">
        <f>IF(A84="","",IF(OR(R84="Dépôt payé (gagné)",R84="Événement livré",R84="Avis obtenu"),1,0))</f>
        <v/>
      </c>
      <c r="AW84" s="7">
        <f>IF(A84="","",IF(Q84&gt;70,"Immédiat – propriétaire",IF(Q84&gt;=40,"15 min – personne de garde","Selon la route")))</f>
        <v/>
      </c>
      <c r="AX84" s="11">
        <f>IF(A84="","",IF(AT84="A",400,IF(AT84="B",150,0)))</f>
        <v/>
      </c>
      <c r="AY84" s="11">
        <f>IF(A84="","",IF(AV84=1,N(V84),IF(N(U84)&gt;0,ROUND(N(U84)*IFERROR(VLOOKUP(R84,Listes!$AE$3:$AG$12,2,FALSE),0),0),0)))</f>
        <v/>
      </c>
      <c r="AZ84" s="7">
        <f>IF(LEFT(A84,7)="EXEMPLE",1,0)</f>
        <v/>
      </c>
      <c r="BA84" s="7">
        <f>IF(AND(AV84=1,AZ84=0,AC84&lt;&gt;"",W84&lt;&gt;"",N(V84)&gt;0),COUNTIFS($AV$3:AV84,1,$AZ$3:AZ84,0,$AC$3:AC84,"&lt;&gt;",$W$3:W84,"&lt;&gt;",$V$3:V84,"&gt;0"),"")</f>
        <v/>
      </c>
    </row>
    <row r="85">
      <c r="A85" s="12" t="n"/>
      <c r="B85" s="13" t="n"/>
      <c r="C85" s="13" t="n"/>
      <c r="D85" s="7">
        <f>IF(OR(B85="",C85=""),"",ROUND((C85-B85)*1440,0))</f>
        <v/>
      </c>
      <c r="E85" s="12" t="n"/>
      <c r="F85" s="12" t="n"/>
      <c r="G85" s="12" t="n"/>
      <c r="H85" s="12" t="n"/>
      <c r="I85" s="12" t="n"/>
      <c r="J85" s="12" t="n"/>
      <c r="K85" s="12" t="n"/>
      <c r="L85" s="14" t="n"/>
      <c r="M85" s="12" t="n"/>
      <c r="N85" s="12" t="n"/>
      <c r="O85" s="12" t="n"/>
      <c r="P85" s="12" t="n"/>
      <c r="Q85" s="7">
        <f>IF(A85="","",IFERROR(VLOOKUP(O85,Listes!$R$3:$T$8,2,FALSE),0)+IFERROR(VLOOKUP(J85,Listes!$J$3:$L$6,2,FALSE),0)+IFERROR(VLOOKUP(N85,Listes!$N$3:$P$6,2,FALSE),0)+IF(OR(L85="",B85=""),0,IF(L85-INT(B85)&lt;10,8,IF(L85-INT(B85)&lt;=90,10,5)))+IFERROR(VLOOKUP(AN85,Listes!$V$3:$W$5,2,FALSE),0)+IFERROR(VLOOKUP(AO85,Listes!$Y$3:$Z$5,2,FALSE),0))</f>
        <v/>
      </c>
      <c r="R85" s="12" t="n"/>
      <c r="S85" s="12" t="n"/>
      <c r="T85" s="12" t="n"/>
      <c r="U85" s="15" t="n"/>
      <c r="V85" s="15" t="n"/>
      <c r="W85" s="13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3" t="n"/>
      <c r="AK85" s="12" t="n"/>
      <c r="AL85" s="12" t="n"/>
      <c r="AM85" s="12" t="n"/>
      <c r="AN85" s="12" t="n"/>
      <c r="AO85" s="12" t="n"/>
      <c r="AP85" s="12" t="n"/>
      <c r="AQ85" s="7">
        <f>IF(A85="","",IF(AP85&lt;&gt;"",AP85,IF(LEFT(Z85,11)="gads_marque","Google Search – Marque",IF(LEFT(Z85,12)="gads_mariage","Google Search – Mariage et privé",IF(LEFT(Z85,10)="gads_corpo","Google Search – Corporatif",IF(LEFT(Z85,5)="meta_","Meta – Leads",IF(LEFT(Z85,5)="msft_","Microsoft Ads",IF(LEFT(Z85,8)="chatgpt_","ChatGPT Ads – Test",IF(X85="gbp","Fiche Google (organique)","Autre / non payé")))))))))</f>
        <v/>
      </c>
      <c r="AR85" s="7">
        <f>IF(K85="","",IFERROR(VLOOKUP(K85,Listes!$F$3:$H$8,3,FALSE),""))</f>
        <v/>
      </c>
      <c r="AS85" s="7">
        <f>IF(O85="","",IF(AND(M85="Autre (plus de 40 km)",OR(O85="lt600",O85="600_999",O85="1000_2499")),"D",IF(OR(O85="lt600",AND(O85="600_999",K85&lt;&gt;"mariage",K85&lt;&gt;"prive")),"C",IF(OR(O85="2500_4999",O85="5000p",J85="entreprise",J85="organisme",J85="agence"),"A",IF(OR(O85="1000_2499",O85="600_999"),"B",IF(O85="inconnu",IF(OR(N85="75_149",N85="150p"),"A","B"),""))))))</f>
        <v/>
      </c>
      <c r="AT85" s="7">
        <f>IF(A85="","",IF(P85&lt;&gt;"",P85,AS85))</f>
        <v/>
      </c>
      <c r="AU85" s="7">
        <f>IF(A85="","",IF(OR(AT85="A",AT85="B"),1,0))</f>
        <v/>
      </c>
      <c r="AV85" s="7">
        <f>IF(A85="","",IF(OR(R85="Dépôt payé (gagné)",R85="Événement livré",R85="Avis obtenu"),1,0))</f>
        <v/>
      </c>
      <c r="AW85" s="7">
        <f>IF(A85="","",IF(Q85&gt;70,"Immédiat – propriétaire",IF(Q85&gt;=40,"15 min – personne de garde","Selon la route")))</f>
        <v/>
      </c>
      <c r="AX85" s="11">
        <f>IF(A85="","",IF(AT85="A",400,IF(AT85="B",150,0)))</f>
        <v/>
      </c>
      <c r="AY85" s="11">
        <f>IF(A85="","",IF(AV85=1,N(V85),IF(N(U85)&gt;0,ROUND(N(U85)*IFERROR(VLOOKUP(R85,Listes!$AE$3:$AG$12,2,FALSE),0),0),0)))</f>
        <v/>
      </c>
      <c r="AZ85" s="7">
        <f>IF(LEFT(A85,7)="EXEMPLE",1,0)</f>
        <v/>
      </c>
      <c r="BA85" s="7">
        <f>IF(AND(AV85=1,AZ85=0,AC85&lt;&gt;"",W85&lt;&gt;"",N(V85)&gt;0),COUNTIFS($AV$3:AV85,1,$AZ$3:AZ85,0,$AC$3:AC85,"&lt;&gt;",$W$3:W85,"&lt;&gt;",$V$3:V85,"&gt;0"),"")</f>
        <v/>
      </c>
    </row>
    <row r="86">
      <c r="A86" s="12" t="n"/>
      <c r="B86" s="13" t="n"/>
      <c r="C86" s="13" t="n"/>
      <c r="D86" s="7">
        <f>IF(OR(B86="",C86=""),"",ROUND((C86-B86)*1440,0))</f>
        <v/>
      </c>
      <c r="E86" s="12" t="n"/>
      <c r="F86" s="12" t="n"/>
      <c r="G86" s="12" t="n"/>
      <c r="H86" s="12" t="n"/>
      <c r="I86" s="12" t="n"/>
      <c r="J86" s="12" t="n"/>
      <c r="K86" s="12" t="n"/>
      <c r="L86" s="14" t="n"/>
      <c r="M86" s="12" t="n"/>
      <c r="N86" s="12" t="n"/>
      <c r="O86" s="12" t="n"/>
      <c r="P86" s="12" t="n"/>
      <c r="Q86" s="7">
        <f>IF(A86="","",IFERROR(VLOOKUP(O86,Listes!$R$3:$T$8,2,FALSE),0)+IFERROR(VLOOKUP(J86,Listes!$J$3:$L$6,2,FALSE),0)+IFERROR(VLOOKUP(N86,Listes!$N$3:$P$6,2,FALSE),0)+IF(OR(L86="",B86=""),0,IF(L86-INT(B86)&lt;10,8,IF(L86-INT(B86)&lt;=90,10,5)))+IFERROR(VLOOKUP(AN86,Listes!$V$3:$W$5,2,FALSE),0)+IFERROR(VLOOKUP(AO86,Listes!$Y$3:$Z$5,2,FALSE),0))</f>
        <v/>
      </c>
      <c r="R86" s="12" t="n"/>
      <c r="S86" s="12" t="n"/>
      <c r="T86" s="12" t="n"/>
      <c r="U86" s="15" t="n"/>
      <c r="V86" s="15" t="n"/>
      <c r="W86" s="13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3" t="n"/>
      <c r="AK86" s="12" t="n"/>
      <c r="AL86" s="12" t="n"/>
      <c r="AM86" s="12" t="n"/>
      <c r="AN86" s="12" t="n"/>
      <c r="AO86" s="12" t="n"/>
      <c r="AP86" s="12" t="n"/>
      <c r="AQ86" s="7">
        <f>IF(A86="","",IF(AP86&lt;&gt;"",AP86,IF(LEFT(Z86,11)="gads_marque","Google Search – Marque",IF(LEFT(Z86,12)="gads_mariage","Google Search – Mariage et privé",IF(LEFT(Z86,10)="gads_corpo","Google Search – Corporatif",IF(LEFT(Z86,5)="meta_","Meta – Leads",IF(LEFT(Z86,5)="msft_","Microsoft Ads",IF(LEFT(Z86,8)="chatgpt_","ChatGPT Ads – Test",IF(X86="gbp","Fiche Google (organique)","Autre / non payé")))))))))</f>
        <v/>
      </c>
      <c r="AR86" s="7">
        <f>IF(K86="","",IFERROR(VLOOKUP(K86,Listes!$F$3:$H$8,3,FALSE),""))</f>
        <v/>
      </c>
      <c r="AS86" s="7">
        <f>IF(O86="","",IF(AND(M86="Autre (plus de 40 km)",OR(O86="lt600",O86="600_999",O86="1000_2499")),"D",IF(OR(O86="lt600",AND(O86="600_999",K86&lt;&gt;"mariage",K86&lt;&gt;"prive")),"C",IF(OR(O86="2500_4999",O86="5000p",J86="entreprise",J86="organisme",J86="agence"),"A",IF(OR(O86="1000_2499",O86="600_999"),"B",IF(O86="inconnu",IF(OR(N86="75_149",N86="150p"),"A","B"),""))))))</f>
        <v/>
      </c>
      <c r="AT86" s="7">
        <f>IF(A86="","",IF(P86&lt;&gt;"",P86,AS86))</f>
        <v/>
      </c>
      <c r="AU86" s="7">
        <f>IF(A86="","",IF(OR(AT86="A",AT86="B"),1,0))</f>
        <v/>
      </c>
      <c r="AV86" s="7">
        <f>IF(A86="","",IF(OR(R86="Dépôt payé (gagné)",R86="Événement livré",R86="Avis obtenu"),1,0))</f>
        <v/>
      </c>
      <c r="AW86" s="7">
        <f>IF(A86="","",IF(Q86&gt;70,"Immédiat – propriétaire",IF(Q86&gt;=40,"15 min – personne de garde","Selon la route")))</f>
        <v/>
      </c>
      <c r="AX86" s="11">
        <f>IF(A86="","",IF(AT86="A",400,IF(AT86="B",150,0)))</f>
        <v/>
      </c>
      <c r="AY86" s="11">
        <f>IF(A86="","",IF(AV86=1,N(V86),IF(N(U86)&gt;0,ROUND(N(U86)*IFERROR(VLOOKUP(R86,Listes!$AE$3:$AG$12,2,FALSE),0),0),0)))</f>
        <v/>
      </c>
      <c r="AZ86" s="7">
        <f>IF(LEFT(A86,7)="EXEMPLE",1,0)</f>
        <v/>
      </c>
      <c r="BA86" s="7">
        <f>IF(AND(AV86=1,AZ86=0,AC86&lt;&gt;"",W86&lt;&gt;"",N(V86)&gt;0),COUNTIFS($AV$3:AV86,1,$AZ$3:AZ86,0,$AC$3:AC86,"&lt;&gt;",$W$3:W86,"&lt;&gt;",$V$3:V86,"&gt;0"),"")</f>
        <v/>
      </c>
    </row>
    <row r="87">
      <c r="A87" s="12" t="n"/>
      <c r="B87" s="13" t="n"/>
      <c r="C87" s="13" t="n"/>
      <c r="D87" s="7">
        <f>IF(OR(B87="",C87=""),"",ROUND((C87-B87)*1440,0))</f>
        <v/>
      </c>
      <c r="E87" s="12" t="n"/>
      <c r="F87" s="12" t="n"/>
      <c r="G87" s="12" t="n"/>
      <c r="H87" s="12" t="n"/>
      <c r="I87" s="12" t="n"/>
      <c r="J87" s="12" t="n"/>
      <c r="K87" s="12" t="n"/>
      <c r="L87" s="14" t="n"/>
      <c r="M87" s="12" t="n"/>
      <c r="N87" s="12" t="n"/>
      <c r="O87" s="12" t="n"/>
      <c r="P87" s="12" t="n"/>
      <c r="Q87" s="7">
        <f>IF(A87="","",IFERROR(VLOOKUP(O87,Listes!$R$3:$T$8,2,FALSE),0)+IFERROR(VLOOKUP(J87,Listes!$J$3:$L$6,2,FALSE),0)+IFERROR(VLOOKUP(N87,Listes!$N$3:$P$6,2,FALSE),0)+IF(OR(L87="",B87=""),0,IF(L87-INT(B87)&lt;10,8,IF(L87-INT(B87)&lt;=90,10,5)))+IFERROR(VLOOKUP(AN87,Listes!$V$3:$W$5,2,FALSE),0)+IFERROR(VLOOKUP(AO87,Listes!$Y$3:$Z$5,2,FALSE),0))</f>
        <v/>
      </c>
      <c r="R87" s="12" t="n"/>
      <c r="S87" s="12" t="n"/>
      <c r="T87" s="12" t="n"/>
      <c r="U87" s="15" t="n"/>
      <c r="V87" s="15" t="n"/>
      <c r="W87" s="13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3" t="n"/>
      <c r="AK87" s="12" t="n"/>
      <c r="AL87" s="12" t="n"/>
      <c r="AM87" s="12" t="n"/>
      <c r="AN87" s="12" t="n"/>
      <c r="AO87" s="12" t="n"/>
      <c r="AP87" s="12" t="n"/>
      <c r="AQ87" s="7">
        <f>IF(A87="","",IF(AP87&lt;&gt;"",AP87,IF(LEFT(Z87,11)="gads_marque","Google Search – Marque",IF(LEFT(Z87,12)="gads_mariage","Google Search – Mariage et privé",IF(LEFT(Z87,10)="gads_corpo","Google Search – Corporatif",IF(LEFT(Z87,5)="meta_","Meta – Leads",IF(LEFT(Z87,5)="msft_","Microsoft Ads",IF(LEFT(Z87,8)="chatgpt_","ChatGPT Ads – Test",IF(X87="gbp","Fiche Google (organique)","Autre / non payé")))))))))</f>
        <v/>
      </c>
      <c r="AR87" s="7">
        <f>IF(K87="","",IFERROR(VLOOKUP(K87,Listes!$F$3:$H$8,3,FALSE),""))</f>
        <v/>
      </c>
      <c r="AS87" s="7">
        <f>IF(O87="","",IF(AND(M87="Autre (plus de 40 km)",OR(O87="lt600",O87="600_999",O87="1000_2499")),"D",IF(OR(O87="lt600",AND(O87="600_999",K87&lt;&gt;"mariage",K87&lt;&gt;"prive")),"C",IF(OR(O87="2500_4999",O87="5000p",J87="entreprise",J87="organisme",J87="agence"),"A",IF(OR(O87="1000_2499",O87="600_999"),"B",IF(O87="inconnu",IF(OR(N87="75_149",N87="150p"),"A","B"),""))))))</f>
        <v/>
      </c>
      <c r="AT87" s="7">
        <f>IF(A87="","",IF(P87&lt;&gt;"",P87,AS87))</f>
        <v/>
      </c>
      <c r="AU87" s="7">
        <f>IF(A87="","",IF(OR(AT87="A",AT87="B"),1,0))</f>
        <v/>
      </c>
      <c r="AV87" s="7">
        <f>IF(A87="","",IF(OR(R87="Dépôt payé (gagné)",R87="Événement livré",R87="Avis obtenu"),1,0))</f>
        <v/>
      </c>
      <c r="AW87" s="7">
        <f>IF(A87="","",IF(Q87&gt;70,"Immédiat – propriétaire",IF(Q87&gt;=40,"15 min – personne de garde","Selon la route")))</f>
        <v/>
      </c>
      <c r="AX87" s="11">
        <f>IF(A87="","",IF(AT87="A",400,IF(AT87="B",150,0)))</f>
        <v/>
      </c>
      <c r="AY87" s="11">
        <f>IF(A87="","",IF(AV87=1,N(V87),IF(N(U87)&gt;0,ROUND(N(U87)*IFERROR(VLOOKUP(R87,Listes!$AE$3:$AG$12,2,FALSE),0),0),0)))</f>
        <v/>
      </c>
      <c r="AZ87" s="7">
        <f>IF(LEFT(A87,7)="EXEMPLE",1,0)</f>
        <v/>
      </c>
      <c r="BA87" s="7">
        <f>IF(AND(AV87=1,AZ87=0,AC87&lt;&gt;"",W87&lt;&gt;"",N(V87)&gt;0),COUNTIFS($AV$3:AV87,1,$AZ$3:AZ87,0,$AC$3:AC87,"&lt;&gt;",$W$3:W87,"&lt;&gt;",$V$3:V87,"&gt;0"),"")</f>
        <v/>
      </c>
    </row>
    <row r="88">
      <c r="A88" s="12" t="n"/>
      <c r="B88" s="13" t="n"/>
      <c r="C88" s="13" t="n"/>
      <c r="D88" s="7">
        <f>IF(OR(B88="",C88=""),"",ROUND((C88-B88)*1440,0))</f>
        <v/>
      </c>
      <c r="E88" s="12" t="n"/>
      <c r="F88" s="12" t="n"/>
      <c r="G88" s="12" t="n"/>
      <c r="H88" s="12" t="n"/>
      <c r="I88" s="12" t="n"/>
      <c r="J88" s="12" t="n"/>
      <c r="K88" s="12" t="n"/>
      <c r="L88" s="14" t="n"/>
      <c r="M88" s="12" t="n"/>
      <c r="N88" s="12" t="n"/>
      <c r="O88" s="12" t="n"/>
      <c r="P88" s="12" t="n"/>
      <c r="Q88" s="7">
        <f>IF(A88="","",IFERROR(VLOOKUP(O88,Listes!$R$3:$T$8,2,FALSE),0)+IFERROR(VLOOKUP(J88,Listes!$J$3:$L$6,2,FALSE),0)+IFERROR(VLOOKUP(N88,Listes!$N$3:$P$6,2,FALSE),0)+IF(OR(L88="",B88=""),0,IF(L88-INT(B88)&lt;10,8,IF(L88-INT(B88)&lt;=90,10,5)))+IFERROR(VLOOKUP(AN88,Listes!$V$3:$W$5,2,FALSE),0)+IFERROR(VLOOKUP(AO88,Listes!$Y$3:$Z$5,2,FALSE),0))</f>
        <v/>
      </c>
      <c r="R88" s="12" t="n"/>
      <c r="S88" s="12" t="n"/>
      <c r="T88" s="12" t="n"/>
      <c r="U88" s="15" t="n"/>
      <c r="V88" s="15" t="n"/>
      <c r="W88" s="13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3" t="n"/>
      <c r="AK88" s="12" t="n"/>
      <c r="AL88" s="12" t="n"/>
      <c r="AM88" s="12" t="n"/>
      <c r="AN88" s="12" t="n"/>
      <c r="AO88" s="12" t="n"/>
      <c r="AP88" s="12" t="n"/>
      <c r="AQ88" s="7">
        <f>IF(A88="","",IF(AP88&lt;&gt;"",AP88,IF(LEFT(Z88,11)="gads_marque","Google Search – Marque",IF(LEFT(Z88,12)="gads_mariage","Google Search – Mariage et privé",IF(LEFT(Z88,10)="gads_corpo","Google Search – Corporatif",IF(LEFT(Z88,5)="meta_","Meta – Leads",IF(LEFT(Z88,5)="msft_","Microsoft Ads",IF(LEFT(Z88,8)="chatgpt_","ChatGPT Ads – Test",IF(X88="gbp","Fiche Google (organique)","Autre / non payé")))))))))</f>
        <v/>
      </c>
      <c r="AR88" s="7">
        <f>IF(K88="","",IFERROR(VLOOKUP(K88,Listes!$F$3:$H$8,3,FALSE),""))</f>
        <v/>
      </c>
      <c r="AS88" s="7">
        <f>IF(O88="","",IF(AND(M88="Autre (plus de 40 km)",OR(O88="lt600",O88="600_999",O88="1000_2499")),"D",IF(OR(O88="lt600",AND(O88="600_999",K88&lt;&gt;"mariage",K88&lt;&gt;"prive")),"C",IF(OR(O88="2500_4999",O88="5000p",J88="entreprise",J88="organisme",J88="agence"),"A",IF(OR(O88="1000_2499",O88="600_999"),"B",IF(O88="inconnu",IF(OR(N88="75_149",N88="150p"),"A","B"),""))))))</f>
        <v/>
      </c>
      <c r="AT88" s="7">
        <f>IF(A88="","",IF(P88&lt;&gt;"",P88,AS88))</f>
        <v/>
      </c>
      <c r="AU88" s="7">
        <f>IF(A88="","",IF(OR(AT88="A",AT88="B"),1,0))</f>
        <v/>
      </c>
      <c r="AV88" s="7">
        <f>IF(A88="","",IF(OR(R88="Dépôt payé (gagné)",R88="Événement livré",R88="Avis obtenu"),1,0))</f>
        <v/>
      </c>
      <c r="AW88" s="7">
        <f>IF(A88="","",IF(Q88&gt;70,"Immédiat – propriétaire",IF(Q88&gt;=40,"15 min – personne de garde","Selon la route")))</f>
        <v/>
      </c>
      <c r="AX88" s="11">
        <f>IF(A88="","",IF(AT88="A",400,IF(AT88="B",150,0)))</f>
        <v/>
      </c>
      <c r="AY88" s="11">
        <f>IF(A88="","",IF(AV88=1,N(V88),IF(N(U88)&gt;0,ROUND(N(U88)*IFERROR(VLOOKUP(R88,Listes!$AE$3:$AG$12,2,FALSE),0),0),0)))</f>
        <v/>
      </c>
      <c r="AZ88" s="7">
        <f>IF(LEFT(A88,7)="EXEMPLE",1,0)</f>
        <v/>
      </c>
      <c r="BA88" s="7">
        <f>IF(AND(AV88=1,AZ88=0,AC88&lt;&gt;"",W88&lt;&gt;"",N(V88)&gt;0),COUNTIFS($AV$3:AV88,1,$AZ$3:AZ88,0,$AC$3:AC88,"&lt;&gt;",$W$3:W88,"&lt;&gt;",$V$3:V88,"&gt;0"),"")</f>
        <v/>
      </c>
    </row>
    <row r="89">
      <c r="A89" s="12" t="n"/>
      <c r="B89" s="13" t="n"/>
      <c r="C89" s="13" t="n"/>
      <c r="D89" s="7">
        <f>IF(OR(B89="",C89=""),"",ROUND((C89-B89)*1440,0))</f>
        <v/>
      </c>
      <c r="E89" s="12" t="n"/>
      <c r="F89" s="12" t="n"/>
      <c r="G89" s="12" t="n"/>
      <c r="H89" s="12" t="n"/>
      <c r="I89" s="12" t="n"/>
      <c r="J89" s="12" t="n"/>
      <c r="K89" s="12" t="n"/>
      <c r="L89" s="14" t="n"/>
      <c r="M89" s="12" t="n"/>
      <c r="N89" s="12" t="n"/>
      <c r="O89" s="12" t="n"/>
      <c r="P89" s="12" t="n"/>
      <c r="Q89" s="7">
        <f>IF(A89="","",IFERROR(VLOOKUP(O89,Listes!$R$3:$T$8,2,FALSE),0)+IFERROR(VLOOKUP(J89,Listes!$J$3:$L$6,2,FALSE),0)+IFERROR(VLOOKUP(N89,Listes!$N$3:$P$6,2,FALSE),0)+IF(OR(L89="",B89=""),0,IF(L89-INT(B89)&lt;10,8,IF(L89-INT(B89)&lt;=90,10,5)))+IFERROR(VLOOKUP(AN89,Listes!$V$3:$W$5,2,FALSE),0)+IFERROR(VLOOKUP(AO89,Listes!$Y$3:$Z$5,2,FALSE),0))</f>
        <v/>
      </c>
      <c r="R89" s="12" t="n"/>
      <c r="S89" s="12" t="n"/>
      <c r="T89" s="12" t="n"/>
      <c r="U89" s="15" t="n"/>
      <c r="V89" s="15" t="n"/>
      <c r="W89" s="13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3" t="n"/>
      <c r="AK89" s="12" t="n"/>
      <c r="AL89" s="12" t="n"/>
      <c r="AM89" s="12" t="n"/>
      <c r="AN89" s="12" t="n"/>
      <c r="AO89" s="12" t="n"/>
      <c r="AP89" s="12" t="n"/>
      <c r="AQ89" s="7">
        <f>IF(A89="","",IF(AP89&lt;&gt;"",AP89,IF(LEFT(Z89,11)="gads_marque","Google Search – Marque",IF(LEFT(Z89,12)="gads_mariage","Google Search – Mariage et privé",IF(LEFT(Z89,10)="gads_corpo","Google Search – Corporatif",IF(LEFT(Z89,5)="meta_","Meta – Leads",IF(LEFT(Z89,5)="msft_","Microsoft Ads",IF(LEFT(Z89,8)="chatgpt_","ChatGPT Ads – Test",IF(X89="gbp","Fiche Google (organique)","Autre / non payé")))))))))</f>
        <v/>
      </c>
      <c r="AR89" s="7">
        <f>IF(K89="","",IFERROR(VLOOKUP(K89,Listes!$F$3:$H$8,3,FALSE),""))</f>
        <v/>
      </c>
      <c r="AS89" s="7">
        <f>IF(O89="","",IF(AND(M89="Autre (plus de 40 km)",OR(O89="lt600",O89="600_999",O89="1000_2499")),"D",IF(OR(O89="lt600",AND(O89="600_999",K89&lt;&gt;"mariage",K89&lt;&gt;"prive")),"C",IF(OR(O89="2500_4999",O89="5000p",J89="entreprise",J89="organisme",J89="agence"),"A",IF(OR(O89="1000_2499",O89="600_999"),"B",IF(O89="inconnu",IF(OR(N89="75_149",N89="150p"),"A","B"),""))))))</f>
        <v/>
      </c>
      <c r="AT89" s="7">
        <f>IF(A89="","",IF(P89&lt;&gt;"",P89,AS89))</f>
        <v/>
      </c>
      <c r="AU89" s="7">
        <f>IF(A89="","",IF(OR(AT89="A",AT89="B"),1,0))</f>
        <v/>
      </c>
      <c r="AV89" s="7">
        <f>IF(A89="","",IF(OR(R89="Dépôt payé (gagné)",R89="Événement livré",R89="Avis obtenu"),1,0))</f>
        <v/>
      </c>
      <c r="AW89" s="7">
        <f>IF(A89="","",IF(Q89&gt;70,"Immédiat – propriétaire",IF(Q89&gt;=40,"15 min – personne de garde","Selon la route")))</f>
        <v/>
      </c>
      <c r="AX89" s="11">
        <f>IF(A89="","",IF(AT89="A",400,IF(AT89="B",150,0)))</f>
        <v/>
      </c>
      <c r="AY89" s="11">
        <f>IF(A89="","",IF(AV89=1,N(V89),IF(N(U89)&gt;0,ROUND(N(U89)*IFERROR(VLOOKUP(R89,Listes!$AE$3:$AG$12,2,FALSE),0),0),0)))</f>
        <v/>
      </c>
      <c r="AZ89" s="7">
        <f>IF(LEFT(A89,7)="EXEMPLE",1,0)</f>
        <v/>
      </c>
      <c r="BA89" s="7">
        <f>IF(AND(AV89=1,AZ89=0,AC89&lt;&gt;"",W89&lt;&gt;"",N(V89)&gt;0),COUNTIFS($AV$3:AV89,1,$AZ$3:AZ89,0,$AC$3:AC89,"&lt;&gt;",$W$3:W89,"&lt;&gt;",$V$3:V89,"&gt;0"),"")</f>
        <v/>
      </c>
    </row>
    <row r="90">
      <c r="A90" s="12" t="n"/>
      <c r="B90" s="13" t="n"/>
      <c r="C90" s="13" t="n"/>
      <c r="D90" s="7">
        <f>IF(OR(B90="",C90=""),"",ROUND((C90-B90)*1440,0))</f>
        <v/>
      </c>
      <c r="E90" s="12" t="n"/>
      <c r="F90" s="12" t="n"/>
      <c r="G90" s="12" t="n"/>
      <c r="H90" s="12" t="n"/>
      <c r="I90" s="12" t="n"/>
      <c r="J90" s="12" t="n"/>
      <c r="K90" s="12" t="n"/>
      <c r="L90" s="14" t="n"/>
      <c r="M90" s="12" t="n"/>
      <c r="N90" s="12" t="n"/>
      <c r="O90" s="12" t="n"/>
      <c r="P90" s="12" t="n"/>
      <c r="Q90" s="7">
        <f>IF(A90="","",IFERROR(VLOOKUP(O90,Listes!$R$3:$T$8,2,FALSE),0)+IFERROR(VLOOKUP(J90,Listes!$J$3:$L$6,2,FALSE),0)+IFERROR(VLOOKUP(N90,Listes!$N$3:$P$6,2,FALSE),0)+IF(OR(L90="",B90=""),0,IF(L90-INT(B90)&lt;10,8,IF(L90-INT(B90)&lt;=90,10,5)))+IFERROR(VLOOKUP(AN90,Listes!$V$3:$W$5,2,FALSE),0)+IFERROR(VLOOKUP(AO90,Listes!$Y$3:$Z$5,2,FALSE),0))</f>
        <v/>
      </c>
      <c r="R90" s="12" t="n"/>
      <c r="S90" s="12" t="n"/>
      <c r="T90" s="12" t="n"/>
      <c r="U90" s="15" t="n"/>
      <c r="V90" s="15" t="n"/>
      <c r="W90" s="13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3" t="n"/>
      <c r="AK90" s="12" t="n"/>
      <c r="AL90" s="12" t="n"/>
      <c r="AM90" s="12" t="n"/>
      <c r="AN90" s="12" t="n"/>
      <c r="AO90" s="12" t="n"/>
      <c r="AP90" s="12" t="n"/>
      <c r="AQ90" s="7">
        <f>IF(A90="","",IF(AP90&lt;&gt;"",AP90,IF(LEFT(Z90,11)="gads_marque","Google Search – Marque",IF(LEFT(Z90,12)="gads_mariage","Google Search – Mariage et privé",IF(LEFT(Z90,10)="gads_corpo","Google Search – Corporatif",IF(LEFT(Z90,5)="meta_","Meta – Leads",IF(LEFT(Z90,5)="msft_","Microsoft Ads",IF(LEFT(Z90,8)="chatgpt_","ChatGPT Ads – Test",IF(X90="gbp","Fiche Google (organique)","Autre / non payé")))))))))</f>
        <v/>
      </c>
      <c r="AR90" s="7">
        <f>IF(K90="","",IFERROR(VLOOKUP(K90,Listes!$F$3:$H$8,3,FALSE),""))</f>
        <v/>
      </c>
      <c r="AS90" s="7">
        <f>IF(O90="","",IF(AND(M90="Autre (plus de 40 km)",OR(O90="lt600",O90="600_999",O90="1000_2499")),"D",IF(OR(O90="lt600",AND(O90="600_999",K90&lt;&gt;"mariage",K90&lt;&gt;"prive")),"C",IF(OR(O90="2500_4999",O90="5000p",J90="entreprise",J90="organisme",J90="agence"),"A",IF(OR(O90="1000_2499",O90="600_999"),"B",IF(O90="inconnu",IF(OR(N90="75_149",N90="150p"),"A","B"),""))))))</f>
        <v/>
      </c>
      <c r="AT90" s="7">
        <f>IF(A90="","",IF(P90&lt;&gt;"",P90,AS90))</f>
        <v/>
      </c>
      <c r="AU90" s="7">
        <f>IF(A90="","",IF(OR(AT90="A",AT90="B"),1,0))</f>
        <v/>
      </c>
      <c r="AV90" s="7">
        <f>IF(A90="","",IF(OR(R90="Dépôt payé (gagné)",R90="Événement livré",R90="Avis obtenu"),1,0))</f>
        <v/>
      </c>
      <c r="AW90" s="7">
        <f>IF(A90="","",IF(Q90&gt;70,"Immédiat – propriétaire",IF(Q90&gt;=40,"15 min – personne de garde","Selon la route")))</f>
        <v/>
      </c>
      <c r="AX90" s="11">
        <f>IF(A90="","",IF(AT90="A",400,IF(AT90="B",150,0)))</f>
        <v/>
      </c>
      <c r="AY90" s="11">
        <f>IF(A90="","",IF(AV90=1,N(V90),IF(N(U90)&gt;0,ROUND(N(U90)*IFERROR(VLOOKUP(R90,Listes!$AE$3:$AG$12,2,FALSE),0),0),0)))</f>
        <v/>
      </c>
      <c r="AZ90" s="7">
        <f>IF(LEFT(A90,7)="EXEMPLE",1,0)</f>
        <v/>
      </c>
      <c r="BA90" s="7">
        <f>IF(AND(AV90=1,AZ90=0,AC90&lt;&gt;"",W90&lt;&gt;"",N(V90)&gt;0),COUNTIFS($AV$3:AV90,1,$AZ$3:AZ90,0,$AC$3:AC90,"&lt;&gt;",$W$3:W90,"&lt;&gt;",$V$3:V90,"&gt;0"),"")</f>
        <v/>
      </c>
    </row>
    <row r="91">
      <c r="A91" s="12" t="n"/>
      <c r="B91" s="13" t="n"/>
      <c r="C91" s="13" t="n"/>
      <c r="D91" s="7">
        <f>IF(OR(B91="",C91=""),"",ROUND((C91-B91)*1440,0))</f>
        <v/>
      </c>
      <c r="E91" s="12" t="n"/>
      <c r="F91" s="12" t="n"/>
      <c r="G91" s="12" t="n"/>
      <c r="H91" s="12" t="n"/>
      <c r="I91" s="12" t="n"/>
      <c r="J91" s="12" t="n"/>
      <c r="K91" s="12" t="n"/>
      <c r="L91" s="14" t="n"/>
      <c r="M91" s="12" t="n"/>
      <c r="N91" s="12" t="n"/>
      <c r="O91" s="12" t="n"/>
      <c r="P91" s="12" t="n"/>
      <c r="Q91" s="7">
        <f>IF(A91="","",IFERROR(VLOOKUP(O91,Listes!$R$3:$T$8,2,FALSE),0)+IFERROR(VLOOKUP(J91,Listes!$J$3:$L$6,2,FALSE),0)+IFERROR(VLOOKUP(N91,Listes!$N$3:$P$6,2,FALSE),0)+IF(OR(L91="",B91=""),0,IF(L91-INT(B91)&lt;10,8,IF(L91-INT(B91)&lt;=90,10,5)))+IFERROR(VLOOKUP(AN91,Listes!$V$3:$W$5,2,FALSE),0)+IFERROR(VLOOKUP(AO91,Listes!$Y$3:$Z$5,2,FALSE),0))</f>
        <v/>
      </c>
      <c r="R91" s="12" t="n"/>
      <c r="S91" s="12" t="n"/>
      <c r="T91" s="12" t="n"/>
      <c r="U91" s="15" t="n"/>
      <c r="V91" s="15" t="n"/>
      <c r="W91" s="13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3" t="n"/>
      <c r="AK91" s="12" t="n"/>
      <c r="AL91" s="12" t="n"/>
      <c r="AM91" s="12" t="n"/>
      <c r="AN91" s="12" t="n"/>
      <c r="AO91" s="12" t="n"/>
      <c r="AP91" s="12" t="n"/>
      <c r="AQ91" s="7">
        <f>IF(A91="","",IF(AP91&lt;&gt;"",AP91,IF(LEFT(Z91,11)="gads_marque","Google Search – Marque",IF(LEFT(Z91,12)="gads_mariage","Google Search – Mariage et privé",IF(LEFT(Z91,10)="gads_corpo","Google Search – Corporatif",IF(LEFT(Z91,5)="meta_","Meta – Leads",IF(LEFT(Z91,5)="msft_","Microsoft Ads",IF(LEFT(Z91,8)="chatgpt_","ChatGPT Ads – Test",IF(X91="gbp","Fiche Google (organique)","Autre / non payé")))))))))</f>
        <v/>
      </c>
      <c r="AR91" s="7">
        <f>IF(K91="","",IFERROR(VLOOKUP(K91,Listes!$F$3:$H$8,3,FALSE),""))</f>
        <v/>
      </c>
      <c r="AS91" s="7">
        <f>IF(O91="","",IF(AND(M91="Autre (plus de 40 km)",OR(O91="lt600",O91="600_999",O91="1000_2499")),"D",IF(OR(O91="lt600",AND(O91="600_999",K91&lt;&gt;"mariage",K91&lt;&gt;"prive")),"C",IF(OR(O91="2500_4999",O91="5000p",J91="entreprise",J91="organisme",J91="agence"),"A",IF(OR(O91="1000_2499",O91="600_999"),"B",IF(O91="inconnu",IF(OR(N91="75_149",N91="150p"),"A","B"),""))))))</f>
        <v/>
      </c>
      <c r="AT91" s="7">
        <f>IF(A91="","",IF(P91&lt;&gt;"",P91,AS91))</f>
        <v/>
      </c>
      <c r="AU91" s="7">
        <f>IF(A91="","",IF(OR(AT91="A",AT91="B"),1,0))</f>
        <v/>
      </c>
      <c r="AV91" s="7">
        <f>IF(A91="","",IF(OR(R91="Dépôt payé (gagné)",R91="Événement livré",R91="Avis obtenu"),1,0))</f>
        <v/>
      </c>
      <c r="AW91" s="7">
        <f>IF(A91="","",IF(Q91&gt;70,"Immédiat – propriétaire",IF(Q91&gt;=40,"15 min – personne de garde","Selon la route")))</f>
        <v/>
      </c>
      <c r="AX91" s="11">
        <f>IF(A91="","",IF(AT91="A",400,IF(AT91="B",150,0)))</f>
        <v/>
      </c>
      <c r="AY91" s="11">
        <f>IF(A91="","",IF(AV91=1,N(V91),IF(N(U91)&gt;0,ROUND(N(U91)*IFERROR(VLOOKUP(R91,Listes!$AE$3:$AG$12,2,FALSE),0),0),0)))</f>
        <v/>
      </c>
      <c r="AZ91" s="7">
        <f>IF(LEFT(A91,7)="EXEMPLE",1,0)</f>
        <v/>
      </c>
      <c r="BA91" s="7">
        <f>IF(AND(AV91=1,AZ91=0,AC91&lt;&gt;"",W91&lt;&gt;"",N(V91)&gt;0),COUNTIFS($AV$3:AV91,1,$AZ$3:AZ91,0,$AC$3:AC91,"&lt;&gt;",$W$3:W91,"&lt;&gt;",$V$3:V91,"&gt;0"),"")</f>
        <v/>
      </c>
    </row>
    <row r="92">
      <c r="A92" s="12" t="n"/>
      <c r="B92" s="13" t="n"/>
      <c r="C92" s="13" t="n"/>
      <c r="D92" s="7">
        <f>IF(OR(B92="",C92=""),"",ROUND((C92-B92)*1440,0))</f>
        <v/>
      </c>
      <c r="E92" s="12" t="n"/>
      <c r="F92" s="12" t="n"/>
      <c r="G92" s="12" t="n"/>
      <c r="H92" s="12" t="n"/>
      <c r="I92" s="12" t="n"/>
      <c r="J92" s="12" t="n"/>
      <c r="K92" s="12" t="n"/>
      <c r="L92" s="14" t="n"/>
      <c r="M92" s="12" t="n"/>
      <c r="N92" s="12" t="n"/>
      <c r="O92" s="12" t="n"/>
      <c r="P92" s="12" t="n"/>
      <c r="Q92" s="7">
        <f>IF(A92="","",IFERROR(VLOOKUP(O92,Listes!$R$3:$T$8,2,FALSE),0)+IFERROR(VLOOKUP(J92,Listes!$J$3:$L$6,2,FALSE),0)+IFERROR(VLOOKUP(N92,Listes!$N$3:$P$6,2,FALSE),0)+IF(OR(L92="",B92=""),0,IF(L92-INT(B92)&lt;10,8,IF(L92-INT(B92)&lt;=90,10,5)))+IFERROR(VLOOKUP(AN92,Listes!$V$3:$W$5,2,FALSE),0)+IFERROR(VLOOKUP(AO92,Listes!$Y$3:$Z$5,2,FALSE),0))</f>
        <v/>
      </c>
      <c r="R92" s="12" t="n"/>
      <c r="S92" s="12" t="n"/>
      <c r="T92" s="12" t="n"/>
      <c r="U92" s="15" t="n"/>
      <c r="V92" s="15" t="n"/>
      <c r="W92" s="13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3" t="n"/>
      <c r="AK92" s="12" t="n"/>
      <c r="AL92" s="12" t="n"/>
      <c r="AM92" s="12" t="n"/>
      <c r="AN92" s="12" t="n"/>
      <c r="AO92" s="12" t="n"/>
      <c r="AP92" s="12" t="n"/>
      <c r="AQ92" s="7">
        <f>IF(A92="","",IF(AP92&lt;&gt;"",AP92,IF(LEFT(Z92,11)="gads_marque","Google Search – Marque",IF(LEFT(Z92,12)="gads_mariage","Google Search – Mariage et privé",IF(LEFT(Z92,10)="gads_corpo","Google Search – Corporatif",IF(LEFT(Z92,5)="meta_","Meta – Leads",IF(LEFT(Z92,5)="msft_","Microsoft Ads",IF(LEFT(Z92,8)="chatgpt_","ChatGPT Ads – Test",IF(X92="gbp","Fiche Google (organique)","Autre / non payé")))))))))</f>
        <v/>
      </c>
      <c r="AR92" s="7">
        <f>IF(K92="","",IFERROR(VLOOKUP(K92,Listes!$F$3:$H$8,3,FALSE),""))</f>
        <v/>
      </c>
      <c r="AS92" s="7">
        <f>IF(O92="","",IF(AND(M92="Autre (plus de 40 km)",OR(O92="lt600",O92="600_999",O92="1000_2499")),"D",IF(OR(O92="lt600",AND(O92="600_999",K92&lt;&gt;"mariage",K92&lt;&gt;"prive")),"C",IF(OR(O92="2500_4999",O92="5000p",J92="entreprise",J92="organisme",J92="agence"),"A",IF(OR(O92="1000_2499",O92="600_999"),"B",IF(O92="inconnu",IF(OR(N92="75_149",N92="150p"),"A","B"),""))))))</f>
        <v/>
      </c>
      <c r="AT92" s="7">
        <f>IF(A92="","",IF(P92&lt;&gt;"",P92,AS92))</f>
        <v/>
      </c>
      <c r="AU92" s="7">
        <f>IF(A92="","",IF(OR(AT92="A",AT92="B"),1,0))</f>
        <v/>
      </c>
      <c r="AV92" s="7">
        <f>IF(A92="","",IF(OR(R92="Dépôt payé (gagné)",R92="Événement livré",R92="Avis obtenu"),1,0))</f>
        <v/>
      </c>
      <c r="AW92" s="7">
        <f>IF(A92="","",IF(Q92&gt;70,"Immédiat – propriétaire",IF(Q92&gt;=40,"15 min – personne de garde","Selon la route")))</f>
        <v/>
      </c>
      <c r="AX92" s="11">
        <f>IF(A92="","",IF(AT92="A",400,IF(AT92="B",150,0)))</f>
        <v/>
      </c>
      <c r="AY92" s="11">
        <f>IF(A92="","",IF(AV92=1,N(V92),IF(N(U92)&gt;0,ROUND(N(U92)*IFERROR(VLOOKUP(R92,Listes!$AE$3:$AG$12,2,FALSE),0),0),0)))</f>
        <v/>
      </c>
      <c r="AZ92" s="7">
        <f>IF(LEFT(A92,7)="EXEMPLE",1,0)</f>
        <v/>
      </c>
      <c r="BA92" s="7">
        <f>IF(AND(AV92=1,AZ92=0,AC92&lt;&gt;"",W92&lt;&gt;"",N(V92)&gt;0),COUNTIFS($AV$3:AV92,1,$AZ$3:AZ92,0,$AC$3:AC92,"&lt;&gt;",$W$3:W92,"&lt;&gt;",$V$3:V92,"&gt;0"),"")</f>
        <v/>
      </c>
    </row>
    <row r="93">
      <c r="A93" s="12" t="n"/>
      <c r="B93" s="13" t="n"/>
      <c r="C93" s="13" t="n"/>
      <c r="D93" s="7">
        <f>IF(OR(B93="",C93=""),"",ROUND((C93-B93)*1440,0))</f>
        <v/>
      </c>
      <c r="E93" s="12" t="n"/>
      <c r="F93" s="12" t="n"/>
      <c r="G93" s="12" t="n"/>
      <c r="H93" s="12" t="n"/>
      <c r="I93" s="12" t="n"/>
      <c r="J93" s="12" t="n"/>
      <c r="K93" s="12" t="n"/>
      <c r="L93" s="14" t="n"/>
      <c r="M93" s="12" t="n"/>
      <c r="N93" s="12" t="n"/>
      <c r="O93" s="12" t="n"/>
      <c r="P93" s="12" t="n"/>
      <c r="Q93" s="7">
        <f>IF(A93="","",IFERROR(VLOOKUP(O93,Listes!$R$3:$T$8,2,FALSE),0)+IFERROR(VLOOKUP(J93,Listes!$J$3:$L$6,2,FALSE),0)+IFERROR(VLOOKUP(N93,Listes!$N$3:$P$6,2,FALSE),0)+IF(OR(L93="",B93=""),0,IF(L93-INT(B93)&lt;10,8,IF(L93-INT(B93)&lt;=90,10,5)))+IFERROR(VLOOKUP(AN93,Listes!$V$3:$W$5,2,FALSE),0)+IFERROR(VLOOKUP(AO93,Listes!$Y$3:$Z$5,2,FALSE),0))</f>
        <v/>
      </c>
      <c r="R93" s="12" t="n"/>
      <c r="S93" s="12" t="n"/>
      <c r="T93" s="12" t="n"/>
      <c r="U93" s="15" t="n"/>
      <c r="V93" s="15" t="n"/>
      <c r="W93" s="13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3" t="n"/>
      <c r="AK93" s="12" t="n"/>
      <c r="AL93" s="12" t="n"/>
      <c r="AM93" s="12" t="n"/>
      <c r="AN93" s="12" t="n"/>
      <c r="AO93" s="12" t="n"/>
      <c r="AP93" s="12" t="n"/>
      <c r="AQ93" s="7">
        <f>IF(A93="","",IF(AP93&lt;&gt;"",AP93,IF(LEFT(Z93,11)="gads_marque","Google Search – Marque",IF(LEFT(Z93,12)="gads_mariage","Google Search – Mariage et privé",IF(LEFT(Z93,10)="gads_corpo","Google Search – Corporatif",IF(LEFT(Z93,5)="meta_","Meta – Leads",IF(LEFT(Z93,5)="msft_","Microsoft Ads",IF(LEFT(Z93,8)="chatgpt_","ChatGPT Ads – Test",IF(X93="gbp","Fiche Google (organique)","Autre / non payé")))))))))</f>
        <v/>
      </c>
      <c r="AR93" s="7">
        <f>IF(K93="","",IFERROR(VLOOKUP(K93,Listes!$F$3:$H$8,3,FALSE),""))</f>
        <v/>
      </c>
      <c r="AS93" s="7">
        <f>IF(O93="","",IF(AND(M93="Autre (plus de 40 km)",OR(O93="lt600",O93="600_999",O93="1000_2499")),"D",IF(OR(O93="lt600",AND(O93="600_999",K93&lt;&gt;"mariage",K93&lt;&gt;"prive")),"C",IF(OR(O93="2500_4999",O93="5000p",J93="entreprise",J93="organisme",J93="agence"),"A",IF(OR(O93="1000_2499",O93="600_999"),"B",IF(O93="inconnu",IF(OR(N93="75_149",N93="150p"),"A","B"),""))))))</f>
        <v/>
      </c>
      <c r="AT93" s="7">
        <f>IF(A93="","",IF(P93&lt;&gt;"",P93,AS93))</f>
        <v/>
      </c>
      <c r="AU93" s="7">
        <f>IF(A93="","",IF(OR(AT93="A",AT93="B"),1,0))</f>
        <v/>
      </c>
      <c r="AV93" s="7">
        <f>IF(A93="","",IF(OR(R93="Dépôt payé (gagné)",R93="Événement livré",R93="Avis obtenu"),1,0))</f>
        <v/>
      </c>
      <c r="AW93" s="7">
        <f>IF(A93="","",IF(Q93&gt;70,"Immédiat – propriétaire",IF(Q93&gt;=40,"15 min – personne de garde","Selon la route")))</f>
        <v/>
      </c>
      <c r="AX93" s="11">
        <f>IF(A93="","",IF(AT93="A",400,IF(AT93="B",150,0)))</f>
        <v/>
      </c>
      <c r="AY93" s="11">
        <f>IF(A93="","",IF(AV93=1,N(V93),IF(N(U93)&gt;0,ROUND(N(U93)*IFERROR(VLOOKUP(R93,Listes!$AE$3:$AG$12,2,FALSE),0),0),0)))</f>
        <v/>
      </c>
      <c r="AZ93" s="7">
        <f>IF(LEFT(A93,7)="EXEMPLE",1,0)</f>
        <v/>
      </c>
      <c r="BA93" s="7">
        <f>IF(AND(AV93=1,AZ93=0,AC93&lt;&gt;"",W93&lt;&gt;"",N(V93)&gt;0),COUNTIFS($AV$3:AV93,1,$AZ$3:AZ93,0,$AC$3:AC93,"&lt;&gt;",$W$3:W93,"&lt;&gt;",$V$3:V93,"&gt;0"),"")</f>
        <v/>
      </c>
    </row>
    <row r="94">
      <c r="A94" s="12" t="n"/>
      <c r="B94" s="13" t="n"/>
      <c r="C94" s="13" t="n"/>
      <c r="D94" s="7">
        <f>IF(OR(B94="",C94=""),"",ROUND((C94-B94)*1440,0))</f>
        <v/>
      </c>
      <c r="E94" s="12" t="n"/>
      <c r="F94" s="12" t="n"/>
      <c r="G94" s="12" t="n"/>
      <c r="H94" s="12" t="n"/>
      <c r="I94" s="12" t="n"/>
      <c r="J94" s="12" t="n"/>
      <c r="K94" s="12" t="n"/>
      <c r="L94" s="14" t="n"/>
      <c r="M94" s="12" t="n"/>
      <c r="N94" s="12" t="n"/>
      <c r="O94" s="12" t="n"/>
      <c r="P94" s="12" t="n"/>
      <c r="Q94" s="7">
        <f>IF(A94="","",IFERROR(VLOOKUP(O94,Listes!$R$3:$T$8,2,FALSE),0)+IFERROR(VLOOKUP(J94,Listes!$J$3:$L$6,2,FALSE),0)+IFERROR(VLOOKUP(N94,Listes!$N$3:$P$6,2,FALSE),0)+IF(OR(L94="",B94=""),0,IF(L94-INT(B94)&lt;10,8,IF(L94-INT(B94)&lt;=90,10,5)))+IFERROR(VLOOKUP(AN94,Listes!$V$3:$W$5,2,FALSE),0)+IFERROR(VLOOKUP(AO94,Listes!$Y$3:$Z$5,2,FALSE),0))</f>
        <v/>
      </c>
      <c r="R94" s="12" t="n"/>
      <c r="S94" s="12" t="n"/>
      <c r="T94" s="12" t="n"/>
      <c r="U94" s="15" t="n"/>
      <c r="V94" s="15" t="n"/>
      <c r="W94" s="13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3" t="n"/>
      <c r="AK94" s="12" t="n"/>
      <c r="AL94" s="12" t="n"/>
      <c r="AM94" s="12" t="n"/>
      <c r="AN94" s="12" t="n"/>
      <c r="AO94" s="12" t="n"/>
      <c r="AP94" s="12" t="n"/>
      <c r="AQ94" s="7">
        <f>IF(A94="","",IF(AP94&lt;&gt;"",AP94,IF(LEFT(Z94,11)="gads_marque","Google Search – Marque",IF(LEFT(Z94,12)="gads_mariage","Google Search – Mariage et privé",IF(LEFT(Z94,10)="gads_corpo","Google Search – Corporatif",IF(LEFT(Z94,5)="meta_","Meta – Leads",IF(LEFT(Z94,5)="msft_","Microsoft Ads",IF(LEFT(Z94,8)="chatgpt_","ChatGPT Ads – Test",IF(X94="gbp","Fiche Google (organique)","Autre / non payé")))))))))</f>
        <v/>
      </c>
      <c r="AR94" s="7">
        <f>IF(K94="","",IFERROR(VLOOKUP(K94,Listes!$F$3:$H$8,3,FALSE),""))</f>
        <v/>
      </c>
      <c r="AS94" s="7">
        <f>IF(O94="","",IF(AND(M94="Autre (plus de 40 km)",OR(O94="lt600",O94="600_999",O94="1000_2499")),"D",IF(OR(O94="lt600",AND(O94="600_999",K94&lt;&gt;"mariage",K94&lt;&gt;"prive")),"C",IF(OR(O94="2500_4999",O94="5000p",J94="entreprise",J94="organisme",J94="agence"),"A",IF(OR(O94="1000_2499",O94="600_999"),"B",IF(O94="inconnu",IF(OR(N94="75_149",N94="150p"),"A","B"),""))))))</f>
        <v/>
      </c>
      <c r="AT94" s="7">
        <f>IF(A94="","",IF(P94&lt;&gt;"",P94,AS94))</f>
        <v/>
      </c>
      <c r="AU94" s="7">
        <f>IF(A94="","",IF(OR(AT94="A",AT94="B"),1,0))</f>
        <v/>
      </c>
      <c r="AV94" s="7">
        <f>IF(A94="","",IF(OR(R94="Dépôt payé (gagné)",R94="Événement livré",R94="Avis obtenu"),1,0))</f>
        <v/>
      </c>
      <c r="AW94" s="7">
        <f>IF(A94="","",IF(Q94&gt;70,"Immédiat – propriétaire",IF(Q94&gt;=40,"15 min – personne de garde","Selon la route")))</f>
        <v/>
      </c>
      <c r="AX94" s="11">
        <f>IF(A94="","",IF(AT94="A",400,IF(AT94="B",150,0)))</f>
        <v/>
      </c>
      <c r="AY94" s="11">
        <f>IF(A94="","",IF(AV94=1,N(V94),IF(N(U94)&gt;0,ROUND(N(U94)*IFERROR(VLOOKUP(R94,Listes!$AE$3:$AG$12,2,FALSE),0),0),0)))</f>
        <v/>
      </c>
      <c r="AZ94" s="7">
        <f>IF(LEFT(A94,7)="EXEMPLE",1,0)</f>
        <v/>
      </c>
      <c r="BA94" s="7">
        <f>IF(AND(AV94=1,AZ94=0,AC94&lt;&gt;"",W94&lt;&gt;"",N(V94)&gt;0),COUNTIFS($AV$3:AV94,1,$AZ$3:AZ94,0,$AC$3:AC94,"&lt;&gt;",$W$3:W94,"&lt;&gt;",$V$3:V94,"&gt;0"),"")</f>
        <v/>
      </c>
    </row>
    <row r="95">
      <c r="A95" s="12" t="n"/>
      <c r="B95" s="13" t="n"/>
      <c r="C95" s="13" t="n"/>
      <c r="D95" s="7">
        <f>IF(OR(B95="",C95=""),"",ROUND((C95-B95)*1440,0))</f>
        <v/>
      </c>
      <c r="E95" s="12" t="n"/>
      <c r="F95" s="12" t="n"/>
      <c r="G95" s="12" t="n"/>
      <c r="H95" s="12" t="n"/>
      <c r="I95" s="12" t="n"/>
      <c r="J95" s="12" t="n"/>
      <c r="K95" s="12" t="n"/>
      <c r="L95" s="14" t="n"/>
      <c r="M95" s="12" t="n"/>
      <c r="N95" s="12" t="n"/>
      <c r="O95" s="12" t="n"/>
      <c r="P95" s="12" t="n"/>
      <c r="Q95" s="7">
        <f>IF(A95="","",IFERROR(VLOOKUP(O95,Listes!$R$3:$T$8,2,FALSE),0)+IFERROR(VLOOKUP(J95,Listes!$J$3:$L$6,2,FALSE),0)+IFERROR(VLOOKUP(N95,Listes!$N$3:$P$6,2,FALSE),0)+IF(OR(L95="",B95=""),0,IF(L95-INT(B95)&lt;10,8,IF(L95-INT(B95)&lt;=90,10,5)))+IFERROR(VLOOKUP(AN95,Listes!$V$3:$W$5,2,FALSE),0)+IFERROR(VLOOKUP(AO95,Listes!$Y$3:$Z$5,2,FALSE),0))</f>
        <v/>
      </c>
      <c r="R95" s="12" t="n"/>
      <c r="S95" s="12" t="n"/>
      <c r="T95" s="12" t="n"/>
      <c r="U95" s="15" t="n"/>
      <c r="V95" s="15" t="n"/>
      <c r="W95" s="13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3" t="n"/>
      <c r="AK95" s="12" t="n"/>
      <c r="AL95" s="12" t="n"/>
      <c r="AM95" s="12" t="n"/>
      <c r="AN95" s="12" t="n"/>
      <c r="AO95" s="12" t="n"/>
      <c r="AP95" s="12" t="n"/>
      <c r="AQ95" s="7">
        <f>IF(A95="","",IF(AP95&lt;&gt;"",AP95,IF(LEFT(Z95,11)="gads_marque","Google Search – Marque",IF(LEFT(Z95,12)="gads_mariage","Google Search – Mariage et privé",IF(LEFT(Z95,10)="gads_corpo","Google Search – Corporatif",IF(LEFT(Z95,5)="meta_","Meta – Leads",IF(LEFT(Z95,5)="msft_","Microsoft Ads",IF(LEFT(Z95,8)="chatgpt_","ChatGPT Ads – Test",IF(X95="gbp","Fiche Google (organique)","Autre / non payé")))))))))</f>
        <v/>
      </c>
      <c r="AR95" s="7">
        <f>IF(K95="","",IFERROR(VLOOKUP(K95,Listes!$F$3:$H$8,3,FALSE),""))</f>
        <v/>
      </c>
      <c r="AS95" s="7">
        <f>IF(O95="","",IF(AND(M95="Autre (plus de 40 km)",OR(O95="lt600",O95="600_999",O95="1000_2499")),"D",IF(OR(O95="lt600",AND(O95="600_999",K95&lt;&gt;"mariage",K95&lt;&gt;"prive")),"C",IF(OR(O95="2500_4999",O95="5000p",J95="entreprise",J95="organisme",J95="agence"),"A",IF(OR(O95="1000_2499",O95="600_999"),"B",IF(O95="inconnu",IF(OR(N95="75_149",N95="150p"),"A","B"),""))))))</f>
        <v/>
      </c>
      <c r="AT95" s="7">
        <f>IF(A95="","",IF(P95&lt;&gt;"",P95,AS95))</f>
        <v/>
      </c>
      <c r="AU95" s="7">
        <f>IF(A95="","",IF(OR(AT95="A",AT95="B"),1,0))</f>
        <v/>
      </c>
      <c r="AV95" s="7">
        <f>IF(A95="","",IF(OR(R95="Dépôt payé (gagné)",R95="Événement livré",R95="Avis obtenu"),1,0))</f>
        <v/>
      </c>
      <c r="AW95" s="7">
        <f>IF(A95="","",IF(Q95&gt;70,"Immédiat – propriétaire",IF(Q95&gt;=40,"15 min – personne de garde","Selon la route")))</f>
        <v/>
      </c>
      <c r="AX95" s="11">
        <f>IF(A95="","",IF(AT95="A",400,IF(AT95="B",150,0)))</f>
        <v/>
      </c>
      <c r="AY95" s="11">
        <f>IF(A95="","",IF(AV95=1,N(V95),IF(N(U95)&gt;0,ROUND(N(U95)*IFERROR(VLOOKUP(R95,Listes!$AE$3:$AG$12,2,FALSE),0),0),0)))</f>
        <v/>
      </c>
      <c r="AZ95" s="7">
        <f>IF(LEFT(A95,7)="EXEMPLE",1,0)</f>
        <v/>
      </c>
      <c r="BA95" s="7">
        <f>IF(AND(AV95=1,AZ95=0,AC95&lt;&gt;"",W95&lt;&gt;"",N(V95)&gt;0),COUNTIFS($AV$3:AV95,1,$AZ$3:AZ95,0,$AC$3:AC95,"&lt;&gt;",$W$3:W95,"&lt;&gt;",$V$3:V95,"&gt;0"),"")</f>
        <v/>
      </c>
    </row>
    <row r="96">
      <c r="A96" s="12" t="n"/>
      <c r="B96" s="13" t="n"/>
      <c r="C96" s="13" t="n"/>
      <c r="D96" s="7">
        <f>IF(OR(B96="",C96=""),"",ROUND((C96-B96)*1440,0))</f>
        <v/>
      </c>
      <c r="E96" s="12" t="n"/>
      <c r="F96" s="12" t="n"/>
      <c r="G96" s="12" t="n"/>
      <c r="H96" s="12" t="n"/>
      <c r="I96" s="12" t="n"/>
      <c r="J96" s="12" t="n"/>
      <c r="K96" s="12" t="n"/>
      <c r="L96" s="14" t="n"/>
      <c r="M96" s="12" t="n"/>
      <c r="N96" s="12" t="n"/>
      <c r="O96" s="12" t="n"/>
      <c r="P96" s="12" t="n"/>
      <c r="Q96" s="7">
        <f>IF(A96="","",IFERROR(VLOOKUP(O96,Listes!$R$3:$T$8,2,FALSE),0)+IFERROR(VLOOKUP(J96,Listes!$J$3:$L$6,2,FALSE),0)+IFERROR(VLOOKUP(N96,Listes!$N$3:$P$6,2,FALSE),0)+IF(OR(L96="",B96=""),0,IF(L96-INT(B96)&lt;10,8,IF(L96-INT(B96)&lt;=90,10,5)))+IFERROR(VLOOKUP(AN96,Listes!$V$3:$W$5,2,FALSE),0)+IFERROR(VLOOKUP(AO96,Listes!$Y$3:$Z$5,2,FALSE),0))</f>
        <v/>
      </c>
      <c r="R96" s="12" t="n"/>
      <c r="S96" s="12" t="n"/>
      <c r="T96" s="12" t="n"/>
      <c r="U96" s="15" t="n"/>
      <c r="V96" s="15" t="n"/>
      <c r="W96" s="13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3" t="n"/>
      <c r="AK96" s="12" t="n"/>
      <c r="AL96" s="12" t="n"/>
      <c r="AM96" s="12" t="n"/>
      <c r="AN96" s="12" t="n"/>
      <c r="AO96" s="12" t="n"/>
      <c r="AP96" s="12" t="n"/>
      <c r="AQ96" s="7">
        <f>IF(A96="","",IF(AP96&lt;&gt;"",AP96,IF(LEFT(Z96,11)="gads_marque","Google Search – Marque",IF(LEFT(Z96,12)="gads_mariage","Google Search – Mariage et privé",IF(LEFT(Z96,10)="gads_corpo","Google Search – Corporatif",IF(LEFT(Z96,5)="meta_","Meta – Leads",IF(LEFT(Z96,5)="msft_","Microsoft Ads",IF(LEFT(Z96,8)="chatgpt_","ChatGPT Ads – Test",IF(X96="gbp","Fiche Google (organique)","Autre / non payé")))))))))</f>
        <v/>
      </c>
      <c r="AR96" s="7">
        <f>IF(K96="","",IFERROR(VLOOKUP(K96,Listes!$F$3:$H$8,3,FALSE),""))</f>
        <v/>
      </c>
      <c r="AS96" s="7">
        <f>IF(O96="","",IF(AND(M96="Autre (plus de 40 km)",OR(O96="lt600",O96="600_999",O96="1000_2499")),"D",IF(OR(O96="lt600",AND(O96="600_999",K96&lt;&gt;"mariage",K96&lt;&gt;"prive")),"C",IF(OR(O96="2500_4999",O96="5000p",J96="entreprise",J96="organisme",J96="agence"),"A",IF(OR(O96="1000_2499",O96="600_999"),"B",IF(O96="inconnu",IF(OR(N96="75_149",N96="150p"),"A","B"),""))))))</f>
        <v/>
      </c>
      <c r="AT96" s="7">
        <f>IF(A96="","",IF(P96&lt;&gt;"",P96,AS96))</f>
        <v/>
      </c>
      <c r="AU96" s="7">
        <f>IF(A96="","",IF(OR(AT96="A",AT96="B"),1,0))</f>
        <v/>
      </c>
      <c r="AV96" s="7">
        <f>IF(A96="","",IF(OR(R96="Dépôt payé (gagné)",R96="Événement livré",R96="Avis obtenu"),1,0))</f>
        <v/>
      </c>
      <c r="AW96" s="7">
        <f>IF(A96="","",IF(Q96&gt;70,"Immédiat – propriétaire",IF(Q96&gt;=40,"15 min – personne de garde","Selon la route")))</f>
        <v/>
      </c>
      <c r="AX96" s="11">
        <f>IF(A96="","",IF(AT96="A",400,IF(AT96="B",150,0)))</f>
        <v/>
      </c>
      <c r="AY96" s="11">
        <f>IF(A96="","",IF(AV96=1,N(V96),IF(N(U96)&gt;0,ROUND(N(U96)*IFERROR(VLOOKUP(R96,Listes!$AE$3:$AG$12,2,FALSE),0),0),0)))</f>
        <v/>
      </c>
      <c r="AZ96" s="7">
        <f>IF(LEFT(A96,7)="EXEMPLE",1,0)</f>
        <v/>
      </c>
      <c r="BA96" s="7">
        <f>IF(AND(AV96=1,AZ96=0,AC96&lt;&gt;"",W96&lt;&gt;"",N(V96)&gt;0),COUNTIFS($AV$3:AV96,1,$AZ$3:AZ96,0,$AC$3:AC96,"&lt;&gt;",$W$3:W96,"&lt;&gt;",$V$3:V96,"&gt;0"),"")</f>
        <v/>
      </c>
    </row>
    <row r="97">
      <c r="A97" s="12" t="n"/>
      <c r="B97" s="13" t="n"/>
      <c r="C97" s="13" t="n"/>
      <c r="D97" s="7">
        <f>IF(OR(B97="",C97=""),"",ROUND((C97-B97)*1440,0))</f>
        <v/>
      </c>
      <c r="E97" s="12" t="n"/>
      <c r="F97" s="12" t="n"/>
      <c r="G97" s="12" t="n"/>
      <c r="H97" s="12" t="n"/>
      <c r="I97" s="12" t="n"/>
      <c r="J97" s="12" t="n"/>
      <c r="K97" s="12" t="n"/>
      <c r="L97" s="14" t="n"/>
      <c r="M97" s="12" t="n"/>
      <c r="N97" s="12" t="n"/>
      <c r="O97" s="12" t="n"/>
      <c r="P97" s="12" t="n"/>
      <c r="Q97" s="7">
        <f>IF(A97="","",IFERROR(VLOOKUP(O97,Listes!$R$3:$T$8,2,FALSE),0)+IFERROR(VLOOKUP(J97,Listes!$J$3:$L$6,2,FALSE),0)+IFERROR(VLOOKUP(N97,Listes!$N$3:$P$6,2,FALSE),0)+IF(OR(L97="",B97=""),0,IF(L97-INT(B97)&lt;10,8,IF(L97-INT(B97)&lt;=90,10,5)))+IFERROR(VLOOKUP(AN97,Listes!$V$3:$W$5,2,FALSE),0)+IFERROR(VLOOKUP(AO97,Listes!$Y$3:$Z$5,2,FALSE),0))</f>
        <v/>
      </c>
      <c r="R97" s="12" t="n"/>
      <c r="S97" s="12" t="n"/>
      <c r="T97" s="12" t="n"/>
      <c r="U97" s="15" t="n"/>
      <c r="V97" s="15" t="n"/>
      <c r="W97" s="13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3" t="n"/>
      <c r="AK97" s="12" t="n"/>
      <c r="AL97" s="12" t="n"/>
      <c r="AM97" s="12" t="n"/>
      <c r="AN97" s="12" t="n"/>
      <c r="AO97" s="12" t="n"/>
      <c r="AP97" s="12" t="n"/>
      <c r="AQ97" s="7">
        <f>IF(A97="","",IF(AP97&lt;&gt;"",AP97,IF(LEFT(Z97,11)="gads_marque","Google Search – Marque",IF(LEFT(Z97,12)="gads_mariage","Google Search – Mariage et privé",IF(LEFT(Z97,10)="gads_corpo","Google Search – Corporatif",IF(LEFT(Z97,5)="meta_","Meta – Leads",IF(LEFT(Z97,5)="msft_","Microsoft Ads",IF(LEFT(Z97,8)="chatgpt_","ChatGPT Ads – Test",IF(X97="gbp","Fiche Google (organique)","Autre / non payé")))))))))</f>
        <v/>
      </c>
      <c r="AR97" s="7">
        <f>IF(K97="","",IFERROR(VLOOKUP(K97,Listes!$F$3:$H$8,3,FALSE),""))</f>
        <v/>
      </c>
      <c r="AS97" s="7">
        <f>IF(O97="","",IF(AND(M97="Autre (plus de 40 km)",OR(O97="lt600",O97="600_999",O97="1000_2499")),"D",IF(OR(O97="lt600",AND(O97="600_999",K97&lt;&gt;"mariage",K97&lt;&gt;"prive")),"C",IF(OR(O97="2500_4999",O97="5000p",J97="entreprise",J97="organisme",J97="agence"),"A",IF(OR(O97="1000_2499",O97="600_999"),"B",IF(O97="inconnu",IF(OR(N97="75_149",N97="150p"),"A","B"),""))))))</f>
        <v/>
      </c>
      <c r="AT97" s="7">
        <f>IF(A97="","",IF(P97&lt;&gt;"",P97,AS97))</f>
        <v/>
      </c>
      <c r="AU97" s="7">
        <f>IF(A97="","",IF(OR(AT97="A",AT97="B"),1,0))</f>
        <v/>
      </c>
      <c r="AV97" s="7">
        <f>IF(A97="","",IF(OR(R97="Dépôt payé (gagné)",R97="Événement livré",R97="Avis obtenu"),1,0))</f>
        <v/>
      </c>
      <c r="AW97" s="7">
        <f>IF(A97="","",IF(Q97&gt;70,"Immédiat – propriétaire",IF(Q97&gt;=40,"15 min – personne de garde","Selon la route")))</f>
        <v/>
      </c>
      <c r="AX97" s="11">
        <f>IF(A97="","",IF(AT97="A",400,IF(AT97="B",150,0)))</f>
        <v/>
      </c>
      <c r="AY97" s="11">
        <f>IF(A97="","",IF(AV97=1,N(V97),IF(N(U97)&gt;0,ROUND(N(U97)*IFERROR(VLOOKUP(R97,Listes!$AE$3:$AG$12,2,FALSE),0),0),0)))</f>
        <v/>
      </c>
      <c r="AZ97" s="7">
        <f>IF(LEFT(A97,7)="EXEMPLE",1,0)</f>
        <v/>
      </c>
      <c r="BA97" s="7">
        <f>IF(AND(AV97=1,AZ97=0,AC97&lt;&gt;"",W97&lt;&gt;"",N(V97)&gt;0),COUNTIFS($AV$3:AV97,1,$AZ$3:AZ97,0,$AC$3:AC97,"&lt;&gt;",$W$3:W97,"&lt;&gt;",$V$3:V97,"&gt;0"),"")</f>
        <v/>
      </c>
    </row>
    <row r="98">
      <c r="A98" s="12" t="n"/>
      <c r="B98" s="13" t="n"/>
      <c r="C98" s="13" t="n"/>
      <c r="D98" s="7">
        <f>IF(OR(B98="",C98=""),"",ROUND((C98-B98)*1440,0))</f>
        <v/>
      </c>
      <c r="E98" s="12" t="n"/>
      <c r="F98" s="12" t="n"/>
      <c r="G98" s="12" t="n"/>
      <c r="H98" s="12" t="n"/>
      <c r="I98" s="12" t="n"/>
      <c r="J98" s="12" t="n"/>
      <c r="K98" s="12" t="n"/>
      <c r="L98" s="14" t="n"/>
      <c r="M98" s="12" t="n"/>
      <c r="N98" s="12" t="n"/>
      <c r="O98" s="12" t="n"/>
      <c r="P98" s="12" t="n"/>
      <c r="Q98" s="7">
        <f>IF(A98="","",IFERROR(VLOOKUP(O98,Listes!$R$3:$T$8,2,FALSE),0)+IFERROR(VLOOKUP(J98,Listes!$J$3:$L$6,2,FALSE),0)+IFERROR(VLOOKUP(N98,Listes!$N$3:$P$6,2,FALSE),0)+IF(OR(L98="",B98=""),0,IF(L98-INT(B98)&lt;10,8,IF(L98-INT(B98)&lt;=90,10,5)))+IFERROR(VLOOKUP(AN98,Listes!$V$3:$W$5,2,FALSE),0)+IFERROR(VLOOKUP(AO98,Listes!$Y$3:$Z$5,2,FALSE),0))</f>
        <v/>
      </c>
      <c r="R98" s="12" t="n"/>
      <c r="S98" s="12" t="n"/>
      <c r="T98" s="12" t="n"/>
      <c r="U98" s="15" t="n"/>
      <c r="V98" s="15" t="n"/>
      <c r="W98" s="13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3" t="n"/>
      <c r="AK98" s="12" t="n"/>
      <c r="AL98" s="12" t="n"/>
      <c r="AM98" s="12" t="n"/>
      <c r="AN98" s="12" t="n"/>
      <c r="AO98" s="12" t="n"/>
      <c r="AP98" s="12" t="n"/>
      <c r="AQ98" s="7">
        <f>IF(A98="","",IF(AP98&lt;&gt;"",AP98,IF(LEFT(Z98,11)="gads_marque","Google Search – Marque",IF(LEFT(Z98,12)="gads_mariage","Google Search – Mariage et privé",IF(LEFT(Z98,10)="gads_corpo","Google Search – Corporatif",IF(LEFT(Z98,5)="meta_","Meta – Leads",IF(LEFT(Z98,5)="msft_","Microsoft Ads",IF(LEFT(Z98,8)="chatgpt_","ChatGPT Ads – Test",IF(X98="gbp","Fiche Google (organique)","Autre / non payé")))))))))</f>
        <v/>
      </c>
      <c r="AR98" s="7">
        <f>IF(K98="","",IFERROR(VLOOKUP(K98,Listes!$F$3:$H$8,3,FALSE),""))</f>
        <v/>
      </c>
      <c r="AS98" s="7">
        <f>IF(O98="","",IF(AND(M98="Autre (plus de 40 km)",OR(O98="lt600",O98="600_999",O98="1000_2499")),"D",IF(OR(O98="lt600",AND(O98="600_999",K98&lt;&gt;"mariage",K98&lt;&gt;"prive")),"C",IF(OR(O98="2500_4999",O98="5000p",J98="entreprise",J98="organisme",J98="agence"),"A",IF(OR(O98="1000_2499",O98="600_999"),"B",IF(O98="inconnu",IF(OR(N98="75_149",N98="150p"),"A","B"),""))))))</f>
        <v/>
      </c>
      <c r="AT98" s="7">
        <f>IF(A98="","",IF(P98&lt;&gt;"",P98,AS98))</f>
        <v/>
      </c>
      <c r="AU98" s="7">
        <f>IF(A98="","",IF(OR(AT98="A",AT98="B"),1,0))</f>
        <v/>
      </c>
      <c r="AV98" s="7">
        <f>IF(A98="","",IF(OR(R98="Dépôt payé (gagné)",R98="Événement livré",R98="Avis obtenu"),1,0))</f>
        <v/>
      </c>
      <c r="AW98" s="7">
        <f>IF(A98="","",IF(Q98&gt;70,"Immédiat – propriétaire",IF(Q98&gt;=40,"15 min – personne de garde","Selon la route")))</f>
        <v/>
      </c>
      <c r="AX98" s="11">
        <f>IF(A98="","",IF(AT98="A",400,IF(AT98="B",150,0)))</f>
        <v/>
      </c>
      <c r="AY98" s="11">
        <f>IF(A98="","",IF(AV98=1,N(V98),IF(N(U98)&gt;0,ROUND(N(U98)*IFERROR(VLOOKUP(R98,Listes!$AE$3:$AG$12,2,FALSE),0),0),0)))</f>
        <v/>
      </c>
      <c r="AZ98" s="7">
        <f>IF(LEFT(A98,7)="EXEMPLE",1,0)</f>
        <v/>
      </c>
      <c r="BA98" s="7">
        <f>IF(AND(AV98=1,AZ98=0,AC98&lt;&gt;"",W98&lt;&gt;"",N(V98)&gt;0),COUNTIFS($AV$3:AV98,1,$AZ$3:AZ98,0,$AC$3:AC98,"&lt;&gt;",$W$3:W98,"&lt;&gt;",$V$3:V98,"&gt;0"),"")</f>
        <v/>
      </c>
    </row>
    <row r="99">
      <c r="A99" s="12" t="n"/>
      <c r="B99" s="13" t="n"/>
      <c r="C99" s="13" t="n"/>
      <c r="D99" s="7">
        <f>IF(OR(B99="",C99=""),"",ROUND((C99-B99)*1440,0))</f>
        <v/>
      </c>
      <c r="E99" s="12" t="n"/>
      <c r="F99" s="12" t="n"/>
      <c r="G99" s="12" t="n"/>
      <c r="H99" s="12" t="n"/>
      <c r="I99" s="12" t="n"/>
      <c r="J99" s="12" t="n"/>
      <c r="K99" s="12" t="n"/>
      <c r="L99" s="14" t="n"/>
      <c r="M99" s="12" t="n"/>
      <c r="N99" s="12" t="n"/>
      <c r="O99" s="12" t="n"/>
      <c r="P99" s="12" t="n"/>
      <c r="Q99" s="7">
        <f>IF(A99="","",IFERROR(VLOOKUP(O99,Listes!$R$3:$T$8,2,FALSE),0)+IFERROR(VLOOKUP(J99,Listes!$J$3:$L$6,2,FALSE),0)+IFERROR(VLOOKUP(N99,Listes!$N$3:$P$6,2,FALSE),0)+IF(OR(L99="",B99=""),0,IF(L99-INT(B99)&lt;10,8,IF(L99-INT(B99)&lt;=90,10,5)))+IFERROR(VLOOKUP(AN99,Listes!$V$3:$W$5,2,FALSE),0)+IFERROR(VLOOKUP(AO99,Listes!$Y$3:$Z$5,2,FALSE),0))</f>
        <v/>
      </c>
      <c r="R99" s="12" t="n"/>
      <c r="S99" s="12" t="n"/>
      <c r="T99" s="12" t="n"/>
      <c r="U99" s="15" t="n"/>
      <c r="V99" s="15" t="n"/>
      <c r="W99" s="13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3" t="n"/>
      <c r="AK99" s="12" t="n"/>
      <c r="AL99" s="12" t="n"/>
      <c r="AM99" s="12" t="n"/>
      <c r="AN99" s="12" t="n"/>
      <c r="AO99" s="12" t="n"/>
      <c r="AP99" s="12" t="n"/>
      <c r="AQ99" s="7">
        <f>IF(A99="","",IF(AP99&lt;&gt;"",AP99,IF(LEFT(Z99,11)="gads_marque","Google Search – Marque",IF(LEFT(Z99,12)="gads_mariage","Google Search – Mariage et privé",IF(LEFT(Z99,10)="gads_corpo","Google Search – Corporatif",IF(LEFT(Z99,5)="meta_","Meta – Leads",IF(LEFT(Z99,5)="msft_","Microsoft Ads",IF(LEFT(Z99,8)="chatgpt_","ChatGPT Ads – Test",IF(X99="gbp","Fiche Google (organique)","Autre / non payé")))))))))</f>
        <v/>
      </c>
      <c r="AR99" s="7">
        <f>IF(K99="","",IFERROR(VLOOKUP(K99,Listes!$F$3:$H$8,3,FALSE),""))</f>
        <v/>
      </c>
      <c r="AS99" s="7">
        <f>IF(O99="","",IF(AND(M99="Autre (plus de 40 km)",OR(O99="lt600",O99="600_999",O99="1000_2499")),"D",IF(OR(O99="lt600",AND(O99="600_999",K99&lt;&gt;"mariage",K99&lt;&gt;"prive")),"C",IF(OR(O99="2500_4999",O99="5000p",J99="entreprise",J99="organisme",J99="agence"),"A",IF(OR(O99="1000_2499",O99="600_999"),"B",IF(O99="inconnu",IF(OR(N99="75_149",N99="150p"),"A","B"),""))))))</f>
        <v/>
      </c>
      <c r="AT99" s="7">
        <f>IF(A99="","",IF(P99&lt;&gt;"",P99,AS99))</f>
        <v/>
      </c>
      <c r="AU99" s="7">
        <f>IF(A99="","",IF(OR(AT99="A",AT99="B"),1,0))</f>
        <v/>
      </c>
      <c r="AV99" s="7">
        <f>IF(A99="","",IF(OR(R99="Dépôt payé (gagné)",R99="Événement livré",R99="Avis obtenu"),1,0))</f>
        <v/>
      </c>
      <c r="AW99" s="7">
        <f>IF(A99="","",IF(Q99&gt;70,"Immédiat – propriétaire",IF(Q99&gt;=40,"15 min – personne de garde","Selon la route")))</f>
        <v/>
      </c>
      <c r="AX99" s="11">
        <f>IF(A99="","",IF(AT99="A",400,IF(AT99="B",150,0)))</f>
        <v/>
      </c>
      <c r="AY99" s="11">
        <f>IF(A99="","",IF(AV99=1,N(V99),IF(N(U99)&gt;0,ROUND(N(U99)*IFERROR(VLOOKUP(R99,Listes!$AE$3:$AG$12,2,FALSE),0),0),0)))</f>
        <v/>
      </c>
      <c r="AZ99" s="7">
        <f>IF(LEFT(A99,7)="EXEMPLE",1,0)</f>
        <v/>
      </c>
      <c r="BA99" s="7">
        <f>IF(AND(AV99=1,AZ99=0,AC99&lt;&gt;"",W99&lt;&gt;"",N(V99)&gt;0),COUNTIFS($AV$3:AV99,1,$AZ$3:AZ99,0,$AC$3:AC99,"&lt;&gt;",$W$3:W99,"&lt;&gt;",$V$3:V99,"&gt;0"),"")</f>
        <v/>
      </c>
    </row>
    <row r="100">
      <c r="A100" s="12" t="n"/>
      <c r="B100" s="13" t="n"/>
      <c r="C100" s="13" t="n"/>
      <c r="D100" s="7">
        <f>IF(OR(B100="",C100=""),"",ROUND((C100-B100)*1440,0))</f>
        <v/>
      </c>
      <c r="E100" s="12" t="n"/>
      <c r="F100" s="12" t="n"/>
      <c r="G100" s="12" t="n"/>
      <c r="H100" s="12" t="n"/>
      <c r="I100" s="12" t="n"/>
      <c r="J100" s="12" t="n"/>
      <c r="K100" s="12" t="n"/>
      <c r="L100" s="14" t="n"/>
      <c r="M100" s="12" t="n"/>
      <c r="N100" s="12" t="n"/>
      <c r="O100" s="12" t="n"/>
      <c r="P100" s="12" t="n"/>
      <c r="Q100" s="7">
        <f>IF(A100="","",IFERROR(VLOOKUP(O100,Listes!$R$3:$T$8,2,FALSE),0)+IFERROR(VLOOKUP(J100,Listes!$J$3:$L$6,2,FALSE),0)+IFERROR(VLOOKUP(N100,Listes!$N$3:$P$6,2,FALSE),0)+IF(OR(L100="",B100=""),0,IF(L100-INT(B100)&lt;10,8,IF(L100-INT(B100)&lt;=90,10,5)))+IFERROR(VLOOKUP(AN100,Listes!$V$3:$W$5,2,FALSE),0)+IFERROR(VLOOKUP(AO100,Listes!$Y$3:$Z$5,2,FALSE),0))</f>
        <v/>
      </c>
      <c r="R100" s="12" t="n"/>
      <c r="S100" s="12" t="n"/>
      <c r="T100" s="12" t="n"/>
      <c r="U100" s="15" t="n"/>
      <c r="V100" s="15" t="n"/>
      <c r="W100" s="13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3" t="n"/>
      <c r="AK100" s="12" t="n"/>
      <c r="AL100" s="12" t="n"/>
      <c r="AM100" s="12" t="n"/>
      <c r="AN100" s="12" t="n"/>
      <c r="AO100" s="12" t="n"/>
      <c r="AP100" s="12" t="n"/>
      <c r="AQ100" s="7">
        <f>IF(A100="","",IF(AP100&lt;&gt;"",AP100,IF(LEFT(Z100,11)="gads_marque","Google Search – Marque",IF(LEFT(Z100,12)="gads_mariage","Google Search – Mariage et privé",IF(LEFT(Z100,10)="gads_corpo","Google Search – Corporatif",IF(LEFT(Z100,5)="meta_","Meta – Leads",IF(LEFT(Z100,5)="msft_","Microsoft Ads",IF(LEFT(Z100,8)="chatgpt_","ChatGPT Ads – Test",IF(X100="gbp","Fiche Google (organique)","Autre / non payé")))))))))</f>
        <v/>
      </c>
      <c r="AR100" s="7">
        <f>IF(K100="","",IFERROR(VLOOKUP(K100,Listes!$F$3:$H$8,3,FALSE),""))</f>
        <v/>
      </c>
      <c r="AS100" s="7">
        <f>IF(O100="","",IF(AND(M100="Autre (plus de 40 km)",OR(O100="lt600",O100="600_999",O100="1000_2499")),"D",IF(OR(O100="lt600",AND(O100="600_999",K100&lt;&gt;"mariage",K100&lt;&gt;"prive")),"C",IF(OR(O100="2500_4999",O100="5000p",J100="entreprise",J100="organisme",J100="agence"),"A",IF(OR(O100="1000_2499",O100="600_999"),"B",IF(O100="inconnu",IF(OR(N100="75_149",N100="150p"),"A","B"),""))))))</f>
        <v/>
      </c>
      <c r="AT100" s="7">
        <f>IF(A100="","",IF(P100&lt;&gt;"",P100,AS100))</f>
        <v/>
      </c>
      <c r="AU100" s="7">
        <f>IF(A100="","",IF(OR(AT100="A",AT100="B"),1,0))</f>
        <v/>
      </c>
      <c r="AV100" s="7">
        <f>IF(A100="","",IF(OR(R100="Dépôt payé (gagné)",R100="Événement livré",R100="Avis obtenu"),1,0))</f>
        <v/>
      </c>
      <c r="AW100" s="7">
        <f>IF(A100="","",IF(Q100&gt;70,"Immédiat – propriétaire",IF(Q100&gt;=40,"15 min – personne de garde","Selon la route")))</f>
        <v/>
      </c>
      <c r="AX100" s="11">
        <f>IF(A100="","",IF(AT100="A",400,IF(AT100="B",150,0)))</f>
        <v/>
      </c>
      <c r="AY100" s="11">
        <f>IF(A100="","",IF(AV100=1,N(V100),IF(N(U100)&gt;0,ROUND(N(U100)*IFERROR(VLOOKUP(R100,Listes!$AE$3:$AG$12,2,FALSE),0),0),0)))</f>
        <v/>
      </c>
      <c r="AZ100" s="7">
        <f>IF(LEFT(A100,7)="EXEMPLE",1,0)</f>
        <v/>
      </c>
      <c r="BA100" s="7">
        <f>IF(AND(AV100=1,AZ100=0,AC100&lt;&gt;"",W100&lt;&gt;"",N(V100)&gt;0),COUNTIFS($AV$3:AV100,1,$AZ$3:AZ100,0,$AC$3:AC100,"&lt;&gt;",$W$3:W100,"&lt;&gt;",$V$3:V100,"&gt;0"),"")</f>
        <v/>
      </c>
    </row>
    <row r="101">
      <c r="A101" s="12" t="n"/>
      <c r="B101" s="13" t="n"/>
      <c r="C101" s="13" t="n"/>
      <c r="D101" s="7">
        <f>IF(OR(B101="",C101=""),"",ROUND((C101-B101)*1440,0))</f>
        <v/>
      </c>
      <c r="E101" s="12" t="n"/>
      <c r="F101" s="12" t="n"/>
      <c r="G101" s="12" t="n"/>
      <c r="H101" s="12" t="n"/>
      <c r="I101" s="12" t="n"/>
      <c r="J101" s="12" t="n"/>
      <c r="K101" s="12" t="n"/>
      <c r="L101" s="14" t="n"/>
      <c r="M101" s="12" t="n"/>
      <c r="N101" s="12" t="n"/>
      <c r="O101" s="12" t="n"/>
      <c r="P101" s="12" t="n"/>
      <c r="Q101" s="7">
        <f>IF(A101="","",IFERROR(VLOOKUP(O101,Listes!$R$3:$T$8,2,FALSE),0)+IFERROR(VLOOKUP(J101,Listes!$J$3:$L$6,2,FALSE),0)+IFERROR(VLOOKUP(N101,Listes!$N$3:$P$6,2,FALSE),0)+IF(OR(L101="",B101=""),0,IF(L101-INT(B101)&lt;10,8,IF(L101-INT(B101)&lt;=90,10,5)))+IFERROR(VLOOKUP(AN101,Listes!$V$3:$W$5,2,FALSE),0)+IFERROR(VLOOKUP(AO101,Listes!$Y$3:$Z$5,2,FALSE),0))</f>
        <v/>
      </c>
      <c r="R101" s="12" t="n"/>
      <c r="S101" s="12" t="n"/>
      <c r="T101" s="12" t="n"/>
      <c r="U101" s="15" t="n"/>
      <c r="V101" s="15" t="n"/>
      <c r="W101" s="13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3" t="n"/>
      <c r="AK101" s="12" t="n"/>
      <c r="AL101" s="12" t="n"/>
      <c r="AM101" s="12" t="n"/>
      <c r="AN101" s="12" t="n"/>
      <c r="AO101" s="12" t="n"/>
      <c r="AP101" s="12" t="n"/>
      <c r="AQ101" s="7">
        <f>IF(A101="","",IF(AP101&lt;&gt;"",AP101,IF(LEFT(Z101,11)="gads_marque","Google Search – Marque",IF(LEFT(Z101,12)="gads_mariage","Google Search – Mariage et privé",IF(LEFT(Z101,10)="gads_corpo","Google Search – Corporatif",IF(LEFT(Z101,5)="meta_","Meta – Leads",IF(LEFT(Z101,5)="msft_","Microsoft Ads",IF(LEFT(Z101,8)="chatgpt_","ChatGPT Ads – Test",IF(X101="gbp","Fiche Google (organique)","Autre / non payé")))))))))</f>
        <v/>
      </c>
      <c r="AR101" s="7">
        <f>IF(K101="","",IFERROR(VLOOKUP(K101,Listes!$F$3:$H$8,3,FALSE),""))</f>
        <v/>
      </c>
      <c r="AS101" s="7">
        <f>IF(O101="","",IF(AND(M101="Autre (plus de 40 km)",OR(O101="lt600",O101="600_999",O101="1000_2499")),"D",IF(OR(O101="lt600",AND(O101="600_999",K101&lt;&gt;"mariage",K101&lt;&gt;"prive")),"C",IF(OR(O101="2500_4999",O101="5000p",J101="entreprise",J101="organisme",J101="agence"),"A",IF(OR(O101="1000_2499",O101="600_999"),"B",IF(O101="inconnu",IF(OR(N101="75_149",N101="150p"),"A","B"),""))))))</f>
        <v/>
      </c>
      <c r="AT101" s="7">
        <f>IF(A101="","",IF(P101&lt;&gt;"",P101,AS101))</f>
        <v/>
      </c>
      <c r="AU101" s="7">
        <f>IF(A101="","",IF(OR(AT101="A",AT101="B"),1,0))</f>
        <v/>
      </c>
      <c r="AV101" s="7">
        <f>IF(A101="","",IF(OR(R101="Dépôt payé (gagné)",R101="Événement livré",R101="Avis obtenu"),1,0))</f>
        <v/>
      </c>
      <c r="AW101" s="7">
        <f>IF(A101="","",IF(Q101&gt;70,"Immédiat – propriétaire",IF(Q101&gt;=40,"15 min – personne de garde","Selon la route")))</f>
        <v/>
      </c>
      <c r="AX101" s="11">
        <f>IF(A101="","",IF(AT101="A",400,IF(AT101="B",150,0)))</f>
        <v/>
      </c>
      <c r="AY101" s="11">
        <f>IF(A101="","",IF(AV101=1,N(V101),IF(N(U101)&gt;0,ROUND(N(U101)*IFERROR(VLOOKUP(R101,Listes!$AE$3:$AG$12,2,FALSE),0),0),0)))</f>
        <v/>
      </c>
      <c r="AZ101" s="7">
        <f>IF(LEFT(A101,7)="EXEMPLE",1,0)</f>
        <v/>
      </c>
      <c r="BA101" s="7">
        <f>IF(AND(AV101=1,AZ101=0,AC101&lt;&gt;"",W101&lt;&gt;"",N(V101)&gt;0),COUNTIFS($AV$3:AV101,1,$AZ$3:AZ101,0,$AC$3:AC101,"&lt;&gt;",$W$3:W101,"&lt;&gt;",$V$3:V101,"&gt;0"),"")</f>
        <v/>
      </c>
    </row>
    <row r="102">
      <c r="A102" s="12" t="n"/>
      <c r="B102" s="13" t="n"/>
      <c r="C102" s="13" t="n"/>
      <c r="D102" s="7">
        <f>IF(OR(B102="",C102=""),"",ROUND((C102-B102)*1440,0))</f>
        <v/>
      </c>
      <c r="E102" s="12" t="n"/>
      <c r="F102" s="12" t="n"/>
      <c r="G102" s="12" t="n"/>
      <c r="H102" s="12" t="n"/>
      <c r="I102" s="12" t="n"/>
      <c r="J102" s="12" t="n"/>
      <c r="K102" s="12" t="n"/>
      <c r="L102" s="14" t="n"/>
      <c r="M102" s="12" t="n"/>
      <c r="N102" s="12" t="n"/>
      <c r="O102" s="12" t="n"/>
      <c r="P102" s="12" t="n"/>
      <c r="Q102" s="7">
        <f>IF(A102="","",IFERROR(VLOOKUP(O102,Listes!$R$3:$T$8,2,FALSE),0)+IFERROR(VLOOKUP(J102,Listes!$J$3:$L$6,2,FALSE),0)+IFERROR(VLOOKUP(N102,Listes!$N$3:$P$6,2,FALSE),0)+IF(OR(L102="",B102=""),0,IF(L102-INT(B102)&lt;10,8,IF(L102-INT(B102)&lt;=90,10,5)))+IFERROR(VLOOKUP(AN102,Listes!$V$3:$W$5,2,FALSE),0)+IFERROR(VLOOKUP(AO102,Listes!$Y$3:$Z$5,2,FALSE),0))</f>
        <v/>
      </c>
      <c r="R102" s="12" t="n"/>
      <c r="S102" s="12" t="n"/>
      <c r="T102" s="12" t="n"/>
      <c r="U102" s="15" t="n"/>
      <c r="V102" s="15" t="n"/>
      <c r="W102" s="13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3" t="n"/>
      <c r="AK102" s="12" t="n"/>
      <c r="AL102" s="12" t="n"/>
      <c r="AM102" s="12" t="n"/>
      <c r="AN102" s="12" t="n"/>
      <c r="AO102" s="12" t="n"/>
      <c r="AP102" s="12" t="n"/>
      <c r="AQ102" s="7">
        <f>IF(A102="","",IF(AP102&lt;&gt;"",AP102,IF(LEFT(Z102,11)="gads_marque","Google Search – Marque",IF(LEFT(Z102,12)="gads_mariage","Google Search – Mariage et privé",IF(LEFT(Z102,10)="gads_corpo","Google Search – Corporatif",IF(LEFT(Z102,5)="meta_","Meta – Leads",IF(LEFT(Z102,5)="msft_","Microsoft Ads",IF(LEFT(Z102,8)="chatgpt_","ChatGPT Ads – Test",IF(X102="gbp","Fiche Google (organique)","Autre / non payé")))))))))</f>
        <v/>
      </c>
      <c r="AR102" s="7">
        <f>IF(K102="","",IFERROR(VLOOKUP(K102,Listes!$F$3:$H$8,3,FALSE),""))</f>
        <v/>
      </c>
      <c r="AS102" s="7">
        <f>IF(O102="","",IF(AND(M102="Autre (plus de 40 km)",OR(O102="lt600",O102="600_999",O102="1000_2499")),"D",IF(OR(O102="lt600",AND(O102="600_999",K102&lt;&gt;"mariage",K102&lt;&gt;"prive")),"C",IF(OR(O102="2500_4999",O102="5000p",J102="entreprise",J102="organisme",J102="agence"),"A",IF(OR(O102="1000_2499",O102="600_999"),"B",IF(O102="inconnu",IF(OR(N102="75_149",N102="150p"),"A","B"),""))))))</f>
        <v/>
      </c>
      <c r="AT102" s="7">
        <f>IF(A102="","",IF(P102&lt;&gt;"",P102,AS102))</f>
        <v/>
      </c>
      <c r="AU102" s="7">
        <f>IF(A102="","",IF(OR(AT102="A",AT102="B"),1,0))</f>
        <v/>
      </c>
      <c r="AV102" s="7">
        <f>IF(A102="","",IF(OR(R102="Dépôt payé (gagné)",R102="Événement livré",R102="Avis obtenu"),1,0))</f>
        <v/>
      </c>
      <c r="AW102" s="7">
        <f>IF(A102="","",IF(Q102&gt;70,"Immédiat – propriétaire",IF(Q102&gt;=40,"15 min – personne de garde","Selon la route")))</f>
        <v/>
      </c>
      <c r="AX102" s="11">
        <f>IF(A102="","",IF(AT102="A",400,IF(AT102="B",150,0)))</f>
        <v/>
      </c>
      <c r="AY102" s="11">
        <f>IF(A102="","",IF(AV102=1,N(V102),IF(N(U102)&gt;0,ROUND(N(U102)*IFERROR(VLOOKUP(R102,Listes!$AE$3:$AG$12,2,FALSE),0),0),0)))</f>
        <v/>
      </c>
      <c r="AZ102" s="7">
        <f>IF(LEFT(A102,7)="EXEMPLE",1,0)</f>
        <v/>
      </c>
      <c r="BA102" s="7">
        <f>IF(AND(AV102=1,AZ102=0,AC102&lt;&gt;"",W102&lt;&gt;"",N(V102)&gt;0),COUNTIFS($AV$3:AV102,1,$AZ$3:AZ102,0,$AC$3:AC102,"&lt;&gt;",$W$3:W102,"&lt;&gt;",$V$3:V102,"&gt;0"),"")</f>
        <v/>
      </c>
    </row>
    <row r="103">
      <c r="A103" s="12" t="n"/>
      <c r="B103" s="13" t="n"/>
      <c r="C103" s="13" t="n"/>
      <c r="D103" s="7">
        <f>IF(OR(B103="",C103=""),"",ROUND((C103-B103)*1440,0))</f>
        <v/>
      </c>
      <c r="E103" s="12" t="n"/>
      <c r="F103" s="12" t="n"/>
      <c r="G103" s="12" t="n"/>
      <c r="H103" s="12" t="n"/>
      <c r="I103" s="12" t="n"/>
      <c r="J103" s="12" t="n"/>
      <c r="K103" s="12" t="n"/>
      <c r="L103" s="14" t="n"/>
      <c r="M103" s="12" t="n"/>
      <c r="N103" s="12" t="n"/>
      <c r="O103" s="12" t="n"/>
      <c r="P103" s="12" t="n"/>
      <c r="Q103" s="7">
        <f>IF(A103="","",IFERROR(VLOOKUP(O103,Listes!$R$3:$T$8,2,FALSE),0)+IFERROR(VLOOKUP(J103,Listes!$J$3:$L$6,2,FALSE),0)+IFERROR(VLOOKUP(N103,Listes!$N$3:$P$6,2,FALSE),0)+IF(OR(L103="",B103=""),0,IF(L103-INT(B103)&lt;10,8,IF(L103-INT(B103)&lt;=90,10,5)))+IFERROR(VLOOKUP(AN103,Listes!$V$3:$W$5,2,FALSE),0)+IFERROR(VLOOKUP(AO103,Listes!$Y$3:$Z$5,2,FALSE),0))</f>
        <v/>
      </c>
      <c r="R103" s="12" t="n"/>
      <c r="S103" s="12" t="n"/>
      <c r="T103" s="12" t="n"/>
      <c r="U103" s="15" t="n"/>
      <c r="V103" s="15" t="n"/>
      <c r="W103" s="13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3" t="n"/>
      <c r="AK103" s="12" t="n"/>
      <c r="AL103" s="12" t="n"/>
      <c r="AM103" s="12" t="n"/>
      <c r="AN103" s="12" t="n"/>
      <c r="AO103" s="12" t="n"/>
      <c r="AP103" s="12" t="n"/>
      <c r="AQ103" s="7">
        <f>IF(A103="","",IF(AP103&lt;&gt;"",AP103,IF(LEFT(Z103,11)="gads_marque","Google Search – Marque",IF(LEFT(Z103,12)="gads_mariage","Google Search – Mariage et privé",IF(LEFT(Z103,10)="gads_corpo","Google Search – Corporatif",IF(LEFT(Z103,5)="meta_","Meta – Leads",IF(LEFT(Z103,5)="msft_","Microsoft Ads",IF(LEFT(Z103,8)="chatgpt_","ChatGPT Ads – Test",IF(X103="gbp","Fiche Google (organique)","Autre / non payé")))))))))</f>
        <v/>
      </c>
      <c r="AR103" s="7">
        <f>IF(K103="","",IFERROR(VLOOKUP(K103,Listes!$F$3:$H$8,3,FALSE),""))</f>
        <v/>
      </c>
      <c r="AS103" s="7">
        <f>IF(O103="","",IF(AND(M103="Autre (plus de 40 km)",OR(O103="lt600",O103="600_999",O103="1000_2499")),"D",IF(OR(O103="lt600",AND(O103="600_999",K103&lt;&gt;"mariage",K103&lt;&gt;"prive")),"C",IF(OR(O103="2500_4999",O103="5000p",J103="entreprise",J103="organisme",J103="agence"),"A",IF(OR(O103="1000_2499",O103="600_999"),"B",IF(O103="inconnu",IF(OR(N103="75_149",N103="150p"),"A","B"),""))))))</f>
        <v/>
      </c>
      <c r="AT103" s="7">
        <f>IF(A103="","",IF(P103&lt;&gt;"",P103,AS103))</f>
        <v/>
      </c>
      <c r="AU103" s="7">
        <f>IF(A103="","",IF(OR(AT103="A",AT103="B"),1,0))</f>
        <v/>
      </c>
      <c r="AV103" s="7">
        <f>IF(A103="","",IF(OR(R103="Dépôt payé (gagné)",R103="Événement livré",R103="Avis obtenu"),1,0))</f>
        <v/>
      </c>
      <c r="AW103" s="7">
        <f>IF(A103="","",IF(Q103&gt;70,"Immédiat – propriétaire",IF(Q103&gt;=40,"15 min – personne de garde","Selon la route")))</f>
        <v/>
      </c>
      <c r="AX103" s="11">
        <f>IF(A103="","",IF(AT103="A",400,IF(AT103="B",150,0)))</f>
        <v/>
      </c>
      <c r="AY103" s="11">
        <f>IF(A103="","",IF(AV103=1,N(V103),IF(N(U103)&gt;0,ROUND(N(U103)*IFERROR(VLOOKUP(R103,Listes!$AE$3:$AG$12,2,FALSE),0),0),0)))</f>
        <v/>
      </c>
      <c r="AZ103" s="7">
        <f>IF(LEFT(A103,7)="EXEMPLE",1,0)</f>
        <v/>
      </c>
      <c r="BA103" s="7">
        <f>IF(AND(AV103=1,AZ103=0,AC103&lt;&gt;"",W103&lt;&gt;"",N(V103)&gt;0),COUNTIFS($AV$3:AV103,1,$AZ$3:AZ103,0,$AC$3:AC103,"&lt;&gt;",$W$3:W103,"&lt;&gt;",$V$3:V103,"&gt;0"),"")</f>
        <v/>
      </c>
    </row>
    <row r="104">
      <c r="A104" s="12" t="n"/>
      <c r="B104" s="13" t="n"/>
      <c r="C104" s="13" t="n"/>
      <c r="D104" s="7">
        <f>IF(OR(B104="",C104=""),"",ROUND((C104-B104)*1440,0))</f>
        <v/>
      </c>
      <c r="E104" s="12" t="n"/>
      <c r="F104" s="12" t="n"/>
      <c r="G104" s="12" t="n"/>
      <c r="H104" s="12" t="n"/>
      <c r="I104" s="12" t="n"/>
      <c r="J104" s="12" t="n"/>
      <c r="K104" s="12" t="n"/>
      <c r="L104" s="14" t="n"/>
      <c r="M104" s="12" t="n"/>
      <c r="N104" s="12" t="n"/>
      <c r="O104" s="12" t="n"/>
      <c r="P104" s="12" t="n"/>
      <c r="Q104" s="7">
        <f>IF(A104="","",IFERROR(VLOOKUP(O104,Listes!$R$3:$T$8,2,FALSE),0)+IFERROR(VLOOKUP(J104,Listes!$J$3:$L$6,2,FALSE),0)+IFERROR(VLOOKUP(N104,Listes!$N$3:$P$6,2,FALSE),0)+IF(OR(L104="",B104=""),0,IF(L104-INT(B104)&lt;10,8,IF(L104-INT(B104)&lt;=90,10,5)))+IFERROR(VLOOKUP(AN104,Listes!$V$3:$W$5,2,FALSE),0)+IFERROR(VLOOKUP(AO104,Listes!$Y$3:$Z$5,2,FALSE),0))</f>
        <v/>
      </c>
      <c r="R104" s="12" t="n"/>
      <c r="S104" s="12" t="n"/>
      <c r="T104" s="12" t="n"/>
      <c r="U104" s="15" t="n"/>
      <c r="V104" s="15" t="n"/>
      <c r="W104" s="13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3" t="n"/>
      <c r="AK104" s="12" t="n"/>
      <c r="AL104" s="12" t="n"/>
      <c r="AM104" s="12" t="n"/>
      <c r="AN104" s="12" t="n"/>
      <c r="AO104" s="12" t="n"/>
      <c r="AP104" s="12" t="n"/>
      <c r="AQ104" s="7">
        <f>IF(A104="","",IF(AP104&lt;&gt;"",AP104,IF(LEFT(Z104,11)="gads_marque","Google Search – Marque",IF(LEFT(Z104,12)="gads_mariage","Google Search – Mariage et privé",IF(LEFT(Z104,10)="gads_corpo","Google Search – Corporatif",IF(LEFT(Z104,5)="meta_","Meta – Leads",IF(LEFT(Z104,5)="msft_","Microsoft Ads",IF(LEFT(Z104,8)="chatgpt_","ChatGPT Ads – Test",IF(X104="gbp","Fiche Google (organique)","Autre / non payé")))))))))</f>
        <v/>
      </c>
      <c r="AR104" s="7">
        <f>IF(K104="","",IFERROR(VLOOKUP(K104,Listes!$F$3:$H$8,3,FALSE),""))</f>
        <v/>
      </c>
      <c r="AS104" s="7">
        <f>IF(O104="","",IF(AND(M104="Autre (plus de 40 km)",OR(O104="lt600",O104="600_999",O104="1000_2499")),"D",IF(OR(O104="lt600",AND(O104="600_999",K104&lt;&gt;"mariage",K104&lt;&gt;"prive")),"C",IF(OR(O104="2500_4999",O104="5000p",J104="entreprise",J104="organisme",J104="agence"),"A",IF(OR(O104="1000_2499",O104="600_999"),"B",IF(O104="inconnu",IF(OR(N104="75_149",N104="150p"),"A","B"),""))))))</f>
        <v/>
      </c>
      <c r="AT104" s="7">
        <f>IF(A104="","",IF(P104&lt;&gt;"",P104,AS104))</f>
        <v/>
      </c>
      <c r="AU104" s="7">
        <f>IF(A104="","",IF(OR(AT104="A",AT104="B"),1,0))</f>
        <v/>
      </c>
      <c r="AV104" s="7">
        <f>IF(A104="","",IF(OR(R104="Dépôt payé (gagné)",R104="Événement livré",R104="Avis obtenu"),1,0))</f>
        <v/>
      </c>
      <c r="AW104" s="7">
        <f>IF(A104="","",IF(Q104&gt;70,"Immédiat – propriétaire",IF(Q104&gt;=40,"15 min – personne de garde","Selon la route")))</f>
        <v/>
      </c>
      <c r="AX104" s="11">
        <f>IF(A104="","",IF(AT104="A",400,IF(AT104="B",150,0)))</f>
        <v/>
      </c>
      <c r="AY104" s="11">
        <f>IF(A104="","",IF(AV104=1,N(V104),IF(N(U104)&gt;0,ROUND(N(U104)*IFERROR(VLOOKUP(R104,Listes!$AE$3:$AG$12,2,FALSE),0),0),0)))</f>
        <v/>
      </c>
      <c r="AZ104" s="7">
        <f>IF(LEFT(A104,7)="EXEMPLE",1,0)</f>
        <v/>
      </c>
      <c r="BA104" s="7">
        <f>IF(AND(AV104=1,AZ104=0,AC104&lt;&gt;"",W104&lt;&gt;"",N(V104)&gt;0),COUNTIFS($AV$3:AV104,1,$AZ$3:AZ104,0,$AC$3:AC104,"&lt;&gt;",$W$3:W104,"&lt;&gt;",$V$3:V104,"&gt;0"),"")</f>
        <v/>
      </c>
    </row>
    <row r="105">
      <c r="A105" s="12" t="n"/>
      <c r="B105" s="13" t="n"/>
      <c r="C105" s="13" t="n"/>
      <c r="D105" s="7">
        <f>IF(OR(B105="",C105=""),"",ROUND((C105-B105)*1440,0))</f>
        <v/>
      </c>
      <c r="E105" s="12" t="n"/>
      <c r="F105" s="12" t="n"/>
      <c r="G105" s="12" t="n"/>
      <c r="H105" s="12" t="n"/>
      <c r="I105" s="12" t="n"/>
      <c r="J105" s="12" t="n"/>
      <c r="K105" s="12" t="n"/>
      <c r="L105" s="14" t="n"/>
      <c r="M105" s="12" t="n"/>
      <c r="N105" s="12" t="n"/>
      <c r="O105" s="12" t="n"/>
      <c r="P105" s="12" t="n"/>
      <c r="Q105" s="7">
        <f>IF(A105="","",IFERROR(VLOOKUP(O105,Listes!$R$3:$T$8,2,FALSE),0)+IFERROR(VLOOKUP(J105,Listes!$J$3:$L$6,2,FALSE),0)+IFERROR(VLOOKUP(N105,Listes!$N$3:$P$6,2,FALSE),0)+IF(OR(L105="",B105=""),0,IF(L105-INT(B105)&lt;10,8,IF(L105-INT(B105)&lt;=90,10,5)))+IFERROR(VLOOKUP(AN105,Listes!$V$3:$W$5,2,FALSE),0)+IFERROR(VLOOKUP(AO105,Listes!$Y$3:$Z$5,2,FALSE),0))</f>
        <v/>
      </c>
      <c r="R105" s="12" t="n"/>
      <c r="S105" s="12" t="n"/>
      <c r="T105" s="12" t="n"/>
      <c r="U105" s="15" t="n"/>
      <c r="V105" s="15" t="n"/>
      <c r="W105" s="13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3" t="n"/>
      <c r="AK105" s="12" t="n"/>
      <c r="AL105" s="12" t="n"/>
      <c r="AM105" s="12" t="n"/>
      <c r="AN105" s="12" t="n"/>
      <c r="AO105" s="12" t="n"/>
      <c r="AP105" s="12" t="n"/>
      <c r="AQ105" s="7">
        <f>IF(A105="","",IF(AP105&lt;&gt;"",AP105,IF(LEFT(Z105,11)="gads_marque","Google Search – Marque",IF(LEFT(Z105,12)="gads_mariage","Google Search – Mariage et privé",IF(LEFT(Z105,10)="gads_corpo","Google Search – Corporatif",IF(LEFT(Z105,5)="meta_","Meta – Leads",IF(LEFT(Z105,5)="msft_","Microsoft Ads",IF(LEFT(Z105,8)="chatgpt_","ChatGPT Ads – Test",IF(X105="gbp","Fiche Google (organique)","Autre / non payé")))))))))</f>
        <v/>
      </c>
      <c r="AR105" s="7">
        <f>IF(K105="","",IFERROR(VLOOKUP(K105,Listes!$F$3:$H$8,3,FALSE),""))</f>
        <v/>
      </c>
      <c r="AS105" s="7">
        <f>IF(O105="","",IF(AND(M105="Autre (plus de 40 km)",OR(O105="lt600",O105="600_999",O105="1000_2499")),"D",IF(OR(O105="lt600",AND(O105="600_999",K105&lt;&gt;"mariage",K105&lt;&gt;"prive")),"C",IF(OR(O105="2500_4999",O105="5000p",J105="entreprise",J105="organisme",J105="agence"),"A",IF(OR(O105="1000_2499",O105="600_999"),"B",IF(O105="inconnu",IF(OR(N105="75_149",N105="150p"),"A","B"),""))))))</f>
        <v/>
      </c>
      <c r="AT105" s="7">
        <f>IF(A105="","",IF(P105&lt;&gt;"",P105,AS105))</f>
        <v/>
      </c>
      <c r="AU105" s="7">
        <f>IF(A105="","",IF(OR(AT105="A",AT105="B"),1,0))</f>
        <v/>
      </c>
      <c r="AV105" s="7">
        <f>IF(A105="","",IF(OR(R105="Dépôt payé (gagné)",R105="Événement livré",R105="Avis obtenu"),1,0))</f>
        <v/>
      </c>
      <c r="AW105" s="7">
        <f>IF(A105="","",IF(Q105&gt;70,"Immédiat – propriétaire",IF(Q105&gt;=40,"15 min – personne de garde","Selon la route")))</f>
        <v/>
      </c>
      <c r="AX105" s="11">
        <f>IF(A105="","",IF(AT105="A",400,IF(AT105="B",150,0)))</f>
        <v/>
      </c>
      <c r="AY105" s="11">
        <f>IF(A105="","",IF(AV105=1,N(V105),IF(N(U105)&gt;0,ROUND(N(U105)*IFERROR(VLOOKUP(R105,Listes!$AE$3:$AG$12,2,FALSE),0),0),0)))</f>
        <v/>
      </c>
      <c r="AZ105" s="7">
        <f>IF(LEFT(A105,7)="EXEMPLE",1,0)</f>
        <v/>
      </c>
      <c r="BA105" s="7">
        <f>IF(AND(AV105=1,AZ105=0,AC105&lt;&gt;"",W105&lt;&gt;"",N(V105)&gt;0),COUNTIFS($AV$3:AV105,1,$AZ$3:AZ105,0,$AC$3:AC105,"&lt;&gt;",$W$3:W105,"&lt;&gt;",$V$3:V105,"&gt;0"),"")</f>
        <v/>
      </c>
    </row>
    <row r="106">
      <c r="A106" s="12" t="n"/>
      <c r="B106" s="13" t="n"/>
      <c r="C106" s="13" t="n"/>
      <c r="D106" s="7">
        <f>IF(OR(B106="",C106=""),"",ROUND((C106-B106)*1440,0))</f>
        <v/>
      </c>
      <c r="E106" s="12" t="n"/>
      <c r="F106" s="12" t="n"/>
      <c r="G106" s="12" t="n"/>
      <c r="H106" s="12" t="n"/>
      <c r="I106" s="12" t="n"/>
      <c r="J106" s="12" t="n"/>
      <c r="K106" s="12" t="n"/>
      <c r="L106" s="14" t="n"/>
      <c r="M106" s="12" t="n"/>
      <c r="N106" s="12" t="n"/>
      <c r="O106" s="12" t="n"/>
      <c r="P106" s="12" t="n"/>
      <c r="Q106" s="7">
        <f>IF(A106="","",IFERROR(VLOOKUP(O106,Listes!$R$3:$T$8,2,FALSE),0)+IFERROR(VLOOKUP(J106,Listes!$J$3:$L$6,2,FALSE),0)+IFERROR(VLOOKUP(N106,Listes!$N$3:$P$6,2,FALSE),0)+IF(OR(L106="",B106=""),0,IF(L106-INT(B106)&lt;10,8,IF(L106-INT(B106)&lt;=90,10,5)))+IFERROR(VLOOKUP(AN106,Listes!$V$3:$W$5,2,FALSE),0)+IFERROR(VLOOKUP(AO106,Listes!$Y$3:$Z$5,2,FALSE),0))</f>
        <v/>
      </c>
      <c r="R106" s="12" t="n"/>
      <c r="S106" s="12" t="n"/>
      <c r="T106" s="12" t="n"/>
      <c r="U106" s="15" t="n"/>
      <c r="V106" s="15" t="n"/>
      <c r="W106" s="13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3" t="n"/>
      <c r="AK106" s="12" t="n"/>
      <c r="AL106" s="12" t="n"/>
      <c r="AM106" s="12" t="n"/>
      <c r="AN106" s="12" t="n"/>
      <c r="AO106" s="12" t="n"/>
      <c r="AP106" s="12" t="n"/>
      <c r="AQ106" s="7">
        <f>IF(A106="","",IF(AP106&lt;&gt;"",AP106,IF(LEFT(Z106,11)="gads_marque","Google Search – Marque",IF(LEFT(Z106,12)="gads_mariage","Google Search – Mariage et privé",IF(LEFT(Z106,10)="gads_corpo","Google Search – Corporatif",IF(LEFT(Z106,5)="meta_","Meta – Leads",IF(LEFT(Z106,5)="msft_","Microsoft Ads",IF(LEFT(Z106,8)="chatgpt_","ChatGPT Ads – Test",IF(X106="gbp","Fiche Google (organique)","Autre / non payé")))))))))</f>
        <v/>
      </c>
      <c r="AR106" s="7">
        <f>IF(K106="","",IFERROR(VLOOKUP(K106,Listes!$F$3:$H$8,3,FALSE),""))</f>
        <v/>
      </c>
      <c r="AS106" s="7">
        <f>IF(O106="","",IF(AND(M106="Autre (plus de 40 km)",OR(O106="lt600",O106="600_999",O106="1000_2499")),"D",IF(OR(O106="lt600",AND(O106="600_999",K106&lt;&gt;"mariage",K106&lt;&gt;"prive")),"C",IF(OR(O106="2500_4999",O106="5000p",J106="entreprise",J106="organisme",J106="agence"),"A",IF(OR(O106="1000_2499",O106="600_999"),"B",IF(O106="inconnu",IF(OR(N106="75_149",N106="150p"),"A","B"),""))))))</f>
        <v/>
      </c>
      <c r="AT106" s="7">
        <f>IF(A106="","",IF(P106&lt;&gt;"",P106,AS106))</f>
        <v/>
      </c>
      <c r="AU106" s="7">
        <f>IF(A106="","",IF(OR(AT106="A",AT106="B"),1,0))</f>
        <v/>
      </c>
      <c r="AV106" s="7">
        <f>IF(A106="","",IF(OR(R106="Dépôt payé (gagné)",R106="Événement livré",R106="Avis obtenu"),1,0))</f>
        <v/>
      </c>
      <c r="AW106" s="7">
        <f>IF(A106="","",IF(Q106&gt;70,"Immédiat – propriétaire",IF(Q106&gt;=40,"15 min – personne de garde","Selon la route")))</f>
        <v/>
      </c>
      <c r="AX106" s="11">
        <f>IF(A106="","",IF(AT106="A",400,IF(AT106="B",150,0)))</f>
        <v/>
      </c>
      <c r="AY106" s="11">
        <f>IF(A106="","",IF(AV106=1,N(V106),IF(N(U106)&gt;0,ROUND(N(U106)*IFERROR(VLOOKUP(R106,Listes!$AE$3:$AG$12,2,FALSE),0),0),0)))</f>
        <v/>
      </c>
      <c r="AZ106" s="7">
        <f>IF(LEFT(A106,7)="EXEMPLE",1,0)</f>
        <v/>
      </c>
      <c r="BA106" s="7">
        <f>IF(AND(AV106=1,AZ106=0,AC106&lt;&gt;"",W106&lt;&gt;"",N(V106)&gt;0),COUNTIFS($AV$3:AV106,1,$AZ$3:AZ106,0,$AC$3:AC106,"&lt;&gt;",$W$3:W106,"&lt;&gt;",$V$3:V106,"&gt;0"),"")</f>
        <v/>
      </c>
    </row>
    <row r="107">
      <c r="A107" s="12" t="n"/>
      <c r="B107" s="13" t="n"/>
      <c r="C107" s="13" t="n"/>
      <c r="D107" s="7">
        <f>IF(OR(B107="",C107=""),"",ROUND((C107-B107)*1440,0))</f>
        <v/>
      </c>
      <c r="E107" s="12" t="n"/>
      <c r="F107" s="12" t="n"/>
      <c r="G107" s="12" t="n"/>
      <c r="H107" s="12" t="n"/>
      <c r="I107" s="12" t="n"/>
      <c r="J107" s="12" t="n"/>
      <c r="K107" s="12" t="n"/>
      <c r="L107" s="14" t="n"/>
      <c r="M107" s="12" t="n"/>
      <c r="N107" s="12" t="n"/>
      <c r="O107" s="12" t="n"/>
      <c r="P107" s="12" t="n"/>
      <c r="Q107" s="7">
        <f>IF(A107="","",IFERROR(VLOOKUP(O107,Listes!$R$3:$T$8,2,FALSE),0)+IFERROR(VLOOKUP(J107,Listes!$J$3:$L$6,2,FALSE),0)+IFERROR(VLOOKUP(N107,Listes!$N$3:$P$6,2,FALSE),0)+IF(OR(L107="",B107=""),0,IF(L107-INT(B107)&lt;10,8,IF(L107-INT(B107)&lt;=90,10,5)))+IFERROR(VLOOKUP(AN107,Listes!$V$3:$W$5,2,FALSE),0)+IFERROR(VLOOKUP(AO107,Listes!$Y$3:$Z$5,2,FALSE),0))</f>
        <v/>
      </c>
      <c r="R107" s="12" t="n"/>
      <c r="S107" s="12" t="n"/>
      <c r="T107" s="12" t="n"/>
      <c r="U107" s="15" t="n"/>
      <c r="V107" s="15" t="n"/>
      <c r="W107" s="13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3" t="n"/>
      <c r="AK107" s="12" t="n"/>
      <c r="AL107" s="12" t="n"/>
      <c r="AM107" s="12" t="n"/>
      <c r="AN107" s="12" t="n"/>
      <c r="AO107" s="12" t="n"/>
      <c r="AP107" s="12" t="n"/>
      <c r="AQ107" s="7">
        <f>IF(A107="","",IF(AP107&lt;&gt;"",AP107,IF(LEFT(Z107,11)="gads_marque","Google Search – Marque",IF(LEFT(Z107,12)="gads_mariage","Google Search – Mariage et privé",IF(LEFT(Z107,10)="gads_corpo","Google Search – Corporatif",IF(LEFT(Z107,5)="meta_","Meta – Leads",IF(LEFT(Z107,5)="msft_","Microsoft Ads",IF(LEFT(Z107,8)="chatgpt_","ChatGPT Ads – Test",IF(X107="gbp","Fiche Google (organique)","Autre / non payé")))))))))</f>
        <v/>
      </c>
      <c r="AR107" s="7">
        <f>IF(K107="","",IFERROR(VLOOKUP(K107,Listes!$F$3:$H$8,3,FALSE),""))</f>
        <v/>
      </c>
      <c r="AS107" s="7">
        <f>IF(O107="","",IF(AND(M107="Autre (plus de 40 km)",OR(O107="lt600",O107="600_999",O107="1000_2499")),"D",IF(OR(O107="lt600",AND(O107="600_999",K107&lt;&gt;"mariage",K107&lt;&gt;"prive")),"C",IF(OR(O107="2500_4999",O107="5000p",J107="entreprise",J107="organisme",J107="agence"),"A",IF(OR(O107="1000_2499",O107="600_999"),"B",IF(O107="inconnu",IF(OR(N107="75_149",N107="150p"),"A","B"),""))))))</f>
        <v/>
      </c>
      <c r="AT107" s="7">
        <f>IF(A107="","",IF(P107&lt;&gt;"",P107,AS107))</f>
        <v/>
      </c>
      <c r="AU107" s="7">
        <f>IF(A107="","",IF(OR(AT107="A",AT107="B"),1,0))</f>
        <v/>
      </c>
      <c r="AV107" s="7">
        <f>IF(A107="","",IF(OR(R107="Dépôt payé (gagné)",R107="Événement livré",R107="Avis obtenu"),1,0))</f>
        <v/>
      </c>
      <c r="AW107" s="7">
        <f>IF(A107="","",IF(Q107&gt;70,"Immédiat – propriétaire",IF(Q107&gt;=40,"15 min – personne de garde","Selon la route")))</f>
        <v/>
      </c>
      <c r="AX107" s="11">
        <f>IF(A107="","",IF(AT107="A",400,IF(AT107="B",150,0)))</f>
        <v/>
      </c>
      <c r="AY107" s="11">
        <f>IF(A107="","",IF(AV107=1,N(V107),IF(N(U107)&gt;0,ROUND(N(U107)*IFERROR(VLOOKUP(R107,Listes!$AE$3:$AG$12,2,FALSE),0),0),0)))</f>
        <v/>
      </c>
      <c r="AZ107" s="7">
        <f>IF(LEFT(A107,7)="EXEMPLE",1,0)</f>
        <v/>
      </c>
      <c r="BA107" s="7">
        <f>IF(AND(AV107=1,AZ107=0,AC107&lt;&gt;"",W107&lt;&gt;"",N(V107)&gt;0),COUNTIFS($AV$3:AV107,1,$AZ$3:AZ107,0,$AC$3:AC107,"&lt;&gt;",$W$3:W107,"&lt;&gt;",$V$3:V107,"&gt;0"),"")</f>
        <v/>
      </c>
    </row>
    <row r="108">
      <c r="A108" s="12" t="n"/>
      <c r="B108" s="13" t="n"/>
      <c r="C108" s="13" t="n"/>
      <c r="D108" s="7">
        <f>IF(OR(B108="",C108=""),"",ROUND((C108-B108)*1440,0))</f>
        <v/>
      </c>
      <c r="E108" s="12" t="n"/>
      <c r="F108" s="12" t="n"/>
      <c r="G108" s="12" t="n"/>
      <c r="H108" s="12" t="n"/>
      <c r="I108" s="12" t="n"/>
      <c r="J108" s="12" t="n"/>
      <c r="K108" s="12" t="n"/>
      <c r="L108" s="14" t="n"/>
      <c r="M108" s="12" t="n"/>
      <c r="N108" s="12" t="n"/>
      <c r="O108" s="12" t="n"/>
      <c r="P108" s="12" t="n"/>
      <c r="Q108" s="7">
        <f>IF(A108="","",IFERROR(VLOOKUP(O108,Listes!$R$3:$T$8,2,FALSE),0)+IFERROR(VLOOKUP(J108,Listes!$J$3:$L$6,2,FALSE),0)+IFERROR(VLOOKUP(N108,Listes!$N$3:$P$6,2,FALSE),0)+IF(OR(L108="",B108=""),0,IF(L108-INT(B108)&lt;10,8,IF(L108-INT(B108)&lt;=90,10,5)))+IFERROR(VLOOKUP(AN108,Listes!$V$3:$W$5,2,FALSE),0)+IFERROR(VLOOKUP(AO108,Listes!$Y$3:$Z$5,2,FALSE),0))</f>
        <v/>
      </c>
      <c r="R108" s="12" t="n"/>
      <c r="S108" s="12" t="n"/>
      <c r="T108" s="12" t="n"/>
      <c r="U108" s="15" t="n"/>
      <c r="V108" s="15" t="n"/>
      <c r="W108" s="13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3" t="n"/>
      <c r="AK108" s="12" t="n"/>
      <c r="AL108" s="12" t="n"/>
      <c r="AM108" s="12" t="n"/>
      <c r="AN108" s="12" t="n"/>
      <c r="AO108" s="12" t="n"/>
      <c r="AP108" s="12" t="n"/>
      <c r="AQ108" s="7">
        <f>IF(A108="","",IF(AP108&lt;&gt;"",AP108,IF(LEFT(Z108,11)="gads_marque","Google Search – Marque",IF(LEFT(Z108,12)="gads_mariage","Google Search – Mariage et privé",IF(LEFT(Z108,10)="gads_corpo","Google Search – Corporatif",IF(LEFT(Z108,5)="meta_","Meta – Leads",IF(LEFT(Z108,5)="msft_","Microsoft Ads",IF(LEFT(Z108,8)="chatgpt_","ChatGPT Ads – Test",IF(X108="gbp","Fiche Google (organique)","Autre / non payé")))))))))</f>
        <v/>
      </c>
      <c r="AR108" s="7">
        <f>IF(K108="","",IFERROR(VLOOKUP(K108,Listes!$F$3:$H$8,3,FALSE),""))</f>
        <v/>
      </c>
      <c r="AS108" s="7">
        <f>IF(O108="","",IF(AND(M108="Autre (plus de 40 km)",OR(O108="lt600",O108="600_999",O108="1000_2499")),"D",IF(OR(O108="lt600",AND(O108="600_999",K108&lt;&gt;"mariage",K108&lt;&gt;"prive")),"C",IF(OR(O108="2500_4999",O108="5000p",J108="entreprise",J108="organisme",J108="agence"),"A",IF(OR(O108="1000_2499",O108="600_999"),"B",IF(O108="inconnu",IF(OR(N108="75_149",N108="150p"),"A","B"),""))))))</f>
        <v/>
      </c>
      <c r="AT108" s="7">
        <f>IF(A108="","",IF(P108&lt;&gt;"",P108,AS108))</f>
        <v/>
      </c>
      <c r="AU108" s="7">
        <f>IF(A108="","",IF(OR(AT108="A",AT108="B"),1,0))</f>
        <v/>
      </c>
      <c r="AV108" s="7">
        <f>IF(A108="","",IF(OR(R108="Dépôt payé (gagné)",R108="Événement livré",R108="Avis obtenu"),1,0))</f>
        <v/>
      </c>
      <c r="AW108" s="7">
        <f>IF(A108="","",IF(Q108&gt;70,"Immédiat – propriétaire",IF(Q108&gt;=40,"15 min – personne de garde","Selon la route")))</f>
        <v/>
      </c>
      <c r="AX108" s="11">
        <f>IF(A108="","",IF(AT108="A",400,IF(AT108="B",150,0)))</f>
        <v/>
      </c>
      <c r="AY108" s="11">
        <f>IF(A108="","",IF(AV108=1,N(V108),IF(N(U108)&gt;0,ROUND(N(U108)*IFERROR(VLOOKUP(R108,Listes!$AE$3:$AG$12,2,FALSE),0),0),0)))</f>
        <v/>
      </c>
      <c r="AZ108" s="7">
        <f>IF(LEFT(A108,7)="EXEMPLE",1,0)</f>
        <v/>
      </c>
      <c r="BA108" s="7">
        <f>IF(AND(AV108=1,AZ108=0,AC108&lt;&gt;"",W108&lt;&gt;"",N(V108)&gt;0),COUNTIFS($AV$3:AV108,1,$AZ$3:AZ108,0,$AC$3:AC108,"&lt;&gt;",$W$3:W108,"&lt;&gt;",$V$3:V108,"&gt;0"),"")</f>
        <v/>
      </c>
    </row>
    <row r="109">
      <c r="A109" s="12" t="n"/>
      <c r="B109" s="13" t="n"/>
      <c r="C109" s="13" t="n"/>
      <c r="D109" s="7">
        <f>IF(OR(B109="",C109=""),"",ROUND((C109-B109)*1440,0))</f>
        <v/>
      </c>
      <c r="E109" s="12" t="n"/>
      <c r="F109" s="12" t="n"/>
      <c r="G109" s="12" t="n"/>
      <c r="H109" s="12" t="n"/>
      <c r="I109" s="12" t="n"/>
      <c r="J109" s="12" t="n"/>
      <c r="K109" s="12" t="n"/>
      <c r="L109" s="14" t="n"/>
      <c r="M109" s="12" t="n"/>
      <c r="N109" s="12" t="n"/>
      <c r="O109" s="12" t="n"/>
      <c r="P109" s="12" t="n"/>
      <c r="Q109" s="7">
        <f>IF(A109="","",IFERROR(VLOOKUP(O109,Listes!$R$3:$T$8,2,FALSE),0)+IFERROR(VLOOKUP(J109,Listes!$J$3:$L$6,2,FALSE),0)+IFERROR(VLOOKUP(N109,Listes!$N$3:$P$6,2,FALSE),0)+IF(OR(L109="",B109=""),0,IF(L109-INT(B109)&lt;10,8,IF(L109-INT(B109)&lt;=90,10,5)))+IFERROR(VLOOKUP(AN109,Listes!$V$3:$W$5,2,FALSE),0)+IFERROR(VLOOKUP(AO109,Listes!$Y$3:$Z$5,2,FALSE),0))</f>
        <v/>
      </c>
      <c r="R109" s="12" t="n"/>
      <c r="S109" s="12" t="n"/>
      <c r="T109" s="12" t="n"/>
      <c r="U109" s="15" t="n"/>
      <c r="V109" s="15" t="n"/>
      <c r="W109" s="13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3" t="n"/>
      <c r="AK109" s="12" t="n"/>
      <c r="AL109" s="12" t="n"/>
      <c r="AM109" s="12" t="n"/>
      <c r="AN109" s="12" t="n"/>
      <c r="AO109" s="12" t="n"/>
      <c r="AP109" s="12" t="n"/>
      <c r="AQ109" s="7">
        <f>IF(A109="","",IF(AP109&lt;&gt;"",AP109,IF(LEFT(Z109,11)="gads_marque","Google Search – Marque",IF(LEFT(Z109,12)="gads_mariage","Google Search – Mariage et privé",IF(LEFT(Z109,10)="gads_corpo","Google Search – Corporatif",IF(LEFT(Z109,5)="meta_","Meta – Leads",IF(LEFT(Z109,5)="msft_","Microsoft Ads",IF(LEFT(Z109,8)="chatgpt_","ChatGPT Ads – Test",IF(X109="gbp","Fiche Google (organique)","Autre / non payé")))))))))</f>
        <v/>
      </c>
      <c r="AR109" s="7">
        <f>IF(K109="","",IFERROR(VLOOKUP(K109,Listes!$F$3:$H$8,3,FALSE),""))</f>
        <v/>
      </c>
      <c r="AS109" s="7">
        <f>IF(O109="","",IF(AND(M109="Autre (plus de 40 km)",OR(O109="lt600",O109="600_999",O109="1000_2499")),"D",IF(OR(O109="lt600",AND(O109="600_999",K109&lt;&gt;"mariage",K109&lt;&gt;"prive")),"C",IF(OR(O109="2500_4999",O109="5000p",J109="entreprise",J109="organisme",J109="agence"),"A",IF(OR(O109="1000_2499",O109="600_999"),"B",IF(O109="inconnu",IF(OR(N109="75_149",N109="150p"),"A","B"),""))))))</f>
        <v/>
      </c>
      <c r="AT109" s="7">
        <f>IF(A109="","",IF(P109&lt;&gt;"",P109,AS109))</f>
        <v/>
      </c>
      <c r="AU109" s="7">
        <f>IF(A109="","",IF(OR(AT109="A",AT109="B"),1,0))</f>
        <v/>
      </c>
      <c r="AV109" s="7">
        <f>IF(A109="","",IF(OR(R109="Dépôt payé (gagné)",R109="Événement livré",R109="Avis obtenu"),1,0))</f>
        <v/>
      </c>
      <c r="AW109" s="7">
        <f>IF(A109="","",IF(Q109&gt;70,"Immédiat – propriétaire",IF(Q109&gt;=40,"15 min – personne de garde","Selon la route")))</f>
        <v/>
      </c>
      <c r="AX109" s="11">
        <f>IF(A109="","",IF(AT109="A",400,IF(AT109="B",150,0)))</f>
        <v/>
      </c>
      <c r="AY109" s="11">
        <f>IF(A109="","",IF(AV109=1,N(V109),IF(N(U109)&gt;0,ROUND(N(U109)*IFERROR(VLOOKUP(R109,Listes!$AE$3:$AG$12,2,FALSE),0),0),0)))</f>
        <v/>
      </c>
      <c r="AZ109" s="7">
        <f>IF(LEFT(A109,7)="EXEMPLE",1,0)</f>
        <v/>
      </c>
      <c r="BA109" s="7">
        <f>IF(AND(AV109=1,AZ109=0,AC109&lt;&gt;"",W109&lt;&gt;"",N(V109)&gt;0),COUNTIFS($AV$3:AV109,1,$AZ$3:AZ109,0,$AC$3:AC109,"&lt;&gt;",$W$3:W109,"&lt;&gt;",$V$3:V109,"&gt;0"),"")</f>
        <v/>
      </c>
    </row>
    <row r="110">
      <c r="A110" s="12" t="n"/>
      <c r="B110" s="13" t="n"/>
      <c r="C110" s="13" t="n"/>
      <c r="D110" s="7">
        <f>IF(OR(B110="",C110=""),"",ROUND((C110-B110)*1440,0))</f>
        <v/>
      </c>
      <c r="E110" s="12" t="n"/>
      <c r="F110" s="12" t="n"/>
      <c r="G110" s="12" t="n"/>
      <c r="H110" s="12" t="n"/>
      <c r="I110" s="12" t="n"/>
      <c r="J110" s="12" t="n"/>
      <c r="K110" s="12" t="n"/>
      <c r="L110" s="14" t="n"/>
      <c r="M110" s="12" t="n"/>
      <c r="N110" s="12" t="n"/>
      <c r="O110" s="12" t="n"/>
      <c r="P110" s="12" t="n"/>
      <c r="Q110" s="7">
        <f>IF(A110="","",IFERROR(VLOOKUP(O110,Listes!$R$3:$T$8,2,FALSE),0)+IFERROR(VLOOKUP(J110,Listes!$J$3:$L$6,2,FALSE),0)+IFERROR(VLOOKUP(N110,Listes!$N$3:$P$6,2,FALSE),0)+IF(OR(L110="",B110=""),0,IF(L110-INT(B110)&lt;10,8,IF(L110-INT(B110)&lt;=90,10,5)))+IFERROR(VLOOKUP(AN110,Listes!$V$3:$W$5,2,FALSE),0)+IFERROR(VLOOKUP(AO110,Listes!$Y$3:$Z$5,2,FALSE),0))</f>
        <v/>
      </c>
      <c r="R110" s="12" t="n"/>
      <c r="S110" s="12" t="n"/>
      <c r="T110" s="12" t="n"/>
      <c r="U110" s="15" t="n"/>
      <c r="V110" s="15" t="n"/>
      <c r="W110" s="13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3" t="n"/>
      <c r="AK110" s="12" t="n"/>
      <c r="AL110" s="12" t="n"/>
      <c r="AM110" s="12" t="n"/>
      <c r="AN110" s="12" t="n"/>
      <c r="AO110" s="12" t="n"/>
      <c r="AP110" s="12" t="n"/>
      <c r="AQ110" s="7">
        <f>IF(A110="","",IF(AP110&lt;&gt;"",AP110,IF(LEFT(Z110,11)="gads_marque","Google Search – Marque",IF(LEFT(Z110,12)="gads_mariage","Google Search – Mariage et privé",IF(LEFT(Z110,10)="gads_corpo","Google Search – Corporatif",IF(LEFT(Z110,5)="meta_","Meta – Leads",IF(LEFT(Z110,5)="msft_","Microsoft Ads",IF(LEFT(Z110,8)="chatgpt_","ChatGPT Ads – Test",IF(X110="gbp","Fiche Google (organique)","Autre / non payé")))))))))</f>
        <v/>
      </c>
      <c r="AR110" s="7">
        <f>IF(K110="","",IFERROR(VLOOKUP(K110,Listes!$F$3:$H$8,3,FALSE),""))</f>
        <v/>
      </c>
      <c r="AS110" s="7">
        <f>IF(O110="","",IF(AND(M110="Autre (plus de 40 km)",OR(O110="lt600",O110="600_999",O110="1000_2499")),"D",IF(OR(O110="lt600",AND(O110="600_999",K110&lt;&gt;"mariage",K110&lt;&gt;"prive")),"C",IF(OR(O110="2500_4999",O110="5000p",J110="entreprise",J110="organisme",J110="agence"),"A",IF(OR(O110="1000_2499",O110="600_999"),"B",IF(O110="inconnu",IF(OR(N110="75_149",N110="150p"),"A","B"),""))))))</f>
        <v/>
      </c>
      <c r="AT110" s="7">
        <f>IF(A110="","",IF(P110&lt;&gt;"",P110,AS110))</f>
        <v/>
      </c>
      <c r="AU110" s="7">
        <f>IF(A110="","",IF(OR(AT110="A",AT110="B"),1,0))</f>
        <v/>
      </c>
      <c r="AV110" s="7">
        <f>IF(A110="","",IF(OR(R110="Dépôt payé (gagné)",R110="Événement livré",R110="Avis obtenu"),1,0))</f>
        <v/>
      </c>
      <c r="AW110" s="7">
        <f>IF(A110="","",IF(Q110&gt;70,"Immédiat – propriétaire",IF(Q110&gt;=40,"15 min – personne de garde","Selon la route")))</f>
        <v/>
      </c>
      <c r="AX110" s="11">
        <f>IF(A110="","",IF(AT110="A",400,IF(AT110="B",150,0)))</f>
        <v/>
      </c>
      <c r="AY110" s="11">
        <f>IF(A110="","",IF(AV110=1,N(V110),IF(N(U110)&gt;0,ROUND(N(U110)*IFERROR(VLOOKUP(R110,Listes!$AE$3:$AG$12,2,FALSE),0),0),0)))</f>
        <v/>
      </c>
      <c r="AZ110" s="7">
        <f>IF(LEFT(A110,7)="EXEMPLE",1,0)</f>
        <v/>
      </c>
      <c r="BA110" s="7">
        <f>IF(AND(AV110=1,AZ110=0,AC110&lt;&gt;"",W110&lt;&gt;"",N(V110)&gt;0),COUNTIFS($AV$3:AV110,1,$AZ$3:AZ110,0,$AC$3:AC110,"&lt;&gt;",$W$3:W110,"&lt;&gt;",$V$3:V110,"&gt;0"),"")</f>
        <v/>
      </c>
    </row>
    <row r="111">
      <c r="A111" s="12" t="n"/>
      <c r="B111" s="13" t="n"/>
      <c r="C111" s="13" t="n"/>
      <c r="D111" s="7">
        <f>IF(OR(B111="",C111=""),"",ROUND((C111-B111)*1440,0))</f>
        <v/>
      </c>
      <c r="E111" s="12" t="n"/>
      <c r="F111" s="12" t="n"/>
      <c r="G111" s="12" t="n"/>
      <c r="H111" s="12" t="n"/>
      <c r="I111" s="12" t="n"/>
      <c r="J111" s="12" t="n"/>
      <c r="K111" s="12" t="n"/>
      <c r="L111" s="14" t="n"/>
      <c r="M111" s="12" t="n"/>
      <c r="N111" s="12" t="n"/>
      <c r="O111" s="12" t="n"/>
      <c r="P111" s="12" t="n"/>
      <c r="Q111" s="7">
        <f>IF(A111="","",IFERROR(VLOOKUP(O111,Listes!$R$3:$T$8,2,FALSE),0)+IFERROR(VLOOKUP(J111,Listes!$J$3:$L$6,2,FALSE),0)+IFERROR(VLOOKUP(N111,Listes!$N$3:$P$6,2,FALSE),0)+IF(OR(L111="",B111=""),0,IF(L111-INT(B111)&lt;10,8,IF(L111-INT(B111)&lt;=90,10,5)))+IFERROR(VLOOKUP(AN111,Listes!$V$3:$W$5,2,FALSE),0)+IFERROR(VLOOKUP(AO111,Listes!$Y$3:$Z$5,2,FALSE),0))</f>
        <v/>
      </c>
      <c r="R111" s="12" t="n"/>
      <c r="S111" s="12" t="n"/>
      <c r="T111" s="12" t="n"/>
      <c r="U111" s="15" t="n"/>
      <c r="V111" s="15" t="n"/>
      <c r="W111" s="13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3" t="n"/>
      <c r="AK111" s="12" t="n"/>
      <c r="AL111" s="12" t="n"/>
      <c r="AM111" s="12" t="n"/>
      <c r="AN111" s="12" t="n"/>
      <c r="AO111" s="12" t="n"/>
      <c r="AP111" s="12" t="n"/>
      <c r="AQ111" s="7">
        <f>IF(A111="","",IF(AP111&lt;&gt;"",AP111,IF(LEFT(Z111,11)="gads_marque","Google Search – Marque",IF(LEFT(Z111,12)="gads_mariage","Google Search – Mariage et privé",IF(LEFT(Z111,10)="gads_corpo","Google Search – Corporatif",IF(LEFT(Z111,5)="meta_","Meta – Leads",IF(LEFT(Z111,5)="msft_","Microsoft Ads",IF(LEFT(Z111,8)="chatgpt_","ChatGPT Ads – Test",IF(X111="gbp","Fiche Google (organique)","Autre / non payé")))))))))</f>
        <v/>
      </c>
      <c r="AR111" s="7">
        <f>IF(K111="","",IFERROR(VLOOKUP(K111,Listes!$F$3:$H$8,3,FALSE),""))</f>
        <v/>
      </c>
      <c r="AS111" s="7">
        <f>IF(O111="","",IF(AND(M111="Autre (plus de 40 km)",OR(O111="lt600",O111="600_999",O111="1000_2499")),"D",IF(OR(O111="lt600",AND(O111="600_999",K111&lt;&gt;"mariage",K111&lt;&gt;"prive")),"C",IF(OR(O111="2500_4999",O111="5000p",J111="entreprise",J111="organisme",J111="agence"),"A",IF(OR(O111="1000_2499",O111="600_999"),"B",IF(O111="inconnu",IF(OR(N111="75_149",N111="150p"),"A","B"),""))))))</f>
        <v/>
      </c>
      <c r="AT111" s="7">
        <f>IF(A111="","",IF(P111&lt;&gt;"",P111,AS111))</f>
        <v/>
      </c>
      <c r="AU111" s="7">
        <f>IF(A111="","",IF(OR(AT111="A",AT111="B"),1,0))</f>
        <v/>
      </c>
      <c r="AV111" s="7">
        <f>IF(A111="","",IF(OR(R111="Dépôt payé (gagné)",R111="Événement livré",R111="Avis obtenu"),1,0))</f>
        <v/>
      </c>
      <c r="AW111" s="7">
        <f>IF(A111="","",IF(Q111&gt;70,"Immédiat – propriétaire",IF(Q111&gt;=40,"15 min – personne de garde","Selon la route")))</f>
        <v/>
      </c>
      <c r="AX111" s="11">
        <f>IF(A111="","",IF(AT111="A",400,IF(AT111="B",150,0)))</f>
        <v/>
      </c>
      <c r="AY111" s="11">
        <f>IF(A111="","",IF(AV111=1,N(V111),IF(N(U111)&gt;0,ROUND(N(U111)*IFERROR(VLOOKUP(R111,Listes!$AE$3:$AG$12,2,FALSE),0),0),0)))</f>
        <v/>
      </c>
      <c r="AZ111" s="7">
        <f>IF(LEFT(A111,7)="EXEMPLE",1,0)</f>
        <v/>
      </c>
      <c r="BA111" s="7">
        <f>IF(AND(AV111=1,AZ111=0,AC111&lt;&gt;"",W111&lt;&gt;"",N(V111)&gt;0),COUNTIFS($AV$3:AV111,1,$AZ$3:AZ111,0,$AC$3:AC111,"&lt;&gt;",$W$3:W111,"&lt;&gt;",$V$3:V111,"&gt;0"),"")</f>
        <v/>
      </c>
    </row>
    <row r="112">
      <c r="A112" s="12" t="n"/>
      <c r="B112" s="13" t="n"/>
      <c r="C112" s="13" t="n"/>
      <c r="D112" s="7">
        <f>IF(OR(B112="",C112=""),"",ROUND((C112-B112)*1440,0))</f>
        <v/>
      </c>
      <c r="E112" s="12" t="n"/>
      <c r="F112" s="12" t="n"/>
      <c r="G112" s="12" t="n"/>
      <c r="H112" s="12" t="n"/>
      <c r="I112" s="12" t="n"/>
      <c r="J112" s="12" t="n"/>
      <c r="K112" s="12" t="n"/>
      <c r="L112" s="14" t="n"/>
      <c r="M112" s="12" t="n"/>
      <c r="N112" s="12" t="n"/>
      <c r="O112" s="12" t="n"/>
      <c r="P112" s="12" t="n"/>
      <c r="Q112" s="7">
        <f>IF(A112="","",IFERROR(VLOOKUP(O112,Listes!$R$3:$T$8,2,FALSE),0)+IFERROR(VLOOKUP(J112,Listes!$J$3:$L$6,2,FALSE),0)+IFERROR(VLOOKUP(N112,Listes!$N$3:$P$6,2,FALSE),0)+IF(OR(L112="",B112=""),0,IF(L112-INT(B112)&lt;10,8,IF(L112-INT(B112)&lt;=90,10,5)))+IFERROR(VLOOKUP(AN112,Listes!$V$3:$W$5,2,FALSE),0)+IFERROR(VLOOKUP(AO112,Listes!$Y$3:$Z$5,2,FALSE),0))</f>
        <v/>
      </c>
      <c r="R112" s="12" t="n"/>
      <c r="S112" s="12" t="n"/>
      <c r="T112" s="12" t="n"/>
      <c r="U112" s="15" t="n"/>
      <c r="V112" s="15" t="n"/>
      <c r="W112" s="13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3" t="n"/>
      <c r="AK112" s="12" t="n"/>
      <c r="AL112" s="12" t="n"/>
      <c r="AM112" s="12" t="n"/>
      <c r="AN112" s="12" t="n"/>
      <c r="AO112" s="12" t="n"/>
      <c r="AP112" s="12" t="n"/>
      <c r="AQ112" s="7">
        <f>IF(A112="","",IF(AP112&lt;&gt;"",AP112,IF(LEFT(Z112,11)="gads_marque","Google Search – Marque",IF(LEFT(Z112,12)="gads_mariage","Google Search – Mariage et privé",IF(LEFT(Z112,10)="gads_corpo","Google Search – Corporatif",IF(LEFT(Z112,5)="meta_","Meta – Leads",IF(LEFT(Z112,5)="msft_","Microsoft Ads",IF(LEFT(Z112,8)="chatgpt_","ChatGPT Ads – Test",IF(X112="gbp","Fiche Google (organique)","Autre / non payé")))))))))</f>
        <v/>
      </c>
      <c r="AR112" s="7">
        <f>IF(K112="","",IFERROR(VLOOKUP(K112,Listes!$F$3:$H$8,3,FALSE),""))</f>
        <v/>
      </c>
      <c r="AS112" s="7">
        <f>IF(O112="","",IF(AND(M112="Autre (plus de 40 km)",OR(O112="lt600",O112="600_999",O112="1000_2499")),"D",IF(OR(O112="lt600",AND(O112="600_999",K112&lt;&gt;"mariage",K112&lt;&gt;"prive")),"C",IF(OR(O112="2500_4999",O112="5000p",J112="entreprise",J112="organisme",J112="agence"),"A",IF(OR(O112="1000_2499",O112="600_999"),"B",IF(O112="inconnu",IF(OR(N112="75_149",N112="150p"),"A","B"),""))))))</f>
        <v/>
      </c>
      <c r="AT112" s="7">
        <f>IF(A112="","",IF(P112&lt;&gt;"",P112,AS112))</f>
        <v/>
      </c>
      <c r="AU112" s="7">
        <f>IF(A112="","",IF(OR(AT112="A",AT112="B"),1,0))</f>
        <v/>
      </c>
      <c r="AV112" s="7">
        <f>IF(A112="","",IF(OR(R112="Dépôt payé (gagné)",R112="Événement livré",R112="Avis obtenu"),1,0))</f>
        <v/>
      </c>
      <c r="AW112" s="7">
        <f>IF(A112="","",IF(Q112&gt;70,"Immédiat – propriétaire",IF(Q112&gt;=40,"15 min – personne de garde","Selon la route")))</f>
        <v/>
      </c>
      <c r="AX112" s="11">
        <f>IF(A112="","",IF(AT112="A",400,IF(AT112="B",150,0)))</f>
        <v/>
      </c>
      <c r="AY112" s="11">
        <f>IF(A112="","",IF(AV112=1,N(V112),IF(N(U112)&gt;0,ROUND(N(U112)*IFERROR(VLOOKUP(R112,Listes!$AE$3:$AG$12,2,FALSE),0),0),0)))</f>
        <v/>
      </c>
      <c r="AZ112" s="7">
        <f>IF(LEFT(A112,7)="EXEMPLE",1,0)</f>
        <v/>
      </c>
      <c r="BA112" s="7">
        <f>IF(AND(AV112=1,AZ112=0,AC112&lt;&gt;"",W112&lt;&gt;"",N(V112)&gt;0),COUNTIFS($AV$3:AV112,1,$AZ$3:AZ112,0,$AC$3:AC112,"&lt;&gt;",$W$3:W112,"&lt;&gt;",$V$3:V112,"&gt;0"),"")</f>
        <v/>
      </c>
    </row>
    <row r="113">
      <c r="A113" s="12" t="n"/>
      <c r="B113" s="13" t="n"/>
      <c r="C113" s="13" t="n"/>
      <c r="D113" s="7">
        <f>IF(OR(B113="",C113=""),"",ROUND((C113-B113)*1440,0))</f>
        <v/>
      </c>
      <c r="E113" s="12" t="n"/>
      <c r="F113" s="12" t="n"/>
      <c r="G113" s="12" t="n"/>
      <c r="H113" s="12" t="n"/>
      <c r="I113" s="12" t="n"/>
      <c r="J113" s="12" t="n"/>
      <c r="K113" s="12" t="n"/>
      <c r="L113" s="14" t="n"/>
      <c r="M113" s="12" t="n"/>
      <c r="N113" s="12" t="n"/>
      <c r="O113" s="12" t="n"/>
      <c r="P113" s="12" t="n"/>
      <c r="Q113" s="7">
        <f>IF(A113="","",IFERROR(VLOOKUP(O113,Listes!$R$3:$T$8,2,FALSE),0)+IFERROR(VLOOKUP(J113,Listes!$J$3:$L$6,2,FALSE),0)+IFERROR(VLOOKUP(N113,Listes!$N$3:$P$6,2,FALSE),0)+IF(OR(L113="",B113=""),0,IF(L113-INT(B113)&lt;10,8,IF(L113-INT(B113)&lt;=90,10,5)))+IFERROR(VLOOKUP(AN113,Listes!$V$3:$W$5,2,FALSE),0)+IFERROR(VLOOKUP(AO113,Listes!$Y$3:$Z$5,2,FALSE),0))</f>
        <v/>
      </c>
      <c r="R113" s="12" t="n"/>
      <c r="S113" s="12" t="n"/>
      <c r="T113" s="12" t="n"/>
      <c r="U113" s="15" t="n"/>
      <c r="V113" s="15" t="n"/>
      <c r="W113" s="13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3" t="n"/>
      <c r="AK113" s="12" t="n"/>
      <c r="AL113" s="12" t="n"/>
      <c r="AM113" s="12" t="n"/>
      <c r="AN113" s="12" t="n"/>
      <c r="AO113" s="12" t="n"/>
      <c r="AP113" s="12" t="n"/>
      <c r="AQ113" s="7">
        <f>IF(A113="","",IF(AP113&lt;&gt;"",AP113,IF(LEFT(Z113,11)="gads_marque","Google Search – Marque",IF(LEFT(Z113,12)="gads_mariage","Google Search – Mariage et privé",IF(LEFT(Z113,10)="gads_corpo","Google Search – Corporatif",IF(LEFT(Z113,5)="meta_","Meta – Leads",IF(LEFT(Z113,5)="msft_","Microsoft Ads",IF(LEFT(Z113,8)="chatgpt_","ChatGPT Ads – Test",IF(X113="gbp","Fiche Google (organique)","Autre / non payé")))))))))</f>
        <v/>
      </c>
      <c r="AR113" s="7">
        <f>IF(K113="","",IFERROR(VLOOKUP(K113,Listes!$F$3:$H$8,3,FALSE),""))</f>
        <v/>
      </c>
      <c r="AS113" s="7">
        <f>IF(O113="","",IF(AND(M113="Autre (plus de 40 km)",OR(O113="lt600",O113="600_999",O113="1000_2499")),"D",IF(OR(O113="lt600",AND(O113="600_999",K113&lt;&gt;"mariage",K113&lt;&gt;"prive")),"C",IF(OR(O113="2500_4999",O113="5000p",J113="entreprise",J113="organisme",J113="agence"),"A",IF(OR(O113="1000_2499",O113="600_999"),"B",IF(O113="inconnu",IF(OR(N113="75_149",N113="150p"),"A","B"),""))))))</f>
        <v/>
      </c>
      <c r="AT113" s="7">
        <f>IF(A113="","",IF(P113&lt;&gt;"",P113,AS113))</f>
        <v/>
      </c>
      <c r="AU113" s="7">
        <f>IF(A113="","",IF(OR(AT113="A",AT113="B"),1,0))</f>
        <v/>
      </c>
      <c r="AV113" s="7">
        <f>IF(A113="","",IF(OR(R113="Dépôt payé (gagné)",R113="Événement livré",R113="Avis obtenu"),1,0))</f>
        <v/>
      </c>
      <c r="AW113" s="7">
        <f>IF(A113="","",IF(Q113&gt;70,"Immédiat – propriétaire",IF(Q113&gt;=40,"15 min – personne de garde","Selon la route")))</f>
        <v/>
      </c>
      <c r="AX113" s="11">
        <f>IF(A113="","",IF(AT113="A",400,IF(AT113="B",150,0)))</f>
        <v/>
      </c>
      <c r="AY113" s="11">
        <f>IF(A113="","",IF(AV113=1,N(V113),IF(N(U113)&gt;0,ROUND(N(U113)*IFERROR(VLOOKUP(R113,Listes!$AE$3:$AG$12,2,FALSE),0),0),0)))</f>
        <v/>
      </c>
      <c r="AZ113" s="7">
        <f>IF(LEFT(A113,7)="EXEMPLE",1,0)</f>
        <v/>
      </c>
      <c r="BA113" s="7">
        <f>IF(AND(AV113=1,AZ113=0,AC113&lt;&gt;"",W113&lt;&gt;"",N(V113)&gt;0),COUNTIFS($AV$3:AV113,1,$AZ$3:AZ113,0,$AC$3:AC113,"&lt;&gt;",$W$3:W113,"&lt;&gt;",$V$3:V113,"&gt;0"),"")</f>
        <v/>
      </c>
    </row>
    <row r="114">
      <c r="A114" s="12" t="n"/>
      <c r="B114" s="13" t="n"/>
      <c r="C114" s="13" t="n"/>
      <c r="D114" s="7">
        <f>IF(OR(B114="",C114=""),"",ROUND((C114-B114)*1440,0))</f>
        <v/>
      </c>
      <c r="E114" s="12" t="n"/>
      <c r="F114" s="12" t="n"/>
      <c r="G114" s="12" t="n"/>
      <c r="H114" s="12" t="n"/>
      <c r="I114" s="12" t="n"/>
      <c r="J114" s="12" t="n"/>
      <c r="K114" s="12" t="n"/>
      <c r="L114" s="14" t="n"/>
      <c r="M114" s="12" t="n"/>
      <c r="N114" s="12" t="n"/>
      <c r="O114" s="12" t="n"/>
      <c r="P114" s="12" t="n"/>
      <c r="Q114" s="7">
        <f>IF(A114="","",IFERROR(VLOOKUP(O114,Listes!$R$3:$T$8,2,FALSE),0)+IFERROR(VLOOKUP(J114,Listes!$J$3:$L$6,2,FALSE),0)+IFERROR(VLOOKUP(N114,Listes!$N$3:$P$6,2,FALSE),0)+IF(OR(L114="",B114=""),0,IF(L114-INT(B114)&lt;10,8,IF(L114-INT(B114)&lt;=90,10,5)))+IFERROR(VLOOKUP(AN114,Listes!$V$3:$W$5,2,FALSE),0)+IFERROR(VLOOKUP(AO114,Listes!$Y$3:$Z$5,2,FALSE),0))</f>
        <v/>
      </c>
      <c r="R114" s="12" t="n"/>
      <c r="S114" s="12" t="n"/>
      <c r="T114" s="12" t="n"/>
      <c r="U114" s="15" t="n"/>
      <c r="V114" s="15" t="n"/>
      <c r="W114" s="13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3" t="n"/>
      <c r="AK114" s="12" t="n"/>
      <c r="AL114" s="12" t="n"/>
      <c r="AM114" s="12" t="n"/>
      <c r="AN114" s="12" t="n"/>
      <c r="AO114" s="12" t="n"/>
      <c r="AP114" s="12" t="n"/>
      <c r="AQ114" s="7">
        <f>IF(A114="","",IF(AP114&lt;&gt;"",AP114,IF(LEFT(Z114,11)="gads_marque","Google Search – Marque",IF(LEFT(Z114,12)="gads_mariage","Google Search – Mariage et privé",IF(LEFT(Z114,10)="gads_corpo","Google Search – Corporatif",IF(LEFT(Z114,5)="meta_","Meta – Leads",IF(LEFT(Z114,5)="msft_","Microsoft Ads",IF(LEFT(Z114,8)="chatgpt_","ChatGPT Ads – Test",IF(X114="gbp","Fiche Google (organique)","Autre / non payé")))))))))</f>
        <v/>
      </c>
      <c r="AR114" s="7">
        <f>IF(K114="","",IFERROR(VLOOKUP(K114,Listes!$F$3:$H$8,3,FALSE),""))</f>
        <v/>
      </c>
      <c r="AS114" s="7">
        <f>IF(O114="","",IF(AND(M114="Autre (plus de 40 km)",OR(O114="lt600",O114="600_999",O114="1000_2499")),"D",IF(OR(O114="lt600",AND(O114="600_999",K114&lt;&gt;"mariage",K114&lt;&gt;"prive")),"C",IF(OR(O114="2500_4999",O114="5000p",J114="entreprise",J114="organisme",J114="agence"),"A",IF(OR(O114="1000_2499",O114="600_999"),"B",IF(O114="inconnu",IF(OR(N114="75_149",N114="150p"),"A","B"),""))))))</f>
        <v/>
      </c>
      <c r="AT114" s="7">
        <f>IF(A114="","",IF(P114&lt;&gt;"",P114,AS114))</f>
        <v/>
      </c>
      <c r="AU114" s="7">
        <f>IF(A114="","",IF(OR(AT114="A",AT114="B"),1,0))</f>
        <v/>
      </c>
      <c r="AV114" s="7">
        <f>IF(A114="","",IF(OR(R114="Dépôt payé (gagné)",R114="Événement livré",R114="Avis obtenu"),1,0))</f>
        <v/>
      </c>
      <c r="AW114" s="7">
        <f>IF(A114="","",IF(Q114&gt;70,"Immédiat – propriétaire",IF(Q114&gt;=40,"15 min – personne de garde","Selon la route")))</f>
        <v/>
      </c>
      <c r="AX114" s="11">
        <f>IF(A114="","",IF(AT114="A",400,IF(AT114="B",150,0)))</f>
        <v/>
      </c>
      <c r="AY114" s="11">
        <f>IF(A114="","",IF(AV114=1,N(V114),IF(N(U114)&gt;0,ROUND(N(U114)*IFERROR(VLOOKUP(R114,Listes!$AE$3:$AG$12,2,FALSE),0),0),0)))</f>
        <v/>
      </c>
      <c r="AZ114" s="7">
        <f>IF(LEFT(A114,7)="EXEMPLE",1,0)</f>
        <v/>
      </c>
      <c r="BA114" s="7">
        <f>IF(AND(AV114=1,AZ114=0,AC114&lt;&gt;"",W114&lt;&gt;"",N(V114)&gt;0),COUNTIFS($AV$3:AV114,1,$AZ$3:AZ114,0,$AC$3:AC114,"&lt;&gt;",$W$3:W114,"&lt;&gt;",$V$3:V114,"&gt;0"),"")</f>
        <v/>
      </c>
    </row>
    <row r="115">
      <c r="A115" s="12" t="n"/>
      <c r="B115" s="13" t="n"/>
      <c r="C115" s="13" t="n"/>
      <c r="D115" s="7">
        <f>IF(OR(B115="",C115=""),"",ROUND((C115-B115)*1440,0))</f>
        <v/>
      </c>
      <c r="E115" s="12" t="n"/>
      <c r="F115" s="12" t="n"/>
      <c r="G115" s="12" t="n"/>
      <c r="H115" s="12" t="n"/>
      <c r="I115" s="12" t="n"/>
      <c r="J115" s="12" t="n"/>
      <c r="K115" s="12" t="n"/>
      <c r="L115" s="14" t="n"/>
      <c r="M115" s="12" t="n"/>
      <c r="N115" s="12" t="n"/>
      <c r="O115" s="12" t="n"/>
      <c r="P115" s="12" t="n"/>
      <c r="Q115" s="7">
        <f>IF(A115="","",IFERROR(VLOOKUP(O115,Listes!$R$3:$T$8,2,FALSE),0)+IFERROR(VLOOKUP(J115,Listes!$J$3:$L$6,2,FALSE),0)+IFERROR(VLOOKUP(N115,Listes!$N$3:$P$6,2,FALSE),0)+IF(OR(L115="",B115=""),0,IF(L115-INT(B115)&lt;10,8,IF(L115-INT(B115)&lt;=90,10,5)))+IFERROR(VLOOKUP(AN115,Listes!$V$3:$W$5,2,FALSE),0)+IFERROR(VLOOKUP(AO115,Listes!$Y$3:$Z$5,2,FALSE),0))</f>
        <v/>
      </c>
      <c r="R115" s="12" t="n"/>
      <c r="S115" s="12" t="n"/>
      <c r="T115" s="12" t="n"/>
      <c r="U115" s="15" t="n"/>
      <c r="V115" s="15" t="n"/>
      <c r="W115" s="13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3" t="n"/>
      <c r="AK115" s="12" t="n"/>
      <c r="AL115" s="12" t="n"/>
      <c r="AM115" s="12" t="n"/>
      <c r="AN115" s="12" t="n"/>
      <c r="AO115" s="12" t="n"/>
      <c r="AP115" s="12" t="n"/>
      <c r="AQ115" s="7">
        <f>IF(A115="","",IF(AP115&lt;&gt;"",AP115,IF(LEFT(Z115,11)="gads_marque","Google Search – Marque",IF(LEFT(Z115,12)="gads_mariage","Google Search – Mariage et privé",IF(LEFT(Z115,10)="gads_corpo","Google Search – Corporatif",IF(LEFT(Z115,5)="meta_","Meta – Leads",IF(LEFT(Z115,5)="msft_","Microsoft Ads",IF(LEFT(Z115,8)="chatgpt_","ChatGPT Ads – Test",IF(X115="gbp","Fiche Google (organique)","Autre / non payé")))))))))</f>
        <v/>
      </c>
      <c r="AR115" s="7">
        <f>IF(K115="","",IFERROR(VLOOKUP(K115,Listes!$F$3:$H$8,3,FALSE),""))</f>
        <v/>
      </c>
      <c r="AS115" s="7">
        <f>IF(O115="","",IF(AND(M115="Autre (plus de 40 km)",OR(O115="lt600",O115="600_999",O115="1000_2499")),"D",IF(OR(O115="lt600",AND(O115="600_999",K115&lt;&gt;"mariage",K115&lt;&gt;"prive")),"C",IF(OR(O115="2500_4999",O115="5000p",J115="entreprise",J115="organisme",J115="agence"),"A",IF(OR(O115="1000_2499",O115="600_999"),"B",IF(O115="inconnu",IF(OR(N115="75_149",N115="150p"),"A","B"),""))))))</f>
        <v/>
      </c>
      <c r="AT115" s="7">
        <f>IF(A115="","",IF(P115&lt;&gt;"",P115,AS115))</f>
        <v/>
      </c>
      <c r="AU115" s="7">
        <f>IF(A115="","",IF(OR(AT115="A",AT115="B"),1,0))</f>
        <v/>
      </c>
      <c r="AV115" s="7">
        <f>IF(A115="","",IF(OR(R115="Dépôt payé (gagné)",R115="Événement livré",R115="Avis obtenu"),1,0))</f>
        <v/>
      </c>
      <c r="AW115" s="7">
        <f>IF(A115="","",IF(Q115&gt;70,"Immédiat – propriétaire",IF(Q115&gt;=40,"15 min – personne de garde","Selon la route")))</f>
        <v/>
      </c>
      <c r="AX115" s="11">
        <f>IF(A115="","",IF(AT115="A",400,IF(AT115="B",150,0)))</f>
        <v/>
      </c>
      <c r="AY115" s="11">
        <f>IF(A115="","",IF(AV115=1,N(V115),IF(N(U115)&gt;0,ROUND(N(U115)*IFERROR(VLOOKUP(R115,Listes!$AE$3:$AG$12,2,FALSE),0),0),0)))</f>
        <v/>
      </c>
      <c r="AZ115" s="7">
        <f>IF(LEFT(A115,7)="EXEMPLE",1,0)</f>
        <v/>
      </c>
      <c r="BA115" s="7">
        <f>IF(AND(AV115=1,AZ115=0,AC115&lt;&gt;"",W115&lt;&gt;"",N(V115)&gt;0),COUNTIFS($AV$3:AV115,1,$AZ$3:AZ115,0,$AC$3:AC115,"&lt;&gt;",$W$3:W115,"&lt;&gt;",$V$3:V115,"&gt;0"),"")</f>
        <v/>
      </c>
    </row>
    <row r="116">
      <c r="A116" s="12" t="n"/>
      <c r="B116" s="13" t="n"/>
      <c r="C116" s="13" t="n"/>
      <c r="D116" s="7">
        <f>IF(OR(B116="",C116=""),"",ROUND((C116-B116)*1440,0))</f>
        <v/>
      </c>
      <c r="E116" s="12" t="n"/>
      <c r="F116" s="12" t="n"/>
      <c r="G116" s="12" t="n"/>
      <c r="H116" s="12" t="n"/>
      <c r="I116" s="12" t="n"/>
      <c r="J116" s="12" t="n"/>
      <c r="K116" s="12" t="n"/>
      <c r="L116" s="14" t="n"/>
      <c r="M116" s="12" t="n"/>
      <c r="N116" s="12" t="n"/>
      <c r="O116" s="12" t="n"/>
      <c r="P116" s="12" t="n"/>
      <c r="Q116" s="7">
        <f>IF(A116="","",IFERROR(VLOOKUP(O116,Listes!$R$3:$T$8,2,FALSE),0)+IFERROR(VLOOKUP(J116,Listes!$J$3:$L$6,2,FALSE),0)+IFERROR(VLOOKUP(N116,Listes!$N$3:$P$6,2,FALSE),0)+IF(OR(L116="",B116=""),0,IF(L116-INT(B116)&lt;10,8,IF(L116-INT(B116)&lt;=90,10,5)))+IFERROR(VLOOKUP(AN116,Listes!$V$3:$W$5,2,FALSE),0)+IFERROR(VLOOKUP(AO116,Listes!$Y$3:$Z$5,2,FALSE),0))</f>
        <v/>
      </c>
      <c r="R116" s="12" t="n"/>
      <c r="S116" s="12" t="n"/>
      <c r="T116" s="12" t="n"/>
      <c r="U116" s="15" t="n"/>
      <c r="V116" s="15" t="n"/>
      <c r="W116" s="13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3" t="n"/>
      <c r="AK116" s="12" t="n"/>
      <c r="AL116" s="12" t="n"/>
      <c r="AM116" s="12" t="n"/>
      <c r="AN116" s="12" t="n"/>
      <c r="AO116" s="12" t="n"/>
      <c r="AP116" s="12" t="n"/>
      <c r="AQ116" s="7">
        <f>IF(A116="","",IF(AP116&lt;&gt;"",AP116,IF(LEFT(Z116,11)="gads_marque","Google Search – Marque",IF(LEFT(Z116,12)="gads_mariage","Google Search – Mariage et privé",IF(LEFT(Z116,10)="gads_corpo","Google Search – Corporatif",IF(LEFT(Z116,5)="meta_","Meta – Leads",IF(LEFT(Z116,5)="msft_","Microsoft Ads",IF(LEFT(Z116,8)="chatgpt_","ChatGPT Ads – Test",IF(X116="gbp","Fiche Google (organique)","Autre / non payé")))))))))</f>
        <v/>
      </c>
      <c r="AR116" s="7">
        <f>IF(K116="","",IFERROR(VLOOKUP(K116,Listes!$F$3:$H$8,3,FALSE),""))</f>
        <v/>
      </c>
      <c r="AS116" s="7">
        <f>IF(O116="","",IF(AND(M116="Autre (plus de 40 km)",OR(O116="lt600",O116="600_999",O116="1000_2499")),"D",IF(OR(O116="lt600",AND(O116="600_999",K116&lt;&gt;"mariage",K116&lt;&gt;"prive")),"C",IF(OR(O116="2500_4999",O116="5000p",J116="entreprise",J116="organisme",J116="agence"),"A",IF(OR(O116="1000_2499",O116="600_999"),"B",IF(O116="inconnu",IF(OR(N116="75_149",N116="150p"),"A","B"),""))))))</f>
        <v/>
      </c>
      <c r="AT116" s="7">
        <f>IF(A116="","",IF(P116&lt;&gt;"",P116,AS116))</f>
        <v/>
      </c>
      <c r="AU116" s="7">
        <f>IF(A116="","",IF(OR(AT116="A",AT116="B"),1,0))</f>
        <v/>
      </c>
      <c r="AV116" s="7">
        <f>IF(A116="","",IF(OR(R116="Dépôt payé (gagné)",R116="Événement livré",R116="Avis obtenu"),1,0))</f>
        <v/>
      </c>
      <c r="AW116" s="7">
        <f>IF(A116="","",IF(Q116&gt;70,"Immédiat – propriétaire",IF(Q116&gt;=40,"15 min – personne de garde","Selon la route")))</f>
        <v/>
      </c>
      <c r="AX116" s="11">
        <f>IF(A116="","",IF(AT116="A",400,IF(AT116="B",150,0)))</f>
        <v/>
      </c>
      <c r="AY116" s="11">
        <f>IF(A116="","",IF(AV116=1,N(V116),IF(N(U116)&gt;0,ROUND(N(U116)*IFERROR(VLOOKUP(R116,Listes!$AE$3:$AG$12,2,FALSE),0),0),0)))</f>
        <v/>
      </c>
      <c r="AZ116" s="7">
        <f>IF(LEFT(A116,7)="EXEMPLE",1,0)</f>
        <v/>
      </c>
      <c r="BA116" s="7">
        <f>IF(AND(AV116=1,AZ116=0,AC116&lt;&gt;"",W116&lt;&gt;"",N(V116)&gt;0),COUNTIFS($AV$3:AV116,1,$AZ$3:AZ116,0,$AC$3:AC116,"&lt;&gt;",$W$3:W116,"&lt;&gt;",$V$3:V116,"&gt;0"),"")</f>
        <v/>
      </c>
    </row>
    <row r="117">
      <c r="A117" s="12" t="n"/>
      <c r="B117" s="13" t="n"/>
      <c r="C117" s="13" t="n"/>
      <c r="D117" s="7">
        <f>IF(OR(B117="",C117=""),"",ROUND((C117-B117)*1440,0))</f>
        <v/>
      </c>
      <c r="E117" s="12" t="n"/>
      <c r="F117" s="12" t="n"/>
      <c r="G117" s="12" t="n"/>
      <c r="H117" s="12" t="n"/>
      <c r="I117" s="12" t="n"/>
      <c r="J117" s="12" t="n"/>
      <c r="K117" s="12" t="n"/>
      <c r="L117" s="14" t="n"/>
      <c r="M117" s="12" t="n"/>
      <c r="N117" s="12" t="n"/>
      <c r="O117" s="12" t="n"/>
      <c r="P117" s="12" t="n"/>
      <c r="Q117" s="7">
        <f>IF(A117="","",IFERROR(VLOOKUP(O117,Listes!$R$3:$T$8,2,FALSE),0)+IFERROR(VLOOKUP(J117,Listes!$J$3:$L$6,2,FALSE),0)+IFERROR(VLOOKUP(N117,Listes!$N$3:$P$6,2,FALSE),0)+IF(OR(L117="",B117=""),0,IF(L117-INT(B117)&lt;10,8,IF(L117-INT(B117)&lt;=90,10,5)))+IFERROR(VLOOKUP(AN117,Listes!$V$3:$W$5,2,FALSE),0)+IFERROR(VLOOKUP(AO117,Listes!$Y$3:$Z$5,2,FALSE),0))</f>
        <v/>
      </c>
      <c r="R117" s="12" t="n"/>
      <c r="S117" s="12" t="n"/>
      <c r="T117" s="12" t="n"/>
      <c r="U117" s="15" t="n"/>
      <c r="V117" s="15" t="n"/>
      <c r="W117" s="13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3" t="n"/>
      <c r="AK117" s="12" t="n"/>
      <c r="AL117" s="12" t="n"/>
      <c r="AM117" s="12" t="n"/>
      <c r="AN117" s="12" t="n"/>
      <c r="AO117" s="12" t="n"/>
      <c r="AP117" s="12" t="n"/>
      <c r="AQ117" s="7">
        <f>IF(A117="","",IF(AP117&lt;&gt;"",AP117,IF(LEFT(Z117,11)="gads_marque","Google Search – Marque",IF(LEFT(Z117,12)="gads_mariage","Google Search – Mariage et privé",IF(LEFT(Z117,10)="gads_corpo","Google Search – Corporatif",IF(LEFT(Z117,5)="meta_","Meta – Leads",IF(LEFT(Z117,5)="msft_","Microsoft Ads",IF(LEFT(Z117,8)="chatgpt_","ChatGPT Ads – Test",IF(X117="gbp","Fiche Google (organique)","Autre / non payé")))))))))</f>
        <v/>
      </c>
      <c r="AR117" s="7">
        <f>IF(K117="","",IFERROR(VLOOKUP(K117,Listes!$F$3:$H$8,3,FALSE),""))</f>
        <v/>
      </c>
      <c r="AS117" s="7">
        <f>IF(O117="","",IF(AND(M117="Autre (plus de 40 km)",OR(O117="lt600",O117="600_999",O117="1000_2499")),"D",IF(OR(O117="lt600",AND(O117="600_999",K117&lt;&gt;"mariage",K117&lt;&gt;"prive")),"C",IF(OR(O117="2500_4999",O117="5000p",J117="entreprise",J117="organisme",J117="agence"),"A",IF(OR(O117="1000_2499",O117="600_999"),"B",IF(O117="inconnu",IF(OR(N117="75_149",N117="150p"),"A","B"),""))))))</f>
        <v/>
      </c>
      <c r="AT117" s="7">
        <f>IF(A117="","",IF(P117&lt;&gt;"",P117,AS117))</f>
        <v/>
      </c>
      <c r="AU117" s="7">
        <f>IF(A117="","",IF(OR(AT117="A",AT117="B"),1,0))</f>
        <v/>
      </c>
      <c r="AV117" s="7">
        <f>IF(A117="","",IF(OR(R117="Dépôt payé (gagné)",R117="Événement livré",R117="Avis obtenu"),1,0))</f>
        <v/>
      </c>
      <c r="AW117" s="7">
        <f>IF(A117="","",IF(Q117&gt;70,"Immédiat – propriétaire",IF(Q117&gt;=40,"15 min – personne de garde","Selon la route")))</f>
        <v/>
      </c>
      <c r="AX117" s="11">
        <f>IF(A117="","",IF(AT117="A",400,IF(AT117="B",150,0)))</f>
        <v/>
      </c>
      <c r="AY117" s="11">
        <f>IF(A117="","",IF(AV117=1,N(V117),IF(N(U117)&gt;0,ROUND(N(U117)*IFERROR(VLOOKUP(R117,Listes!$AE$3:$AG$12,2,FALSE),0),0),0)))</f>
        <v/>
      </c>
      <c r="AZ117" s="7">
        <f>IF(LEFT(A117,7)="EXEMPLE",1,0)</f>
        <v/>
      </c>
      <c r="BA117" s="7">
        <f>IF(AND(AV117=1,AZ117=0,AC117&lt;&gt;"",W117&lt;&gt;"",N(V117)&gt;0),COUNTIFS($AV$3:AV117,1,$AZ$3:AZ117,0,$AC$3:AC117,"&lt;&gt;",$W$3:W117,"&lt;&gt;",$V$3:V117,"&gt;0"),"")</f>
        <v/>
      </c>
    </row>
    <row r="118">
      <c r="A118" s="12" t="n"/>
      <c r="B118" s="13" t="n"/>
      <c r="C118" s="13" t="n"/>
      <c r="D118" s="7">
        <f>IF(OR(B118="",C118=""),"",ROUND((C118-B118)*1440,0))</f>
        <v/>
      </c>
      <c r="E118" s="12" t="n"/>
      <c r="F118" s="12" t="n"/>
      <c r="G118" s="12" t="n"/>
      <c r="H118" s="12" t="n"/>
      <c r="I118" s="12" t="n"/>
      <c r="J118" s="12" t="n"/>
      <c r="K118" s="12" t="n"/>
      <c r="L118" s="14" t="n"/>
      <c r="M118" s="12" t="n"/>
      <c r="N118" s="12" t="n"/>
      <c r="O118" s="12" t="n"/>
      <c r="P118" s="12" t="n"/>
      <c r="Q118" s="7">
        <f>IF(A118="","",IFERROR(VLOOKUP(O118,Listes!$R$3:$T$8,2,FALSE),0)+IFERROR(VLOOKUP(J118,Listes!$J$3:$L$6,2,FALSE),0)+IFERROR(VLOOKUP(N118,Listes!$N$3:$P$6,2,FALSE),0)+IF(OR(L118="",B118=""),0,IF(L118-INT(B118)&lt;10,8,IF(L118-INT(B118)&lt;=90,10,5)))+IFERROR(VLOOKUP(AN118,Listes!$V$3:$W$5,2,FALSE),0)+IFERROR(VLOOKUP(AO118,Listes!$Y$3:$Z$5,2,FALSE),0))</f>
        <v/>
      </c>
      <c r="R118" s="12" t="n"/>
      <c r="S118" s="12" t="n"/>
      <c r="T118" s="12" t="n"/>
      <c r="U118" s="15" t="n"/>
      <c r="V118" s="15" t="n"/>
      <c r="W118" s="13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3" t="n"/>
      <c r="AK118" s="12" t="n"/>
      <c r="AL118" s="12" t="n"/>
      <c r="AM118" s="12" t="n"/>
      <c r="AN118" s="12" t="n"/>
      <c r="AO118" s="12" t="n"/>
      <c r="AP118" s="12" t="n"/>
      <c r="AQ118" s="7">
        <f>IF(A118="","",IF(AP118&lt;&gt;"",AP118,IF(LEFT(Z118,11)="gads_marque","Google Search – Marque",IF(LEFT(Z118,12)="gads_mariage","Google Search – Mariage et privé",IF(LEFT(Z118,10)="gads_corpo","Google Search – Corporatif",IF(LEFT(Z118,5)="meta_","Meta – Leads",IF(LEFT(Z118,5)="msft_","Microsoft Ads",IF(LEFT(Z118,8)="chatgpt_","ChatGPT Ads – Test",IF(X118="gbp","Fiche Google (organique)","Autre / non payé")))))))))</f>
        <v/>
      </c>
      <c r="AR118" s="7">
        <f>IF(K118="","",IFERROR(VLOOKUP(K118,Listes!$F$3:$H$8,3,FALSE),""))</f>
        <v/>
      </c>
      <c r="AS118" s="7">
        <f>IF(O118="","",IF(AND(M118="Autre (plus de 40 km)",OR(O118="lt600",O118="600_999",O118="1000_2499")),"D",IF(OR(O118="lt600",AND(O118="600_999",K118&lt;&gt;"mariage",K118&lt;&gt;"prive")),"C",IF(OR(O118="2500_4999",O118="5000p",J118="entreprise",J118="organisme",J118="agence"),"A",IF(OR(O118="1000_2499",O118="600_999"),"B",IF(O118="inconnu",IF(OR(N118="75_149",N118="150p"),"A","B"),""))))))</f>
        <v/>
      </c>
      <c r="AT118" s="7">
        <f>IF(A118="","",IF(P118&lt;&gt;"",P118,AS118))</f>
        <v/>
      </c>
      <c r="AU118" s="7">
        <f>IF(A118="","",IF(OR(AT118="A",AT118="B"),1,0))</f>
        <v/>
      </c>
      <c r="AV118" s="7">
        <f>IF(A118="","",IF(OR(R118="Dépôt payé (gagné)",R118="Événement livré",R118="Avis obtenu"),1,0))</f>
        <v/>
      </c>
      <c r="AW118" s="7">
        <f>IF(A118="","",IF(Q118&gt;70,"Immédiat – propriétaire",IF(Q118&gt;=40,"15 min – personne de garde","Selon la route")))</f>
        <v/>
      </c>
      <c r="AX118" s="11">
        <f>IF(A118="","",IF(AT118="A",400,IF(AT118="B",150,0)))</f>
        <v/>
      </c>
      <c r="AY118" s="11">
        <f>IF(A118="","",IF(AV118=1,N(V118),IF(N(U118)&gt;0,ROUND(N(U118)*IFERROR(VLOOKUP(R118,Listes!$AE$3:$AG$12,2,FALSE),0),0),0)))</f>
        <v/>
      </c>
      <c r="AZ118" s="7">
        <f>IF(LEFT(A118,7)="EXEMPLE",1,0)</f>
        <v/>
      </c>
      <c r="BA118" s="7">
        <f>IF(AND(AV118=1,AZ118=0,AC118&lt;&gt;"",W118&lt;&gt;"",N(V118)&gt;0),COUNTIFS($AV$3:AV118,1,$AZ$3:AZ118,0,$AC$3:AC118,"&lt;&gt;",$W$3:W118,"&lt;&gt;",$V$3:V118,"&gt;0"),"")</f>
        <v/>
      </c>
    </row>
    <row r="119">
      <c r="A119" s="12" t="n"/>
      <c r="B119" s="13" t="n"/>
      <c r="C119" s="13" t="n"/>
      <c r="D119" s="7">
        <f>IF(OR(B119="",C119=""),"",ROUND((C119-B119)*1440,0))</f>
        <v/>
      </c>
      <c r="E119" s="12" t="n"/>
      <c r="F119" s="12" t="n"/>
      <c r="G119" s="12" t="n"/>
      <c r="H119" s="12" t="n"/>
      <c r="I119" s="12" t="n"/>
      <c r="J119" s="12" t="n"/>
      <c r="K119" s="12" t="n"/>
      <c r="L119" s="14" t="n"/>
      <c r="M119" s="12" t="n"/>
      <c r="N119" s="12" t="n"/>
      <c r="O119" s="12" t="n"/>
      <c r="P119" s="12" t="n"/>
      <c r="Q119" s="7">
        <f>IF(A119="","",IFERROR(VLOOKUP(O119,Listes!$R$3:$T$8,2,FALSE),0)+IFERROR(VLOOKUP(J119,Listes!$J$3:$L$6,2,FALSE),0)+IFERROR(VLOOKUP(N119,Listes!$N$3:$P$6,2,FALSE),0)+IF(OR(L119="",B119=""),0,IF(L119-INT(B119)&lt;10,8,IF(L119-INT(B119)&lt;=90,10,5)))+IFERROR(VLOOKUP(AN119,Listes!$V$3:$W$5,2,FALSE),0)+IFERROR(VLOOKUP(AO119,Listes!$Y$3:$Z$5,2,FALSE),0))</f>
        <v/>
      </c>
      <c r="R119" s="12" t="n"/>
      <c r="S119" s="12" t="n"/>
      <c r="T119" s="12" t="n"/>
      <c r="U119" s="15" t="n"/>
      <c r="V119" s="15" t="n"/>
      <c r="W119" s="13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3" t="n"/>
      <c r="AK119" s="12" t="n"/>
      <c r="AL119" s="12" t="n"/>
      <c r="AM119" s="12" t="n"/>
      <c r="AN119" s="12" t="n"/>
      <c r="AO119" s="12" t="n"/>
      <c r="AP119" s="12" t="n"/>
      <c r="AQ119" s="7">
        <f>IF(A119="","",IF(AP119&lt;&gt;"",AP119,IF(LEFT(Z119,11)="gads_marque","Google Search – Marque",IF(LEFT(Z119,12)="gads_mariage","Google Search – Mariage et privé",IF(LEFT(Z119,10)="gads_corpo","Google Search – Corporatif",IF(LEFT(Z119,5)="meta_","Meta – Leads",IF(LEFT(Z119,5)="msft_","Microsoft Ads",IF(LEFT(Z119,8)="chatgpt_","ChatGPT Ads – Test",IF(X119="gbp","Fiche Google (organique)","Autre / non payé")))))))))</f>
        <v/>
      </c>
      <c r="AR119" s="7">
        <f>IF(K119="","",IFERROR(VLOOKUP(K119,Listes!$F$3:$H$8,3,FALSE),""))</f>
        <v/>
      </c>
      <c r="AS119" s="7">
        <f>IF(O119="","",IF(AND(M119="Autre (plus de 40 km)",OR(O119="lt600",O119="600_999",O119="1000_2499")),"D",IF(OR(O119="lt600",AND(O119="600_999",K119&lt;&gt;"mariage",K119&lt;&gt;"prive")),"C",IF(OR(O119="2500_4999",O119="5000p",J119="entreprise",J119="organisme",J119="agence"),"A",IF(OR(O119="1000_2499",O119="600_999"),"B",IF(O119="inconnu",IF(OR(N119="75_149",N119="150p"),"A","B"),""))))))</f>
        <v/>
      </c>
      <c r="AT119" s="7">
        <f>IF(A119="","",IF(P119&lt;&gt;"",P119,AS119))</f>
        <v/>
      </c>
      <c r="AU119" s="7">
        <f>IF(A119="","",IF(OR(AT119="A",AT119="B"),1,0))</f>
        <v/>
      </c>
      <c r="AV119" s="7">
        <f>IF(A119="","",IF(OR(R119="Dépôt payé (gagné)",R119="Événement livré",R119="Avis obtenu"),1,0))</f>
        <v/>
      </c>
      <c r="AW119" s="7">
        <f>IF(A119="","",IF(Q119&gt;70,"Immédiat – propriétaire",IF(Q119&gt;=40,"15 min – personne de garde","Selon la route")))</f>
        <v/>
      </c>
      <c r="AX119" s="11">
        <f>IF(A119="","",IF(AT119="A",400,IF(AT119="B",150,0)))</f>
        <v/>
      </c>
      <c r="AY119" s="11">
        <f>IF(A119="","",IF(AV119=1,N(V119),IF(N(U119)&gt;0,ROUND(N(U119)*IFERROR(VLOOKUP(R119,Listes!$AE$3:$AG$12,2,FALSE),0),0),0)))</f>
        <v/>
      </c>
      <c r="AZ119" s="7">
        <f>IF(LEFT(A119,7)="EXEMPLE",1,0)</f>
        <v/>
      </c>
      <c r="BA119" s="7">
        <f>IF(AND(AV119=1,AZ119=0,AC119&lt;&gt;"",W119&lt;&gt;"",N(V119)&gt;0),COUNTIFS($AV$3:AV119,1,$AZ$3:AZ119,0,$AC$3:AC119,"&lt;&gt;",$W$3:W119,"&lt;&gt;",$V$3:V119,"&gt;0"),"")</f>
        <v/>
      </c>
    </row>
    <row r="120">
      <c r="A120" s="12" t="n"/>
      <c r="B120" s="13" t="n"/>
      <c r="C120" s="13" t="n"/>
      <c r="D120" s="7">
        <f>IF(OR(B120="",C120=""),"",ROUND((C120-B120)*1440,0))</f>
        <v/>
      </c>
      <c r="E120" s="12" t="n"/>
      <c r="F120" s="12" t="n"/>
      <c r="G120" s="12" t="n"/>
      <c r="H120" s="12" t="n"/>
      <c r="I120" s="12" t="n"/>
      <c r="J120" s="12" t="n"/>
      <c r="K120" s="12" t="n"/>
      <c r="L120" s="14" t="n"/>
      <c r="M120" s="12" t="n"/>
      <c r="N120" s="12" t="n"/>
      <c r="O120" s="12" t="n"/>
      <c r="P120" s="12" t="n"/>
      <c r="Q120" s="7">
        <f>IF(A120="","",IFERROR(VLOOKUP(O120,Listes!$R$3:$T$8,2,FALSE),0)+IFERROR(VLOOKUP(J120,Listes!$J$3:$L$6,2,FALSE),0)+IFERROR(VLOOKUP(N120,Listes!$N$3:$P$6,2,FALSE),0)+IF(OR(L120="",B120=""),0,IF(L120-INT(B120)&lt;10,8,IF(L120-INT(B120)&lt;=90,10,5)))+IFERROR(VLOOKUP(AN120,Listes!$V$3:$W$5,2,FALSE),0)+IFERROR(VLOOKUP(AO120,Listes!$Y$3:$Z$5,2,FALSE),0))</f>
        <v/>
      </c>
      <c r="R120" s="12" t="n"/>
      <c r="S120" s="12" t="n"/>
      <c r="T120" s="12" t="n"/>
      <c r="U120" s="15" t="n"/>
      <c r="V120" s="15" t="n"/>
      <c r="W120" s="13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3" t="n"/>
      <c r="AK120" s="12" t="n"/>
      <c r="AL120" s="12" t="n"/>
      <c r="AM120" s="12" t="n"/>
      <c r="AN120" s="12" t="n"/>
      <c r="AO120" s="12" t="n"/>
      <c r="AP120" s="12" t="n"/>
      <c r="AQ120" s="7">
        <f>IF(A120="","",IF(AP120&lt;&gt;"",AP120,IF(LEFT(Z120,11)="gads_marque","Google Search – Marque",IF(LEFT(Z120,12)="gads_mariage","Google Search – Mariage et privé",IF(LEFT(Z120,10)="gads_corpo","Google Search – Corporatif",IF(LEFT(Z120,5)="meta_","Meta – Leads",IF(LEFT(Z120,5)="msft_","Microsoft Ads",IF(LEFT(Z120,8)="chatgpt_","ChatGPT Ads – Test",IF(X120="gbp","Fiche Google (organique)","Autre / non payé")))))))))</f>
        <v/>
      </c>
      <c r="AR120" s="7">
        <f>IF(K120="","",IFERROR(VLOOKUP(K120,Listes!$F$3:$H$8,3,FALSE),""))</f>
        <v/>
      </c>
      <c r="AS120" s="7">
        <f>IF(O120="","",IF(AND(M120="Autre (plus de 40 km)",OR(O120="lt600",O120="600_999",O120="1000_2499")),"D",IF(OR(O120="lt600",AND(O120="600_999",K120&lt;&gt;"mariage",K120&lt;&gt;"prive")),"C",IF(OR(O120="2500_4999",O120="5000p",J120="entreprise",J120="organisme",J120="agence"),"A",IF(OR(O120="1000_2499",O120="600_999"),"B",IF(O120="inconnu",IF(OR(N120="75_149",N120="150p"),"A","B"),""))))))</f>
        <v/>
      </c>
      <c r="AT120" s="7">
        <f>IF(A120="","",IF(P120&lt;&gt;"",P120,AS120))</f>
        <v/>
      </c>
      <c r="AU120" s="7">
        <f>IF(A120="","",IF(OR(AT120="A",AT120="B"),1,0))</f>
        <v/>
      </c>
      <c r="AV120" s="7">
        <f>IF(A120="","",IF(OR(R120="Dépôt payé (gagné)",R120="Événement livré",R120="Avis obtenu"),1,0))</f>
        <v/>
      </c>
      <c r="AW120" s="7">
        <f>IF(A120="","",IF(Q120&gt;70,"Immédiat – propriétaire",IF(Q120&gt;=40,"15 min – personne de garde","Selon la route")))</f>
        <v/>
      </c>
      <c r="AX120" s="11">
        <f>IF(A120="","",IF(AT120="A",400,IF(AT120="B",150,0)))</f>
        <v/>
      </c>
      <c r="AY120" s="11">
        <f>IF(A120="","",IF(AV120=1,N(V120),IF(N(U120)&gt;0,ROUND(N(U120)*IFERROR(VLOOKUP(R120,Listes!$AE$3:$AG$12,2,FALSE),0),0),0)))</f>
        <v/>
      </c>
      <c r="AZ120" s="7">
        <f>IF(LEFT(A120,7)="EXEMPLE",1,0)</f>
        <v/>
      </c>
      <c r="BA120" s="7">
        <f>IF(AND(AV120=1,AZ120=0,AC120&lt;&gt;"",W120&lt;&gt;"",N(V120)&gt;0),COUNTIFS($AV$3:AV120,1,$AZ$3:AZ120,0,$AC$3:AC120,"&lt;&gt;",$W$3:W120,"&lt;&gt;",$V$3:V120,"&gt;0"),"")</f>
        <v/>
      </c>
    </row>
    <row r="121">
      <c r="A121" s="12" t="n"/>
      <c r="B121" s="13" t="n"/>
      <c r="C121" s="13" t="n"/>
      <c r="D121" s="7">
        <f>IF(OR(B121="",C121=""),"",ROUND((C121-B121)*1440,0))</f>
        <v/>
      </c>
      <c r="E121" s="12" t="n"/>
      <c r="F121" s="12" t="n"/>
      <c r="G121" s="12" t="n"/>
      <c r="H121" s="12" t="n"/>
      <c r="I121" s="12" t="n"/>
      <c r="J121" s="12" t="n"/>
      <c r="K121" s="12" t="n"/>
      <c r="L121" s="14" t="n"/>
      <c r="M121" s="12" t="n"/>
      <c r="N121" s="12" t="n"/>
      <c r="O121" s="12" t="n"/>
      <c r="P121" s="12" t="n"/>
      <c r="Q121" s="7">
        <f>IF(A121="","",IFERROR(VLOOKUP(O121,Listes!$R$3:$T$8,2,FALSE),0)+IFERROR(VLOOKUP(J121,Listes!$J$3:$L$6,2,FALSE),0)+IFERROR(VLOOKUP(N121,Listes!$N$3:$P$6,2,FALSE),0)+IF(OR(L121="",B121=""),0,IF(L121-INT(B121)&lt;10,8,IF(L121-INT(B121)&lt;=90,10,5)))+IFERROR(VLOOKUP(AN121,Listes!$V$3:$W$5,2,FALSE),0)+IFERROR(VLOOKUP(AO121,Listes!$Y$3:$Z$5,2,FALSE),0))</f>
        <v/>
      </c>
      <c r="R121" s="12" t="n"/>
      <c r="S121" s="12" t="n"/>
      <c r="T121" s="12" t="n"/>
      <c r="U121" s="15" t="n"/>
      <c r="V121" s="15" t="n"/>
      <c r="W121" s="13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3" t="n"/>
      <c r="AK121" s="12" t="n"/>
      <c r="AL121" s="12" t="n"/>
      <c r="AM121" s="12" t="n"/>
      <c r="AN121" s="12" t="n"/>
      <c r="AO121" s="12" t="n"/>
      <c r="AP121" s="12" t="n"/>
      <c r="AQ121" s="7">
        <f>IF(A121="","",IF(AP121&lt;&gt;"",AP121,IF(LEFT(Z121,11)="gads_marque","Google Search – Marque",IF(LEFT(Z121,12)="gads_mariage","Google Search – Mariage et privé",IF(LEFT(Z121,10)="gads_corpo","Google Search – Corporatif",IF(LEFT(Z121,5)="meta_","Meta – Leads",IF(LEFT(Z121,5)="msft_","Microsoft Ads",IF(LEFT(Z121,8)="chatgpt_","ChatGPT Ads – Test",IF(X121="gbp","Fiche Google (organique)","Autre / non payé")))))))))</f>
        <v/>
      </c>
      <c r="AR121" s="7">
        <f>IF(K121="","",IFERROR(VLOOKUP(K121,Listes!$F$3:$H$8,3,FALSE),""))</f>
        <v/>
      </c>
      <c r="AS121" s="7">
        <f>IF(O121="","",IF(AND(M121="Autre (plus de 40 km)",OR(O121="lt600",O121="600_999",O121="1000_2499")),"D",IF(OR(O121="lt600",AND(O121="600_999",K121&lt;&gt;"mariage",K121&lt;&gt;"prive")),"C",IF(OR(O121="2500_4999",O121="5000p",J121="entreprise",J121="organisme",J121="agence"),"A",IF(OR(O121="1000_2499",O121="600_999"),"B",IF(O121="inconnu",IF(OR(N121="75_149",N121="150p"),"A","B"),""))))))</f>
        <v/>
      </c>
      <c r="AT121" s="7">
        <f>IF(A121="","",IF(P121&lt;&gt;"",P121,AS121))</f>
        <v/>
      </c>
      <c r="AU121" s="7">
        <f>IF(A121="","",IF(OR(AT121="A",AT121="B"),1,0))</f>
        <v/>
      </c>
      <c r="AV121" s="7">
        <f>IF(A121="","",IF(OR(R121="Dépôt payé (gagné)",R121="Événement livré",R121="Avis obtenu"),1,0))</f>
        <v/>
      </c>
      <c r="AW121" s="7">
        <f>IF(A121="","",IF(Q121&gt;70,"Immédiat – propriétaire",IF(Q121&gt;=40,"15 min – personne de garde","Selon la route")))</f>
        <v/>
      </c>
      <c r="AX121" s="11">
        <f>IF(A121="","",IF(AT121="A",400,IF(AT121="B",150,0)))</f>
        <v/>
      </c>
      <c r="AY121" s="11">
        <f>IF(A121="","",IF(AV121=1,N(V121),IF(N(U121)&gt;0,ROUND(N(U121)*IFERROR(VLOOKUP(R121,Listes!$AE$3:$AG$12,2,FALSE),0),0),0)))</f>
        <v/>
      </c>
      <c r="AZ121" s="7">
        <f>IF(LEFT(A121,7)="EXEMPLE",1,0)</f>
        <v/>
      </c>
      <c r="BA121" s="7">
        <f>IF(AND(AV121=1,AZ121=0,AC121&lt;&gt;"",W121&lt;&gt;"",N(V121)&gt;0),COUNTIFS($AV$3:AV121,1,$AZ$3:AZ121,0,$AC$3:AC121,"&lt;&gt;",$W$3:W121,"&lt;&gt;",$V$3:V121,"&gt;0"),"")</f>
        <v/>
      </c>
    </row>
    <row r="122">
      <c r="A122" s="12" t="n"/>
      <c r="B122" s="13" t="n"/>
      <c r="C122" s="13" t="n"/>
      <c r="D122" s="7">
        <f>IF(OR(B122="",C122=""),"",ROUND((C122-B122)*1440,0))</f>
        <v/>
      </c>
      <c r="E122" s="12" t="n"/>
      <c r="F122" s="12" t="n"/>
      <c r="G122" s="12" t="n"/>
      <c r="H122" s="12" t="n"/>
      <c r="I122" s="12" t="n"/>
      <c r="J122" s="12" t="n"/>
      <c r="K122" s="12" t="n"/>
      <c r="L122" s="14" t="n"/>
      <c r="M122" s="12" t="n"/>
      <c r="N122" s="12" t="n"/>
      <c r="O122" s="12" t="n"/>
      <c r="P122" s="12" t="n"/>
      <c r="Q122" s="7">
        <f>IF(A122="","",IFERROR(VLOOKUP(O122,Listes!$R$3:$T$8,2,FALSE),0)+IFERROR(VLOOKUP(J122,Listes!$J$3:$L$6,2,FALSE),0)+IFERROR(VLOOKUP(N122,Listes!$N$3:$P$6,2,FALSE),0)+IF(OR(L122="",B122=""),0,IF(L122-INT(B122)&lt;10,8,IF(L122-INT(B122)&lt;=90,10,5)))+IFERROR(VLOOKUP(AN122,Listes!$V$3:$W$5,2,FALSE),0)+IFERROR(VLOOKUP(AO122,Listes!$Y$3:$Z$5,2,FALSE),0))</f>
        <v/>
      </c>
      <c r="R122" s="12" t="n"/>
      <c r="S122" s="12" t="n"/>
      <c r="T122" s="12" t="n"/>
      <c r="U122" s="15" t="n"/>
      <c r="V122" s="15" t="n"/>
      <c r="W122" s="13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3" t="n"/>
      <c r="AK122" s="12" t="n"/>
      <c r="AL122" s="12" t="n"/>
      <c r="AM122" s="12" t="n"/>
      <c r="AN122" s="12" t="n"/>
      <c r="AO122" s="12" t="n"/>
      <c r="AP122" s="12" t="n"/>
      <c r="AQ122" s="7">
        <f>IF(A122="","",IF(AP122&lt;&gt;"",AP122,IF(LEFT(Z122,11)="gads_marque","Google Search – Marque",IF(LEFT(Z122,12)="gads_mariage","Google Search – Mariage et privé",IF(LEFT(Z122,10)="gads_corpo","Google Search – Corporatif",IF(LEFT(Z122,5)="meta_","Meta – Leads",IF(LEFT(Z122,5)="msft_","Microsoft Ads",IF(LEFT(Z122,8)="chatgpt_","ChatGPT Ads – Test",IF(X122="gbp","Fiche Google (organique)","Autre / non payé")))))))))</f>
        <v/>
      </c>
      <c r="AR122" s="7">
        <f>IF(K122="","",IFERROR(VLOOKUP(K122,Listes!$F$3:$H$8,3,FALSE),""))</f>
        <v/>
      </c>
      <c r="AS122" s="7">
        <f>IF(O122="","",IF(AND(M122="Autre (plus de 40 km)",OR(O122="lt600",O122="600_999",O122="1000_2499")),"D",IF(OR(O122="lt600",AND(O122="600_999",K122&lt;&gt;"mariage",K122&lt;&gt;"prive")),"C",IF(OR(O122="2500_4999",O122="5000p",J122="entreprise",J122="organisme",J122="agence"),"A",IF(OR(O122="1000_2499",O122="600_999"),"B",IF(O122="inconnu",IF(OR(N122="75_149",N122="150p"),"A","B"),""))))))</f>
        <v/>
      </c>
      <c r="AT122" s="7">
        <f>IF(A122="","",IF(P122&lt;&gt;"",P122,AS122))</f>
        <v/>
      </c>
      <c r="AU122" s="7">
        <f>IF(A122="","",IF(OR(AT122="A",AT122="B"),1,0))</f>
        <v/>
      </c>
      <c r="AV122" s="7">
        <f>IF(A122="","",IF(OR(R122="Dépôt payé (gagné)",R122="Événement livré",R122="Avis obtenu"),1,0))</f>
        <v/>
      </c>
      <c r="AW122" s="7">
        <f>IF(A122="","",IF(Q122&gt;70,"Immédiat – propriétaire",IF(Q122&gt;=40,"15 min – personne de garde","Selon la route")))</f>
        <v/>
      </c>
      <c r="AX122" s="11">
        <f>IF(A122="","",IF(AT122="A",400,IF(AT122="B",150,0)))</f>
        <v/>
      </c>
      <c r="AY122" s="11">
        <f>IF(A122="","",IF(AV122=1,N(V122),IF(N(U122)&gt;0,ROUND(N(U122)*IFERROR(VLOOKUP(R122,Listes!$AE$3:$AG$12,2,FALSE),0),0),0)))</f>
        <v/>
      </c>
      <c r="AZ122" s="7">
        <f>IF(LEFT(A122,7)="EXEMPLE",1,0)</f>
        <v/>
      </c>
      <c r="BA122" s="7">
        <f>IF(AND(AV122=1,AZ122=0,AC122&lt;&gt;"",W122&lt;&gt;"",N(V122)&gt;0),COUNTIFS($AV$3:AV122,1,$AZ$3:AZ122,0,$AC$3:AC122,"&lt;&gt;",$W$3:W122,"&lt;&gt;",$V$3:V122,"&gt;0"),"")</f>
        <v/>
      </c>
    </row>
    <row r="123">
      <c r="A123" s="12" t="n"/>
      <c r="B123" s="13" t="n"/>
      <c r="C123" s="13" t="n"/>
      <c r="D123" s="7">
        <f>IF(OR(B123="",C123=""),"",ROUND((C123-B123)*1440,0))</f>
        <v/>
      </c>
      <c r="E123" s="12" t="n"/>
      <c r="F123" s="12" t="n"/>
      <c r="G123" s="12" t="n"/>
      <c r="H123" s="12" t="n"/>
      <c r="I123" s="12" t="n"/>
      <c r="J123" s="12" t="n"/>
      <c r="K123" s="12" t="n"/>
      <c r="L123" s="14" t="n"/>
      <c r="M123" s="12" t="n"/>
      <c r="N123" s="12" t="n"/>
      <c r="O123" s="12" t="n"/>
      <c r="P123" s="12" t="n"/>
      <c r="Q123" s="7">
        <f>IF(A123="","",IFERROR(VLOOKUP(O123,Listes!$R$3:$T$8,2,FALSE),0)+IFERROR(VLOOKUP(J123,Listes!$J$3:$L$6,2,FALSE),0)+IFERROR(VLOOKUP(N123,Listes!$N$3:$P$6,2,FALSE),0)+IF(OR(L123="",B123=""),0,IF(L123-INT(B123)&lt;10,8,IF(L123-INT(B123)&lt;=90,10,5)))+IFERROR(VLOOKUP(AN123,Listes!$V$3:$W$5,2,FALSE),0)+IFERROR(VLOOKUP(AO123,Listes!$Y$3:$Z$5,2,FALSE),0))</f>
        <v/>
      </c>
      <c r="R123" s="12" t="n"/>
      <c r="S123" s="12" t="n"/>
      <c r="T123" s="12" t="n"/>
      <c r="U123" s="15" t="n"/>
      <c r="V123" s="15" t="n"/>
      <c r="W123" s="13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3" t="n"/>
      <c r="AK123" s="12" t="n"/>
      <c r="AL123" s="12" t="n"/>
      <c r="AM123" s="12" t="n"/>
      <c r="AN123" s="12" t="n"/>
      <c r="AO123" s="12" t="n"/>
      <c r="AP123" s="12" t="n"/>
      <c r="AQ123" s="7">
        <f>IF(A123="","",IF(AP123&lt;&gt;"",AP123,IF(LEFT(Z123,11)="gads_marque","Google Search – Marque",IF(LEFT(Z123,12)="gads_mariage","Google Search – Mariage et privé",IF(LEFT(Z123,10)="gads_corpo","Google Search – Corporatif",IF(LEFT(Z123,5)="meta_","Meta – Leads",IF(LEFT(Z123,5)="msft_","Microsoft Ads",IF(LEFT(Z123,8)="chatgpt_","ChatGPT Ads – Test",IF(X123="gbp","Fiche Google (organique)","Autre / non payé")))))))))</f>
        <v/>
      </c>
      <c r="AR123" s="7">
        <f>IF(K123="","",IFERROR(VLOOKUP(K123,Listes!$F$3:$H$8,3,FALSE),""))</f>
        <v/>
      </c>
      <c r="AS123" s="7">
        <f>IF(O123="","",IF(AND(M123="Autre (plus de 40 km)",OR(O123="lt600",O123="600_999",O123="1000_2499")),"D",IF(OR(O123="lt600",AND(O123="600_999",K123&lt;&gt;"mariage",K123&lt;&gt;"prive")),"C",IF(OR(O123="2500_4999",O123="5000p",J123="entreprise",J123="organisme",J123="agence"),"A",IF(OR(O123="1000_2499",O123="600_999"),"B",IF(O123="inconnu",IF(OR(N123="75_149",N123="150p"),"A","B"),""))))))</f>
        <v/>
      </c>
      <c r="AT123" s="7">
        <f>IF(A123="","",IF(P123&lt;&gt;"",P123,AS123))</f>
        <v/>
      </c>
      <c r="AU123" s="7">
        <f>IF(A123="","",IF(OR(AT123="A",AT123="B"),1,0))</f>
        <v/>
      </c>
      <c r="AV123" s="7">
        <f>IF(A123="","",IF(OR(R123="Dépôt payé (gagné)",R123="Événement livré",R123="Avis obtenu"),1,0))</f>
        <v/>
      </c>
      <c r="AW123" s="7">
        <f>IF(A123="","",IF(Q123&gt;70,"Immédiat – propriétaire",IF(Q123&gt;=40,"15 min – personne de garde","Selon la route")))</f>
        <v/>
      </c>
      <c r="AX123" s="11">
        <f>IF(A123="","",IF(AT123="A",400,IF(AT123="B",150,0)))</f>
        <v/>
      </c>
      <c r="AY123" s="11">
        <f>IF(A123="","",IF(AV123=1,N(V123),IF(N(U123)&gt;0,ROUND(N(U123)*IFERROR(VLOOKUP(R123,Listes!$AE$3:$AG$12,2,FALSE),0),0),0)))</f>
        <v/>
      </c>
      <c r="AZ123" s="7">
        <f>IF(LEFT(A123,7)="EXEMPLE",1,0)</f>
        <v/>
      </c>
      <c r="BA123" s="7">
        <f>IF(AND(AV123=1,AZ123=0,AC123&lt;&gt;"",W123&lt;&gt;"",N(V123)&gt;0),COUNTIFS($AV$3:AV123,1,$AZ$3:AZ123,0,$AC$3:AC123,"&lt;&gt;",$W$3:W123,"&lt;&gt;",$V$3:V123,"&gt;0"),"")</f>
        <v/>
      </c>
    </row>
    <row r="124">
      <c r="A124" s="12" t="n"/>
      <c r="B124" s="13" t="n"/>
      <c r="C124" s="13" t="n"/>
      <c r="D124" s="7">
        <f>IF(OR(B124="",C124=""),"",ROUND((C124-B124)*1440,0))</f>
        <v/>
      </c>
      <c r="E124" s="12" t="n"/>
      <c r="F124" s="12" t="n"/>
      <c r="G124" s="12" t="n"/>
      <c r="H124" s="12" t="n"/>
      <c r="I124" s="12" t="n"/>
      <c r="J124" s="12" t="n"/>
      <c r="K124" s="12" t="n"/>
      <c r="L124" s="14" t="n"/>
      <c r="M124" s="12" t="n"/>
      <c r="N124" s="12" t="n"/>
      <c r="O124" s="12" t="n"/>
      <c r="P124" s="12" t="n"/>
      <c r="Q124" s="7">
        <f>IF(A124="","",IFERROR(VLOOKUP(O124,Listes!$R$3:$T$8,2,FALSE),0)+IFERROR(VLOOKUP(J124,Listes!$J$3:$L$6,2,FALSE),0)+IFERROR(VLOOKUP(N124,Listes!$N$3:$P$6,2,FALSE),0)+IF(OR(L124="",B124=""),0,IF(L124-INT(B124)&lt;10,8,IF(L124-INT(B124)&lt;=90,10,5)))+IFERROR(VLOOKUP(AN124,Listes!$V$3:$W$5,2,FALSE),0)+IFERROR(VLOOKUP(AO124,Listes!$Y$3:$Z$5,2,FALSE),0))</f>
        <v/>
      </c>
      <c r="R124" s="12" t="n"/>
      <c r="S124" s="12" t="n"/>
      <c r="T124" s="12" t="n"/>
      <c r="U124" s="15" t="n"/>
      <c r="V124" s="15" t="n"/>
      <c r="W124" s="13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3" t="n"/>
      <c r="AK124" s="12" t="n"/>
      <c r="AL124" s="12" t="n"/>
      <c r="AM124" s="12" t="n"/>
      <c r="AN124" s="12" t="n"/>
      <c r="AO124" s="12" t="n"/>
      <c r="AP124" s="12" t="n"/>
      <c r="AQ124" s="7">
        <f>IF(A124="","",IF(AP124&lt;&gt;"",AP124,IF(LEFT(Z124,11)="gads_marque","Google Search – Marque",IF(LEFT(Z124,12)="gads_mariage","Google Search – Mariage et privé",IF(LEFT(Z124,10)="gads_corpo","Google Search – Corporatif",IF(LEFT(Z124,5)="meta_","Meta – Leads",IF(LEFT(Z124,5)="msft_","Microsoft Ads",IF(LEFT(Z124,8)="chatgpt_","ChatGPT Ads – Test",IF(X124="gbp","Fiche Google (organique)","Autre / non payé")))))))))</f>
        <v/>
      </c>
      <c r="AR124" s="7">
        <f>IF(K124="","",IFERROR(VLOOKUP(K124,Listes!$F$3:$H$8,3,FALSE),""))</f>
        <v/>
      </c>
      <c r="AS124" s="7">
        <f>IF(O124="","",IF(AND(M124="Autre (plus de 40 km)",OR(O124="lt600",O124="600_999",O124="1000_2499")),"D",IF(OR(O124="lt600",AND(O124="600_999",K124&lt;&gt;"mariage",K124&lt;&gt;"prive")),"C",IF(OR(O124="2500_4999",O124="5000p",J124="entreprise",J124="organisme",J124="agence"),"A",IF(OR(O124="1000_2499",O124="600_999"),"B",IF(O124="inconnu",IF(OR(N124="75_149",N124="150p"),"A","B"),""))))))</f>
        <v/>
      </c>
      <c r="AT124" s="7">
        <f>IF(A124="","",IF(P124&lt;&gt;"",P124,AS124))</f>
        <v/>
      </c>
      <c r="AU124" s="7">
        <f>IF(A124="","",IF(OR(AT124="A",AT124="B"),1,0))</f>
        <v/>
      </c>
      <c r="AV124" s="7">
        <f>IF(A124="","",IF(OR(R124="Dépôt payé (gagné)",R124="Événement livré",R124="Avis obtenu"),1,0))</f>
        <v/>
      </c>
      <c r="AW124" s="7">
        <f>IF(A124="","",IF(Q124&gt;70,"Immédiat – propriétaire",IF(Q124&gt;=40,"15 min – personne de garde","Selon la route")))</f>
        <v/>
      </c>
      <c r="AX124" s="11">
        <f>IF(A124="","",IF(AT124="A",400,IF(AT124="B",150,0)))</f>
        <v/>
      </c>
      <c r="AY124" s="11">
        <f>IF(A124="","",IF(AV124=1,N(V124),IF(N(U124)&gt;0,ROUND(N(U124)*IFERROR(VLOOKUP(R124,Listes!$AE$3:$AG$12,2,FALSE),0),0),0)))</f>
        <v/>
      </c>
      <c r="AZ124" s="7">
        <f>IF(LEFT(A124,7)="EXEMPLE",1,0)</f>
        <v/>
      </c>
      <c r="BA124" s="7">
        <f>IF(AND(AV124=1,AZ124=0,AC124&lt;&gt;"",W124&lt;&gt;"",N(V124)&gt;0),COUNTIFS($AV$3:AV124,1,$AZ$3:AZ124,0,$AC$3:AC124,"&lt;&gt;",$W$3:W124,"&lt;&gt;",$V$3:V124,"&gt;0"),"")</f>
        <v/>
      </c>
    </row>
    <row r="125">
      <c r="A125" s="12" t="n"/>
      <c r="B125" s="13" t="n"/>
      <c r="C125" s="13" t="n"/>
      <c r="D125" s="7">
        <f>IF(OR(B125="",C125=""),"",ROUND((C125-B125)*1440,0))</f>
        <v/>
      </c>
      <c r="E125" s="12" t="n"/>
      <c r="F125" s="12" t="n"/>
      <c r="G125" s="12" t="n"/>
      <c r="H125" s="12" t="n"/>
      <c r="I125" s="12" t="n"/>
      <c r="J125" s="12" t="n"/>
      <c r="K125" s="12" t="n"/>
      <c r="L125" s="14" t="n"/>
      <c r="M125" s="12" t="n"/>
      <c r="N125" s="12" t="n"/>
      <c r="O125" s="12" t="n"/>
      <c r="P125" s="12" t="n"/>
      <c r="Q125" s="7">
        <f>IF(A125="","",IFERROR(VLOOKUP(O125,Listes!$R$3:$T$8,2,FALSE),0)+IFERROR(VLOOKUP(J125,Listes!$J$3:$L$6,2,FALSE),0)+IFERROR(VLOOKUP(N125,Listes!$N$3:$P$6,2,FALSE),0)+IF(OR(L125="",B125=""),0,IF(L125-INT(B125)&lt;10,8,IF(L125-INT(B125)&lt;=90,10,5)))+IFERROR(VLOOKUP(AN125,Listes!$V$3:$W$5,2,FALSE),0)+IFERROR(VLOOKUP(AO125,Listes!$Y$3:$Z$5,2,FALSE),0))</f>
        <v/>
      </c>
      <c r="R125" s="12" t="n"/>
      <c r="S125" s="12" t="n"/>
      <c r="T125" s="12" t="n"/>
      <c r="U125" s="15" t="n"/>
      <c r="V125" s="15" t="n"/>
      <c r="W125" s="13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3" t="n"/>
      <c r="AK125" s="12" t="n"/>
      <c r="AL125" s="12" t="n"/>
      <c r="AM125" s="12" t="n"/>
      <c r="AN125" s="12" t="n"/>
      <c r="AO125" s="12" t="n"/>
      <c r="AP125" s="12" t="n"/>
      <c r="AQ125" s="7">
        <f>IF(A125="","",IF(AP125&lt;&gt;"",AP125,IF(LEFT(Z125,11)="gads_marque","Google Search – Marque",IF(LEFT(Z125,12)="gads_mariage","Google Search – Mariage et privé",IF(LEFT(Z125,10)="gads_corpo","Google Search – Corporatif",IF(LEFT(Z125,5)="meta_","Meta – Leads",IF(LEFT(Z125,5)="msft_","Microsoft Ads",IF(LEFT(Z125,8)="chatgpt_","ChatGPT Ads – Test",IF(X125="gbp","Fiche Google (organique)","Autre / non payé")))))))))</f>
        <v/>
      </c>
      <c r="AR125" s="7">
        <f>IF(K125="","",IFERROR(VLOOKUP(K125,Listes!$F$3:$H$8,3,FALSE),""))</f>
        <v/>
      </c>
      <c r="AS125" s="7">
        <f>IF(O125="","",IF(AND(M125="Autre (plus de 40 km)",OR(O125="lt600",O125="600_999",O125="1000_2499")),"D",IF(OR(O125="lt600",AND(O125="600_999",K125&lt;&gt;"mariage",K125&lt;&gt;"prive")),"C",IF(OR(O125="2500_4999",O125="5000p",J125="entreprise",J125="organisme",J125="agence"),"A",IF(OR(O125="1000_2499",O125="600_999"),"B",IF(O125="inconnu",IF(OR(N125="75_149",N125="150p"),"A","B"),""))))))</f>
        <v/>
      </c>
      <c r="AT125" s="7">
        <f>IF(A125="","",IF(P125&lt;&gt;"",P125,AS125))</f>
        <v/>
      </c>
      <c r="AU125" s="7">
        <f>IF(A125="","",IF(OR(AT125="A",AT125="B"),1,0))</f>
        <v/>
      </c>
      <c r="AV125" s="7">
        <f>IF(A125="","",IF(OR(R125="Dépôt payé (gagné)",R125="Événement livré",R125="Avis obtenu"),1,0))</f>
        <v/>
      </c>
      <c r="AW125" s="7">
        <f>IF(A125="","",IF(Q125&gt;70,"Immédiat – propriétaire",IF(Q125&gt;=40,"15 min – personne de garde","Selon la route")))</f>
        <v/>
      </c>
      <c r="AX125" s="11">
        <f>IF(A125="","",IF(AT125="A",400,IF(AT125="B",150,0)))</f>
        <v/>
      </c>
      <c r="AY125" s="11">
        <f>IF(A125="","",IF(AV125=1,N(V125),IF(N(U125)&gt;0,ROUND(N(U125)*IFERROR(VLOOKUP(R125,Listes!$AE$3:$AG$12,2,FALSE),0),0),0)))</f>
        <v/>
      </c>
      <c r="AZ125" s="7">
        <f>IF(LEFT(A125,7)="EXEMPLE",1,0)</f>
        <v/>
      </c>
      <c r="BA125" s="7">
        <f>IF(AND(AV125=1,AZ125=0,AC125&lt;&gt;"",W125&lt;&gt;"",N(V125)&gt;0),COUNTIFS($AV$3:AV125,1,$AZ$3:AZ125,0,$AC$3:AC125,"&lt;&gt;",$W$3:W125,"&lt;&gt;",$V$3:V125,"&gt;0"),"")</f>
        <v/>
      </c>
    </row>
    <row r="126">
      <c r="A126" s="12" t="n"/>
      <c r="B126" s="13" t="n"/>
      <c r="C126" s="13" t="n"/>
      <c r="D126" s="7">
        <f>IF(OR(B126="",C126=""),"",ROUND((C126-B126)*1440,0))</f>
        <v/>
      </c>
      <c r="E126" s="12" t="n"/>
      <c r="F126" s="12" t="n"/>
      <c r="G126" s="12" t="n"/>
      <c r="H126" s="12" t="n"/>
      <c r="I126" s="12" t="n"/>
      <c r="J126" s="12" t="n"/>
      <c r="K126" s="12" t="n"/>
      <c r="L126" s="14" t="n"/>
      <c r="M126" s="12" t="n"/>
      <c r="N126" s="12" t="n"/>
      <c r="O126" s="12" t="n"/>
      <c r="P126" s="12" t="n"/>
      <c r="Q126" s="7">
        <f>IF(A126="","",IFERROR(VLOOKUP(O126,Listes!$R$3:$T$8,2,FALSE),0)+IFERROR(VLOOKUP(J126,Listes!$J$3:$L$6,2,FALSE),0)+IFERROR(VLOOKUP(N126,Listes!$N$3:$P$6,2,FALSE),0)+IF(OR(L126="",B126=""),0,IF(L126-INT(B126)&lt;10,8,IF(L126-INT(B126)&lt;=90,10,5)))+IFERROR(VLOOKUP(AN126,Listes!$V$3:$W$5,2,FALSE),0)+IFERROR(VLOOKUP(AO126,Listes!$Y$3:$Z$5,2,FALSE),0))</f>
        <v/>
      </c>
      <c r="R126" s="12" t="n"/>
      <c r="S126" s="12" t="n"/>
      <c r="T126" s="12" t="n"/>
      <c r="U126" s="15" t="n"/>
      <c r="V126" s="15" t="n"/>
      <c r="W126" s="13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3" t="n"/>
      <c r="AK126" s="12" t="n"/>
      <c r="AL126" s="12" t="n"/>
      <c r="AM126" s="12" t="n"/>
      <c r="AN126" s="12" t="n"/>
      <c r="AO126" s="12" t="n"/>
      <c r="AP126" s="12" t="n"/>
      <c r="AQ126" s="7">
        <f>IF(A126="","",IF(AP126&lt;&gt;"",AP126,IF(LEFT(Z126,11)="gads_marque","Google Search – Marque",IF(LEFT(Z126,12)="gads_mariage","Google Search – Mariage et privé",IF(LEFT(Z126,10)="gads_corpo","Google Search – Corporatif",IF(LEFT(Z126,5)="meta_","Meta – Leads",IF(LEFT(Z126,5)="msft_","Microsoft Ads",IF(LEFT(Z126,8)="chatgpt_","ChatGPT Ads – Test",IF(X126="gbp","Fiche Google (organique)","Autre / non payé")))))))))</f>
        <v/>
      </c>
      <c r="AR126" s="7">
        <f>IF(K126="","",IFERROR(VLOOKUP(K126,Listes!$F$3:$H$8,3,FALSE),""))</f>
        <v/>
      </c>
      <c r="AS126" s="7">
        <f>IF(O126="","",IF(AND(M126="Autre (plus de 40 km)",OR(O126="lt600",O126="600_999",O126="1000_2499")),"D",IF(OR(O126="lt600",AND(O126="600_999",K126&lt;&gt;"mariage",K126&lt;&gt;"prive")),"C",IF(OR(O126="2500_4999",O126="5000p",J126="entreprise",J126="organisme",J126="agence"),"A",IF(OR(O126="1000_2499",O126="600_999"),"B",IF(O126="inconnu",IF(OR(N126="75_149",N126="150p"),"A","B"),""))))))</f>
        <v/>
      </c>
      <c r="AT126" s="7">
        <f>IF(A126="","",IF(P126&lt;&gt;"",P126,AS126))</f>
        <v/>
      </c>
      <c r="AU126" s="7">
        <f>IF(A126="","",IF(OR(AT126="A",AT126="B"),1,0))</f>
        <v/>
      </c>
      <c r="AV126" s="7">
        <f>IF(A126="","",IF(OR(R126="Dépôt payé (gagné)",R126="Événement livré",R126="Avis obtenu"),1,0))</f>
        <v/>
      </c>
      <c r="AW126" s="7">
        <f>IF(A126="","",IF(Q126&gt;70,"Immédiat – propriétaire",IF(Q126&gt;=40,"15 min – personne de garde","Selon la route")))</f>
        <v/>
      </c>
      <c r="AX126" s="11">
        <f>IF(A126="","",IF(AT126="A",400,IF(AT126="B",150,0)))</f>
        <v/>
      </c>
      <c r="AY126" s="11">
        <f>IF(A126="","",IF(AV126=1,N(V126),IF(N(U126)&gt;0,ROUND(N(U126)*IFERROR(VLOOKUP(R126,Listes!$AE$3:$AG$12,2,FALSE),0),0),0)))</f>
        <v/>
      </c>
      <c r="AZ126" s="7">
        <f>IF(LEFT(A126,7)="EXEMPLE",1,0)</f>
        <v/>
      </c>
      <c r="BA126" s="7">
        <f>IF(AND(AV126=1,AZ126=0,AC126&lt;&gt;"",W126&lt;&gt;"",N(V126)&gt;0),COUNTIFS($AV$3:AV126,1,$AZ$3:AZ126,0,$AC$3:AC126,"&lt;&gt;",$W$3:W126,"&lt;&gt;",$V$3:V126,"&gt;0"),"")</f>
        <v/>
      </c>
    </row>
    <row r="127">
      <c r="A127" s="12" t="n"/>
      <c r="B127" s="13" t="n"/>
      <c r="C127" s="13" t="n"/>
      <c r="D127" s="7">
        <f>IF(OR(B127="",C127=""),"",ROUND((C127-B127)*1440,0))</f>
        <v/>
      </c>
      <c r="E127" s="12" t="n"/>
      <c r="F127" s="12" t="n"/>
      <c r="G127" s="12" t="n"/>
      <c r="H127" s="12" t="n"/>
      <c r="I127" s="12" t="n"/>
      <c r="J127" s="12" t="n"/>
      <c r="K127" s="12" t="n"/>
      <c r="L127" s="14" t="n"/>
      <c r="M127" s="12" t="n"/>
      <c r="N127" s="12" t="n"/>
      <c r="O127" s="12" t="n"/>
      <c r="P127" s="12" t="n"/>
      <c r="Q127" s="7">
        <f>IF(A127="","",IFERROR(VLOOKUP(O127,Listes!$R$3:$T$8,2,FALSE),0)+IFERROR(VLOOKUP(J127,Listes!$J$3:$L$6,2,FALSE),0)+IFERROR(VLOOKUP(N127,Listes!$N$3:$P$6,2,FALSE),0)+IF(OR(L127="",B127=""),0,IF(L127-INT(B127)&lt;10,8,IF(L127-INT(B127)&lt;=90,10,5)))+IFERROR(VLOOKUP(AN127,Listes!$V$3:$W$5,2,FALSE),0)+IFERROR(VLOOKUP(AO127,Listes!$Y$3:$Z$5,2,FALSE),0))</f>
        <v/>
      </c>
      <c r="R127" s="12" t="n"/>
      <c r="S127" s="12" t="n"/>
      <c r="T127" s="12" t="n"/>
      <c r="U127" s="15" t="n"/>
      <c r="V127" s="15" t="n"/>
      <c r="W127" s="13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3" t="n"/>
      <c r="AK127" s="12" t="n"/>
      <c r="AL127" s="12" t="n"/>
      <c r="AM127" s="12" t="n"/>
      <c r="AN127" s="12" t="n"/>
      <c r="AO127" s="12" t="n"/>
      <c r="AP127" s="12" t="n"/>
      <c r="AQ127" s="7">
        <f>IF(A127="","",IF(AP127&lt;&gt;"",AP127,IF(LEFT(Z127,11)="gads_marque","Google Search – Marque",IF(LEFT(Z127,12)="gads_mariage","Google Search – Mariage et privé",IF(LEFT(Z127,10)="gads_corpo","Google Search – Corporatif",IF(LEFT(Z127,5)="meta_","Meta – Leads",IF(LEFT(Z127,5)="msft_","Microsoft Ads",IF(LEFT(Z127,8)="chatgpt_","ChatGPT Ads – Test",IF(X127="gbp","Fiche Google (organique)","Autre / non payé")))))))))</f>
        <v/>
      </c>
      <c r="AR127" s="7">
        <f>IF(K127="","",IFERROR(VLOOKUP(K127,Listes!$F$3:$H$8,3,FALSE),""))</f>
        <v/>
      </c>
      <c r="AS127" s="7">
        <f>IF(O127="","",IF(AND(M127="Autre (plus de 40 km)",OR(O127="lt600",O127="600_999",O127="1000_2499")),"D",IF(OR(O127="lt600",AND(O127="600_999",K127&lt;&gt;"mariage",K127&lt;&gt;"prive")),"C",IF(OR(O127="2500_4999",O127="5000p",J127="entreprise",J127="organisme",J127="agence"),"A",IF(OR(O127="1000_2499",O127="600_999"),"B",IF(O127="inconnu",IF(OR(N127="75_149",N127="150p"),"A","B"),""))))))</f>
        <v/>
      </c>
      <c r="AT127" s="7">
        <f>IF(A127="","",IF(P127&lt;&gt;"",P127,AS127))</f>
        <v/>
      </c>
      <c r="AU127" s="7">
        <f>IF(A127="","",IF(OR(AT127="A",AT127="B"),1,0))</f>
        <v/>
      </c>
      <c r="AV127" s="7">
        <f>IF(A127="","",IF(OR(R127="Dépôt payé (gagné)",R127="Événement livré",R127="Avis obtenu"),1,0))</f>
        <v/>
      </c>
      <c r="AW127" s="7">
        <f>IF(A127="","",IF(Q127&gt;70,"Immédiat – propriétaire",IF(Q127&gt;=40,"15 min – personne de garde","Selon la route")))</f>
        <v/>
      </c>
      <c r="AX127" s="11">
        <f>IF(A127="","",IF(AT127="A",400,IF(AT127="B",150,0)))</f>
        <v/>
      </c>
      <c r="AY127" s="11">
        <f>IF(A127="","",IF(AV127=1,N(V127),IF(N(U127)&gt;0,ROUND(N(U127)*IFERROR(VLOOKUP(R127,Listes!$AE$3:$AG$12,2,FALSE),0),0),0)))</f>
        <v/>
      </c>
      <c r="AZ127" s="7">
        <f>IF(LEFT(A127,7)="EXEMPLE",1,0)</f>
        <v/>
      </c>
      <c r="BA127" s="7">
        <f>IF(AND(AV127=1,AZ127=0,AC127&lt;&gt;"",W127&lt;&gt;"",N(V127)&gt;0),COUNTIFS($AV$3:AV127,1,$AZ$3:AZ127,0,$AC$3:AC127,"&lt;&gt;",$W$3:W127,"&lt;&gt;",$V$3:V127,"&gt;0"),"")</f>
        <v/>
      </c>
    </row>
    <row r="128">
      <c r="A128" s="12" t="n"/>
      <c r="B128" s="13" t="n"/>
      <c r="C128" s="13" t="n"/>
      <c r="D128" s="7">
        <f>IF(OR(B128="",C128=""),"",ROUND((C128-B128)*1440,0))</f>
        <v/>
      </c>
      <c r="E128" s="12" t="n"/>
      <c r="F128" s="12" t="n"/>
      <c r="G128" s="12" t="n"/>
      <c r="H128" s="12" t="n"/>
      <c r="I128" s="12" t="n"/>
      <c r="J128" s="12" t="n"/>
      <c r="K128" s="12" t="n"/>
      <c r="L128" s="14" t="n"/>
      <c r="M128" s="12" t="n"/>
      <c r="N128" s="12" t="n"/>
      <c r="O128" s="12" t="n"/>
      <c r="P128" s="12" t="n"/>
      <c r="Q128" s="7">
        <f>IF(A128="","",IFERROR(VLOOKUP(O128,Listes!$R$3:$T$8,2,FALSE),0)+IFERROR(VLOOKUP(J128,Listes!$J$3:$L$6,2,FALSE),0)+IFERROR(VLOOKUP(N128,Listes!$N$3:$P$6,2,FALSE),0)+IF(OR(L128="",B128=""),0,IF(L128-INT(B128)&lt;10,8,IF(L128-INT(B128)&lt;=90,10,5)))+IFERROR(VLOOKUP(AN128,Listes!$V$3:$W$5,2,FALSE),0)+IFERROR(VLOOKUP(AO128,Listes!$Y$3:$Z$5,2,FALSE),0))</f>
        <v/>
      </c>
      <c r="R128" s="12" t="n"/>
      <c r="S128" s="12" t="n"/>
      <c r="T128" s="12" t="n"/>
      <c r="U128" s="15" t="n"/>
      <c r="V128" s="15" t="n"/>
      <c r="W128" s="13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3" t="n"/>
      <c r="AK128" s="12" t="n"/>
      <c r="AL128" s="12" t="n"/>
      <c r="AM128" s="12" t="n"/>
      <c r="AN128" s="12" t="n"/>
      <c r="AO128" s="12" t="n"/>
      <c r="AP128" s="12" t="n"/>
      <c r="AQ128" s="7">
        <f>IF(A128="","",IF(AP128&lt;&gt;"",AP128,IF(LEFT(Z128,11)="gads_marque","Google Search – Marque",IF(LEFT(Z128,12)="gads_mariage","Google Search – Mariage et privé",IF(LEFT(Z128,10)="gads_corpo","Google Search – Corporatif",IF(LEFT(Z128,5)="meta_","Meta – Leads",IF(LEFT(Z128,5)="msft_","Microsoft Ads",IF(LEFT(Z128,8)="chatgpt_","ChatGPT Ads – Test",IF(X128="gbp","Fiche Google (organique)","Autre / non payé")))))))))</f>
        <v/>
      </c>
      <c r="AR128" s="7">
        <f>IF(K128="","",IFERROR(VLOOKUP(K128,Listes!$F$3:$H$8,3,FALSE),""))</f>
        <v/>
      </c>
      <c r="AS128" s="7">
        <f>IF(O128="","",IF(AND(M128="Autre (plus de 40 km)",OR(O128="lt600",O128="600_999",O128="1000_2499")),"D",IF(OR(O128="lt600",AND(O128="600_999",K128&lt;&gt;"mariage",K128&lt;&gt;"prive")),"C",IF(OR(O128="2500_4999",O128="5000p",J128="entreprise",J128="organisme",J128="agence"),"A",IF(OR(O128="1000_2499",O128="600_999"),"B",IF(O128="inconnu",IF(OR(N128="75_149",N128="150p"),"A","B"),""))))))</f>
        <v/>
      </c>
      <c r="AT128" s="7">
        <f>IF(A128="","",IF(P128&lt;&gt;"",P128,AS128))</f>
        <v/>
      </c>
      <c r="AU128" s="7">
        <f>IF(A128="","",IF(OR(AT128="A",AT128="B"),1,0))</f>
        <v/>
      </c>
      <c r="AV128" s="7">
        <f>IF(A128="","",IF(OR(R128="Dépôt payé (gagné)",R128="Événement livré",R128="Avis obtenu"),1,0))</f>
        <v/>
      </c>
      <c r="AW128" s="7">
        <f>IF(A128="","",IF(Q128&gt;70,"Immédiat – propriétaire",IF(Q128&gt;=40,"15 min – personne de garde","Selon la route")))</f>
        <v/>
      </c>
      <c r="AX128" s="11">
        <f>IF(A128="","",IF(AT128="A",400,IF(AT128="B",150,0)))</f>
        <v/>
      </c>
      <c r="AY128" s="11">
        <f>IF(A128="","",IF(AV128=1,N(V128),IF(N(U128)&gt;0,ROUND(N(U128)*IFERROR(VLOOKUP(R128,Listes!$AE$3:$AG$12,2,FALSE),0),0),0)))</f>
        <v/>
      </c>
      <c r="AZ128" s="7">
        <f>IF(LEFT(A128,7)="EXEMPLE",1,0)</f>
        <v/>
      </c>
      <c r="BA128" s="7">
        <f>IF(AND(AV128=1,AZ128=0,AC128&lt;&gt;"",W128&lt;&gt;"",N(V128)&gt;0),COUNTIFS($AV$3:AV128,1,$AZ$3:AZ128,0,$AC$3:AC128,"&lt;&gt;",$W$3:W128,"&lt;&gt;",$V$3:V128,"&gt;0"),"")</f>
        <v/>
      </c>
    </row>
    <row r="129">
      <c r="A129" s="12" t="n"/>
      <c r="B129" s="13" t="n"/>
      <c r="C129" s="13" t="n"/>
      <c r="D129" s="7">
        <f>IF(OR(B129="",C129=""),"",ROUND((C129-B129)*1440,0))</f>
        <v/>
      </c>
      <c r="E129" s="12" t="n"/>
      <c r="F129" s="12" t="n"/>
      <c r="G129" s="12" t="n"/>
      <c r="H129" s="12" t="n"/>
      <c r="I129" s="12" t="n"/>
      <c r="J129" s="12" t="n"/>
      <c r="K129" s="12" t="n"/>
      <c r="L129" s="14" t="n"/>
      <c r="M129" s="12" t="n"/>
      <c r="N129" s="12" t="n"/>
      <c r="O129" s="12" t="n"/>
      <c r="P129" s="12" t="n"/>
      <c r="Q129" s="7">
        <f>IF(A129="","",IFERROR(VLOOKUP(O129,Listes!$R$3:$T$8,2,FALSE),0)+IFERROR(VLOOKUP(J129,Listes!$J$3:$L$6,2,FALSE),0)+IFERROR(VLOOKUP(N129,Listes!$N$3:$P$6,2,FALSE),0)+IF(OR(L129="",B129=""),0,IF(L129-INT(B129)&lt;10,8,IF(L129-INT(B129)&lt;=90,10,5)))+IFERROR(VLOOKUP(AN129,Listes!$V$3:$W$5,2,FALSE),0)+IFERROR(VLOOKUP(AO129,Listes!$Y$3:$Z$5,2,FALSE),0))</f>
        <v/>
      </c>
      <c r="R129" s="12" t="n"/>
      <c r="S129" s="12" t="n"/>
      <c r="T129" s="12" t="n"/>
      <c r="U129" s="15" t="n"/>
      <c r="V129" s="15" t="n"/>
      <c r="W129" s="13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3" t="n"/>
      <c r="AK129" s="12" t="n"/>
      <c r="AL129" s="12" t="n"/>
      <c r="AM129" s="12" t="n"/>
      <c r="AN129" s="12" t="n"/>
      <c r="AO129" s="12" t="n"/>
      <c r="AP129" s="12" t="n"/>
      <c r="AQ129" s="7">
        <f>IF(A129="","",IF(AP129&lt;&gt;"",AP129,IF(LEFT(Z129,11)="gads_marque","Google Search – Marque",IF(LEFT(Z129,12)="gads_mariage","Google Search – Mariage et privé",IF(LEFT(Z129,10)="gads_corpo","Google Search – Corporatif",IF(LEFT(Z129,5)="meta_","Meta – Leads",IF(LEFT(Z129,5)="msft_","Microsoft Ads",IF(LEFT(Z129,8)="chatgpt_","ChatGPT Ads – Test",IF(X129="gbp","Fiche Google (organique)","Autre / non payé")))))))))</f>
        <v/>
      </c>
      <c r="AR129" s="7">
        <f>IF(K129="","",IFERROR(VLOOKUP(K129,Listes!$F$3:$H$8,3,FALSE),""))</f>
        <v/>
      </c>
      <c r="AS129" s="7">
        <f>IF(O129="","",IF(AND(M129="Autre (plus de 40 km)",OR(O129="lt600",O129="600_999",O129="1000_2499")),"D",IF(OR(O129="lt600",AND(O129="600_999",K129&lt;&gt;"mariage",K129&lt;&gt;"prive")),"C",IF(OR(O129="2500_4999",O129="5000p",J129="entreprise",J129="organisme",J129="agence"),"A",IF(OR(O129="1000_2499",O129="600_999"),"B",IF(O129="inconnu",IF(OR(N129="75_149",N129="150p"),"A","B"),""))))))</f>
        <v/>
      </c>
      <c r="AT129" s="7">
        <f>IF(A129="","",IF(P129&lt;&gt;"",P129,AS129))</f>
        <v/>
      </c>
      <c r="AU129" s="7">
        <f>IF(A129="","",IF(OR(AT129="A",AT129="B"),1,0))</f>
        <v/>
      </c>
      <c r="AV129" s="7">
        <f>IF(A129="","",IF(OR(R129="Dépôt payé (gagné)",R129="Événement livré",R129="Avis obtenu"),1,0))</f>
        <v/>
      </c>
      <c r="AW129" s="7">
        <f>IF(A129="","",IF(Q129&gt;70,"Immédiat – propriétaire",IF(Q129&gt;=40,"15 min – personne de garde","Selon la route")))</f>
        <v/>
      </c>
      <c r="AX129" s="11">
        <f>IF(A129="","",IF(AT129="A",400,IF(AT129="B",150,0)))</f>
        <v/>
      </c>
      <c r="AY129" s="11">
        <f>IF(A129="","",IF(AV129=1,N(V129),IF(N(U129)&gt;0,ROUND(N(U129)*IFERROR(VLOOKUP(R129,Listes!$AE$3:$AG$12,2,FALSE),0),0),0)))</f>
        <v/>
      </c>
      <c r="AZ129" s="7">
        <f>IF(LEFT(A129,7)="EXEMPLE",1,0)</f>
        <v/>
      </c>
      <c r="BA129" s="7">
        <f>IF(AND(AV129=1,AZ129=0,AC129&lt;&gt;"",W129&lt;&gt;"",N(V129)&gt;0),COUNTIFS($AV$3:AV129,1,$AZ$3:AZ129,0,$AC$3:AC129,"&lt;&gt;",$W$3:W129,"&lt;&gt;",$V$3:V129,"&gt;0"),"")</f>
        <v/>
      </c>
    </row>
    <row r="130">
      <c r="A130" s="12" t="n"/>
      <c r="B130" s="13" t="n"/>
      <c r="C130" s="13" t="n"/>
      <c r="D130" s="7">
        <f>IF(OR(B130="",C130=""),"",ROUND((C130-B130)*1440,0))</f>
        <v/>
      </c>
      <c r="E130" s="12" t="n"/>
      <c r="F130" s="12" t="n"/>
      <c r="G130" s="12" t="n"/>
      <c r="H130" s="12" t="n"/>
      <c r="I130" s="12" t="n"/>
      <c r="J130" s="12" t="n"/>
      <c r="K130" s="12" t="n"/>
      <c r="L130" s="14" t="n"/>
      <c r="M130" s="12" t="n"/>
      <c r="N130" s="12" t="n"/>
      <c r="O130" s="12" t="n"/>
      <c r="P130" s="12" t="n"/>
      <c r="Q130" s="7">
        <f>IF(A130="","",IFERROR(VLOOKUP(O130,Listes!$R$3:$T$8,2,FALSE),0)+IFERROR(VLOOKUP(J130,Listes!$J$3:$L$6,2,FALSE),0)+IFERROR(VLOOKUP(N130,Listes!$N$3:$P$6,2,FALSE),0)+IF(OR(L130="",B130=""),0,IF(L130-INT(B130)&lt;10,8,IF(L130-INT(B130)&lt;=90,10,5)))+IFERROR(VLOOKUP(AN130,Listes!$V$3:$W$5,2,FALSE),0)+IFERROR(VLOOKUP(AO130,Listes!$Y$3:$Z$5,2,FALSE),0))</f>
        <v/>
      </c>
      <c r="R130" s="12" t="n"/>
      <c r="S130" s="12" t="n"/>
      <c r="T130" s="12" t="n"/>
      <c r="U130" s="15" t="n"/>
      <c r="V130" s="15" t="n"/>
      <c r="W130" s="13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3" t="n"/>
      <c r="AK130" s="12" t="n"/>
      <c r="AL130" s="12" t="n"/>
      <c r="AM130" s="12" t="n"/>
      <c r="AN130" s="12" t="n"/>
      <c r="AO130" s="12" t="n"/>
      <c r="AP130" s="12" t="n"/>
      <c r="AQ130" s="7">
        <f>IF(A130="","",IF(AP130&lt;&gt;"",AP130,IF(LEFT(Z130,11)="gads_marque","Google Search – Marque",IF(LEFT(Z130,12)="gads_mariage","Google Search – Mariage et privé",IF(LEFT(Z130,10)="gads_corpo","Google Search – Corporatif",IF(LEFT(Z130,5)="meta_","Meta – Leads",IF(LEFT(Z130,5)="msft_","Microsoft Ads",IF(LEFT(Z130,8)="chatgpt_","ChatGPT Ads – Test",IF(X130="gbp","Fiche Google (organique)","Autre / non payé")))))))))</f>
        <v/>
      </c>
      <c r="AR130" s="7">
        <f>IF(K130="","",IFERROR(VLOOKUP(K130,Listes!$F$3:$H$8,3,FALSE),""))</f>
        <v/>
      </c>
      <c r="AS130" s="7">
        <f>IF(O130="","",IF(AND(M130="Autre (plus de 40 km)",OR(O130="lt600",O130="600_999",O130="1000_2499")),"D",IF(OR(O130="lt600",AND(O130="600_999",K130&lt;&gt;"mariage",K130&lt;&gt;"prive")),"C",IF(OR(O130="2500_4999",O130="5000p",J130="entreprise",J130="organisme",J130="agence"),"A",IF(OR(O130="1000_2499",O130="600_999"),"B",IF(O130="inconnu",IF(OR(N130="75_149",N130="150p"),"A","B"),""))))))</f>
        <v/>
      </c>
      <c r="AT130" s="7">
        <f>IF(A130="","",IF(P130&lt;&gt;"",P130,AS130))</f>
        <v/>
      </c>
      <c r="AU130" s="7">
        <f>IF(A130="","",IF(OR(AT130="A",AT130="B"),1,0))</f>
        <v/>
      </c>
      <c r="AV130" s="7">
        <f>IF(A130="","",IF(OR(R130="Dépôt payé (gagné)",R130="Événement livré",R130="Avis obtenu"),1,0))</f>
        <v/>
      </c>
      <c r="AW130" s="7">
        <f>IF(A130="","",IF(Q130&gt;70,"Immédiat – propriétaire",IF(Q130&gt;=40,"15 min – personne de garde","Selon la route")))</f>
        <v/>
      </c>
      <c r="AX130" s="11">
        <f>IF(A130="","",IF(AT130="A",400,IF(AT130="B",150,0)))</f>
        <v/>
      </c>
      <c r="AY130" s="11">
        <f>IF(A130="","",IF(AV130=1,N(V130),IF(N(U130)&gt;0,ROUND(N(U130)*IFERROR(VLOOKUP(R130,Listes!$AE$3:$AG$12,2,FALSE),0),0),0)))</f>
        <v/>
      </c>
      <c r="AZ130" s="7">
        <f>IF(LEFT(A130,7)="EXEMPLE",1,0)</f>
        <v/>
      </c>
      <c r="BA130" s="7">
        <f>IF(AND(AV130=1,AZ130=0,AC130&lt;&gt;"",W130&lt;&gt;"",N(V130)&gt;0),COUNTIFS($AV$3:AV130,1,$AZ$3:AZ130,0,$AC$3:AC130,"&lt;&gt;",$W$3:W130,"&lt;&gt;",$V$3:V130,"&gt;0"),"")</f>
        <v/>
      </c>
    </row>
    <row r="131">
      <c r="A131" s="12" t="n"/>
      <c r="B131" s="13" t="n"/>
      <c r="C131" s="13" t="n"/>
      <c r="D131" s="7">
        <f>IF(OR(B131="",C131=""),"",ROUND((C131-B131)*1440,0))</f>
        <v/>
      </c>
      <c r="E131" s="12" t="n"/>
      <c r="F131" s="12" t="n"/>
      <c r="G131" s="12" t="n"/>
      <c r="H131" s="12" t="n"/>
      <c r="I131" s="12" t="n"/>
      <c r="J131" s="12" t="n"/>
      <c r="K131" s="12" t="n"/>
      <c r="L131" s="14" t="n"/>
      <c r="M131" s="12" t="n"/>
      <c r="N131" s="12" t="n"/>
      <c r="O131" s="12" t="n"/>
      <c r="P131" s="12" t="n"/>
      <c r="Q131" s="7">
        <f>IF(A131="","",IFERROR(VLOOKUP(O131,Listes!$R$3:$T$8,2,FALSE),0)+IFERROR(VLOOKUP(J131,Listes!$J$3:$L$6,2,FALSE),0)+IFERROR(VLOOKUP(N131,Listes!$N$3:$P$6,2,FALSE),0)+IF(OR(L131="",B131=""),0,IF(L131-INT(B131)&lt;10,8,IF(L131-INT(B131)&lt;=90,10,5)))+IFERROR(VLOOKUP(AN131,Listes!$V$3:$W$5,2,FALSE),0)+IFERROR(VLOOKUP(AO131,Listes!$Y$3:$Z$5,2,FALSE),0))</f>
        <v/>
      </c>
      <c r="R131" s="12" t="n"/>
      <c r="S131" s="12" t="n"/>
      <c r="T131" s="12" t="n"/>
      <c r="U131" s="15" t="n"/>
      <c r="V131" s="15" t="n"/>
      <c r="W131" s="13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3" t="n"/>
      <c r="AK131" s="12" t="n"/>
      <c r="AL131" s="12" t="n"/>
      <c r="AM131" s="12" t="n"/>
      <c r="AN131" s="12" t="n"/>
      <c r="AO131" s="12" t="n"/>
      <c r="AP131" s="12" t="n"/>
      <c r="AQ131" s="7">
        <f>IF(A131="","",IF(AP131&lt;&gt;"",AP131,IF(LEFT(Z131,11)="gads_marque","Google Search – Marque",IF(LEFT(Z131,12)="gads_mariage","Google Search – Mariage et privé",IF(LEFT(Z131,10)="gads_corpo","Google Search – Corporatif",IF(LEFT(Z131,5)="meta_","Meta – Leads",IF(LEFT(Z131,5)="msft_","Microsoft Ads",IF(LEFT(Z131,8)="chatgpt_","ChatGPT Ads – Test",IF(X131="gbp","Fiche Google (organique)","Autre / non payé")))))))))</f>
        <v/>
      </c>
      <c r="AR131" s="7">
        <f>IF(K131="","",IFERROR(VLOOKUP(K131,Listes!$F$3:$H$8,3,FALSE),""))</f>
        <v/>
      </c>
      <c r="AS131" s="7">
        <f>IF(O131="","",IF(AND(M131="Autre (plus de 40 km)",OR(O131="lt600",O131="600_999",O131="1000_2499")),"D",IF(OR(O131="lt600",AND(O131="600_999",K131&lt;&gt;"mariage",K131&lt;&gt;"prive")),"C",IF(OR(O131="2500_4999",O131="5000p",J131="entreprise",J131="organisme",J131="agence"),"A",IF(OR(O131="1000_2499",O131="600_999"),"B",IF(O131="inconnu",IF(OR(N131="75_149",N131="150p"),"A","B"),""))))))</f>
        <v/>
      </c>
      <c r="AT131" s="7">
        <f>IF(A131="","",IF(P131&lt;&gt;"",P131,AS131))</f>
        <v/>
      </c>
      <c r="AU131" s="7">
        <f>IF(A131="","",IF(OR(AT131="A",AT131="B"),1,0))</f>
        <v/>
      </c>
      <c r="AV131" s="7">
        <f>IF(A131="","",IF(OR(R131="Dépôt payé (gagné)",R131="Événement livré",R131="Avis obtenu"),1,0))</f>
        <v/>
      </c>
      <c r="AW131" s="7">
        <f>IF(A131="","",IF(Q131&gt;70,"Immédiat – propriétaire",IF(Q131&gt;=40,"15 min – personne de garde","Selon la route")))</f>
        <v/>
      </c>
      <c r="AX131" s="11">
        <f>IF(A131="","",IF(AT131="A",400,IF(AT131="B",150,0)))</f>
        <v/>
      </c>
      <c r="AY131" s="11">
        <f>IF(A131="","",IF(AV131=1,N(V131),IF(N(U131)&gt;0,ROUND(N(U131)*IFERROR(VLOOKUP(R131,Listes!$AE$3:$AG$12,2,FALSE),0),0),0)))</f>
        <v/>
      </c>
      <c r="AZ131" s="7">
        <f>IF(LEFT(A131,7)="EXEMPLE",1,0)</f>
        <v/>
      </c>
      <c r="BA131" s="7">
        <f>IF(AND(AV131=1,AZ131=0,AC131&lt;&gt;"",W131&lt;&gt;"",N(V131)&gt;0),COUNTIFS($AV$3:AV131,1,$AZ$3:AZ131,0,$AC$3:AC131,"&lt;&gt;",$W$3:W131,"&lt;&gt;",$V$3:V131,"&gt;0"),"")</f>
        <v/>
      </c>
    </row>
    <row r="132">
      <c r="A132" s="12" t="n"/>
      <c r="B132" s="13" t="n"/>
      <c r="C132" s="13" t="n"/>
      <c r="D132" s="7">
        <f>IF(OR(B132="",C132=""),"",ROUND((C132-B132)*1440,0))</f>
        <v/>
      </c>
      <c r="E132" s="12" t="n"/>
      <c r="F132" s="12" t="n"/>
      <c r="G132" s="12" t="n"/>
      <c r="H132" s="12" t="n"/>
      <c r="I132" s="12" t="n"/>
      <c r="J132" s="12" t="n"/>
      <c r="K132" s="12" t="n"/>
      <c r="L132" s="14" t="n"/>
      <c r="M132" s="12" t="n"/>
      <c r="N132" s="12" t="n"/>
      <c r="O132" s="12" t="n"/>
      <c r="P132" s="12" t="n"/>
      <c r="Q132" s="7">
        <f>IF(A132="","",IFERROR(VLOOKUP(O132,Listes!$R$3:$T$8,2,FALSE),0)+IFERROR(VLOOKUP(J132,Listes!$J$3:$L$6,2,FALSE),0)+IFERROR(VLOOKUP(N132,Listes!$N$3:$P$6,2,FALSE),0)+IF(OR(L132="",B132=""),0,IF(L132-INT(B132)&lt;10,8,IF(L132-INT(B132)&lt;=90,10,5)))+IFERROR(VLOOKUP(AN132,Listes!$V$3:$W$5,2,FALSE),0)+IFERROR(VLOOKUP(AO132,Listes!$Y$3:$Z$5,2,FALSE),0))</f>
        <v/>
      </c>
      <c r="R132" s="12" t="n"/>
      <c r="S132" s="12" t="n"/>
      <c r="T132" s="12" t="n"/>
      <c r="U132" s="15" t="n"/>
      <c r="V132" s="15" t="n"/>
      <c r="W132" s="13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3" t="n"/>
      <c r="AK132" s="12" t="n"/>
      <c r="AL132" s="12" t="n"/>
      <c r="AM132" s="12" t="n"/>
      <c r="AN132" s="12" t="n"/>
      <c r="AO132" s="12" t="n"/>
      <c r="AP132" s="12" t="n"/>
      <c r="AQ132" s="7">
        <f>IF(A132="","",IF(AP132&lt;&gt;"",AP132,IF(LEFT(Z132,11)="gads_marque","Google Search – Marque",IF(LEFT(Z132,12)="gads_mariage","Google Search – Mariage et privé",IF(LEFT(Z132,10)="gads_corpo","Google Search – Corporatif",IF(LEFT(Z132,5)="meta_","Meta – Leads",IF(LEFT(Z132,5)="msft_","Microsoft Ads",IF(LEFT(Z132,8)="chatgpt_","ChatGPT Ads – Test",IF(X132="gbp","Fiche Google (organique)","Autre / non payé")))))))))</f>
        <v/>
      </c>
      <c r="AR132" s="7">
        <f>IF(K132="","",IFERROR(VLOOKUP(K132,Listes!$F$3:$H$8,3,FALSE),""))</f>
        <v/>
      </c>
      <c r="AS132" s="7">
        <f>IF(O132="","",IF(AND(M132="Autre (plus de 40 km)",OR(O132="lt600",O132="600_999",O132="1000_2499")),"D",IF(OR(O132="lt600",AND(O132="600_999",K132&lt;&gt;"mariage",K132&lt;&gt;"prive")),"C",IF(OR(O132="2500_4999",O132="5000p",J132="entreprise",J132="organisme",J132="agence"),"A",IF(OR(O132="1000_2499",O132="600_999"),"B",IF(O132="inconnu",IF(OR(N132="75_149",N132="150p"),"A","B"),""))))))</f>
        <v/>
      </c>
      <c r="AT132" s="7">
        <f>IF(A132="","",IF(P132&lt;&gt;"",P132,AS132))</f>
        <v/>
      </c>
      <c r="AU132" s="7">
        <f>IF(A132="","",IF(OR(AT132="A",AT132="B"),1,0))</f>
        <v/>
      </c>
      <c r="AV132" s="7">
        <f>IF(A132="","",IF(OR(R132="Dépôt payé (gagné)",R132="Événement livré",R132="Avis obtenu"),1,0))</f>
        <v/>
      </c>
      <c r="AW132" s="7">
        <f>IF(A132="","",IF(Q132&gt;70,"Immédiat – propriétaire",IF(Q132&gt;=40,"15 min – personne de garde","Selon la route")))</f>
        <v/>
      </c>
      <c r="AX132" s="11">
        <f>IF(A132="","",IF(AT132="A",400,IF(AT132="B",150,0)))</f>
        <v/>
      </c>
      <c r="AY132" s="11">
        <f>IF(A132="","",IF(AV132=1,N(V132),IF(N(U132)&gt;0,ROUND(N(U132)*IFERROR(VLOOKUP(R132,Listes!$AE$3:$AG$12,2,FALSE),0),0),0)))</f>
        <v/>
      </c>
      <c r="AZ132" s="7">
        <f>IF(LEFT(A132,7)="EXEMPLE",1,0)</f>
        <v/>
      </c>
      <c r="BA132" s="7">
        <f>IF(AND(AV132=1,AZ132=0,AC132&lt;&gt;"",W132&lt;&gt;"",N(V132)&gt;0),COUNTIFS($AV$3:AV132,1,$AZ$3:AZ132,0,$AC$3:AC132,"&lt;&gt;",$W$3:W132,"&lt;&gt;",$V$3:V132,"&gt;0"),"")</f>
        <v/>
      </c>
    </row>
    <row r="133">
      <c r="A133" s="12" t="n"/>
      <c r="B133" s="13" t="n"/>
      <c r="C133" s="13" t="n"/>
      <c r="D133" s="7">
        <f>IF(OR(B133="",C133=""),"",ROUND((C133-B133)*1440,0))</f>
        <v/>
      </c>
      <c r="E133" s="12" t="n"/>
      <c r="F133" s="12" t="n"/>
      <c r="G133" s="12" t="n"/>
      <c r="H133" s="12" t="n"/>
      <c r="I133" s="12" t="n"/>
      <c r="J133" s="12" t="n"/>
      <c r="K133" s="12" t="n"/>
      <c r="L133" s="14" t="n"/>
      <c r="M133" s="12" t="n"/>
      <c r="N133" s="12" t="n"/>
      <c r="O133" s="12" t="n"/>
      <c r="P133" s="12" t="n"/>
      <c r="Q133" s="7">
        <f>IF(A133="","",IFERROR(VLOOKUP(O133,Listes!$R$3:$T$8,2,FALSE),0)+IFERROR(VLOOKUP(J133,Listes!$J$3:$L$6,2,FALSE),0)+IFERROR(VLOOKUP(N133,Listes!$N$3:$P$6,2,FALSE),0)+IF(OR(L133="",B133=""),0,IF(L133-INT(B133)&lt;10,8,IF(L133-INT(B133)&lt;=90,10,5)))+IFERROR(VLOOKUP(AN133,Listes!$V$3:$W$5,2,FALSE),0)+IFERROR(VLOOKUP(AO133,Listes!$Y$3:$Z$5,2,FALSE),0))</f>
        <v/>
      </c>
      <c r="R133" s="12" t="n"/>
      <c r="S133" s="12" t="n"/>
      <c r="T133" s="12" t="n"/>
      <c r="U133" s="15" t="n"/>
      <c r="V133" s="15" t="n"/>
      <c r="W133" s="13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3" t="n"/>
      <c r="AK133" s="12" t="n"/>
      <c r="AL133" s="12" t="n"/>
      <c r="AM133" s="12" t="n"/>
      <c r="AN133" s="12" t="n"/>
      <c r="AO133" s="12" t="n"/>
      <c r="AP133" s="12" t="n"/>
      <c r="AQ133" s="7">
        <f>IF(A133="","",IF(AP133&lt;&gt;"",AP133,IF(LEFT(Z133,11)="gads_marque","Google Search – Marque",IF(LEFT(Z133,12)="gads_mariage","Google Search – Mariage et privé",IF(LEFT(Z133,10)="gads_corpo","Google Search – Corporatif",IF(LEFT(Z133,5)="meta_","Meta – Leads",IF(LEFT(Z133,5)="msft_","Microsoft Ads",IF(LEFT(Z133,8)="chatgpt_","ChatGPT Ads – Test",IF(X133="gbp","Fiche Google (organique)","Autre / non payé")))))))))</f>
        <v/>
      </c>
      <c r="AR133" s="7">
        <f>IF(K133="","",IFERROR(VLOOKUP(K133,Listes!$F$3:$H$8,3,FALSE),""))</f>
        <v/>
      </c>
      <c r="AS133" s="7">
        <f>IF(O133="","",IF(AND(M133="Autre (plus de 40 km)",OR(O133="lt600",O133="600_999",O133="1000_2499")),"D",IF(OR(O133="lt600",AND(O133="600_999",K133&lt;&gt;"mariage",K133&lt;&gt;"prive")),"C",IF(OR(O133="2500_4999",O133="5000p",J133="entreprise",J133="organisme",J133="agence"),"A",IF(OR(O133="1000_2499",O133="600_999"),"B",IF(O133="inconnu",IF(OR(N133="75_149",N133="150p"),"A","B"),""))))))</f>
        <v/>
      </c>
      <c r="AT133" s="7">
        <f>IF(A133="","",IF(P133&lt;&gt;"",P133,AS133))</f>
        <v/>
      </c>
      <c r="AU133" s="7">
        <f>IF(A133="","",IF(OR(AT133="A",AT133="B"),1,0))</f>
        <v/>
      </c>
      <c r="AV133" s="7">
        <f>IF(A133="","",IF(OR(R133="Dépôt payé (gagné)",R133="Événement livré",R133="Avis obtenu"),1,0))</f>
        <v/>
      </c>
      <c r="AW133" s="7">
        <f>IF(A133="","",IF(Q133&gt;70,"Immédiat – propriétaire",IF(Q133&gt;=40,"15 min – personne de garde","Selon la route")))</f>
        <v/>
      </c>
      <c r="AX133" s="11">
        <f>IF(A133="","",IF(AT133="A",400,IF(AT133="B",150,0)))</f>
        <v/>
      </c>
      <c r="AY133" s="11">
        <f>IF(A133="","",IF(AV133=1,N(V133),IF(N(U133)&gt;0,ROUND(N(U133)*IFERROR(VLOOKUP(R133,Listes!$AE$3:$AG$12,2,FALSE),0),0),0)))</f>
        <v/>
      </c>
      <c r="AZ133" s="7">
        <f>IF(LEFT(A133,7)="EXEMPLE",1,0)</f>
        <v/>
      </c>
      <c r="BA133" s="7">
        <f>IF(AND(AV133=1,AZ133=0,AC133&lt;&gt;"",W133&lt;&gt;"",N(V133)&gt;0),COUNTIFS($AV$3:AV133,1,$AZ$3:AZ133,0,$AC$3:AC133,"&lt;&gt;",$W$3:W133,"&lt;&gt;",$V$3:V133,"&gt;0"),"")</f>
        <v/>
      </c>
    </row>
    <row r="134">
      <c r="A134" s="12" t="n"/>
      <c r="B134" s="13" t="n"/>
      <c r="C134" s="13" t="n"/>
      <c r="D134" s="7">
        <f>IF(OR(B134="",C134=""),"",ROUND((C134-B134)*1440,0))</f>
        <v/>
      </c>
      <c r="E134" s="12" t="n"/>
      <c r="F134" s="12" t="n"/>
      <c r="G134" s="12" t="n"/>
      <c r="H134" s="12" t="n"/>
      <c r="I134" s="12" t="n"/>
      <c r="J134" s="12" t="n"/>
      <c r="K134" s="12" t="n"/>
      <c r="L134" s="14" t="n"/>
      <c r="M134" s="12" t="n"/>
      <c r="N134" s="12" t="n"/>
      <c r="O134" s="12" t="n"/>
      <c r="P134" s="12" t="n"/>
      <c r="Q134" s="7">
        <f>IF(A134="","",IFERROR(VLOOKUP(O134,Listes!$R$3:$T$8,2,FALSE),0)+IFERROR(VLOOKUP(J134,Listes!$J$3:$L$6,2,FALSE),0)+IFERROR(VLOOKUP(N134,Listes!$N$3:$P$6,2,FALSE),0)+IF(OR(L134="",B134=""),0,IF(L134-INT(B134)&lt;10,8,IF(L134-INT(B134)&lt;=90,10,5)))+IFERROR(VLOOKUP(AN134,Listes!$V$3:$W$5,2,FALSE),0)+IFERROR(VLOOKUP(AO134,Listes!$Y$3:$Z$5,2,FALSE),0))</f>
        <v/>
      </c>
      <c r="R134" s="12" t="n"/>
      <c r="S134" s="12" t="n"/>
      <c r="T134" s="12" t="n"/>
      <c r="U134" s="15" t="n"/>
      <c r="V134" s="15" t="n"/>
      <c r="W134" s="13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3" t="n"/>
      <c r="AK134" s="12" t="n"/>
      <c r="AL134" s="12" t="n"/>
      <c r="AM134" s="12" t="n"/>
      <c r="AN134" s="12" t="n"/>
      <c r="AO134" s="12" t="n"/>
      <c r="AP134" s="12" t="n"/>
      <c r="AQ134" s="7">
        <f>IF(A134="","",IF(AP134&lt;&gt;"",AP134,IF(LEFT(Z134,11)="gads_marque","Google Search – Marque",IF(LEFT(Z134,12)="gads_mariage","Google Search – Mariage et privé",IF(LEFT(Z134,10)="gads_corpo","Google Search – Corporatif",IF(LEFT(Z134,5)="meta_","Meta – Leads",IF(LEFT(Z134,5)="msft_","Microsoft Ads",IF(LEFT(Z134,8)="chatgpt_","ChatGPT Ads – Test",IF(X134="gbp","Fiche Google (organique)","Autre / non payé")))))))))</f>
        <v/>
      </c>
      <c r="AR134" s="7">
        <f>IF(K134="","",IFERROR(VLOOKUP(K134,Listes!$F$3:$H$8,3,FALSE),""))</f>
        <v/>
      </c>
      <c r="AS134" s="7">
        <f>IF(O134="","",IF(AND(M134="Autre (plus de 40 km)",OR(O134="lt600",O134="600_999",O134="1000_2499")),"D",IF(OR(O134="lt600",AND(O134="600_999",K134&lt;&gt;"mariage",K134&lt;&gt;"prive")),"C",IF(OR(O134="2500_4999",O134="5000p",J134="entreprise",J134="organisme",J134="agence"),"A",IF(OR(O134="1000_2499",O134="600_999"),"B",IF(O134="inconnu",IF(OR(N134="75_149",N134="150p"),"A","B"),""))))))</f>
        <v/>
      </c>
      <c r="AT134" s="7">
        <f>IF(A134="","",IF(P134&lt;&gt;"",P134,AS134))</f>
        <v/>
      </c>
      <c r="AU134" s="7">
        <f>IF(A134="","",IF(OR(AT134="A",AT134="B"),1,0))</f>
        <v/>
      </c>
      <c r="AV134" s="7">
        <f>IF(A134="","",IF(OR(R134="Dépôt payé (gagné)",R134="Événement livré",R134="Avis obtenu"),1,0))</f>
        <v/>
      </c>
      <c r="AW134" s="7">
        <f>IF(A134="","",IF(Q134&gt;70,"Immédiat – propriétaire",IF(Q134&gt;=40,"15 min – personne de garde","Selon la route")))</f>
        <v/>
      </c>
      <c r="AX134" s="11">
        <f>IF(A134="","",IF(AT134="A",400,IF(AT134="B",150,0)))</f>
        <v/>
      </c>
      <c r="AY134" s="11">
        <f>IF(A134="","",IF(AV134=1,N(V134),IF(N(U134)&gt;0,ROUND(N(U134)*IFERROR(VLOOKUP(R134,Listes!$AE$3:$AG$12,2,FALSE),0),0),0)))</f>
        <v/>
      </c>
      <c r="AZ134" s="7">
        <f>IF(LEFT(A134,7)="EXEMPLE",1,0)</f>
        <v/>
      </c>
      <c r="BA134" s="7">
        <f>IF(AND(AV134=1,AZ134=0,AC134&lt;&gt;"",W134&lt;&gt;"",N(V134)&gt;0),COUNTIFS($AV$3:AV134,1,$AZ$3:AZ134,0,$AC$3:AC134,"&lt;&gt;",$W$3:W134,"&lt;&gt;",$V$3:V134,"&gt;0"),"")</f>
        <v/>
      </c>
    </row>
    <row r="135">
      <c r="A135" s="12" t="n"/>
      <c r="B135" s="13" t="n"/>
      <c r="C135" s="13" t="n"/>
      <c r="D135" s="7">
        <f>IF(OR(B135="",C135=""),"",ROUND((C135-B135)*1440,0))</f>
        <v/>
      </c>
      <c r="E135" s="12" t="n"/>
      <c r="F135" s="12" t="n"/>
      <c r="G135" s="12" t="n"/>
      <c r="H135" s="12" t="n"/>
      <c r="I135" s="12" t="n"/>
      <c r="J135" s="12" t="n"/>
      <c r="K135" s="12" t="n"/>
      <c r="L135" s="14" t="n"/>
      <c r="M135" s="12" t="n"/>
      <c r="N135" s="12" t="n"/>
      <c r="O135" s="12" t="n"/>
      <c r="P135" s="12" t="n"/>
      <c r="Q135" s="7">
        <f>IF(A135="","",IFERROR(VLOOKUP(O135,Listes!$R$3:$T$8,2,FALSE),0)+IFERROR(VLOOKUP(J135,Listes!$J$3:$L$6,2,FALSE),0)+IFERROR(VLOOKUP(N135,Listes!$N$3:$P$6,2,FALSE),0)+IF(OR(L135="",B135=""),0,IF(L135-INT(B135)&lt;10,8,IF(L135-INT(B135)&lt;=90,10,5)))+IFERROR(VLOOKUP(AN135,Listes!$V$3:$W$5,2,FALSE),0)+IFERROR(VLOOKUP(AO135,Listes!$Y$3:$Z$5,2,FALSE),0))</f>
        <v/>
      </c>
      <c r="R135" s="12" t="n"/>
      <c r="S135" s="12" t="n"/>
      <c r="T135" s="12" t="n"/>
      <c r="U135" s="15" t="n"/>
      <c r="V135" s="15" t="n"/>
      <c r="W135" s="13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3" t="n"/>
      <c r="AK135" s="12" t="n"/>
      <c r="AL135" s="12" t="n"/>
      <c r="AM135" s="12" t="n"/>
      <c r="AN135" s="12" t="n"/>
      <c r="AO135" s="12" t="n"/>
      <c r="AP135" s="12" t="n"/>
      <c r="AQ135" s="7">
        <f>IF(A135="","",IF(AP135&lt;&gt;"",AP135,IF(LEFT(Z135,11)="gads_marque","Google Search – Marque",IF(LEFT(Z135,12)="gads_mariage","Google Search – Mariage et privé",IF(LEFT(Z135,10)="gads_corpo","Google Search – Corporatif",IF(LEFT(Z135,5)="meta_","Meta – Leads",IF(LEFT(Z135,5)="msft_","Microsoft Ads",IF(LEFT(Z135,8)="chatgpt_","ChatGPT Ads – Test",IF(X135="gbp","Fiche Google (organique)","Autre / non payé")))))))))</f>
        <v/>
      </c>
      <c r="AR135" s="7">
        <f>IF(K135="","",IFERROR(VLOOKUP(K135,Listes!$F$3:$H$8,3,FALSE),""))</f>
        <v/>
      </c>
      <c r="AS135" s="7">
        <f>IF(O135="","",IF(AND(M135="Autre (plus de 40 km)",OR(O135="lt600",O135="600_999",O135="1000_2499")),"D",IF(OR(O135="lt600",AND(O135="600_999",K135&lt;&gt;"mariage",K135&lt;&gt;"prive")),"C",IF(OR(O135="2500_4999",O135="5000p",J135="entreprise",J135="organisme",J135="agence"),"A",IF(OR(O135="1000_2499",O135="600_999"),"B",IF(O135="inconnu",IF(OR(N135="75_149",N135="150p"),"A","B"),""))))))</f>
        <v/>
      </c>
      <c r="AT135" s="7">
        <f>IF(A135="","",IF(P135&lt;&gt;"",P135,AS135))</f>
        <v/>
      </c>
      <c r="AU135" s="7">
        <f>IF(A135="","",IF(OR(AT135="A",AT135="B"),1,0))</f>
        <v/>
      </c>
      <c r="AV135" s="7">
        <f>IF(A135="","",IF(OR(R135="Dépôt payé (gagné)",R135="Événement livré",R135="Avis obtenu"),1,0))</f>
        <v/>
      </c>
      <c r="AW135" s="7">
        <f>IF(A135="","",IF(Q135&gt;70,"Immédiat – propriétaire",IF(Q135&gt;=40,"15 min – personne de garde","Selon la route")))</f>
        <v/>
      </c>
      <c r="AX135" s="11">
        <f>IF(A135="","",IF(AT135="A",400,IF(AT135="B",150,0)))</f>
        <v/>
      </c>
      <c r="AY135" s="11">
        <f>IF(A135="","",IF(AV135=1,N(V135),IF(N(U135)&gt;0,ROUND(N(U135)*IFERROR(VLOOKUP(R135,Listes!$AE$3:$AG$12,2,FALSE),0),0),0)))</f>
        <v/>
      </c>
      <c r="AZ135" s="7">
        <f>IF(LEFT(A135,7)="EXEMPLE",1,0)</f>
        <v/>
      </c>
      <c r="BA135" s="7">
        <f>IF(AND(AV135=1,AZ135=0,AC135&lt;&gt;"",W135&lt;&gt;"",N(V135)&gt;0),COUNTIFS($AV$3:AV135,1,$AZ$3:AZ135,0,$AC$3:AC135,"&lt;&gt;",$W$3:W135,"&lt;&gt;",$V$3:V135,"&gt;0"),"")</f>
        <v/>
      </c>
    </row>
    <row r="136">
      <c r="A136" s="12" t="n"/>
      <c r="B136" s="13" t="n"/>
      <c r="C136" s="13" t="n"/>
      <c r="D136" s="7">
        <f>IF(OR(B136="",C136=""),"",ROUND((C136-B136)*1440,0))</f>
        <v/>
      </c>
      <c r="E136" s="12" t="n"/>
      <c r="F136" s="12" t="n"/>
      <c r="G136" s="12" t="n"/>
      <c r="H136" s="12" t="n"/>
      <c r="I136" s="12" t="n"/>
      <c r="J136" s="12" t="n"/>
      <c r="K136" s="12" t="n"/>
      <c r="L136" s="14" t="n"/>
      <c r="M136" s="12" t="n"/>
      <c r="N136" s="12" t="n"/>
      <c r="O136" s="12" t="n"/>
      <c r="P136" s="12" t="n"/>
      <c r="Q136" s="7">
        <f>IF(A136="","",IFERROR(VLOOKUP(O136,Listes!$R$3:$T$8,2,FALSE),0)+IFERROR(VLOOKUP(J136,Listes!$J$3:$L$6,2,FALSE),0)+IFERROR(VLOOKUP(N136,Listes!$N$3:$P$6,2,FALSE),0)+IF(OR(L136="",B136=""),0,IF(L136-INT(B136)&lt;10,8,IF(L136-INT(B136)&lt;=90,10,5)))+IFERROR(VLOOKUP(AN136,Listes!$V$3:$W$5,2,FALSE),0)+IFERROR(VLOOKUP(AO136,Listes!$Y$3:$Z$5,2,FALSE),0))</f>
        <v/>
      </c>
      <c r="R136" s="12" t="n"/>
      <c r="S136" s="12" t="n"/>
      <c r="T136" s="12" t="n"/>
      <c r="U136" s="15" t="n"/>
      <c r="V136" s="15" t="n"/>
      <c r="W136" s="13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3" t="n"/>
      <c r="AK136" s="12" t="n"/>
      <c r="AL136" s="12" t="n"/>
      <c r="AM136" s="12" t="n"/>
      <c r="AN136" s="12" t="n"/>
      <c r="AO136" s="12" t="n"/>
      <c r="AP136" s="12" t="n"/>
      <c r="AQ136" s="7">
        <f>IF(A136="","",IF(AP136&lt;&gt;"",AP136,IF(LEFT(Z136,11)="gads_marque","Google Search – Marque",IF(LEFT(Z136,12)="gads_mariage","Google Search – Mariage et privé",IF(LEFT(Z136,10)="gads_corpo","Google Search – Corporatif",IF(LEFT(Z136,5)="meta_","Meta – Leads",IF(LEFT(Z136,5)="msft_","Microsoft Ads",IF(LEFT(Z136,8)="chatgpt_","ChatGPT Ads – Test",IF(X136="gbp","Fiche Google (organique)","Autre / non payé")))))))))</f>
        <v/>
      </c>
      <c r="AR136" s="7">
        <f>IF(K136="","",IFERROR(VLOOKUP(K136,Listes!$F$3:$H$8,3,FALSE),""))</f>
        <v/>
      </c>
      <c r="AS136" s="7">
        <f>IF(O136="","",IF(AND(M136="Autre (plus de 40 km)",OR(O136="lt600",O136="600_999",O136="1000_2499")),"D",IF(OR(O136="lt600",AND(O136="600_999",K136&lt;&gt;"mariage",K136&lt;&gt;"prive")),"C",IF(OR(O136="2500_4999",O136="5000p",J136="entreprise",J136="organisme",J136="agence"),"A",IF(OR(O136="1000_2499",O136="600_999"),"B",IF(O136="inconnu",IF(OR(N136="75_149",N136="150p"),"A","B"),""))))))</f>
        <v/>
      </c>
      <c r="AT136" s="7">
        <f>IF(A136="","",IF(P136&lt;&gt;"",P136,AS136))</f>
        <v/>
      </c>
      <c r="AU136" s="7">
        <f>IF(A136="","",IF(OR(AT136="A",AT136="B"),1,0))</f>
        <v/>
      </c>
      <c r="AV136" s="7">
        <f>IF(A136="","",IF(OR(R136="Dépôt payé (gagné)",R136="Événement livré",R136="Avis obtenu"),1,0))</f>
        <v/>
      </c>
      <c r="AW136" s="7">
        <f>IF(A136="","",IF(Q136&gt;70,"Immédiat – propriétaire",IF(Q136&gt;=40,"15 min – personne de garde","Selon la route")))</f>
        <v/>
      </c>
      <c r="AX136" s="11">
        <f>IF(A136="","",IF(AT136="A",400,IF(AT136="B",150,0)))</f>
        <v/>
      </c>
      <c r="AY136" s="11">
        <f>IF(A136="","",IF(AV136=1,N(V136),IF(N(U136)&gt;0,ROUND(N(U136)*IFERROR(VLOOKUP(R136,Listes!$AE$3:$AG$12,2,FALSE),0),0),0)))</f>
        <v/>
      </c>
      <c r="AZ136" s="7">
        <f>IF(LEFT(A136,7)="EXEMPLE",1,0)</f>
        <v/>
      </c>
      <c r="BA136" s="7">
        <f>IF(AND(AV136=1,AZ136=0,AC136&lt;&gt;"",W136&lt;&gt;"",N(V136)&gt;0),COUNTIFS($AV$3:AV136,1,$AZ$3:AZ136,0,$AC$3:AC136,"&lt;&gt;",$W$3:W136,"&lt;&gt;",$V$3:V136,"&gt;0"),"")</f>
        <v/>
      </c>
    </row>
    <row r="137">
      <c r="A137" s="12" t="n"/>
      <c r="B137" s="13" t="n"/>
      <c r="C137" s="13" t="n"/>
      <c r="D137" s="7">
        <f>IF(OR(B137="",C137=""),"",ROUND((C137-B137)*1440,0))</f>
        <v/>
      </c>
      <c r="E137" s="12" t="n"/>
      <c r="F137" s="12" t="n"/>
      <c r="G137" s="12" t="n"/>
      <c r="H137" s="12" t="n"/>
      <c r="I137" s="12" t="n"/>
      <c r="J137" s="12" t="n"/>
      <c r="K137" s="12" t="n"/>
      <c r="L137" s="14" t="n"/>
      <c r="M137" s="12" t="n"/>
      <c r="N137" s="12" t="n"/>
      <c r="O137" s="12" t="n"/>
      <c r="P137" s="12" t="n"/>
      <c r="Q137" s="7">
        <f>IF(A137="","",IFERROR(VLOOKUP(O137,Listes!$R$3:$T$8,2,FALSE),0)+IFERROR(VLOOKUP(J137,Listes!$J$3:$L$6,2,FALSE),0)+IFERROR(VLOOKUP(N137,Listes!$N$3:$P$6,2,FALSE),0)+IF(OR(L137="",B137=""),0,IF(L137-INT(B137)&lt;10,8,IF(L137-INT(B137)&lt;=90,10,5)))+IFERROR(VLOOKUP(AN137,Listes!$V$3:$W$5,2,FALSE),0)+IFERROR(VLOOKUP(AO137,Listes!$Y$3:$Z$5,2,FALSE),0))</f>
        <v/>
      </c>
      <c r="R137" s="12" t="n"/>
      <c r="S137" s="12" t="n"/>
      <c r="T137" s="12" t="n"/>
      <c r="U137" s="15" t="n"/>
      <c r="V137" s="15" t="n"/>
      <c r="W137" s="13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3" t="n"/>
      <c r="AK137" s="12" t="n"/>
      <c r="AL137" s="12" t="n"/>
      <c r="AM137" s="12" t="n"/>
      <c r="AN137" s="12" t="n"/>
      <c r="AO137" s="12" t="n"/>
      <c r="AP137" s="12" t="n"/>
      <c r="AQ137" s="7">
        <f>IF(A137="","",IF(AP137&lt;&gt;"",AP137,IF(LEFT(Z137,11)="gads_marque","Google Search – Marque",IF(LEFT(Z137,12)="gads_mariage","Google Search – Mariage et privé",IF(LEFT(Z137,10)="gads_corpo","Google Search – Corporatif",IF(LEFT(Z137,5)="meta_","Meta – Leads",IF(LEFT(Z137,5)="msft_","Microsoft Ads",IF(LEFT(Z137,8)="chatgpt_","ChatGPT Ads – Test",IF(X137="gbp","Fiche Google (organique)","Autre / non payé")))))))))</f>
        <v/>
      </c>
      <c r="AR137" s="7">
        <f>IF(K137="","",IFERROR(VLOOKUP(K137,Listes!$F$3:$H$8,3,FALSE),""))</f>
        <v/>
      </c>
      <c r="AS137" s="7">
        <f>IF(O137="","",IF(AND(M137="Autre (plus de 40 km)",OR(O137="lt600",O137="600_999",O137="1000_2499")),"D",IF(OR(O137="lt600",AND(O137="600_999",K137&lt;&gt;"mariage",K137&lt;&gt;"prive")),"C",IF(OR(O137="2500_4999",O137="5000p",J137="entreprise",J137="organisme",J137="agence"),"A",IF(OR(O137="1000_2499",O137="600_999"),"B",IF(O137="inconnu",IF(OR(N137="75_149",N137="150p"),"A","B"),""))))))</f>
        <v/>
      </c>
      <c r="AT137" s="7">
        <f>IF(A137="","",IF(P137&lt;&gt;"",P137,AS137))</f>
        <v/>
      </c>
      <c r="AU137" s="7">
        <f>IF(A137="","",IF(OR(AT137="A",AT137="B"),1,0))</f>
        <v/>
      </c>
      <c r="AV137" s="7">
        <f>IF(A137="","",IF(OR(R137="Dépôt payé (gagné)",R137="Événement livré",R137="Avis obtenu"),1,0))</f>
        <v/>
      </c>
      <c r="AW137" s="7">
        <f>IF(A137="","",IF(Q137&gt;70,"Immédiat – propriétaire",IF(Q137&gt;=40,"15 min – personne de garde","Selon la route")))</f>
        <v/>
      </c>
      <c r="AX137" s="11">
        <f>IF(A137="","",IF(AT137="A",400,IF(AT137="B",150,0)))</f>
        <v/>
      </c>
      <c r="AY137" s="11">
        <f>IF(A137="","",IF(AV137=1,N(V137),IF(N(U137)&gt;0,ROUND(N(U137)*IFERROR(VLOOKUP(R137,Listes!$AE$3:$AG$12,2,FALSE),0),0),0)))</f>
        <v/>
      </c>
      <c r="AZ137" s="7">
        <f>IF(LEFT(A137,7)="EXEMPLE",1,0)</f>
        <v/>
      </c>
      <c r="BA137" s="7">
        <f>IF(AND(AV137=1,AZ137=0,AC137&lt;&gt;"",W137&lt;&gt;"",N(V137)&gt;0),COUNTIFS($AV$3:AV137,1,$AZ$3:AZ137,0,$AC$3:AC137,"&lt;&gt;",$W$3:W137,"&lt;&gt;",$V$3:V137,"&gt;0"),"")</f>
        <v/>
      </c>
    </row>
    <row r="138">
      <c r="A138" s="12" t="n"/>
      <c r="B138" s="13" t="n"/>
      <c r="C138" s="13" t="n"/>
      <c r="D138" s="7">
        <f>IF(OR(B138="",C138=""),"",ROUND((C138-B138)*1440,0))</f>
        <v/>
      </c>
      <c r="E138" s="12" t="n"/>
      <c r="F138" s="12" t="n"/>
      <c r="G138" s="12" t="n"/>
      <c r="H138" s="12" t="n"/>
      <c r="I138" s="12" t="n"/>
      <c r="J138" s="12" t="n"/>
      <c r="K138" s="12" t="n"/>
      <c r="L138" s="14" t="n"/>
      <c r="M138" s="12" t="n"/>
      <c r="N138" s="12" t="n"/>
      <c r="O138" s="12" t="n"/>
      <c r="P138" s="12" t="n"/>
      <c r="Q138" s="7">
        <f>IF(A138="","",IFERROR(VLOOKUP(O138,Listes!$R$3:$T$8,2,FALSE),0)+IFERROR(VLOOKUP(J138,Listes!$J$3:$L$6,2,FALSE),0)+IFERROR(VLOOKUP(N138,Listes!$N$3:$P$6,2,FALSE),0)+IF(OR(L138="",B138=""),0,IF(L138-INT(B138)&lt;10,8,IF(L138-INT(B138)&lt;=90,10,5)))+IFERROR(VLOOKUP(AN138,Listes!$V$3:$W$5,2,FALSE),0)+IFERROR(VLOOKUP(AO138,Listes!$Y$3:$Z$5,2,FALSE),0))</f>
        <v/>
      </c>
      <c r="R138" s="12" t="n"/>
      <c r="S138" s="12" t="n"/>
      <c r="T138" s="12" t="n"/>
      <c r="U138" s="15" t="n"/>
      <c r="V138" s="15" t="n"/>
      <c r="W138" s="13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3" t="n"/>
      <c r="AK138" s="12" t="n"/>
      <c r="AL138" s="12" t="n"/>
      <c r="AM138" s="12" t="n"/>
      <c r="AN138" s="12" t="n"/>
      <c r="AO138" s="12" t="n"/>
      <c r="AP138" s="12" t="n"/>
      <c r="AQ138" s="7">
        <f>IF(A138="","",IF(AP138&lt;&gt;"",AP138,IF(LEFT(Z138,11)="gads_marque","Google Search – Marque",IF(LEFT(Z138,12)="gads_mariage","Google Search – Mariage et privé",IF(LEFT(Z138,10)="gads_corpo","Google Search – Corporatif",IF(LEFT(Z138,5)="meta_","Meta – Leads",IF(LEFT(Z138,5)="msft_","Microsoft Ads",IF(LEFT(Z138,8)="chatgpt_","ChatGPT Ads – Test",IF(X138="gbp","Fiche Google (organique)","Autre / non payé")))))))))</f>
        <v/>
      </c>
      <c r="AR138" s="7">
        <f>IF(K138="","",IFERROR(VLOOKUP(K138,Listes!$F$3:$H$8,3,FALSE),""))</f>
        <v/>
      </c>
      <c r="AS138" s="7">
        <f>IF(O138="","",IF(AND(M138="Autre (plus de 40 km)",OR(O138="lt600",O138="600_999",O138="1000_2499")),"D",IF(OR(O138="lt600",AND(O138="600_999",K138&lt;&gt;"mariage",K138&lt;&gt;"prive")),"C",IF(OR(O138="2500_4999",O138="5000p",J138="entreprise",J138="organisme",J138="agence"),"A",IF(OR(O138="1000_2499",O138="600_999"),"B",IF(O138="inconnu",IF(OR(N138="75_149",N138="150p"),"A","B"),""))))))</f>
        <v/>
      </c>
      <c r="AT138" s="7">
        <f>IF(A138="","",IF(P138&lt;&gt;"",P138,AS138))</f>
        <v/>
      </c>
      <c r="AU138" s="7">
        <f>IF(A138="","",IF(OR(AT138="A",AT138="B"),1,0))</f>
        <v/>
      </c>
      <c r="AV138" s="7">
        <f>IF(A138="","",IF(OR(R138="Dépôt payé (gagné)",R138="Événement livré",R138="Avis obtenu"),1,0))</f>
        <v/>
      </c>
      <c r="AW138" s="7">
        <f>IF(A138="","",IF(Q138&gt;70,"Immédiat – propriétaire",IF(Q138&gt;=40,"15 min – personne de garde","Selon la route")))</f>
        <v/>
      </c>
      <c r="AX138" s="11">
        <f>IF(A138="","",IF(AT138="A",400,IF(AT138="B",150,0)))</f>
        <v/>
      </c>
      <c r="AY138" s="11">
        <f>IF(A138="","",IF(AV138=1,N(V138),IF(N(U138)&gt;0,ROUND(N(U138)*IFERROR(VLOOKUP(R138,Listes!$AE$3:$AG$12,2,FALSE),0),0),0)))</f>
        <v/>
      </c>
      <c r="AZ138" s="7">
        <f>IF(LEFT(A138,7)="EXEMPLE",1,0)</f>
        <v/>
      </c>
      <c r="BA138" s="7">
        <f>IF(AND(AV138=1,AZ138=0,AC138&lt;&gt;"",W138&lt;&gt;"",N(V138)&gt;0),COUNTIFS($AV$3:AV138,1,$AZ$3:AZ138,0,$AC$3:AC138,"&lt;&gt;",$W$3:W138,"&lt;&gt;",$V$3:V138,"&gt;0"),"")</f>
        <v/>
      </c>
    </row>
    <row r="139">
      <c r="A139" s="12" t="n"/>
      <c r="B139" s="13" t="n"/>
      <c r="C139" s="13" t="n"/>
      <c r="D139" s="7">
        <f>IF(OR(B139="",C139=""),"",ROUND((C139-B139)*1440,0))</f>
        <v/>
      </c>
      <c r="E139" s="12" t="n"/>
      <c r="F139" s="12" t="n"/>
      <c r="G139" s="12" t="n"/>
      <c r="H139" s="12" t="n"/>
      <c r="I139" s="12" t="n"/>
      <c r="J139" s="12" t="n"/>
      <c r="K139" s="12" t="n"/>
      <c r="L139" s="14" t="n"/>
      <c r="M139" s="12" t="n"/>
      <c r="N139" s="12" t="n"/>
      <c r="O139" s="12" t="n"/>
      <c r="P139" s="12" t="n"/>
      <c r="Q139" s="7">
        <f>IF(A139="","",IFERROR(VLOOKUP(O139,Listes!$R$3:$T$8,2,FALSE),0)+IFERROR(VLOOKUP(J139,Listes!$J$3:$L$6,2,FALSE),0)+IFERROR(VLOOKUP(N139,Listes!$N$3:$P$6,2,FALSE),0)+IF(OR(L139="",B139=""),0,IF(L139-INT(B139)&lt;10,8,IF(L139-INT(B139)&lt;=90,10,5)))+IFERROR(VLOOKUP(AN139,Listes!$V$3:$W$5,2,FALSE),0)+IFERROR(VLOOKUP(AO139,Listes!$Y$3:$Z$5,2,FALSE),0))</f>
        <v/>
      </c>
      <c r="R139" s="12" t="n"/>
      <c r="S139" s="12" t="n"/>
      <c r="T139" s="12" t="n"/>
      <c r="U139" s="15" t="n"/>
      <c r="V139" s="15" t="n"/>
      <c r="W139" s="13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3" t="n"/>
      <c r="AK139" s="12" t="n"/>
      <c r="AL139" s="12" t="n"/>
      <c r="AM139" s="12" t="n"/>
      <c r="AN139" s="12" t="n"/>
      <c r="AO139" s="12" t="n"/>
      <c r="AP139" s="12" t="n"/>
      <c r="AQ139" s="7">
        <f>IF(A139="","",IF(AP139&lt;&gt;"",AP139,IF(LEFT(Z139,11)="gads_marque","Google Search – Marque",IF(LEFT(Z139,12)="gads_mariage","Google Search – Mariage et privé",IF(LEFT(Z139,10)="gads_corpo","Google Search – Corporatif",IF(LEFT(Z139,5)="meta_","Meta – Leads",IF(LEFT(Z139,5)="msft_","Microsoft Ads",IF(LEFT(Z139,8)="chatgpt_","ChatGPT Ads – Test",IF(X139="gbp","Fiche Google (organique)","Autre / non payé")))))))))</f>
        <v/>
      </c>
      <c r="AR139" s="7">
        <f>IF(K139="","",IFERROR(VLOOKUP(K139,Listes!$F$3:$H$8,3,FALSE),""))</f>
        <v/>
      </c>
      <c r="AS139" s="7">
        <f>IF(O139="","",IF(AND(M139="Autre (plus de 40 km)",OR(O139="lt600",O139="600_999",O139="1000_2499")),"D",IF(OR(O139="lt600",AND(O139="600_999",K139&lt;&gt;"mariage",K139&lt;&gt;"prive")),"C",IF(OR(O139="2500_4999",O139="5000p",J139="entreprise",J139="organisme",J139="agence"),"A",IF(OR(O139="1000_2499",O139="600_999"),"B",IF(O139="inconnu",IF(OR(N139="75_149",N139="150p"),"A","B"),""))))))</f>
        <v/>
      </c>
      <c r="AT139" s="7">
        <f>IF(A139="","",IF(P139&lt;&gt;"",P139,AS139))</f>
        <v/>
      </c>
      <c r="AU139" s="7">
        <f>IF(A139="","",IF(OR(AT139="A",AT139="B"),1,0))</f>
        <v/>
      </c>
      <c r="AV139" s="7">
        <f>IF(A139="","",IF(OR(R139="Dépôt payé (gagné)",R139="Événement livré",R139="Avis obtenu"),1,0))</f>
        <v/>
      </c>
      <c r="AW139" s="7">
        <f>IF(A139="","",IF(Q139&gt;70,"Immédiat – propriétaire",IF(Q139&gt;=40,"15 min – personne de garde","Selon la route")))</f>
        <v/>
      </c>
      <c r="AX139" s="11">
        <f>IF(A139="","",IF(AT139="A",400,IF(AT139="B",150,0)))</f>
        <v/>
      </c>
      <c r="AY139" s="11">
        <f>IF(A139="","",IF(AV139=1,N(V139),IF(N(U139)&gt;0,ROUND(N(U139)*IFERROR(VLOOKUP(R139,Listes!$AE$3:$AG$12,2,FALSE),0),0),0)))</f>
        <v/>
      </c>
      <c r="AZ139" s="7">
        <f>IF(LEFT(A139,7)="EXEMPLE",1,0)</f>
        <v/>
      </c>
      <c r="BA139" s="7">
        <f>IF(AND(AV139=1,AZ139=0,AC139&lt;&gt;"",W139&lt;&gt;"",N(V139)&gt;0),COUNTIFS($AV$3:AV139,1,$AZ$3:AZ139,0,$AC$3:AC139,"&lt;&gt;",$W$3:W139,"&lt;&gt;",$V$3:V139,"&gt;0"),"")</f>
        <v/>
      </c>
    </row>
    <row r="140">
      <c r="A140" s="12" t="n"/>
      <c r="B140" s="13" t="n"/>
      <c r="C140" s="13" t="n"/>
      <c r="D140" s="7">
        <f>IF(OR(B140="",C140=""),"",ROUND((C140-B140)*1440,0))</f>
        <v/>
      </c>
      <c r="E140" s="12" t="n"/>
      <c r="F140" s="12" t="n"/>
      <c r="G140" s="12" t="n"/>
      <c r="H140" s="12" t="n"/>
      <c r="I140" s="12" t="n"/>
      <c r="J140" s="12" t="n"/>
      <c r="K140" s="12" t="n"/>
      <c r="L140" s="14" t="n"/>
      <c r="M140" s="12" t="n"/>
      <c r="N140" s="12" t="n"/>
      <c r="O140" s="12" t="n"/>
      <c r="P140" s="12" t="n"/>
      <c r="Q140" s="7">
        <f>IF(A140="","",IFERROR(VLOOKUP(O140,Listes!$R$3:$T$8,2,FALSE),0)+IFERROR(VLOOKUP(J140,Listes!$J$3:$L$6,2,FALSE),0)+IFERROR(VLOOKUP(N140,Listes!$N$3:$P$6,2,FALSE),0)+IF(OR(L140="",B140=""),0,IF(L140-INT(B140)&lt;10,8,IF(L140-INT(B140)&lt;=90,10,5)))+IFERROR(VLOOKUP(AN140,Listes!$V$3:$W$5,2,FALSE),0)+IFERROR(VLOOKUP(AO140,Listes!$Y$3:$Z$5,2,FALSE),0))</f>
        <v/>
      </c>
      <c r="R140" s="12" t="n"/>
      <c r="S140" s="12" t="n"/>
      <c r="T140" s="12" t="n"/>
      <c r="U140" s="15" t="n"/>
      <c r="V140" s="15" t="n"/>
      <c r="W140" s="13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3" t="n"/>
      <c r="AK140" s="12" t="n"/>
      <c r="AL140" s="12" t="n"/>
      <c r="AM140" s="12" t="n"/>
      <c r="AN140" s="12" t="n"/>
      <c r="AO140" s="12" t="n"/>
      <c r="AP140" s="12" t="n"/>
      <c r="AQ140" s="7">
        <f>IF(A140="","",IF(AP140&lt;&gt;"",AP140,IF(LEFT(Z140,11)="gads_marque","Google Search – Marque",IF(LEFT(Z140,12)="gads_mariage","Google Search – Mariage et privé",IF(LEFT(Z140,10)="gads_corpo","Google Search – Corporatif",IF(LEFT(Z140,5)="meta_","Meta – Leads",IF(LEFT(Z140,5)="msft_","Microsoft Ads",IF(LEFT(Z140,8)="chatgpt_","ChatGPT Ads – Test",IF(X140="gbp","Fiche Google (organique)","Autre / non payé")))))))))</f>
        <v/>
      </c>
      <c r="AR140" s="7">
        <f>IF(K140="","",IFERROR(VLOOKUP(K140,Listes!$F$3:$H$8,3,FALSE),""))</f>
        <v/>
      </c>
      <c r="AS140" s="7">
        <f>IF(O140="","",IF(AND(M140="Autre (plus de 40 km)",OR(O140="lt600",O140="600_999",O140="1000_2499")),"D",IF(OR(O140="lt600",AND(O140="600_999",K140&lt;&gt;"mariage",K140&lt;&gt;"prive")),"C",IF(OR(O140="2500_4999",O140="5000p",J140="entreprise",J140="organisme",J140="agence"),"A",IF(OR(O140="1000_2499",O140="600_999"),"B",IF(O140="inconnu",IF(OR(N140="75_149",N140="150p"),"A","B"),""))))))</f>
        <v/>
      </c>
      <c r="AT140" s="7">
        <f>IF(A140="","",IF(P140&lt;&gt;"",P140,AS140))</f>
        <v/>
      </c>
      <c r="AU140" s="7">
        <f>IF(A140="","",IF(OR(AT140="A",AT140="B"),1,0))</f>
        <v/>
      </c>
      <c r="AV140" s="7">
        <f>IF(A140="","",IF(OR(R140="Dépôt payé (gagné)",R140="Événement livré",R140="Avis obtenu"),1,0))</f>
        <v/>
      </c>
      <c r="AW140" s="7">
        <f>IF(A140="","",IF(Q140&gt;70,"Immédiat – propriétaire",IF(Q140&gt;=40,"15 min – personne de garde","Selon la route")))</f>
        <v/>
      </c>
      <c r="AX140" s="11">
        <f>IF(A140="","",IF(AT140="A",400,IF(AT140="B",150,0)))</f>
        <v/>
      </c>
      <c r="AY140" s="11">
        <f>IF(A140="","",IF(AV140=1,N(V140),IF(N(U140)&gt;0,ROUND(N(U140)*IFERROR(VLOOKUP(R140,Listes!$AE$3:$AG$12,2,FALSE),0),0),0)))</f>
        <v/>
      </c>
      <c r="AZ140" s="7">
        <f>IF(LEFT(A140,7)="EXEMPLE",1,0)</f>
        <v/>
      </c>
      <c r="BA140" s="7">
        <f>IF(AND(AV140=1,AZ140=0,AC140&lt;&gt;"",W140&lt;&gt;"",N(V140)&gt;0),COUNTIFS($AV$3:AV140,1,$AZ$3:AZ140,0,$AC$3:AC140,"&lt;&gt;",$W$3:W140,"&lt;&gt;",$V$3:V140,"&gt;0"),"")</f>
        <v/>
      </c>
    </row>
    <row r="141">
      <c r="A141" s="12" t="n"/>
      <c r="B141" s="13" t="n"/>
      <c r="C141" s="13" t="n"/>
      <c r="D141" s="7">
        <f>IF(OR(B141="",C141=""),"",ROUND((C141-B141)*1440,0))</f>
        <v/>
      </c>
      <c r="E141" s="12" t="n"/>
      <c r="F141" s="12" t="n"/>
      <c r="G141" s="12" t="n"/>
      <c r="H141" s="12" t="n"/>
      <c r="I141" s="12" t="n"/>
      <c r="J141" s="12" t="n"/>
      <c r="K141" s="12" t="n"/>
      <c r="L141" s="14" t="n"/>
      <c r="M141" s="12" t="n"/>
      <c r="N141" s="12" t="n"/>
      <c r="O141" s="12" t="n"/>
      <c r="P141" s="12" t="n"/>
      <c r="Q141" s="7">
        <f>IF(A141="","",IFERROR(VLOOKUP(O141,Listes!$R$3:$T$8,2,FALSE),0)+IFERROR(VLOOKUP(J141,Listes!$J$3:$L$6,2,FALSE),0)+IFERROR(VLOOKUP(N141,Listes!$N$3:$P$6,2,FALSE),0)+IF(OR(L141="",B141=""),0,IF(L141-INT(B141)&lt;10,8,IF(L141-INT(B141)&lt;=90,10,5)))+IFERROR(VLOOKUP(AN141,Listes!$V$3:$W$5,2,FALSE),0)+IFERROR(VLOOKUP(AO141,Listes!$Y$3:$Z$5,2,FALSE),0))</f>
        <v/>
      </c>
      <c r="R141" s="12" t="n"/>
      <c r="S141" s="12" t="n"/>
      <c r="T141" s="12" t="n"/>
      <c r="U141" s="15" t="n"/>
      <c r="V141" s="15" t="n"/>
      <c r="W141" s="13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3" t="n"/>
      <c r="AK141" s="12" t="n"/>
      <c r="AL141" s="12" t="n"/>
      <c r="AM141" s="12" t="n"/>
      <c r="AN141" s="12" t="n"/>
      <c r="AO141" s="12" t="n"/>
      <c r="AP141" s="12" t="n"/>
      <c r="AQ141" s="7">
        <f>IF(A141="","",IF(AP141&lt;&gt;"",AP141,IF(LEFT(Z141,11)="gads_marque","Google Search – Marque",IF(LEFT(Z141,12)="gads_mariage","Google Search – Mariage et privé",IF(LEFT(Z141,10)="gads_corpo","Google Search – Corporatif",IF(LEFT(Z141,5)="meta_","Meta – Leads",IF(LEFT(Z141,5)="msft_","Microsoft Ads",IF(LEFT(Z141,8)="chatgpt_","ChatGPT Ads – Test",IF(X141="gbp","Fiche Google (organique)","Autre / non payé")))))))))</f>
        <v/>
      </c>
      <c r="AR141" s="7">
        <f>IF(K141="","",IFERROR(VLOOKUP(K141,Listes!$F$3:$H$8,3,FALSE),""))</f>
        <v/>
      </c>
      <c r="AS141" s="7">
        <f>IF(O141="","",IF(AND(M141="Autre (plus de 40 km)",OR(O141="lt600",O141="600_999",O141="1000_2499")),"D",IF(OR(O141="lt600",AND(O141="600_999",K141&lt;&gt;"mariage",K141&lt;&gt;"prive")),"C",IF(OR(O141="2500_4999",O141="5000p",J141="entreprise",J141="organisme",J141="agence"),"A",IF(OR(O141="1000_2499",O141="600_999"),"B",IF(O141="inconnu",IF(OR(N141="75_149",N141="150p"),"A","B"),""))))))</f>
        <v/>
      </c>
      <c r="AT141" s="7">
        <f>IF(A141="","",IF(P141&lt;&gt;"",P141,AS141))</f>
        <v/>
      </c>
      <c r="AU141" s="7">
        <f>IF(A141="","",IF(OR(AT141="A",AT141="B"),1,0))</f>
        <v/>
      </c>
      <c r="AV141" s="7">
        <f>IF(A141="","",IF(OR(R141="Dépôt payé (gagné)",R141="Événement livré",R141="Avis obtenu"),1,0))</f>
        <v/>
      </c>
      <c r="AW141" s="7">
        <f>IF(A141="","",IF(Q141&gt;70,"Immédiat – propriétaire",IF(Q141&gt;=40,"15 min – personne de garde","Selon la route")))</f>
        <v/>
      </c>
      <c r="AX141" s="11">
        <f>IF(A141="","",IF(AT141="A",400,IF(AT141="B",150,0)))</f>
        <v/>
      </c>
      <c r="AY141" s="11">
        <f>IF(A141="","",IF(AV141=1,N(V141),IF(N(U141)&gt;0,ROUND(N(U141)*IFERROR(VLOOKUP(R141,Listes!$AE$3:$AG$12,2,FALSE),0),0),0)))</f>
        <v/>
      </c>
      <c r="AZ141" s="7">
        <f>IF(LEFT(A141,7)="EXEMPLE",1,0)</f>
        <v/>
      </c>
      <c r="BA141" s="7">
        <f>IF(AND(AV141=1,AZ141=0,AC141&lt;&gt;"",W141&lt;&gt;"",N(V141)&gt;0),COUNTIFS($AV$3:AV141,1,$AZ$3:AZ141,0,$AC$3:AC141,"&lt;&gt;",$W$3:W141,"&lt;&gt;",$V$3:V141,"&gt;0"),"")</f>
        <v/>
      </c>
    </row>
    <row r="142">
      <c r="A142" s="12" t="n"/>
      <c r="B142" s="13" t="n"/>
      <c r="C142" s="13" t="n"/>
      <c r="D142" s="7">
        <f>IF(OR(B142="",C142=""),"",ROUND((C142-B142)*1440,0))</f>
        <v/>
      </c>
      <c r="E142" s="12" t="n"/>
      <c r="F142" s="12" t="n"/>
      <c r="G142" s="12" t="n"/>
      <c r="H142" s="12" t="n"/>
      <c r="I142" s="12" t="n"/>
      <c r="J142" s="12" t="n"/>
      <c r="K142" s="12" t="n"/>
      <c r="L142" s="14" t="n"/>
      <c r="M142" s="12" t="n"/>
      <c r="N142" s="12" t="n"/>
      <c r="O142" s="12" t="n"/>
      <c r="P142" s="12" t="n"/>
      <c r="Q142" s="7">
        <f>IF(A142="","",IFERROR(VLOOKUP(O142,Listes!$R$3:$T$8,2,FALSE),0)+IFERROR(VLOOKUP(J142,Listes!$J$3:$L$6,2,FALSE),0)+IFERROR(VLOOKUP(N142,Listes!$N$3:$P$6,2,FALSE),0)+IF(OR(L142="",B142=""),0,IF(L142-INT(B142)&lt;10,8,IF(L142-INT(B142)&lt;=90,10,5)))+IFERROR(VLOOKUP(AN142,Listes!$V$3:$W$5,2,FALSE),0)+IFERROR(VLOOKUP(AO142,Listes!$Y$3:$Z$5,2,FALSE),0))</f>
        <v/>
      </c>
      <c r="R142" s="12" t="n"/>
      <c r="S142" s="12" t="n"/>
      <c r="T142" s="12" t="n"/>
      <c r="U142" s="15" t="n"/>
      <c r="V142" s="15" t="n"/>
      <c r="W142" s="13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3" t="n"/>
      <c r="AK142" s="12" t="n"/>
      <c r="AL142" s="12" t="n"/>
      <c r="AM142" s="12" t="n"/>
      <c r="AN142" s="12" t="n"/>
      <c r="AO142" s="12" t="n"/>
      <c r="AP142" s="12" t="n"/>
      <c r="AQ142" s="7">
        <f>IF(A142="","",IF(AP142&lt;&gt;"",AP142,IF(LEFT(Z142,11)="gads_marque","Google Search – Marque",IF(LEFT(Z142,12)="gads_mariage","Google Search – Mariage et privé",IF(LEFT(Z142,10)="gads_corpo","Google Search – Corporatif",IF(LEFT(Z142,5)="meta_","Meta – Leads",IF(LEFT(Z142,5)="msft_","Microsoft Ads",IF(LEFT(Z142,8)="chatgpt_","ChatGPT Ads – Test",IF(X142="gbp","Fiche Google (organique)","Autre / non payé")))))))))</f>
        <v/>
      </c>
      <c r="AR142" s="7">
        <f>IF(K142="","",IFERROR(VLOOKUP(K142,Listes!$F$3:$H$8,3,FALSE),""))</f>
        <v/>
      </c>
      <c r="AS142" s="7">
        <f>IF(O142="","",IF(AND(M142="Autre (plus de 40 km)",OR(O142="lt600",O142="600_999",O142="1000_2499")),"D",IF(OR(O142="lt600",AND(O142="600_999",K142&lt;&gt;"mariage",K142&lt;&gt;"prive")),"C",IF(OR(O142="2500_4999",O142="5000p",J142="entreprise",J142="organisme",J142="agence"),"A",IF(OR(O142="1000_2499",O142="600_999"),"B",IF(O142="inconnu",IF(OR(N142="75_149",N142="150p"),"A","B"),""))))))</f>
        <v/>
      </c>
      <c r="AT142" s="7">
        <f>IF(A142="","",IF(P142&lt;&gt;"",P142,AS142))</f>
        <v/>
      </c>
      <c r="AU142" s="7">
        <f>IF(A142="","",IF(OR(AT142="A",AT142="B"),1,0))</f>
        <v/>
      </c>
      <c r="AV142" s="7">
        <f>IF(A142="","",IF(OR(R142="Dépôt payé (gagné)",R142="Événement livré",R142="Avis obtenu"),1,0))</f>
        <v/>
      </c>
      <c r="AW142" s="7">
        <f>IF(A142="","",IF(Q142&gt;70,"Immédiat – propriétaire",IF(Q142&gt;=40,"15 min – personne de garde","Selon la route")))</f>
        <v/>
      </c>
      <c r="AX142" s="11">
        <f>IF(A142="","",IF(AT142="A",400,IF(AT142="B",150,0)))</f>
        <v/>
      </c>
      <c r="AY142" s="11">
        <f>IF(A142="","",IF(AV142=1,N(V142),IF(N(U142)&gt;0,ROUND(N(U142)*IFERROR(VLOOKUP(R142,Listes!$AE$3:$AG$12,2,FALSE),0),0),0)))</f>
        <v/>
      </c>
      <c r="AZ142" s="7">
        <f>IF(LEFT(A142,7)="EXEMPLE",1,0)</f>
        <v/>
      </c>
      <c r="BA142" s="7">
        <f>IF(AND(AV142=1,AZ142=0,AC142&lt;&gt;"",W142&lt;&gt;"",N(V142)&gt;0),COUNTIFS($AV$3:AV142,1,$AZ$3:AZ142,0,$AC$3:AC142,"&lt;&gt;",$W$3:W142,"&lt;&gt;",$V$3:V142,"&gt;0"),"")</f>
        <v/>
      </c>
    </row>
    <row r="143">
      <c r="A143" s="12" t="n"/>
      <c r="B143" s="13" t="n"/>
      <c r="C143" s="13" t="n"/>
      <c r="D143" s="7">
        <f>IF(OR(B143="",C143=""),"",ROUND((C143-B143)*1440,0))</f>
        <v/>
      </c>
      <c r="E143" s="12" t="n"/>
      <c r="F143" s="12" t="n"/>
      <c r="G143" s="12" t="n"/>
      <c r="H143" s="12" t="n"/>
      <c r="I143" s="12" t="n"/>
      <c r="J143" s="12" t="n"/>
      <c r="K143" s="12" t="n"/>
      <c r="L143" s="14" t="n"/>
      <c r="M143" s="12" t="n"/>
      <c r="N143" s="12" t="n"/>
      <c r="O143" s="12" t="n"/>
      <c r="P143" s="12" t="n"/>
      <c r="Q143" s="7">
        <f>IF(A143="","",IFERROR(VLOOKUP(O143,Listes!$R$3:$T$8,2,FALSE),0)+IFERROR(VLOOKUP(J143,Listes!$J$3:$L$6,2,FALSE),0)+IFERROR(VLOOKUP(N143,Listes!$N$3:$P$6,2,FALSE),0)+IF(OR(L143="",B143=""),0,IF(L143-INT(B143)&lt;10,8,IF(L143-INT(B143)&lt;=90,10,5)))+IFERROR(VLOOKUP(AN143,Listes!$V$3:$W$5,2,FALSE),0)+IFERROR(VLOOKUP(AO143,Listes!$Y$3:$Z$5,2,FALSE),0))</f>
        <v/>
      </c>
      <c r="R143" s="12" t="n"/>
      <c r="S143" s="12" t="n"/>
      <c r="T143" s="12" t="n"/>
      <c r="U143" s="15" t="n"/>
      <c r="V143" s="15" t="n"/>
      <c r="W143" s="13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3" t="n"/>
      <c r="AK143" s="12" t="n"/>
      <c r="AL143" s="12" t="n"/>
      <c r="AM143" s="12" t="n"/>
      <c r="AN143" s="12" t="n"/>
      <c r="AO143" s="12" t="n"/>
      <c r="AP143" s="12" t="n"/>
      <c r="AQ143" s="7">
        <f>IF(A143="","",IF(AP143&lt;&gt;"",AP143,IF(LEFT(Z143,11)="gads_marque","Google Search – Marque",IF(LEFT(Z143,12)="gads_mariage","Google Search – Mariage et privé",IF(LEFT(Z143,10)="gads_corpo","Google Search – Corporatif",IF(LEFT(Z143,5)="meta_","Meta – Leads",IF(LEFT(Z143,5)="msft_","Microsoft Ads",IF(LEFT(Z143,8)="chatgpt_","ChatGPT Ads – Test",IF(X143="gbp","Fiche Google (organique)","Autre / non payé")))))))))</f>
        <v/>
      </c>
      <c r="AR143" s="7">
        <f>IF(K143="","",IFERROR(VLOOKUP(K143,Listes!$F$3:$H$8,3,FALSE),""))</f>
        <v/>
      </c>
      <c r="AS143" s="7">
        <f>IF(O143="","",IF(AND(M143="Autre (plus de 40 km)",OR(O143="lt600",O143="600_999",O143="1000_2499")),"D",IF(OR(O143="lt600",AND(O143="600_999",K143&lt;&gt;"mariage",K143&lt;&gt;"prive")),"C",IF(OR(O143="2500_4999",O143="5000p",J143="entreprise",J143="organisme",J143="agence"),"A",IF(OR(O143="1000_2499",O143="600_999"),"B",IF(O143="inconnu",IF(OR(N143="75_149",N143="150p"),"A","B"),""))))))</f>
        <v/>
      </c>
      <c r="AT143" s="7">
        <f>IF(A143="","",IF(P143&lt;&gt;"",P143,AS143))</f>
        <v/>
      </c>
      <c r="AU143" s="7">
        <f>IF(A143="","",IF(OR(AT143="A",AT143="B"),1,0))</f>
        <v/>
      </c>
      <c r="AV143" s="7">
        <f>IF(A143="","",IF(OR(R143="Dépôt payé (gagné)",R143="Événement livré",R143="Avis obtenu"),1,0))</f>
        <v/>
      </c>
      <c r="AW143" s="7">
        <f>IF(A143="","",IF(Q143&gt;70,"Immédiat – propriétaire",IF(Q143&gt;=40,"15 min – personne de garde","Selon la route")))</f>
        <v/>
      </c>
      <c r="AX143" s="11">
        <f>IF(A143="","",IF(AT143="A",400,IF(AT143="B",150,0)))</f>
        <v/>
      </c>
      <c r="AY143" s="11">
        <f>IF(A143="","",IF(AV143=1,N(V143),IF(N(U143)&gt;0,ROUND(N(U143)*IFERROR(VLOOKUP(R143,Listes!$AE$3:$AG$12,2,FALSE),0),0),0)))</f>
        <v/>
      </c>
      <c r="AZ143" s="7">
        <f>IF(LEFT(A143,7)="EXEMPLE",1,0)</f>
        <v/>
      </c>
      <c r="BA143" s="7">
        <f>IF(AND(AV143=1,AZ143=0,AC143&lt;&gt;"",W143&lt;&gt;"",N(V143)&gt;0),COUNTIFS($AV$3:AV143,1,$AZ$3:AZ143,0,$AC$3:AC143,"&lt;&gt;",$W$3:W143,"&lt;&gt;",$V$3:V143,"&gt;0"),"")</f>
        <v/>
      </c>
    </row>
    <row r="144">
      <c r="A144" s="12" t="n"/>
      <c r="B144" s="13" t="n"/>
      <c r="C144" s="13" t="n"/>
      <c r="D144" s="7">
        <f>IF(OR(B144="",C144=""),"",ROUND((C144-B144)*1440,0))</f>
        <v/>
      </c>
      <c r="E144" s="12" t="n"/>
      <c r="F144" s="12" t="n"/>
      <c r="G144" s="12" t="n"/>
      <c r="H144" s="12" t="n"/>
      <c r="I144" s="12" t="n"/>
      <c r="J144" s="12" t="n"/>
      <c r="K144" s="12" t="n"/>
      <c r="L144" s="14" t="n"/>
      <c r="M144" s="12" t="n"/>
      <c r="N144" s="12" t="n"/>
      <c r="O144" s="12" t="n"/>
      <c r="P144" s="12" t="n"/>
      <c r="Q144" s="7">
        <f>IF(A144="","",IFERROR(VLOOKUP(O144,Listes!$R$3:$T$8,2,FALSE),0)+IFERROR(VLOOKUP(J144,Listes!$J$3:$L$6,2,FALSE),0)+IFERROR(VLOOKUP(N144,Listes!$N$3:$P$6,2,FALSE),0)+IF(OR(L144="",B144=""),0,IF(L144-INT(B144)&lt;10,8,IF(L144-INT(B144)&lt;=90,10,5)))+IFERROR(VLOOKUP(AN144,Listes!$V$3:$W$5,2,FALSE),0)+IFERROR(VLOOKUP(AO144,Listes!$Y$3:$Z$5,2,FALSE),0))</f>
        <v/>
      </c>
      <c r="R144" s="12" t="n"/>
      <c r="S144" s="12" t="n"/>
      <c r="T144" s="12" t="n"/>
      <c r="U144" s="15" t="n"/>
      <c r="V144" s="15" t="n"/>
      <c r="W144" s="13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3" t="n"/>
      <c r="AK144" s="12" t="n"/>
      <c r="AL144" s="12" t="n"/>
      <c r="AM144" s="12" t="n"/>
      <c r="AN144" s="12" t="n"/>
      <c r="AO144" s="12" t="n"/>
      <c r="AP144" s="12" t="n"/>
      <c r="AQ144" s="7">
        <f>IF(A144="","",IF(AP144&lt;&gt;"",AP144,IF(LEFT(Z144,11)="gads_marque","Google Search – Marque",IF(LEFT(Z144,12)="gads_mariage","Google Search – Mariage et privé",IF(LEFT(Z144,10)="gads_corpo","Google Search – Corporatif",IF(LEFT(Z144,5)="meta_","Meta – Leads",IF(LEFT(Z144,5)="msft_","Microsoft Ads",IF(LEFT(Z144,8)="chatgpt_","ChatGPT Ads – Test",IF(X144="gbp","Fiche Google (organique)","Autre / non payé")))))))))</f>
        <v/>
      </c>
      <c r="AR144" s="7">
        <f>IF(K144="","",IFERROR(VLOOKUP(K144,Listes!$F$3:$H$8,3,FALSE),""))</f>
        <v/>
      </c>
      <c r="AS144" s="7">
        <f>IF(O144="","",IF(AND(M144="Autre (plus de 40 km)",OR(O144="lt600",O144="600_999",O144="1000_2499")),"D",IF(OR(O144="lt600",AND(O144="600_999",K144&lt;&gt;"mariage",K144&lt;&gt;"prive")),"C",IF(OR(O144="2500_4999",O144="5000p",J144="entreprise",J144="organisme",J144="agence"),"A",IF(OR(O144="1000_2499",O144="600_999"),"B",IF(O144="inconnu",IF(OR(N144="75_149",N144="150p"),"A","B"),""))))))</f>
        <v/>
      </c>
      <c r="AT144" s="7">
        <f>IF(A144="","",IF(P144&lt;&gt;"",P144,AS144))</f>
        <v/>
      </c>
      <c r="AU144" s="7">
        <f>IF(A144="","",IF(OR(AT144="A",AT144="B"),1,0))</f>
        <v/>
      </c>
      <c r="AV144" s="7">
        <f>IF(A144="","",IF(OR(R144="Dépôt payé (gagné)",R144="Événement livré",R144="Avis obtenu"),1,0))</f>
        <v/>
      </c>
      <c r="AW144" s="7">
        <f>IF(A144="","",IF(Q144&gt;70,"Immédiat – propriétaire",IF(Q144&gt;=40,"15 min – personne de garde","Selon la route")))</f>
        <v/>
      </c>
      <c r="AX144" s="11">
        <f>IF(A144="","",IF(AT144="A",400,IF(AT144="B",150,0)))</f>
        <v/>
      </c>
      <c r="AY144" s="11">
        <f>IF(A144="","",IF(AV144=1,N(V144),IF(N(U144)&gt;0,ROUND(N(U144)*IFERROR(VLOOKUP(R144,Listes!$AE$3:$AG$12,2,FALSE),0),0),0)))</f>
        <v/>
      </c>
      <c r="AZ144" s="7">
        <f>IF(LEFT(A144,7)="EXEMPLE",1,0)</f>
        <v/>
      </c>
      <c r="BA144" s="7">
        <f>IF(AND(AV144=1,AZ144=0,AC144&lt;&gt;"",W144&lt;&gt;"",N(V144)&gt;0),COUNTIFS($AV$3:AV144,1,$AZ$3:AZ144,0,$AC$3:AC144,"&lt;&gt;",$W$3:W144,"&lt;&gt;",$V$3:V144,"&gt;0"),"")</f>
        <v/>
      </c>
    </row>
    <row r="145">
      <c r="A145" s="12" t="n"/>
      <c r="B145" s="13" t="n"/>
      <c r="C145" s="13" t="n"/>
      <c r="D145" s="7">
        <f>IF(OR(B145="",C145=""),"",ROUND((C145-B145)*1440,0))</f>
        <v/>
      </c>
      <c r="E145" s="12" t="n"/>
      <c r="F145" s="12" t="n"/>
      <c r="G145" s="12" t="n"/>
      <c r="H145" s="12" t="n"/>
      <c r="I145" s="12" t="n"/>
      <c r="J145" s="12" t="n"/>
      <c r="K145" s="12" t="n"/>
      <c r="L145" s="14" t="n"/>
      <c r="M145" s="12" t="n"/>
      <c r="N145" s="12" t="n"/>
      <c r="O145" s="12" t="n"/>
      <c r="P145" s="12" t="n"/>
      <c r="Q145" s="7">
        <f>IF(A145="","",IFERROR(VLOOKUP(O145,Listes!$R$3:$T$8,2,FALSE),0)+IFERROR(VLOOKUP(J145,Listes!$J$3:$L$6,2,FALSE),0)+IFERROR(VLOOKUP(N145,Listes!$N$3:$P$6,2,FALSE),0)+IF(OR(L145="",B145=""),0,IF(L145-INT(B145)&lt;10,8,IF(L145-INT(B145)&lt;=90,10,5)))+IFERROR(VLOOKUP(AN145,Listes!$V$3:$W$5,2,FALSE),0)+IFERROR(VLOOKUP(AO145,Listes!$Y$3:$Z$5,2,FALSE),0))</f>
        <v/>
      </c>
      <c r="R145" s="12" t="n"/>
      <c r="S145" s="12" t="n"/>
      <c r="T145" s="12" t="n"/>
      <c r="U145" s="15" t="n"/>
      <c r="V145" s="15" t="n"/>
      <c r="W145" s="13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3" t="n"/>
      <c r="AK145" s="12" t="n"/>
      <c r="AL145" s="12" t="n"/>
      <c r="AM145" s="12" t="n"/>
      <c r="AN145" s="12" t="n"/>
      <c r="AO145" s="12" t="n"/>
      <c r="AP145" s="12" t="n"/>
      <c r="AQ145" s="7">
        <f>IF(A145="","",IF(AP145&lt;&gt;"",AP145,IF(LEFT(Z145,11)="gads_marque","Google Search – Marque",IF(LEFT(Z145,12)="gads_mariage","Google Search – Mariage et privé",IF(LEFT(Z145,10)="gads_corpo","Google Search – Corporatif",IF(LEFT(Z145,5)="meta_","Meta – Leads",IF(LEFT(Z145,5)="msft_","Microsoft Ads",IF(LEFT(Z145,8)="chatgpt_","ChatGPT Ads – Test",IF(X145="gbp","Fiche Google (organique)","Autre / non payé")))))))))</f>
        <v/>
      </c>
      <c r="AR145" s="7">
        <f>IF(K145="","",IFERROR(VLOOKUP(K145,Listes!$F$3:$H$8,3,FALSE),""))</f>
        <v/>
      </c>
      <c r="AS145" s="7">
        <f>IF(O145="","",IF(AND(M145="Autre (plus de 40 km)",OR(O145="lt600",O145="600_999",O145="1000_2499")),"D",IF(OR(O145="lt600",AND(O145="600_999",K145&lt;&gt;"mariage",K145&lt;&gt;"prive")),"C",IF(OR(O145="2500_4999",O145="5000p",J145="entreprise",J145="organisme",J145="agence"),"A",IF(OR(O145="1000_2499",O145="600_999"),"B",IF(O145="inconnu",IF(OR(N145="75_149",N145="150p"),"A","B"),""))))))</f>
        <v/>
      </c>
      <c r="AT145" s="7">
        <f>IF(A145="","",IF(P145&lt;&gt;"",P145,AS145))</f>
        <v/>
      </c>
      <c r="AU145" s="7">
        <f>IF(A145="","",IF(OR(AT145="A",AT145="B"),1,0))</f>
        <v/>
      </c>
      <c r="AV145" s="7">
        <f>IF(A145="","",IF(OR(R145="Dépôt payé (gagné)",R145="Événement livré",R145="Avis obtenu"),1,0))</f>
        <v/>
      </c>
      <c r="AW145" s="7">
        <f>IF(A145="","",IF(Q145&gt;70,"Immédiat – propriétaire",IF(Q145&gt;=40,"15 min – personne de garde","Selon la route")))</f>
        <v/>
      </c>
      <c r="AX145" s="11">
        <f>IF(A145="","",IF(AT145="A",400,IF(AT145="B",150,0)))</f>
        <v/>
      </c>
      <c r="AY145" s="11">
        <f>IF(A145="","",IF(AV145=1,N(V145),IF(N(U145)&gt;0,ROUND(N(U145)*IFERROR(VLOOKUP(R145,Listes!$AE$3:$AG$12,2,FALSE),0),0),0)))</f>
        <v/>
      </c>
      <c r="AZ145" s="7">
        <f>IF(LEFT(A145,7)="EXEMPLE",1,0)</f>
        <v/>
      </c>
      <c r="BA145" s="7">
        <f>IF(AND(AV145=1,AZ145=0,AC145&lt;&gt;"",W145&lt;&gt;"",N(V145)&gt;0),COUNTIFS($AV$3:AV145,1,$AZ$3:AZ145,0,$AC$3:AC145,"&lt;&gt;",$W$3:W145,"&lt;&gt;",$V$3:V145,"&gt;0"),"")</f>
        <v/>
      </c>
    </row>
    <row r="146">
      <c r="A146" s="12" t="n"/>
      <c r="B146" s="13" t="n"/>
      <c r="C146" s="13" t="n"/>
      <c r="D146" s="7">
        <f>IF(OR(B146="",C146=""),"",ROUND((C146-B146)*1440,0))</f>
        <v/>
      </c>
      <c r="E146" s="12" t="n"/>
      <c r="F146" s="12" t="n"/>
      <c r="G146" s="12" t="n"/>
      <c r="H146" s="12" t="n"/>
      <c r="I146" s="12" t="n"/>
      <c r="J146" s="12" t="n"/>
      <c r="K146" s="12" t="n"/>
      <c r="L146" s="14" t="n"/>
      <c r="M146" s="12" t="n"/>
      <c r="N146" s="12" t="n"/>
      <c r="O146" s="12" t="n"/>
      <c r="P146" s="12" t="n"/>
      <c r="Q146" s="7">
        <f>IF(A146="","",IFERROR(VLOOKUP(O146,Listes!$R$3:$T$8,2,FALSE),0)+IFERROR(VLOOKUP(J146,Listes!$J$3:$L$6,2,FALSE),0)+IFERROR(VLOOKUP(N146,Listes!$N$3:$P$6,2,FALSE),0)+IF(OR(L146="",B146=""),0,IF(L146-INT(B146)&lt;10,8,IF(L146-INT(B146)&lt;=90,10,5)))+IFERROR(VLOOKUP(AN146,Listes!$V$3:$W$5,2,FALSE),0)+IFERROR(VLOOKUP(AO146,Listes!$Y$3:$Z$5,2,FALSE),0))</f>
        <v/>
      </c>
      <c r="R146" s="12" t="n"/>
      <c r="S146" s="12" t="n"/>
      <c r="T146" s="12" t="n"/>
      <c r="U146" s="15" t="n"/>
      <c r="V146" s="15" t="n"/>
      <c r="W146" s="13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3" t="n"/>
      <c r="AK146" s="12" t="n"/>
      <c r="AL146" s="12" t="n"/>
      <c r="AM146" s="12" t="n"/>
      <c r="AN146" s="12" t="n"/>
      <c r="AO146" s="12" t="n"/>
      <c r="AP146" s="12" t="n"/>
      <c r="AQ146" s="7">
        <f>IF(A146="","",IF(AP146&lt;&gt;"",AP146,IF(LEFT(Z146,11)="gads_marque","Google Search – Marque",IF(LEFT(Z146,12)="gads_mariage","Google Search – Mariage et privé",IF(LEFT(Z146,10)="gads_corpo","Google Search – Corporatif",IF(LEFT(Z146,5)="meta_","Meta – Leads",IF(LEFT(Z146,5)="msft_","Microsoft Ads",IF(LEFT(Z146,8)="chatgpt_","ChatGPT Ads – Test",IF(X146="gbp","Fiche Google (organique)","Autre / non payé")))))))))</f>
        <v/>
      </c>
      <c r="AR146" s="7">
        <f>IF(K146="","",IFERROR(VLOOKUP(K146,Listes!$F$3:$H$8,3,FALSE),""))</f>
        <v/>
      </c>
      <c r="AS146" s="7">
        <f>IF(O146="","",IF(AND(M146="Autre (plus de 40 km)",OR(O146="lt600",O146="600_999",O146="1000_2499")),"D",IF(OR(O146="lt600",AND(O146="600_999",K146&lt;&gt;"mariage",K146&lt;&gt;"prive")),"C",IF(OR(O146="2500_4999",O146="5000p",J146="entreprise",J146="organisme",J146="agence"),"A",IF(OR(O146="1000_2499",O146="600_999"),"B",IF(O146="inconnu",IF(OR(N146="75_149",N146="150p"),"A","B"),""))))))</f>
        <v/>
      </c>
      <c r="AT146" s="7">
        <f>IF(A146="","",IF(P146&lt;&gt;"",P146,AS146))</f>
        <v/>
      </c>
      <c r="AU146" s="7">
        <f>IF(A146="","",IF(OR(AT146="A",AT146="B"),1,0))</f>
        <v/>
      </c>
      <c r="AV146" s="7">
        <f>IF(A146="","",IF(OR(R146="Dépôt payé (gagné)",R146="Événement livré",R146="Avis obtenu"),1,0))</f>
        <v/>
      </c>
      <c r="AW146" s="7">
        <f>IF(A146="","",IF(Q146&gt;70,"Immédiat – propriétaire",IF(Q146&gt;=40,"15 min – personne de garde","Selon la route")))</f>
        <v/>
      </c>
      <c r="AX146" s="11">
        <f>IF(A146="","",IF(AT146="A",400,IF(AT146="B",150,0)))</f>
        <v/>
      </c>
      <c r="AY146" s="11">
        <f>IF(A146="","",IF(AV146=1,N(V146),IF(N(U146)&gt;0,ROUND(N(U146)*IFERROR(VLOOKUP(R146,Listes!$AE$3:$AG$12,2,FALSE),0),0),0)))</f>
        <v/>
      </c>
      <c r="AZ146" s="7">
        <f>IF(LEFT(A146,7)="EXEMPLE",1,0)</f>
        <v/>
      </c>
      <c r="BA146" s="7">
        <f>IF(AND(AV146=1,AZ146=0,AC146&lt;&gt;"",W146&lt;&gt;"",N(V146)&gt;0),COUNTIFS($AV$3:AV146,1,$AZ$3:AZ146,0,$AC$3:AC146,"&lt;&gt;",$W$3:W146,"&lt;&gt;",$V$3:V146,"&gt;0"),"")</f>
        <v/>
      </c>
    </row>
    <row r="147">
      <c r="A147" s="12" t="n"/>
      <c r="B147" s="13" t="n"/>
      <c r="C147" s="13" t="n"/>
      <c r="D147" s="7">
        <f>IF(OR(B147="",C147=""),"",ROUND((C147-B147)*1440,0))</f>
        <v/>
      </c>
      <c r="E147" s="12" t="n"/>
      <c r="F147" s="12" t="n"/>
      <c r="G147" s="12" t="n"/>
      <c r="H147" s="12" t="n"/>
      <c r="I147" s="12" t="n"/>
      <c r="J147" s="12" t="n"/>
      <c r="K147" s="12" t="n"/>
      <c r="L147" s="14" t="n"/>
      <c r="M147" s="12" t="n"/>
      <c r="N147" s="12" t="n"/>
      <c r="O147" s="12" t="n"/>
      <c r="P147" s="12" t="n"/>
      <c r="Q147" s="7">
        <f>IF(A147="","",IFERROR(VLOOKUP(O147,Listes!$R$3:$T$8,2,FALSE),0)+IFERROR(VLOOKUP(J147,Listes!$J$3:$L$6,2,FALSE),0)+IFERROR(VLOOKUP(N147,Listes!$N$3:$P$6,2,FALSE),0)+IF(OR(L147="",B147=""),0,IF(L147-INT(B147)&lt;10,8,IF(L147-INT(B147)&lt;=90,10,5)))+IFERROR(VLOOKUP(AN147,Listes!$V$3:$W$5,2,FALSE),0)+IFERROR(VLOOKUP(AO147,Listes!$Y$3:$Z$5,2,FALSE),0))</f>
        <v/>
      </c>
      <c r="R147" s="12" t="n"/>
      <c r="S147" s="12" t="n"/>
      <c r="T147" s="12" t="n"/>
      <c r="U147" s="15" t="n"/>
      <c r="V147" s="15" t="n"/>
      <c r="W147" s="13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3" t="n"/>
      <c r="AK147" s="12" t="n"/>
      <c r="AL147" s="12" t="n"/>
      <c r="AM147" s="12" t="n"/>
      <c r="AN147" s="12" t="n"/>
      <c r="AO147" s="12" t="n"/>
      <c r="AP147" s="12" t="n"/>
      <c r="AQ147" s="7">
        <f>IF(A147="","",IF(AP147&lt;&gt;"",AP147,IF(LEFT(Z147,11)="gads_marque","Google Search – Marque",IF(LEFT(Z147,12)="gads_mariage","Google Search – Mariage et privé",IF(LEFT(Z147,10)="gads_corpo","Google Search – Corporatif",IF(LEFT(Z147,5)="meta_","Meta – Leads",IF(LEFT(Z147,5)="msft_","Microsoft Ads",IF(LEFT(Z147,8)="chatgpt_","ChatGPT Ads – Test",IF(X147="gbp","Fiche Google (organique)","Autre / non payé")))))))))</f>
        <v/>
      </c>
      <c r="AR147" s="7">
        <f>IF(K147="","",IFERROR(VLOOKUP(K147,Listes!$F$3:$H$8,3,FALSE),""))</f>
        <v/>
      </c>
      <c r="AS147" s="7">
        <f>IF(O147="","",IF(AND(M147="Autre (plus de 40 km)",OR(O147="lt600",O147="600_999",O147="1000_2499")),"D",IF(OR(O147="lt600",AND(O147="600_999",K147&lt;&gt;"mariage",K147&lt;&gt;"prive")),"C",IF(OR(O147="2500_4999",O147="5000p",J147="entreprise",J147="organisme",J147="agence"),"A",IF(OR(O147="1000_2499",O147="600_999"),"B",IF(O147="inconnu",IF(OR(N147="75_149",N147="150p"),"A","B"),""))))))</f>
        <v/>
      </c>
      <c r="AT147" s="7">
        <f>IF(A147="","",IF(P147&lt;&gt;"",P147,AS147))</f>
        <v/>
      </c>
      <c r="AU147" s="7">
        <f>IF(A147="","",IF(OR(AT147="A",AT147="B"),1,0))</f>
        <v/>
      </c>
      <c r="AV147" s="7">
        <f>IF(A147="","",IF(OR(R147="Dépôt payé (gagné)",R147="Événement livré",R147="Avis obtenu"),1,0))</f>
        <v/>
      </c>
      <c r="AW147" s="7">
        <f>IF(A147="","",IF(Q147&gt;70,"Immédiat – propriétaire",IF(Q147&gt;=40,"15 min – personne de garde","Selon la route")))</f>
        <v/>
      </c>
      <c r="AX147" s="11">
        <f>IF(A147="","",IF(AT147="A",400,IF(AT147="B",150,0)))</f>
        <v/>
      </c>
      <c r="AY147" s="11">
        <f>IF(A147="","",IF(AV147=1,N(V147),IF(N(U147)&gt;0,ROUND(N(U147)*IFERROR(VLOOKUP(R147,Listes!$AE$3:$AG$12,2,FALSE),0),0),0)))</f>
        <v/>
      </c>
      <c r="AZ147" s="7">
        <f>IF(LEFT(A147,7)="EXEMPLE",1,0)</f>
        <v/>
      </c>
      <c r="BA147" s="7">
        <f>IF(AND(AV147=1,AZ147=0,AC147&lt;&gt;"",W147&lt;&gt;"",N(V147)&gt;0),COUNTIFS($AV$3:AV147,1,$AZ$3:AZ147,0,$AC$3:AC147,"&lt;&gt;",$W$3:W147,"&lt;&gt;",$V$3:V147,"&gt;0"),"")</f>
        <v/>
      </c>
    </row>
    <row r="148">
      <c r="A148" s="12" t="n"/>
      <c r="B148" s="13" t="n"/>
      <c r="C148" s="13" t="n"/>
      <c r="D148" s="7">
        <f>IF(OR(B148="",C148=""),"",ROUND((C148-B148)*1440,0))</f>
        <v/>
      </c>
      <c r="E148" s="12" t="n"/>
      <c r="F148" s="12" t="n"/>
      <c r="G148" s="12" t="n"/>
      <c r="H148" s="12" t="n"/>
      <c r="I148" s="12" t="n"/>
      <c r="J148" s="12" t="n"/>
      <c r="K148" s="12" t="n"/>
      <c r="L148" s="14" t="n"/>
      <c r="M148" s="12" t="n"/>
      <c r="N148" s="12" t="n"/>
      <c r="O148" s="12" t="n"/>
      <c r="P148" s="12" t="n"/>
      <c r="Q148" s="7">
        <f>IF(A148="","",IFERROR(VLOOKUP(O148,Listes!$R$3:$T$8,2,FALSE),0)+IFERROR(VLOOKUP(J148,Listes!$J$3:$L$6,2,FALSE),0)+IFERROR(VLOOKUP(N148,Listes!$N$3:$P$6,2,FALSE),0)+IF(OR(L148="",B148=""),0,IF(L148-INT(B148)&lt;10,8,IF(L148-INT(B148)&lt;=90,10,5)))+IFERROR(VLOOKUP(AN148,Listes!$V$3:$W$5,2,FALSE),0)+IFERROR(VLOOKUP(AO148,Listes!$Y$3:$Z$5,2,FALSE),0))</f>
        <v/>
      </c>
      <c r="R148" s="12" t="n"/>
      <c r="S148" s="12" t="n"/>
      <c r="T148" s="12" t="n"/>
      <c r="U148" s="15" t="n"/>
      <c r="V148" s="15" t="n"/>
      <c r="W148" s="13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3" t="n"/>
      <c r="AK148" s="12" t="n"/>
      <c r="AL148" s="12" t="n"/>
      <c r="AM148" s="12" t="n"/>
      <c r="AN148" s="12" t="n"/>
      <c r="AO148" s="12" t="n"/>
      <c r="AP148" s="12" t="n"/>
      <c r="AQ148" s="7">
        <f>IF(A148="","",IF(AP148&lt;&gt;"",AP148,IF(LEFT(Z148,11)="gads_marque","Google Search – Marque",IF(LEFT(Z148,12)="gads_mariage","Google Search – Mariage et privé",IF(LEFT(Z148,10)="gads_corpo","Google Search – Corporatif",IF(LEFT(Z148,5)="meta_","Meta – Leads",IF(LEFT(Z148,5)="msft_","Microsoft Ads",IF(LEFT(Z148,8)="chatgpt_","ChatGPT Ads – Test",IF(X148="gbp","Fiche Google (organique)","Autre / non payé")))))))))</f>
        <v/>
      </c>
      <c r="AR148" s="7">
        <f>IF(K148="","",IFERROR(VLOOKUP(K148,Listes!$F$3:$H$8,3,FALSE),""))</f>
        <v/>
      </c>
      <c r="AS148" s="7">
        <f>IF(O148="","",IF(AND(M148="Autre (plus de 40 km)",OR(O148="lt600",O148="600_999",O148="1000_2499")),"D",IF(OR(O148="lt600",AND(O148="600_999",K148&lt;&gt;"mariage",K148&lt;&gt;"prive")),"C",IF(OR(O148="2500_4999",O148="5000p",J148="entreprise",J148="organisme",J148="agence"),"A",IF(OR(O148="1000_2499",O148="600_999"),"B",IF(O148="inconnu",IF(OR(N148="75_149",N148="150p"),"A","B"),""))))))</f>
        <v/>
      </c>
      <c r="AT148" s="7">
        <f>IF(A148="","",IF(P148&lt;&gt;"",P148,AS148))</f>
        <v/>
      </c>
      <c r="AU148" s="7">
        <f>IF(A148="","",IF(OR(AT148="A",AT148="B"),1,0))</f>
        <v/>
      </c>
      <c r="AV148" s="7">
        <f>IF(A148="","",IF(OR(R148="Dépôt payé (gagné)",R148="Événement livré",R148="Avis obtenu"),1,0))</f>
        <v/>
      </c>
      <c r="AW148" s="7">
        <f>IF(A148="","",IF(Q148&gt;70,"Immédiat – propriétaire",IF(Q148&gt;=40,"15 min – personne de garde","Selon la route")))</f>
        <v/>
      </c>
      <c r="AX148" s="11">
        <f>IF(A148="","",IF(AT148="A",400,IF(AT148="B",150,0)))</f>
        <v/>
      </c>
      <c r="AY148" s="11">
        <f>IF(A148="","",IF(AV148=1,N(V148),IF(N(U148)&gt;0,ROUND(N(U148)*IFERROR(VLOOKUP(R148,Listes!$AE$3:$AG$12,2,FALSE),0),0),0)))</f>
        <v/>
      </c>
      <c r="AZ148" s="7">
        <f>IF(LEFT(A148,7)="EXEMPLE",1,0)</f>
        <v/>
      </c>
      <c r="BA148" s="7">
        <f>IF(AND(AV148=1,AZ148=0,AC148&lt;&gt;"",W148&lt;&gt;"",N(V148)&gt;0),COUNTIFS($AV$3:AV148,1,$AZ$3:AZ148,0,$AC$3:AC148,"&lt;&gt;",$W$3:W148,"&lt;&gt;",$V$3:V148,"&gt;0"),"")</f>
        <v/>
      </c>
    </row>
    <row r="149">
      <c r="A149" s="12" t="n"/>
      <c r="B149" s="13" t="n"/>
      <c r="C149" s="13" t="n"/>
      <c r="D149" s="7">
        <f>IF(OR(B149="",C149=""),"",ROUND((C149-B149)*1440,0))</f>
        <v/>
      </c>
      <c r="E149" s="12" t="n"/>
      <c r="F149" s="12" t="n"/>
      <c r="G149" s="12" t="n"/>
      <c r="H149" s="12" t="n"/>
      <c r="I149" s="12" t="n"/>
      <c r="J149" s="12" t="n"/>
      <c r="K149" s="12" t="n"/>
      <c r="L149" s="14" t="n"/>
      <c r="M149" s="12" t="n"/>
      <c r="N149" s="12" t="n"/>
      <c r="O149" s="12" t="n"/>
      <c r="P149" s="12" t="n"/>
      <c r="Q149" s="7">
        <f>IF(A149="","",IFERROR(VLOOKUP(O149,Listes!$R$3:$T$8,2,FALSE),0)+IFERROR(VLOOKUP(J149,Listes!$J$3:$L$6,2,FALSE),0)+IFERROR(VLOOKUP(N149,Listes!$N$3:$P$6,2,FALSE),0)+IF(OR(L149="",B149=""),0,IF(L149-INT(B149)&lt;10,8,IF(L149-INT(B149)&lt;=90,10,5)))+IFERROR(VLOOKUP(AN149,Listes!$V$3:$W$5,2,FALSE),0)+IFERROR(VLOOKUP(AO149,Listes!$Y$3:$Z$5,2,FALSE),0))</f>
        <v/>
      </c>
      <c r="R149" s="12" t="n"/>
      <c r="S149" s="12" t="n"/>
      <c r="T149" s="12" t="n"/>
      <c r="U149" s="15" t="n"/>
      <c r="V149" s="15" t="n"/>
      <c r="W149" s="13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3" t="n"/>
      <c r="AK149" s="12" t="n"/>
      <c r="AL149" s="12" t="n"/>
      <c r="AM149" s="12" t="n"/>
      <c r="AN149" s="12" t="n"/>
      <c r="AO149" s="12" t="n"/>
      <c r="AP149" s="12" t="n"/>
      <c r="AQ149" s="7">
        <f>IF(A149="","",IF(AP149&lt;&gt;"",AP149,IF(LEFT(Z149,11)="gads_marque","Google Search – Marque",IF(LEFT(Z149,12)="gads_mariage","Google Search – Mariage et privé",IF(LEFT(Z149,10)="gads_corpo","Google Search – Corporatif",IF(LEFT(Z149,5)="meta_","Meta – Leads",IF(LEFT(Z149,5)="msft_","Microsoft Ads",IF(LEFT(Z149,8)="chatgpt_","ChatGPT Ads – Test",IF(X149="gbp","Fiche Google (organique)","Autre / non payé")))))))))</f>
        <v/>
      </c>
      <c r="AR149" s="7">
        <f>IF(K149="","",IFERROR(VLOOKUP(K149,Listes!$F$3:$H$8,3,FALSE),""))</f>
        <v/>
      </c>
      <c r="AS149" s="7">
        <f>IF(O149="","",IF(AND(M149="Autre (plus de 40 km)",OR(O149="lt600",O149="600_999",O149="1000_2499")),"D",IF(OR(O149="lt600",AND(O149="600_999",K149&lt;&gt;"mariage",K149&lt;&gt;"prive")),"C",IF(OR(O149="2500_4999",O149="5000p",J149="entreprise",J149="organisme",J149="agence"),"A",IF(OR(O149="1000_2499",O149="600_999"),"B",IF(O149="inconnu",IF(OR(N149="75_149",N149="150p"),"A","B"),""))))))</f>
        <v/>
      </c>
      <c r="AT149" s="7">
        <f>IF(A149="","",IF(P149&lt;&gt;"",P149,AS149))</f>
        <v/>
      </c>
      <c r="AU149" s="7">
        <f>IF(A149="","",IF(OR(AT149="A",AT149="B"),1,0))</f>
        <v/>
      </c>
      <c r="AV149" s="7">
        <f>IF(A149="","",IF(OR(R149="Dépôt payé (gagné)",R149="Événement livré",R149="Avis obtenu"),1,0))</f>
        <v/>
      </c>
      <c r="AW149" s="7">
        <f>IF(A149="","",IF(Q149&gt;70,"Immédiat – propriétaire",IF(Q149&gt;=40,"15 min – personne de garde","Selon la route")))</f>
        <v/>
      </c>
      <c r="AX149" s="11">
        <f>IF(A149="","",IF(AT149="A",400,IF(AT149="B",150,0)))</f>
        <v/>
      </c>
      <c r="AY149" s="11">
        <f>IF(A149="","",IF(AV149=1,N(V149),IF(N(U149)&gt;0,ROUND(N(U149)*IFERROR(VLOOKUP(R149,Listes!$AE$3:$AG$12,2,FALSE),0),0),0)))</f>
        <v/>
      </c>
      <c r="AZ149" s="7">
        <f>IF(LEFT(A149,7)="EXEMPLE",1,0)</f>
        <v/>
      </c>
      <c r="BA149" s="7">
        <f>IF(AND(AV149=1,AZ149=0,AC149&lt;&gt;"",W149&lt;&gt;"",N(V149)&gt;0),COUNTIFS($AV$3:AV149,1,$AZ$3:AZ149,0,$AC$3:AC149,"&lt;&gt;",$W$3:W149,"&lt;&gt;",$V$3:V149,"&gt;0"),"")</f>
        <v/>
      </c>
    </row>
    <row r="150">
      <c r="A150" s="12" t="n"/>
      <c r="B150" s="13" t="n"/>
      <c r="C150" s="13" t="n"/>
      <c r="D150" s="7">
        <f>IF(OR(B150="",C150=""),"",ROUND((C150-B150)*1440,0))</f>
        <v/>
      </c>
      <c r="E150" s="12" t="n"/>
      <c r="F150" s="12" t="n"/>
      <c r="G150" s="12" t="n"/>
      <c r="H150" s="12" t="n"/>
      <c r="I150" s="12" t="n"/>
      <c r="J150" s="12" t="n"/>
      <c r="K150" s="12" t="n"/>
      <c r="L150" s="14" t="n"/>
      <c r="M150" s="12" t="n"/>
      <c r="N150" s="12" t="n"/>
      <c r="O150" s="12" t="n"/>
      <c r="P150" s="12" t="n"/>
      <c r="Q150" s="7">
        <f>IF(A150="","",IFERROR(VLOOKUP(O150,Listes!$R$3:$T$8,2,FALSE),0)+IFERROR(VLOOKUP(J150,Listes!$J$3:$L$6,2,FALSE),0)+IFERROR(VLOOKUP(N150,Listes!$N$3:$P$6,2,FALSE),0)+IF(OR(L150="",B150=""),0,IF(L150-INT(B150)&lt;10,8,IF(L150-INT(B150)&lt;=90,10,5)))+IFERROR(VLOOKUP(AN150,Listes!$V$3:$W$5,2,FALSE),0)+IFERROR(VLOOKUP(AO150,Listes!$Y$3:$Z$5,2,FALSE),0))</f>
        <v/>
      </c>
      <c r="R150" s="12" t="n"/>
      <c r="S150" s="12" t="n"/>
      <c r="T150" s="12" t="n"/>
      <c r="U150" s="15" t="n"/>
      <c r="V150" s="15" t="n"/>
      <c r="W150" s="13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3" t="n"/>
      <c r="AK150" s="12" t="n"/>
      <c r="AL150" s="12" t="n"/>
      <c r="AM150" s="12" t="n"/>
      <c r="AN150" s="12" t="n"/>
      <c r="AO150" s="12" t="n"/>
      <c r="AP150" s="12" t="n"/>
      <c r="AQ150" s="7">
        <f>IF(A150="","",IF(AP150&lt;&gt;"",AP150,IF(LEFT(Z150,11)="gads_marque","Google Search – Marque",IF(LEFT(Z150,12)="gads_mariage","Google Search – Mariage et privé",IF(LEFT(Z150,10)="gads_corpo","Google Search – Corporatif",IF(LEFT(Z150,5)="meta_","Meta – Leads",IF(LEFT(Z150,5)="msft_","Microsoft Ads",IF(LEFT(Z150,8)="chatgpt_","ChatGPT Ads – Test",IF(X150="gbp","Fiche Google (organique)","Autre / non payé")))))))))</f>
        <v/>
      </c>
      <c r="AR150" s="7">
        <f>IF(K150="","",IFERROR(VLOOKUP(K150,Listes!$F$3:$H$8,3,FALSE),""))</f>
        <v/>
      </c>
      <c r="AS150" s="7">
        <f>IF(O150="","",IF(AND(M150="Autre (plus de 40 km)",OR(O150="lt600",O150="600_999",O150="1000_2499")),"D",IF(OR(O150="lt600",AND(O150="600_999",K150&lt;&gt;"mariage",K150&lt;&gt;"prive")),"C",IF(OR(O150="2500_4999",O150="5000p",J150="entreprise",J150="organisme",J150="agence"),"A",IF(OR(O150="1000_2499",O150="600_999"),"B",IF(O150="inconnu",IF(OR(N150="75_149",N150="150p"),"A","B"),""))))))</f>
        <v/>
      </c>
      <c r="AT150" s="7">
        <f>IF(A150="","",IF(P150&lt;&gt;"",P150,AS150))</f>
        <v/>
      </c>
      <c r="AU150" s="7">
        <f>IF(A150="","",IF(OR(AT150="A",AT150="B"),1,0))</f>
        <v/>
      </c>
      <c r="AV150" s="7">
        <f>IF(A150="","",IF(OR(R150="Dépôt payé (gagné)",R150="Événement livré",R150="Avis obtenu"),1,0))</f>
        <v/>
      </c>
      <c r="AW150" s="7">
        <f>IF(A150="","",IF(Q150&gt;70,"Immédiat – propriétaire",IF(Q150&gt;=40,"15 min – personne de garde","Selon la route")))</f>
        <v/>
      </c>
      <c r="AX150" s="11">
        <f>IF(A150="","",IF(AT150="A",400,IF(AT150="B",150,0)))</f>
        <v/>
      </c>
      <c r="AY150" s="11">
        <f>IF(A150="","",IF(AV150=1,N(V150),IF(N(U150)&gt;0,ROUND(N(U150)*IFERROR(VLOOKUP(R150,Listes!$AE$3:$AG$12,2,FALSE),0),0),0)))</f>
        <v/>
      </c>
      <c r="AZ150" s="7">
        <f>IF(LEFT(A150,7)="EXEMPLE",1,0)</f>
        <v/>
      </c>
      <c r="BA150" s="7">
        <f>IF(AND(AV150=1,AZ150=0,AC150&lt;&gt;"",W150&lt;&gt;"",N(V150)&gt;0),COUNTIFS($AV$3:AV150,1,$AZ$3:AZ150,0,$AC$3:AC150,"&lt;&gt;",$W$3:W150,"&lt;&gt;",$V$3:V150,"&gt;0"),"")</f>
        <v/>
      </c>
    </row>
    <row r="151">
      <c r="A151" s="12" t="n"/>
      <c r="B151" s="13" t="n"/>
      <c r="C151" s="13" t="n"/>
      <c r="D151" s="7">
        <f>IF(OR(B151="",C151=""),"",ROUND((C151-B151)*1440,0))</f>
        <v/>
      </c>
      <c r="E151" s="12" t="n"/>
      <c r="F151" s="12" t="n"/>
      <c r="G151" s="12" t="n"/>
      <c r="H151" s="12" t="n"/>
      <c r="I151" s="12" t="n"/>
      <c r="J151" s="12" t="n"/>
      <c r="K151" s="12" t="n"/>
      <c r="L151" s="14" t="n"/>
      <c r="M151" s="12" t="n"/>
      <c r="N151" s="12" t="n"/>
      <c r="O151" s="12" t="n"/>
      <c r="P151" s="12" t="n"/>
      <c r="Q151" s="7">
        <f>IF(A151="","",IFERROR(VLOOKUP(O151,Listes!$R$3:$T$8,2,FALSE),0)+IFERROR(VLOOKUP(J151,Listes!$J$3:$L$6,2,FALSE),0)+IFERROR(VLOOKUP(N151,Listes!$N$3:$P$6,2,FALSE),0)+IF(OR(L151="",B151=""),0,IF(L151-INT(B151)&lt;10,8,IF(L151-INT(B151)&lt;=90,10,5)))+IFERROR(VLOOKUP(AN151,Listes!$V$3:$W$5,2,FALSE),0)+IFERROR(VLOOKUP(AO151,Listes!$Y$3:$Z$5,2,FALSE),0))</f>
        <v/>
      </c>
      <c r="R151" s="12" t="n"/>
      <c r="S151" s="12" t="n"/>
      <c r="T151" s="12" t="n"/>
      <c r="U151" s="15" t="n"/>
      <c r="V151" s="15" t="n"/>
      <c r="W151" s="13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3" t="n"/>
      <c r="AK151" s="12" t="n"/>
      <c r="AL151" s="12" t="n"/>
      <c r="AM151" s="12" t="n"/>
      <c r="AN151" s="12" t="n"/>
      <c r="AO151" s="12" t="n"/>
      <c r="AP151" s="12" t="n"/>
      <c r="AQ151" s="7">
        <f>IF(A151="","",IF(AP151&lt;&gt;"",AP151,IF(LEFT(Z151,11)="gads_marque","Google Search – Marque",IF(LEFT(Z151,12)="gads_mariage","Google Search – Mariage et privé",IF(LEFT(Z151,10)="gads_corpo","Google Search – Corporatif",IF(LEFT(Z151,5)="meta_","Meta – Leads",IF(LEFT(Z151,5)="msft_","Microsoft Ads",IF(LEFT(Z151,8)="chatgpt_","ChatGPT Ads – Test",IF(X151="gbp","Fiche Google (organique)","Autre / non payé")))))))))</f>
        <v/>
      </c>
      <c r="AR151" s="7">
        <f>IF(K151="","",IFERROR(VLOOKUP(K151,Listes!$F$3:$H$8,3,FALSE),""))</f>
        <v/>
      </c>
      <c r="AS151" s="7">
        <f>IF(O151="","",IF(AND(M151="Autre (plus de 40 km)",OR(O151="lt600",O151="600_999",O151="1000_2499")),"D",IF(OR(O151="lt600",AND(O151="600_999",K151&lt;&gt;"mariage",K151&lt;&gt;"prive")),"C",IF(OR(O151="2500_4999",O151="5000p",J151="entreprise",J151="organisme",J151="agence"),"A",IF(OR(O151="1000_2499",O151="600_999"),"B",IF(O151="inconnu",IF(OR(N151="75_149",N151="150p"),"A","B"),""))))))</f>
        <v/>
      </c>
      <c r="AT151" s="7">
        <f>IF(A151="","",IF(P151&lt;&gt;"",P151,AS151))</f>
        <v/>
      </c>
      <c r="AU151" s="7">
        <f>IF(A151="","",IF(OR(AT151="A",AT151="B"),1,0))</f>
        <v/>
      </c>
      <c r="AV151" s="7">
        <f>IF(A151="","",IF(OR(R151="Dépôt payé (gagné)",R151="Événement livré",R151="Avis obtenu"),1,0))</f>
        <v/>
      </c>
      <c r="AW151" s="7">
        <f>IF(A151="","",IF(Q151&gt;70,"Immédiat – propriétaire",IF(Q151&gt;=40,"15 min – personne de garde","Selon la route")))</f>
        <v/>
      </c>
      <c r="AX151" s="11">
        <f>IF(A151="","",IF(AT151="A",400,IF(AT151="B",150,0)))</f>
        <v/>
      </c>
      <c r="AY151" s="11">
        <f>IF(A151="","",IF(AV151=1,N(V151),IF(N(U151)&gt;0,ROUND(N(U151)*IFERROR(VLOOKUP(R151,Listes!$AE$3:$AG$12,2,FALSE),0),0),0)))</f>
        <v/>
      </c>
      <c r="AZ151" s="7">
        <f>IF(LEFT(A151,7)="EXEMPLE",1,0)</f>
        <v/>
      </c>
      <c r="BA151" s="7">
        <f>IF(AND(AV151=1,AZ151=0,AC151&lt;&gt;"",W151&lt;&gt;"",N(V151)&gt;0),COUNTIFS($AV$3:AV151,1,$AZ$3:AZ151,0,$AC$3:AC151,"&lt;&gt;",$W$3:W151,"&lt;&gt;",$V$3:V151,"&gt;0"),"")</f>
        <v/>
      </c>
    </row>
    <row r="152">
      <c r="A152" s="12" t="n"/>
      <c r="B152" s="13" t="n"/>
      <c r="C152" s="13" t="n"/>
      <c r="D152" s="7">
        <f>IF(OR(B152="",C152=""),"",ROUND((C152-B152)*1440,0))</f>
        <v/>
      </c>
      <c r="E152" s="12" t="n"/>
      <c r="F152" s="12" t="n"/>
      <c r="G152" s="12" t="n"/>
      <c r="H152" s="12" t="n"/>
      <c r="I152" s="12" t="n"/>
      <c r="J152" s="12" t="n"/>
      <c r="K152" s="12" t="n"/>
      <c r="L152" s="14" t="n"/>
      <c r="M152" s="12" t="n"/>
      <c r="N152" s="12" t="n"/>
      <c r="O152" s="12" t="n"/>
      <c r="P152" s="12" t="n"/>
      <c r="Q152" s="7">
        <f>IF(A152="","",IFERROR(VLOOKUP(O152,Listes!$R$3:$T$8,2,FALSE),0)+IFERROR(VLOOKUP(J152,Listes!$J$3:$L$6,2,FALSE),0)+IFERROR(VLOOKUP(N152,Listes!$N$3:$P$6,2,FALSE),0)+IF(OR(L152="",B152=""),0,IF(L152-INT(B152)&lt;10,8,IF(L152-INT(B152)&lt;=90,10,5)))+IFERROR(VLOOKUP(AN152,Listes!$V$3:$W$5,2,FALSE),0)+IFERROR(VLOOKUP(AO152,Listes!$Y$3:$Z$5,2,FALSE),0))</f>
        <v/>
      </c>
      <c r="R152" s="12" t="n"/>
      <c r="S152" s="12" t="n"/>
      <c r="T152" s="12" t="n"/>
      <c r="U152" s="15" t="n"/>
      <c r="V152" s="15" t="n"/>
      <c r="W152" s="13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3" t="n"/>
      <c r="AK152" s="12" t="n"/>
      <c r="AL152" s="12" t="n"/>
      <c r="AM152" s="12" t="n"/>
      <c r="AN152" s="12" t="n"/>
      <c r="AO152" s="12" t="n"/>
      <c r="AP152" s="12" t="n"/>
      <c r="AQ152" s="7">
        <f>IF(A152="","",IF(AP152&lt;&gt;"",AP152,IF(LEFT(Z152,11)="gads_marque","Google Search – Marque",IF(LEFT(Z152,12)="gads_mariage","Google Search – Mariage et privé",IF(LEFT(Z152,10)="gads_corpo","Google Search – Corporatif",IF(LEFT(Z152,5)="meta_","Meta – Leads",IF(LEFT(Z152,5)="msft_","Microsoft Ads",IF(LEFT(Z152,8)="chatgpt_","ChatGPT Ads – Test",IF(X152="gbp","Fiche Google (organique)","Autre / non payé")))))))))</f>
        <v/>
      </c>
      <c r="AR152" s="7">
        <f>IF(K152="","",IFERROR(VLOOKUP(K152,Listes!$F$3:$H$8,3,FALSE),""))</f>
        <v/>
      </c>
      <c r="AS152" s="7">
        <f>IF(O152="","",IF(AND(M152="Autre (plus de 40 km)",OR(O152="lt600",O152="600_999",O152="1000_2499")),"D",IF(OR(O152="lt600",AND(O152="600_999",K152&lt;&gt;"mariage",K152&lt;&gt;"prive")),"C",IF(OR(O152="2500_4999",O152="5000p",J152="entreprise",J152="organisme",J152="agence"),"A",IF(OR(O152="1000_2499",O152="600_999"),"B",IF(O152="inconnu",IF(OR(N152="75_149",N152="150p"),"A","B"),""))))))</f>
        <v/>
      </c>
      <c r="AT152" s="7">
        <f>IF(A152="","",IF(P152&lt;&gt;"",P152,AS152))</f>
        <v/>
      </c>
      <c r="AU152" s="7">
        <f>IF(A152="","",IF(OR(AT152="A",AT152="B"),1,0))</f>
        <v/>
      </c>
      <c r="AV152" s="7">
        <f>IF(A152="","",IF(OR(R152="Dépôt payé (gagné)",R152="Événement livré",R152="Avis obtenu"),1,0))</f>
        <v/>
      </c>
      <c r="AW152" s="7">
        <f>IF(A152="","",IF(Q152&gt;70,"Immédiat – propriétaire",IF(Q152&gt;=40,"15 min – personne de garde","Selon la route")))</f>
        <v/>
      </c>
      <c r="AX152" s="11">
        <f>IF(A152="","",IF(AT152="A",400,IF(AT152="B",150,0)))</f>
        <v/>
      </c>
      <c r="AY152" s="11">
        <f>IF(A152="","",IF(AV152=1,N(V152),IF(N(U152)&gt;0,ROUND(N(U152)*IFERROR(VLOOKUP(R152,Listes!$AE$3:$AG$12,2,FALSE),0),0),0)))</f>
        <v/>
      </c>
      <c r="AZ152" s="7">
        <f>IF(LEFT(A152,7)="EXEMPLE",1,0)</f>
        <v/>
      </c>
      <c r="BA152" s="7">
        <f>IF(AND(AV152=1,AZ152=0,AC152&lt;&gt;"",W152&lt;&gt;"",N(V152)&gt;0),COUNTIFS($AV$3:AV152,1,$AZ$3:AZ152,0,$AC$3:AC152,"&lt;&gt;",$W$3:W152,"&lt;&gt;",$V$3:V152,"&gt;0"),"")</f>
        <v/>
      </c>
    </row>
    <row r="153">
      <c r="A153" s="12" t="n"/>
      <c r="B153" s="13" t="n"/>
      <c r="C153" s="13" t="n"/>
      <c r="D153" s="7">
        <f>IF(OR(B153="",C153=""),"",ROUND((C153-B153)*1440,0))</f>
        <v/>
      </c>
      <c r="E153" s="12" t="n"/>
      <c r="F153" s="12" t="n"/>
      <c r="G153" s="12" t="n"/>
      <c r="H153" s="12" t="n"/>
      <c r="I153" s="12" t="n"/>
      <c r="J153" s="12" t="n"/>
      <c r="K153" s="12" t="n"/>
      <c r="L153" s="14" t="n"/>
      <c r="M153" s="12" t="n"/>
      <c r="N153" s="12" t="n"/>
      <c r="O153" s="12" t="n"/>
      <c r="P153" s="12" t="n"/>
      <c r="Q153" s="7">
        <f>IF(A153="","",IFERROR(VLOOKUP(O153,Listes!$R$3:$T$8,2,FALSE),0)+IFERROR(VLOOKUP(J153,Listes!$J$3:$L$6,2,FALSE),0)+IFERROR(VLOOKUP(N153,Listes!$N$3:$P$6,2,FALSE),0)+IF(OR(L153="",B153=""),0,IF(L153-INT(B153)&lt;10,8,IF(L153-INT(B153)&lt;=90,10,5)))+IFERROR(VLOOKUP(AN153,Listes!$V$3:$W$5,2,FALSE),0)+IFERROR(VLOOKUP(AO153,Listes!$Y$3:$Z$5,2,FALSE),0))</f>
        <v/>
      </c>
      <c r="R153" s="12" t="n"/>
      <c r="S153" s="12" t="n"/>
      <c r="T153" s="12" t="n"/>
      <c r="U153" s="15" t="n"/>
      <c r="V153" s="15" t="n"/>
      <c r="W153" s="13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3" t="n"/>
      <c r="AK153" s="12" t="n"/>
      <c r="AL153" s="12" t="n"/>
      <c r="AM153" s="12" t="n"/>
      <c r="AN153" s="12" t="n"/>
      <c r="AO153" s="12" t="n"/>
      <c r="AP153" s="12" t="n"/>
      <c r="AQ153" s="7">
        <f>IF(A153="","",IF(AP153&lt;&gt;"",AP153,IF(LEFT(Z153,11)="gads_marque","Google Search – Marque",IF(LEFT(Z153,12)="gads_mariage","Google Search – Mariage et privé",IF(LEFT(Z153,10)="gads_corpo","Google Search – Corporatif",IF(LEFT(Z153,5)="meta_","Meta – Leads",IF(LEFT(Z153,5)="msft_","Microsoft Ads",IF(LEFT(Z153,8)="chatgpt_","ChatGPT Ads – Test",IF(X153="gbp","Fiche Google (organique)","Autre / non payé")))))))))</f>
        <v/>
      </c>
      <c r="AR153" s="7">
        <f>IF(K153="","",IFERROR(VLOOKUP(K153,Listes!$F$3:$H$8,3,FALSE),""))</f>
        <v/>
      </c>
      <c r="AS153" s="7">
        <f>IF(O153="","",IF(AND(M153="Autre (plus de 40 km)",OR(O153="lt600",O153="600_999",O153="1000_2499")),"D",IF(OR(O153="lt600",AND(O153="600_999",K153&lt;&gt;"mariage",K153&lt;&gt;"prive")),"C",IF(OR(O153="2500_4999",O153="5000p",J153="entreprise",J153="organisme",J153="agence"),"A",IF(OR(O153="1000_2499",O153="600_999"),"B",IF(O153="inconnu",IF(OR(N153="75_149",N153="150p"),"A","B"),""))))))</f>
        <v/>
      </c>
      <c r="AT153" s="7">
        <f>IF(A153="","",IF(P153&lt;&gt;"",P153,AS153))</f>
        <v/>
      </c>
      <c r="AU153" s="7">
        <f>IF(A153="","",IF(OR(AT153="A",AT153="B"),1,0))</f>
        <v/>
      </c>
      <c r="AV153" s="7">
        <f>IF(A153="","",IF(OR(R153="Dépôt payé (gagné)",R153="Événement livré",R153="Avis obtenu"),1,0))</f>
        <v/>
      </c>
      <c r="AW153" s="7">
        <f>IF(A153="","",IF(Q153&gt;70,"Immédiat – propriétaire",IF(Q153&gt;=40,"15 min – personne de garde","Selon la route")))</f>
        <v/>
      </c>
      <c r="AX153" s="11">
        <f>IF(A153="","",IF(AT153="A",400,IF(AT153="B",150,0)))</f>
        <v/>
      </c>
      <c r="AY153" s="11">
        <f>IF(A153="","",IF(AV153=1,N(V153),IF(N(U153)&gt;0,ROUND(N(U153)*IFERROR(VLOOKUP(R153,Listes!$AE$3:$AG$12,2,FALSE),0),0),0)))</f>
        <v/>
      </c>
      <c r="AZ153" s="7">
        <f>IF(LEFT(A153,7)="EXEMPLE",1,0)</f>
        <v/>
      </c>
      <c r="BA153" s="7">
        <f>IF(AND(AV153=1,AZ153=0,AC153&lt;&gt;"",W153&lt;&gt;"",N(V153)&gt;0),COUNTIFS($AV$3:AV153,1,$AZ$3:AZ153,0,$AC$3:AC153,"&lt;&gt;",$W$3:W153,"&lt;&gt;",$V$3:V153,"&gt;0"),"")</f>
        <v/>
      </c>
    </row>
    <row r="154">
      <c r="A154" s="12" t="n"/>
      <c r="B154" s="13" t="n"/>
      <c r="C154" s="13" t="n"/>
      <c r="D154" s="7">
        <f>IF(OR(B154="",C154=""),"",ROUND((C154-B154)*1440,0))</f>
        <v/>
      </c>
      <c r="E154" s="12" t="n"/>
      <c r="F154" s="12" t="n"/>
      <c r="G154" s="12" t="n"/>
      <c r="H154" s="12" t="n"/>
      <c r="I154" s="12" t="n"/>
      <c r="J154" s="12" t="n"/>
      <c r="K154" s="12" t="n"/>
      <c r="L154" s="14" t="n"/>
      <c r="M154" s="12" t="n"/>
      <c r="N154" s="12" t="n"/>
      <c r="O154" s="12" t="n"/>
      <c r="P154" s="12" t="n"/>
      <c r="Q154" s="7">
        <f>IF(A154="","",IFERROR(VLOOKUP(O154,Listes!$R$3:$T$8,2,FALSE),0)+IFERROR(VLOOKUP(J154,Listes!$J$3:$L$6,2,FALSE),0)+IFERROR(VLOOKUP(N154,Listes!$N$3:$P$6,2,FALSE),0)+IF(OR(L154="",B154=""),0,IF(L154-INT(B154)&lt;10,8,IF(L154-INT(B154)&lt;=90,10,5)))+IFERROR(VLOOKUP(AN154,Listes!$V$3:$W$5,2,FALSE),0)+IFERROR(VLOOKUP(AO154,Listes!$Y$3:$Z$5,2,FALSE),0))</f>
        <v/>
      </c>
      <c r="R154" s="12" t="n"/>
      <c r="S154" s="12" t="n"/>
      <c r="T154" s="12" t="n"/>
      <c r="U154" s="15" t="n"/>
      <c r="V154" s="15" t="n"/>
      <c r="W154" s="13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3" t="n"/>
      <c r="AK154" s="12" t="n"/>
      <c r="AL154" s="12" t="n"/>
      <c r="AM154" s="12" t="n"/>
      <c r="AN154" s="12" t="n"/>
      <c r="AO154" s="12" t="n"/>
      <c r="AP154" s="12" t="n"/>
      <c r="AQ154" s="7">
        <f>IF(A154="","",IF(AP154&lt;&gt;"",AP154,IF(LEFT(Z154,11)="gads_marque","Google Search – Marque",IF(LEFT(Z154,12)="gads_mariage","Google Search – Mariage et privé",IF(LEFT(Z154,10)="gads_corpo","Google Search – Corporatif",IF(LEFT(Z154,5)="meta_","Meta – Leads",IF(LEFT(Z154,5)="msft_","Microsoft Ads",IF(LEFT(Z154,8)="chatgpt_","ChatGPT Ads – Test",IF(X154="gbp","Fiche Google (organique)","Autre / non payé")))))))))</f>
        <v/>
      </c>
      <c r="AR154" s="7">
        <f>IF(K154="","",IFERROR(VLOOKUP(K154,Listes!$F$3:$H$8,3,FALSE),""))</f>
        <v/>
      </c>
      <c r="AS154" s="7">
        <f>IF(O154="","",IF(AND(M154="Autre (plus de 40 km)",OR(O154="lt600",O154="600_999",O154="1000_2499")),"D",IF(OR(O154="lt600",AND(O154="600_999",K154&lt;&gt;"mariage",K154&lt;&gt;"prive")),"C",IF(OR(O154="2500_4999",O154="5000p",J154="entreprise",J154="organisme",J154="agence"),"A",IF(OR(O154="1000_2499",O154="600_999"),"B",IF(O154="inconnu",IF(OR(N154="75_149",N154="150p"),"A","B"),""))))))</f>
        <v/>
      </c>
      <c r="AT154" s="7">
        <f>IF(A154="","",IF(P154&lt;&gt;"",P154,AS154))</f>
        <v/>
      </c>
      <c r="AU154" s="7">
        <f>IF(A154="","",IF(OR(AT154="A",AT154="B"),1,0))</f>
        <v/>
      </c>
      <c r="AV154" s="7">
        <f>IF(A154="","",IF(OR(R154="Dépôt payé (gagné)",R154="Événement livré",R154="Avis obtenu"),1,0))</f>
        <v/>
      </c>
      <c r="AW154" s="7">
        <f>IF(A154="","",IF(Q154&gt;70,"Immédiat – propriétaire",IF(Q154&gt;=40,"15 min – personne de garde","Selon la route")))</f>
        <v/>
      </c>
      <c r="AX154" s="11">
        <f>IF(A154="","",IF(AT154="A",400,IF(AT154="B",150,0)))</f>
        <v/>
      </c>
      <c r="AY154" s="11">
        <f>IF(A154="","",IF(AV154=1,N(V154),IF(N(U154)&gt;0,ROUND(N(U154)*IFERROR(VLOOKUP(R154,Listes!$AE$3:$AG$12,2,FALSE),0),0),0)))</f>
        <v/>
      </c>
      <c r="AZ154" s="7">
        <f>IF(LEFT(A154,7)="EXEMPLE",1,0)</f>
        <v/>
      </c>
      <c r="BA154" s="7">
        <f>IF(AND(AV154=1,AZ154=0,AC154&lt;&gt;"",W154&lt;&gt;"",N(V154)&gt;0),COUNTIFS($AV$3:AV154,1,$AZ$3:AZ154,0,$AC$3:AC154,"&lt;&gt;",$W$3:W154,"&lt;&gt;",$V$3:V154,"&gt;0"),"")</f>
        <v/>
      </c>
    </row>
    <row r="155">
      <c r="A155" s="12" t="n"/>
      <c r="B155" s="13" t="n"/>
      <c r="C155" s="13" t="n"/>
      <c r="D155" s="7">
        <f>IF(OR(B155="",C155=""),"",ROUND((C155-B155)*1440,0))</f>
        <v/>
      </c>
      <c r="E155" s="12" t="n"/>
      <c r="F155" s="12" t="n"/>
      <c r="G155" s="12" t="n"/>
      <c r="H155" s="12" t="n"/>
      <c r="I155" s="12" t="n"/>
      <c r="J155" s="12" t="n"/>
      <c r="K155" s="12" t="n"/>
      <c r="L155" s="14" t="n"/>
      <c r="M155" s="12" t="n"/>
      <c r="N155" s="12" t="n"/>
      <c r="O155" s="12" t="n"/>
      <c r="P155" s="12" t="n"/>
      <c r="Q155" s="7">
        <f>IF(A155="","",IFERROR(VLOOKUP(O155,Listes!$R$3:$T$8,2,FALSE),0)+IFERROR(VLOOKUP(J155,Listes!$J$3:$L$6,2,FALSE),0)+IFERROR(VLOOKUP(N155,Listes!$N$3:$P$6,2,FALSE),0)+IF(OR(L155="",B155=""),0,IF(L155-INT(B155)&lt;10,8,IF(L155-INT(B155)&lt;=90,10,5)))+IFERROR(VLOOKUP(AN155,Listes!$V$3:$W$5,2,FALSE),0)+IFERROR(VLOOKUP(AO155,Listes!$Y$3:$Z$5,2,FALSE),0))</f>
        <v/>
      </c>
      <c r="R155" s="12" t="n"/>
      <c r="S155" s="12" t="n"/>
      <c r="T155" s="12" t="n"/>
      <c r="U155" s="15" t="n"/>
      <c r="V155" s="15" t="n"/>
      <c r="W155" s="13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3" t="n"/>
      <c r="AK155" s="12" t="n"/>
      <c r="AL155" s="12" t="n"/>
      <c r="AM155" s="12" t="n"/>
      <c r="AN155" s="12" t="n"/>
      <c r="AO155" s="12" t="n"/>
      <c r="AP155" s="12" t="n"/>
      <c r="AQ155" s="7">
        <f>IF(A155="","",IF(AP155&lt;&gt;"",AP155,IF(LEFT(Z155,11)="gads_marque","Google Search – Marque",IF(LEFT(Z155,12)="gads_mariage","Google Search – Mariage et privé",IF(LEFT(Z155,10)="gads_corpo","Google Search – Corporatif",IF(LEFT(Z155,5)="meta_","Meta – Leads",IF(LEFT(Z155,5)="msft_","Microsoft Ads",IF(LEFT(Z155,8)="chatgpt_","ChatGPT Ads – Test",IF(X155="gbp","Fiche Google (organique)","Autre / non payé")))))))))</f>
        <v/>
      </c>
      <c r="AR155" s="7">
        <f>IF(K155="","",IFERROR(VLOOKUP(K155,Listes!$F$3:$H$8,3,FALSE),""))</f>
        <v/>
      </c>
      <c r="AS155" s="7">
        <f>IF(O155="","",IF(AND(M155="Autre (plus de 40 km)",OR(O155="lt600",O155="600_999",O155="1000_2499")),"D",IF(OR(O155="lt600",AND(O155="600_999",K155&lt;&gt;"mariage",K155&lt;&gt;"prive")),"C",IF(OR(O155="2500_4999",O155="5000p",J155="entreprise",J155="organisme",J155="agence"),"A",IF(OR(O155="1000_2499",O155="600_999"),"B",IF(O155="inconnu",IF(OR(N155="75_149",N155="150p"),"A","B"),""))))))</f>
        <v/>
      </c>
      <c r="AT155" s="7">
        <f>IF(A155="","",IF(P155&lt;&gt;"",P155,AS155))</f>
        <v/>
      </c>
      <c r="AU155" s="7">
        <f>IF(A155="","",IF(OR(AT155="A",AT155="B"),1,0))</f>
        <v/>
      </c>
      <c r="AV155" s="7">
        <f>IF(A155="","",IF(OR(R155="Dépôt payé (gagné)",R155="Événement livré",R155="Avis obtenu"),1,0))</f>
        <v/>
      </c>
      <c r="AW155" s="7">
        <f>IF(A155="","",IF(Q155&gt;70,"Immédiat – propriétaire",IF(Q155&gt;=40,"15 min – personne de garde","Selon la route")))</f>
        <v/>
      </c>
      <c r="AX155" s="11">
        <f>IF(A155="","",IF(AT155="A",400,IF(AT155="B",150,0)))</f>
        <v/>
      </c>
      <c r="AY155" s="11">
        <f>IF(A155="","",IF(AV155=1,N(V155),IF(N(U155)&gt;0,ROUND(N(U155)*IFERROR(VLOOKUP(R155,Listes!$AE$3:$AG$12,2,FALSE),0),0),0)))</f>
        <v/>
      </c>
      <c r="AZ155" s="7">
        <f>IF(LEFT(A155,7)="EXEMPLE",1,0)</f>
        <v/>
      </c>
      <c r="BA155" s="7">
        <f>IF(AND(AV155=1,AZ155=0,AC155&lt;&gt;"",W155&lt;&gt;"",N(V155)&gt;0),COUNTIFS($AV$3:AV155,1,$AZ$3:AZ155,0,$AC$3:AC155,"&lt;&gt;",$W$3:W155,"&lt;&gt;",$V$3:V155,"&gt;0"),"")</f>
        <v/>
      </c>
    </row>
    <row r="156">
      <c r="A156" s="12" t="n"/>
      <c r="B156" s="13" t="n"/>
      <c r="C156" s="13" t="n"/>
      <c r="D156" s="7">
        <f>IF(OR(B156="",C156=""),"",ROUND((C156-B156)*1440,0))</f>
        <v/>
      </c>
      <c r="E156" s="12" t="n"/>
      <c r="F156" s="12" t="n"/>
      <c r="G156" s="12" t="n"/>
      <c r="H156" s="12" t="n"/>
      <c r="I156" s="12" t="n"/>
      <c r="J156" s="12" t="n"/>
      <c r="K156" s="12" t="n"/>
      <c r="L156" s="14" t="n"/>
      <c r="M156" s="12" t="n"/>
      <c r="N156" s="12" t="n"/>
      <c r="O156" s="12" t="n"/>
      <c r="P156" s="12" t="n"/>
      <c r="Q156" s="7">
        <f>IF(A156="","",IFERROR(VLOOKUP(O156,Listes!$R$3:$T$8,2,FALSE),0)+IFERROR(VLOOKUP(J156,Listes!$J$3:$L$6,2,FALSE),0)+IFERROR(VLOOKUP(N156,Listes!$N$3:$P$6,2,FALSE),0)+IF(OR(L156="",B156=""),0,IF(L156-INT(B156)&lt;10,8,IF(L156-INT(B156)&lt;=90,10,5)))+IFERROR(VLOOKUP(AN156,Listes!$V$3:$W$5,2,FALSE),0)+IFERROR(VLOOKUP(AO156,Listes!$Y$3:$Z$5,2,FALSE),0))</f>
        <v/>
      </c>
      <c r="R156" s="12" t="n"/>
      <c r="S156" s="12" t="n"/>
      <c r="T156" s="12" t="n"/>
      <c r="U156" s="15" t="n"/>
      <c r="V156" s="15" t="n"/>
      <c r="W156" s="13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3" t="n"/>
      <c r="AK156" s="12" t="n"/>
      <c r="AL156" s="12" t="n"/>
      <c r="AM156" s="12" t="n"/>
      <c r="AN156" s="12" t="n"/>
      <c r="AO156" s="12" t="n"/>
      <c r="AP156" s="12" t="n"/>
      <c r="AQ156" s="7">
        <f>IF(A156="","",IF(AP156&lt;&gt;"",AP156,IF(LEFT(Z156,11)="gads_marque","Google Search – Marque",IF(LEFT(Z156,12)="gads_mariage","Google Search – Mariage et privé",IF(LEFT(Z156,10)="gads_corpo","Google Search – Corporatif",IF(LEFT(Z156,5)="meta_","Meta – Leads",IF(LEFT(Z156,5)="msft_","Microsoft Ads",IF(LEFT(Z156,8)="chatgpt_","ChatGPT Ads – Test",IF(X156="gbp","Fiche Google (organique)","Autre / non payé")))))))))</f>
        <v/>
      </c>
      <c r="AR156" s="7">
        <f>IF(K156="","",IFERROR(VLOOKUP(K156,Listes!$F$3:$H$8,3,FALSE),""))</f>
        <v/>
      </c>
      <c r="AS156" s="7">
        <f>IF(O156="","",IF(AND(M156="Autre (plus de 40 km)",OR(O156="lt600",O156="600_999",O156="1000_2499")),"D",IF(OR(O156="lt600",AND(O156="600_999",K156&lt;&gt;"mariage",K156&lt;&gt;"prive")),"C",IF(OR(O156="2500_4999",O156="5000p",J156="entreprise",J156="organisme",J156="agence"),"A",IF(OR(O156="1000_2499",O156="600_999"),"B",IF(O156="inconnu",IF(OR(N156="75_149",N156="150p"),"A","B"),""))))))</f>
        <v/>
      </c>
      <c r="AT156" s="7">
        <f>IF(A156="","",IF(P156&lt;&gt;"",P156,AS156))</f>
        <v/>
      </c>
      <c r="AU156" s="7">
        <f>IF(A156="","",IF(OR(AT156="A",AT156="B"),1,0))</f>
        <v/>
      </c>
      <c r="AV156" s="7">
        <f>IF(A156="","",IF(OR(R156="Dépôt payé (gagné)",R156="Événement livré",R156="Avis obtenu"),1,0))</f>
        <v/>
      </c>
      <c r="AW156" s="7">
        <f>IF(A156="","",IF(Q156&gt;70,"Immédiat – propriétaire",IF(Q156&gt;=40,"15 min – personne de garde","Selon la route")))</f>
        <v/>
      </c>
      <c r="AX156" s="11">
        <f>IF(A156="","",IF(AT156="A",400,IF(AT156="B",150,0)))</f>
        <v/>
      </c>
      <c r="AY156" s="11">
        <f>IF(A156="","",IF(AV156=1,N(V156),IF(N(U156)&gt;0,ROUND(N(U156)*IFERROR(VLOOKUP(R156,Listes!$AE$3:$AG$12,2,FALSE),0),0),0)))</f>
        <v/>
      </c>
      <c r="AZ156" s="7">
        <f>IF(LEFT(A156,7)="EXEMPLE",1,0)</f>
        <v/>
      </c>
      <c r="BA156" s="7">
        <f>IF(AND(AV156=1,AZ156=0,AC156&lt;&gt;"",W156&lt;&gt;"",N(V156)&gt;0),COUNTIFS($AV$3:AV156,1,$AZ$3:AZ156,0,$AC$3:AC156,"&lt;&gt;",$W$3:W156,"&lt;&gt;",$V$3:V156,"&gt;0"),"")</f>
        <v/>
      </c>
    </row>
    <row r="157">
      <c r="A157" s="12" t="n"/>
      <c r="B157" s="13" t="n"/>
      <c r="C157" s="13" t="n"/>
      <c r="D157" s="7">
        <f>IF(OR(B157="",C157=""),"",ROUND((C157-B157)*1440,0))</f>
        <v/>
      </c>
      <c r="E157" s="12" t="n"/>
      <c r="F157" s="12" t="n"/>
      <c r="G157" s="12" t="n"/>
      <c r="H157" s="12" t="n"/>
      <c r="I157" s="12" t="n"/>
      <c r="J157" s="12" t="n"/>
      <c r="K157" s="12" t="n"/>
      <c r="L157" s="14" t="n"/>
      <c r="M157" s="12" t="n"/>
      <c r="N157" s="12" t="n"/>
      <c r="O157" s="12" t="n"/>
      <c r="P157" s="12" t="n"/>
      <c r="Q157" s="7">
        <f>IF(A157="","",IFERROR(VLOOKUP(O157,Listes!$R$3:$T$8,2,FALSE),0)+IFERROR(VLOOKUP(J157,Listes!$J$3:$L$6,2,FALSE),0)+IFERROR(VLOOKUP(N157,Listes!$N$3:$P$6,2,FALSE),0)+IF(OR(L157="",B157=""),0,IF(L157-INT(B157)&lt;10,8,IF(L157-INT(B157)&lt;=90,10,5)))+IFERROR(VLOOKUP(AN157,Listes!$V$3:$W$5,2,FALSE),0)+IFERROR(VLOOKUP(AO157,Listes!$Y$3:$Z$5,2,FALSE),0))</f>
        <v/>
      </c>
      <c r="R157" s="12" t="n"/>
      <c r="S157" s="12" t="n"/>
      <c r="T157" s="12" t="n"/>
      <c r="U157" s="15" t="n"/>
      <c r="V157" s="15" t="n"/>
      <c r="W157" s="13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3" t="n"/>
      <c r="AK157" s="12" t="n"/>
      <c r="AL157" s="12" t="n"/>
      <c r="AM157" s="12" t="n"/>
      <c r="AN157" s="12" t="n"/>
      <c r="AO157" s="12" t="n"/>
      <c r="AP157" s="12" t="n"/>
      <c r="AQ157" s="7">
        <f>IF(A157="","",IF(AP157&lt;&gt;"",AP157,IF(LEFT(Z157,11)="gads_marque","Google Search – Marque",IF(LEFT(Z157,12)="gads_mariage","Google Search – Mariage et privé",IF(LEFT(Z157,10)="gads_corpo","Google Search – Corporatif",IF(LEFT(Z157,5)="meta_","Meta – Leads",IF(LEFT(Z157,5)="msft_","Microsoft Ads",IF(LEFT(Z157,8)="chatgpt_","ChatGPT Ads – Test",IF(X157="gbp","Fiche Google (organique)","Autre / non payé")))))))))</f>
        <v/>
      </c>
      <c r="AR157" s="7">
        <f>IF(K157="","",IFERROR(VLOOKUP(K157,Listes!$F$3:$H$8,3,FALSE),""))</f>
        <v/>
      </c>
      <c r="AS157" s="7">
        <f>IF(O157="","",IF(AND(M157="Autre (plus de 40 km)",OR(O157="lt600",O157="600_999",O157="1000_2499")),"D",IF(OR(O157="lt600",AND(O157="600_999",K157&lt;&gt;"mariage",K157&lt;&gt;"prive")),"C",IF(OR(O157="2500_4999",O157="5000p",J157="entreprise",J157="organisme",J157="agence"),"A",IF(OR(O157="1000_2499",O157="600_999"),"B",IF(O157="inconnu",IF(OR(N157="75_149",N157="150p"),"A","B"),""))))))</f>
        <v/>
      </c>
      <c r="AT157" s="7">
        <f>IF(A157="","",IF(P157&lt;&gt;"",P157,AS157))</f>
        <v/>
      </c>
      <c r="AU157" s="7">
        <f>IF(A157="","",IF(OR(AT157="A",AT157="B"),1,0))</f>
        <v/>
      </c>
      <c r="AV157" s="7">
        <f>IF(A157="","",IF(OR(R157="Dépôt payé (gagné)",R157="Événement livré",R157="Avis obtenu"),1,0))</f>
        <v/>
      </c>
      <c r="AW157" s="7">
        <f>IF(A157="","",IF(Q157&gt;70,"Immédiat – propriétaire",IF(Q157&gt;=40,"15 min – personne de garde","Selon la route")))</f>
        <v/>
      </c>
      <c r="AX157" s="11">
        <f>IF(A157="","",IF(AT157="A",400,IF(AT157="B",150,0)))</f>
        <v/>
      </c>
      <c r="AY157" s="11">
        <f>IF(A157="","",IF(AV157=1,N(V157),IF(N(U157)&gt;0,ROUND(N(U157)*IFERROR(VLOOKUP(R157,Listes!$AE$3:$AG$12,2,FALSE),0),0),0)))</f>
        <v/>
      </c>
      <c r="AZ157" s="7">
        <f>IF(LEFT(A157,7)="EXEMPLE",1,0)</f>
        <v/>
      </c>
      <c r="BA157" s="7">
        <f>IF(AND(AV157=1,AZ157=0,AC157&lt;&gt;"",W157&lt;&gt;"",N(V157)&gt;0),COUNTIFS($AV$3:AV157,1,$AZ$3:AZ157,0,$AC$3:AC157,"&lt;&gt;",$W$3:W157,"&lt;&gt;",$V$3:V157,"&gt;0"),"")</f>
        <v/>
      </c>
    </row>
    <row r="158">
      <c r="A158" s="12" t="n"/>
      <c r="B158" s="13" t="n"/>
      <c r="C158" s="13" t="n"/>
      <c r="D158" s="7">
        <f>IF(OR(B158="",C158=""),"",ROUND((C158-B158)*1440,0))</f>
        <v/>
      </c>
      <c r="E158" s="12" t="n"/>
      <c r="F158" s="12" t="n"/>
      <c r="G158" s="12" t="n"/>
      <c r="H158" s="12" t="n"/>
      <c r="I158" s="12" t="n"/>
      <c r="J158" s="12" t="n"/>
      <c r="K158" s="12" t="n"/>
      <c r="L158" s="14" t="n"/>
      <c r="M158" s="12" t="n"/>
      <c r="N158" s="12" t="n"/>
      <c r="O158" s="12" t="n"/>
      <c r="P158" s="12" t="n"/>
      <c r="Q158" s="7">
        <f>IF(A158="","",IFERROR(VLOOKUP(O158,Listes!$R$3:$T$8,2,FALSE),0)+IFERROR(VLOOKUP(J158,Listes!$J$3:$L$6,2,FALSE),0)+IFERROR(VLOOKUP(N158,Listes!$N$3:$P$6,2,FALSE),0)+IF(OR(L158="",B158=""),0,IF(L158-INT(B158)&lt;10,8,IF(L158-INT(B158)&lt;=90,10,5)))+IFERROR(VLOOKUP(AN158,Listes!$V$3:$W$5,2,FALSE),0)+IFERROR(VLOOKUP(AO158,Listes!$Y$3:$Z$5,2,FALSE),0))</f>
        <v/>
      </c>
      <c r="R158" s="12" t="n"/>
      <c r="S158" s="12" t="n"/>
      <c r="T158" s="12" t="n"/>
      <c r="U158" s="15" t="n"/>
      <c r="V158" s="15" t="n"/>
      <c r="W158" s="13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3" t="n"/>
      <c r="AK158" s="12" t="n"/>
      <c r="AL158" s="12" t="n"/>
      <c r="AM158" s="12" t="n"/>
      <c r="AN158" s="12" t="n"/>
      <c r="AO158" s="12" t="n"/>
      <c r="AP158" s="12" t="n"/>
      <c r="AQ158" s="7">
        <f>IF(A158="","",IF(AP158&lt;&gt;"",AP158,IF(LEFT(Z158,11)="gads_marque","Google Search – Marque",IF(LEFT(Z158,12)="gads_mariage","Google Search – Mariage et privé",IF(LEFT(Z158,10)="gads_corpo","Google Search – Corporatif",IF(LEFT(Z158,5)="meta_","Meta – Leads",IF(LEFT(Z158,5)="msft_","Microsoft Ads",IF(LEFT(Z158,8)="chatgpt_","ChatGPT Ads – Test",IF(X158="gbp","Fiche Google (organique)","Autre / non payé")))))))))</f>
        <v/>
      </c>
      <c r="AR158" s="7">
        <f>IF(K158="","",IFERROR(VLOOKUP(K158,Listes!$F$3:$H$8,3,FALSE),""))</f>
        <v/>
      </c>
      <c r="AS158" s="7">
        <f>IF(O158="","",IF(AND(M158="Autre (plus de 40 km)",OR(O158="lt600",O158="600_999",O158="1000_2499")),"D",IF(OR(O158="lt600",AND(O158="600_999",K158&lt;&gt;"mariage",K158&lt;&gt;"prive")),"C",IF(OR(O158="2500_4999",O158="5000p",J158="entreprise",J158="organisme",J158="agence"),"A",IF(OR(O158="1000_2499",O158="600_999"),"B",IF(O158="inconnu",IF(OR(N158="75_149",N158="150p"),"A","B"),""))))))</f>
        <v/>
      </c>
      <c r="AT158" s="7">
        <f>IF(A158="","",IF(P158&lt;&gt;"",P158,AS158))</f>
        <v/>
      </c>
      <c r="AU158" s="7">
        <f>IF(A158="","",IF(OR(AT158="A",AT158="B"),1,0))</f>
        <v/>
      </c>
      <c r="AV158" s="7">
        <f>IF(A158="","",IF(OR(R158="Dépôt payé (gagné)",R158="Événement livré",R158="Avis obtenu"),1,0))</f>
        <v/>
      </c>
      <c r="AW158" s="7">
        <f>IF(A158="","",IF(Q158&gt;70,"Immédiat – propriétaire",IF(Q158&gt;=40,"15 min – personne de garde","Selon la route")))</f>
        <v/>
      </c>
      <c r="AX158" s="11">
        <f>IF(A158="","",IF(AT158="A",400,IF(AT158="B",150,0)))</f>
        <v/>
      </c>
      <c r="AY158" s="11">
        <f>IF(A158="","",IF(AV158=1,N(V158),IF(N(U158)&gt;0,ROUND(N(U158)*IFERROR(VLOOKUP(R158,Listes!$AE$3:$AG$12,2,FALSE),0),0),0)))</f>
        <v/>
      </c>
      <c r="AZ158" s="7">
        <f>IF(LEFT(A158,7)="EXEMPLE",1,0)</f>
        <v/>
      </c>
      <c r="BA158" s="7">
        <f>IF(AND(AV158=1,AZ158=0,AC158&lt;&gt;"",W158&lt;&gt;"",N(V158)&gt;0),COUNTIFS($AV$3:AV158,1,$AZ$3:AZ158,0,$AC$3:AC158,"&lt;&gt;",$W$3:W158,"&lt;&gt;",$V$3:V158,"&gt;0"),"")</f>
        <v/>
      </c>
    </row>
    <row r="159">
      <c r="A159" s="12" t="n"/>
      <c r="B159" s="13" t="n"/>
      <c r="C159" s="13" t="n"/>
      <c r="D159" s="7">
        <f>IF(OR(B159="",C159=""),"",ROUND((C159-B159)*1440,0))</f>
        <v/>
      </c>
      <c r="E159" s="12" t="n"/>
      <c r="F159" s="12" t="n"/>
      <c r="G159" s="12" t="n"/>
      <c r="H159" s="12" t="n"/>
      <c r="I159" s="12" t="n"/>
      <c r="J159" s="12" t="n"/>
      <c r="K159" s="12" t="n"/>
      <c r="L159" s="14" t="n"/>
      <c r="M159" s="12" t="n"/>
      <c r="N159" s="12" t="n"/>
      <c r="O159" s="12" t="n"/>
      <c r="P159" s="12" t="n"/>
      <c r="Q159" s="7">
        <f>IF(A159="","",IFERROR(VLOOKUP(O159,Listes!$R$3:$T$8,2,FALSE),0)+IFERROR(VLOOKUP(J159,Listes!$J$3:$L$6,2,FALSE),0)+IFERROR(VLOOKUP(N159,Listes!$N$3:$P$6,2,FALSE),0)+IF(OR(L159="",B159=""),0,IF(L159-INT(B159)&lt;10,8,IF(L159-INT(B159)&lt;=90,10,5)))+IFERROR(VLOOKUP(AN159,Listes!$V$3:$W$5,2,FALSE),0)+IFERROR(VLOOKUP(AO159,Listes!$Y$3:$Z$5,2,FALSE),0))</f>
        <v/>
      </c>
      <c r="R159" s="12" t="n"/>
      <c r="S159" s="12" t="n"/>
      <c r="T159" s="12" t="n"/>
      <c r="U159" s="15" t="n"/>
      <c r="V159" s="15" t="n"/>
      <c r="W159" s="13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3" t="n"/>
      <c r="AK159" s="12" t="n"/>
      <c r="AL159" s="12" t="n"/>
      <c r="AM159" s="12" t="n"/>
      <c r="AN159" s="12" t="n"/>
      <c r="AO159" s="12" t="n"/>
      <c r="AP159" s="12" t="n"/>
      <c r="AQ159" s="7">
        <f>IF(A159="","",IF(AP159&lt;&gt;"",AP159,IF(LEFT(Z159,11)="gads_marque","Google Search – Marque",IF(LEFT(Z159,12)="gads_mariage","Google Search – Mariage et privé",IF(LEFT(Z159,10)="gads_corpo","Google Search – Corporatif",IF(LEFT(Z159,5)="meta_","Meta – Leads",IF(LEFT(Z159,5)="msft_","Microsoft Ads",IF(LEFT(Z159,8)="chatgpt_","ChatGPT Ads – Test",IF(X159="gbp","Fiche Google (organique)","Autre / non payé")))))))))</f>
        <v/>
      </c>
      <c r="AR159" s="7">
        <f>IF(K159="","",IFERROR(VLOOKUP(K159,Listes!$F$3:$H$8,3,FALSE),""))</f>
        <v/>
      </c>
      <c r="AS159" s="7">
        <f>IF(O159="","",IF(AND(M159="Autre (plus de 40 km)",OR(O159="lt600",O159="600_999",O159="1000_2499")),"D",IF(OR(O159="lt600",AND(O159="600_999",K159&lt;&gt;"mariage",K159&lt;&gt;"prive")),"C",IF(OR(O159="2500_4999",O159="5000p",J159="entreprise",J159="organisme",J159="agence"),"A",IF(OR(O159="1000_2499",O159="600_999"),"B",IF(O159="inconnu",IF(OR(N159="75_149",N159="150p"),"A","B"),""))))))</f>
        <v/>
      </c>
      <c r="AT159" s="7">
        <f>IF(A159="","",IF(P159&lt;&gt;"",P159,AS159))</f>
        <v/>
      </c>
      <c r="AU159" s="7">
        <f>IF(A159="","",IF(OR(AT159="A",AT159="B"),1,0))</f>
        <v/>
      </c>
      <c r="AV159" s="7">
        <f>IF(A159="","",IF(OR(R159="Dépôt payé (gagné)",R159="Événement livré",R159="Avis obtenu"),1,0))</f>
        <v/>
      </c>
      <c r="AW159" s="7">
        <f>IF(A159="","",IF(Q159&gt;70,"Immédiat – propriétaire",IF(Q159&gt;=40,"15 min – personne de garde","Selon la route")))</f>
        <v/>
      </c>
      <c r="AX159" s="11">
        <f>IF(A159="","",IF(AT159="A",400,IF(AT159="B",150,0)))</f>
        <v/>
      </c>
      <c r="AY159" s="11">
        <f>IF(A159="","",IF(AV159=1,N(V159),IF(N(U159)&gt;0,ROUND(N(U159)*IFERROR(VLOOKUP(R159,Listes!$AE$3:$AG$12,2,FALSE),0),0),0)))</f>
        <v/>
      </c>
      <c r="AZ159" s="7">
        <f>IF(LEFT(A159,7)="EXEMPLE",1,0)</f>
        <v/>
      </c>
      <c r="BA159" s="7">
        <f>IF(AND(AV159=1,AZ159=0,AC159&lt;&gt;"",W159&lt;&gt;"",N(V159)&gt;0),COUNTIFS($AV$3:AV159,1,$AZ$3:AZ159,0,$AC$3:AC159,"&lt;&gt;",$W$3:W159,"&lt;&gt;",$V$3:V159,"&gt;0"),"")</f>
        <v/>
      </c>
    </row>
    <row r="160">
      <c r="A160" s="12" t="n"/>
      <c r="B160" s="13" t="n"/>
      <c r="C160" s="13" t="n"/>
      <c r="D160" s="7">
        <f>IF(OR(B160="",C160=""),"",ROUND((C160-B160)*1440,0))</f>
        <v/>
      </c>
      <c r="E160" s="12" t="n"/>
      <c r="F160" s="12" t="n"/>
      <c r="G160" s="12" t="n"/>
      <c r="H160" s="12" t="n"/>
      <c r="I160" s="12" t="n"/>
      <c r="J160" s="12" t="n"/>
      <c r="K160" s="12" t="n"/>
      <c r="L160" s="14" t="n"/>
      <c r="M160" s="12" t="n"/>
      <c r="N160" s="12" t="n"/>
      <c r="O160" s="12" t="n"/>
      <c r="P160" s="12" t="n"/>
      <c r="Q160" s="7">
        <f>IF(A160="","",IFERROR(VLOOKUP(O160,Listes!$R$3:$T$8,2,FALSE),0)+IFERROR(VLOOKUP(J160,Listes!$J$3:$L$6,2,FALSE),0)+IFERROR(VLOOKUP(N160,Listes!$N$3:$P$6,2,FALSE),0)+IF(OR(L160="",B160=""),0,IF(L160-INT(B160)&lt;10,8,IF(L160-INT(B160)&lt;=90,10,5)))+IFERROR(VLOOKUP(AN160,Listes!$V$3:$W$5,2,FALSE),0)+IFERROR(VLOOKUP(AO160,Listes!$Y$3:$Z$5,2,FALSE),0))</f>
        <v/>
      </c>
      <c r="R160" s="12" t="n"/>
      <c r="S160" s="12" t="n"/>
      <c r="T160" s="12" t="n"/>
      <c r="U160" s="15" t="n"/>
      <c r="V160" s="15" t="n"/>
      <c r="W160" s="13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3" t="n"/>
      <c r="AK160" s="12" t="n"/>
      <c r="AL160" s="12" t="n"/>
      <c r="AM160" s="12" t="n"/>
      <c r="AN160" s="12" t="n"/>
      <c r="AO160" s="12" t="n"/>
      <c r="AP160" s="12" t="n"/>
      <c r="AQ160" s="7">
        <f>IF(A160="","",IF(AP160&lt;&gt;"",AP160,IF(LEFT(Z160,11)="gads_marque","Google Search – Marque",IF(LEFT(Z160,12)="gads_mariage","Google Search – Mariage et privé",IF(LEFT(Z160,10)="gads_corpo","Google Search – Corporatif",IF(LEFT(Z160,5)="meta_","Meta – Leads",IF(LEFT(Z160,5)="msft_","Microsoft Ads",IF(LEFT(Z160,8)="chatgpt_","ChatGPT Ads – Test",IF(X160="gbp","Fiche Google (organique)","Autre / non payé")))))))))</f>
        <v/>
      </c>
      <c r="AR160" s="7">
        <f>IF(K160="","",IFERROR(VLOOKUP(K160,Listes!$F$3:$H$8,3,FALSE),""))</f>
        <v/>
      </c>
      <c r="AS160" s="7">
        <f>IF(O160="","",IF(AND(M160="Autre (plus de 40 km)",OR(O160="lt600",O160="600_999",O160="1000_2499")),"D",IF(OR(O160="lt600",AND(O160="600_999",K160&lt;&gt;"mariage",K160&lt;&gt;"prive")),"C",IF(OR(O160="2500_4999",O160="5000p",J160="entreprise",J160="organisme",J160="agence"),"A",IF(OR(O160="1000_2499",O160="600_999"),"B",IF(O160="inconnu",IF(OR(N160="75_149",N160="150p"),"A","B"),""))))))</f>
        <v/>
      </c>
      <c r="AT160" s="7">
        <f>IF(A160="","",IF(P160&lt;&gt;"",P160,AS160))</f>
        <v/>
      </c>
      <c r="AU160" s="7">
        <f>IF(A160="","",IF(OR(AT160="A",AT160="B"),1,0))</f>
        <v/>
      </c>
      <c r="AV160" s="7">
        <f>IF(A160="","",IF(OR(R160="Dépôt payé (gagné)",R160="Événement livré",R160="Avis obtenu"),1,0))</f>
        <v/>
      </c>
      <c r="AW160" s="7">
        <f>IF(A160="","",IF(Q160&gt;70,"Immédiat – propriétaire",IF(Q160&gt;=40,"15 min – personne de garde","Selon la route")))</f>
        <v/>
      </c>
      <c r="AX160" s="11">
        <f>IF(A160="","",IF(AT160="A",400,IF(AT160="B",150,0)))</f>
        <v/>
      </c>
      <c r="AY160" s="11">
        <f>IF(A160="","",IF(AV160=1,N(V160),IF(N(U160)&gt;0,ROUND(N(U160)*IFERROR(VLOOKUP(R160,Listes!$AE$3:$AG$12,2,FALSE),0),0),0)))</f>
        <v/>
      </c>
      <c r="AZ160" s="7">
        <f>IF(LEFT(A160,7)="EXEMPLE",1,0)</f>
        <v/>
      </c>
      <c r="BA160" s="7">
        <f>IF(AND(AV160=1,AZ160=0,AC160&lt;&gt;"",W160&lt;&gt;"",N(V160)&gt;0),COUNTIFS($AV$3:AV160,1,$AZ$3:AZ160,0,$AC$3:AC160,"&lt;&gt;",$W$3:W160,"&lt;&gt;",$V$3:V160,"&gt;0"),"")</f>
        <v/>
      </c>
    </row>
    <row r="161">
      <c r="A161" s="12" t="n"/>
      <c r="B161" s="13" t="n"/>
      <c r="C161" s="13" t="n"/>
      <c r="D161" s="7">
        <f>IF(OR(B161="",C161=""),"",ROUND((C161-B161)*1440,0))</f>
        <v/>
      </c>
      <c r="E161" s="12" t="n"/>
      <c r="F161" s="12" t="n"/>
      <c r="G161" s="12" t="n"/>
      <c r="H161" s="12" t="n"/>
      <c r="I161" s="12" t="n"/>
      <c r="J161" s="12" t="n"/>
      <c r="K161" s="12" t="n"/>
      <c r="L161" s="14" t="n"/>
      <c r="M161" s="12" t="n"/>
      <c r="N161" s="12" t="n"/>
      <c r="O161" s="12" t="n"/>
      <c r="P161" s="12" t="n"/>
      <c r="Q161" s="7">
        <f>IF(A161="","",IFERROR(VLOOKUP(O161,Listes!$R$3:$T$8,2,FALSE),0)+IFERROR(VLOOKUP(J161,Listes!$J$3:$L$6,2,FALSE),0)+IFERROR(VLOOKUP(N161,Listes!$N$3:$P$6,2,FALSE),0)+IF(OR(L161="",B161=""),0,IF(L161-INT(B161)&lt;10,8,IF(L161-INT(B161)&lt;=90,10,5)))+IFERROR(VLOOKUP(AN161,Listes!$V$3:$W$5,2,FALSE),0)+IFERROR(VLOOKUP(AO161,Listes!$Y$3:$Z$5,2,FALSE),0))</f>
        <v/>
      </c>
      <c r="R161" s="12" t="n"/>
      <c r="S161" s="12" t="n"/>
      <c r="T161" s="12" t="n"/>
      <c r="U161" s="15" t="n"/>
      <c r="V161" s="15" t="n"/>
      <c r="W161" s="13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3" t="n"/>
      <c r="AK161" s="12" t="n"/>
      <c r="AL161" s="12" t="n"/>
      <c r="AM161" s="12" t="n"/>
      <c r="AN161" s="12" t="n"/>
      <c r="AO161" s="12" t="n"/>
      <c r="AP161" s="12" t="n"/>
      <c r="AQ161" s="7">
        <f>IF(A161="","",IF(AP161&lt;&gt;"",AP161,IF(LEFT(Z161,11)="gads_marque","Google Search – Marque",IF(LEFT(Z161,12)="gads_mariage","Google Search – Mariage et privé",IF(LEFT(Z161,10)="gads_corpo","Google Search – Corporatif",IF(LEFT(Z161,5)="meta_","Meta – Leads",IF(LEFT(Z161,5)="msft_","Microsoft Ads",IF(LEFT(Z161,8)="chatgpt_","ChatGPT Ads – Test",IF(X161="gbp","Fiche Google (organique)","Autre / non payé")))))))))</f>
        <v/>
      </c>
      <c r="AR161" s="7">
        <f>IF(K161="","",IFERROR(VLOOKUP(K161,Listes!$F$3:$H$8,3,FALSE),""))</f>
        <v/>
      </c>
      <c r="AS161" s="7">
        <f>IF(O161="","",IF(AND(M161="Autre (plus de 40 km)",OR(O161="lt600",O161="600_999",O161="1000_2499")),"D",IF(OR(O161="lt600",AND(O161="600_999",K161&lt;&gt;"mariage",K161&lt;&gt;"prive")),"C",IF(OR(O161="2500_4999",O161="5000p",J161="entreprise",J161="organisme",J161="agence"),"A",IF(OR(O161="1000_2499",O161="600_999"),"B",IF(O161="inconnu",IF(OR(N161="75_149",N161="150p"),"A","B"),""))))))</f>
        <v/>
      </c>
      <c r="AT161" s="7">
        <f>IF(A161="","",IF(P161&lt;&gt;"",P161,AS161))</f>
        <v/>
      </c>
      <c r="AU161" s="7">
        <f>IF(A161="","",IF(OR(AT161="A",AT161="B"),1,0))</f>
        <v/>
      </c>
      <c r="AV161" s="7">
        <f>IF(A161="","",IF(OR(R161="Dépôt payé (gagné)",R161="Événement livré",R161="Avis obtenu"),1,0))</f>
        <v/>
      </c>
      <c r="AW161" s="7">
        <f>IF(A161="","",IF(Q161&gt;70,"Immédiat – propriétaire",IF(Q161&gt;=40,"15 min – personne de garde","Selon la route")))</f>
        <v/>
      </c>
      <c r="AX161" s="11">
        <f>IF(A161="","",IF(AT161="A",400,IF(AT161="B",150,0)))</f>
        <v/>
      </c>
      <c r="AY161" s="11">
        <f>IF(A161="","",IF(AV161=1,N(V161),IF(N(U161)&gt;0,ROUND(N(U161)*IFERROR(VLOOKUP(R161,Listes!$AE$3:$AG$12,2,FALSE),0),0),0)))</f>
        <v/>
      </c>
      <c r="AZ161" s="7">
        <f>IF(LEFT(A161,7)="EXEMPLE",1,0)</f>
        <v/>
      </c>
      <c r="BA161" s="7">
        <f>IF(AND(AV161=1,AZ161=0,AC161&lt;&gt;"",W161&lt;&gt;"",N(V161)&gt;0),COUNTIFS($AV$3:AV161,1,$AZ$3:AZ161,0,$AC$3:AC161,"&lt;&gt;",$W$3:W161,"&lt;&gt;",$V$3:V161,"&gt;0"),"")</f>
        <v/>
      </c>
    </row>
    <row r="162">
      <c r="A162" s="12" t="n"/>
      <c r="B162" s="13" t="n"/>
      <c r="C162" s="13" t="n"/>
      <c r="D162" s="7">
        <f>IF(OR(B162="",C162=""),"",ROUND((C162-B162)*1440,0))</f>
        <v/>
      </c>
      <c r="E162" s="12" t="n"/>
      <c r="F162" s="12" t="n"/>
      <c r="G162" s="12" t="n"/>
      <c r="H162" s="12" t="n"/>
      <c r="I162" s="12" t="n"/>
      <c r="J162" s="12" t="n"/>
      <c r="K162" s="12" t="n"/>
      <c r="L162" s="14" t="n"/>
      <c r="M162" s="12" t="n"/>
      <c r="N162" s="12" t="n"/>
      <c r="O162" s="12" t="n"/>
      <c r="P162" s="12" t="n"/>
      <c r="Q162" s="7">
        <f>IF(A162="","",IFERROR(VLOOKUP(O162,Listes!$R$3:$T$8,2,FALSE),0)+IFERROR(VLOOKUP(J162,Listes!$J$3:$L$6,2,FALSE),0)+IFERROR(VLOOKUP(N162,Listes!$N$3:$P$6,2,FALSE),0)+IF(OR(L162="",B162=""),0,IF(L162-INT(B162)&lt;10,8,IF(L162-INT(B162)&lt;=90,10,5)))+IFERROR(VLOOKUP(AN162,Listes!$V$3:$W$5,2,FALSE),0)+IFERROR(VLOOKUP(AO162,Listes!$Y$3:$Z$5,2,FALSE),0))</f>
        <v/>
      </c>
      <c r="R162" s="12" t="n"/>
      <c r="S162" s="12" t="n"/>
      <c r="T162" s="12" t="n"/>
      <c r="U162" s="15" t="n"/>
      <c r="V162" s="15" t="n"/>
      <c r="W162" s="13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3" t="n"/>
      <c r="AK162" s="12" t="n"/>
      <c r="AL162" s="12" t="n"/>
      <c r="AM162" s="12" t="n"/>
      <c r="AN162" s="12" t="n"/>
      <c r="AO162" s="12" t="n"/>
      <c r="AP162" s="12" t="n"/>
      <c r="AQ162" s="7">
        <f>IF(A162="","",IF(AP162&lt;&gt;"",AP162,IF(LEFT(Z162,11)="gads_marque","Google Search – Marque",IF(LEFT(Z162,12)="gads_mariage","Google Search – Mariage et privé",IF(LEFT(Z162,10)="gads_corpo","Google Search – Corporatif",IF(LEFT(Z162,5)="meta_","Meta – Leads",IF(LEFT(Z162,5)="msft_","Microsoft Ads",IF(LEFT(Z162,8)="chatgpt_","ChatGPT Ads – Test",IF(X162="gbp","Fiche Google (organique)","Autre / non payé")))))))))</f>
        <v/>
      </c>
      <c r="AR162" s="7">
        <f>IF(K162="","",IFERROR(VLOOKUP(K162,Listes!$F$3:$H$8,3,FALSE),""))</f>
        <v/>
      </c>
      <c r="AS162" s="7">
        <f>IF(O162="","",IF(AND(M162="Autre (plus de 40 km)",OR(O162="lt600",O162="600_999",O162="1000_2499")),"D",IF(OR(O162="lt600",AND(O162="600_999",K162&lt;&gt;"mariage",K162&lt;&gt;"prive")),"C",IF(OR(O162="2500_4999",O162="5000p",J162="entreprise",J162="organisme",J162="agence"),"A",IF(OR(O162="1000_2499",O162="600_999"),"B",IF(O162="inconnu",IF(OR(N162="75_149",N162="150p"),"A","B"),""))))))</f>
        <v/>
      </c>
      <c r="AT162" s="7">
        <f>IF(A162="","",IF(P162&lt;&gt;"",P162,AS162))</f>
        <v/>
      </c>
      <c r="AU162" s="7">
        <f>IF(A162="","",IF(OR(AT162="A",AT162="B"),1,0))</f>
        <v/>
      </c>
      <c r="AV162" s="7">
        <f>IF(A162="","",IF(OR(R162="Dépôt payé (gagné)",R162="Événement livré",R162="Avis obtenu"),1,0))</f>
        <v/>
      </c>
      <c r="AW162" s="7">
        <f>IF(A162="","",IF(Q162&gt;70,"Immédiat – propriétaire",IF(Q162&gt;=40,"15 min – personne de garde","Selon la route")))</f>
        <v/>
      </c>
      <c r="AX162" s="11">
        <f>IF(A162="","",IF(AT162="A",400,IF(AT162="B",150,0)))</f>
        <v/>
      </c>
      <c r="AY162" s="11">
        <f>IF(A162="","",IF(AV162=1,N(V162),IF(N(U162)&gt;0,ROUND(N(U162)*IFERROR(VLOOKUP(R162,Listes!$AE$3:$AG$12,2,FALSE),0),0),0)))</f>
        <v/>
      </c>
      <c r="AZ162" s="7">
        <f>IF(LEFT(A162,7)="EXEMPLE",1,0)</f>
        <v/>
      </c>
      <c r="BA162" s="7">
        <f>IF(AND(AV162=1,AZ162=0,AC162&lt;&gt;"",W162&lt;&gt;"",N(V162)&gt;0),COUNTIFS($AV$3:AV162,1,$AZ$3:AZ162,0,$AC$3:AC162,"&lt;&gt;",$W$3:W162,"&lt;&gt;",$V$3:V162,"&gt;0"),"")</f>
        <v/>
      </c>
    </row>
    <row r="163">
      <c r="A163" s="12" t="n"/>
      <c r="B163" s="13" t="n"/>
      <c r="C163" s="13" t="n"/>
      <c r="D163" s="7">
        <f>IF(OR(B163="",C163=""),"",ROUND((C163-B163)*1440,0))</f>
        <v/>
      </c>
      <c r="E163" s="12" t="n"/>
      <c r="F163" s="12" t="n"/>
      <c r="G163" s="12" t="n"/>
      <c r="H163" s="12" t="n"/>
      <c r="I163" s="12" t="n"/>
      <c r="J163" s="12" t="n"/>
      <c r="K163" s="12" t="n"/>
      <c r="L163" s="14" t="n"/>
      <c r="M163" s="12" t="n"/>
      <c r="N163" s="12" t="n"/>
      <c r="O163" s="12" t="n"/>
      <c r="P163" s="12" t="n"/>
      <c r="Q163" s="7">
        <f>IF(A163="","",IFERROR(VLOOKUP(O163,Listes!$R$3:$T$8,2,FALSE),0)+IFERROR(VLOOKUP(J163,Listes!$J$3:$L$6,2,FALSE),0)+IFERROR(VLOOKUP(N163,Listes!$N$3:$P$6,2,FALSE),0)+IF(OR(L163="",B163=""),0,IF(L163-INT(B163)&lt;10,8,IF(L163-INT(B163)&lt;=90,10,5)))+IFERROR(VLOOKUP(AN163,Listes!$V$3:$W$5,2,FALSE),0)+IFERROR(VLOOKUP(AO163,Listes!$Y$3:$Z$5,2,FALSE),0))</f>
        <v/>
      </c>
      <c r="R163" s="12" t="n"/>
      <c r="S163" s="12" t="n"/>
      <c r="T163" s="12" t="n"/>
      <c r="U163" s="15" t="n"/>
      <c r="V163" s="15" t="n"/>
      <c r="W163" s="13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3" t="n"/>
      <c r="AK163" s="12" t="n"/>
      <c r="AL163" s="12" t="n"/>
      <c r="AM163" s="12" t="n"/>
      <c r="AN163" s="12" t="n"/>
      <c r="AO163" s="12" t="n"/>
      <c r="AP163" s="12" t="n"/>
      <c r="AQ163" s="7">
        <f>IF(A163="","",IF(AP163&lt;&gt;"",AP163,IF(LEFT(Z163,11)="gads_marque","Google Search – Marque",IF(LEFT(Z163,12)="gads_mariage","Google Search – Mariage et privé",IF(LEFT(Z163,10)="gads_corpo","Google Search – Corporatif",IF(LEFT(Z163,5)="meta_","Meta – Leads",IF(LEFT(Z163,5)="msft_","Microsoft Ads",IF(LEFT(Z163,8)="chatgpt_","ChatGPT Ads – Test",IF(X163="gbp","Fiche Google (organique)","Autre / non payé")))))))))</f>
        <v/>
      </c>
      <c r="AR163" s="7">
        <f>IF(K163="","",IFERROR(VLOOKUP(K163,Listes!$F$3:$H$8,3,FALSE),""))</f>
        <v/>
      </c>
      <c r="AS163" s="7">
        <f>IF(O163="","",IF(AND(M163="Autre (plus de 40 km)",OR(O163="lt600",O163="600_999",O163="1000_2499")),"D",IF(OR(O163="lt600",AND(O163="600_999",K163&lt;&gt;"mariage",K163&lt;&gt;"prive")),"C",IF(OR(O163="2500_4999",O163="5000p",J163="entreprise",J163="organisme",J163="agence"),"A",IF(OR(O163="1000_2499",O163="600_999"),"B",IF(O163="inconnu",IF(OR(N163="75_149",N163="150p"),"A","B"),""))))))</f>
        <v/>
      </c>
      <c r="AT163" s="7">
        <f>IF(A163="","",IF(P163&lt;&gt;"",P163,AS163))</f>
        <v/>
      </c>
      <c r="AU163" s="7">
        <f>IF(A163="","",IF(OR(AT163="A",AT163="B"),1,0))</f>
        <v/>
      </c>
      <c r="AV163" s="7">
        <f>IF(A163="","",IF(OR(R163="Dépôt payé (gagné)",R163="Événement livré",R163="Avis obtenu"),1,0))</f>
        <v/>
      </c>
      <c r="AW163" s="7">
        <f>IF(A163="","",IF(Q163&gt;70,"Immédiat – propriétaire",IF(Q163&gt;=40,"15 min – personne de garde","Selon la route")))</f>
        <v/>
      </c>
      <c r="AX163" s="11">
        <f>IF(A163="","",IF(AT163="A",400,IF(AT163="B",150,0)))</f>
        <v/>
      </c>
      <c r="AY163" s="11">
        <f>IF(A163="","",IF(AV163=1,N(V163),IF(N(U163)&gt;0,ROUND(N(U163)*IFERROR(VLOOKUP(R163,Listes!$AE$3:$AG$12,2,FALSE),0),0),0)))</f>
        <v/>
      </c>
      <c r="AZ163" s="7">
        <f>IF(LEFT(A163,7)="EXEMPLE",1,0)</f>
        <v/>
      </c>
      <c r="BA163" s="7">
        <f>IF(AND(AV163=1,AZ163=0,AC163&lt;&gt;"",W163&lt;&gt;"",N(V163)&gt;0),COUNTIFS($AV$3:AV163,1,$AZ$3:AZ163,0,$AC$3:AC163,"&lt;&gt;",$W$3:W163,"&lt;&gt;",$V$3:V163,"&gt;0"),"")</f>
        <v/>
      </c>
    </row>
    <row r="164">
      <c r="A164" s="12" t="n"/>
      <c r="B164" s="13" t="n"/>
      <c r="C164" s="13" t="n"/>
      <c r="D164" s="7">
        <f>IF(OR(B164="",C164=""),"",ROUND((C164-B164)*1440,0))</f>
        <v/>
      </c>
      <c r="E164" s="12" t="n"/>
      <c r="F164" s="12" t="n"/>
      <c r="G164" s="12" t="n"/>
      <c r="H164" s="12" t="n"/>
      <c r="I164" s="12" t="n"/>
      <c r="J164" s="12" t="n"/>
      <c r="K164" s="12" t="n"/>
      <c r="L164" s="14" t="n"/>
      <c r="M164" s="12" t="n"/>
      <c r="N164" s="12" t="n"/>
      <c r="O164" s="12" t="n"/>
      <c r="P164" s="12" t="n"/>
      <c r="Q164" s="7">
        <f>IF(A164="","",IFERROR(VLOOKUP(O164,Listes!$R$3:$T$8,2,FALSE),0)+IFERROR(VLOOKUP(J164,Listes!$J$3:$L$6,2,FALSE),0)+IFERROR(VLOOKUP(N164,Listes!$N$3:$P$6,2,FALSE),0)+IF(OR(L164="",B164=""),0,IF(L164-INT(B164)&lt;10,8,IF(L164-INT(B164)&lt;=90,10,5)))+IFERROR(VLOOKUP(AN164,Listes!$V$3:$W$5,2,FALSE),0)+IFERROR(VLOOKUP(AO164,Listes!$Y$3:$Z$5,2,FALSE),0))</f>
        <v/>
      </c>
      <c r="R164" s="12" t="n"/>
      <c r="S164" s="12" t="n"/>
      <c r="T164" s="12" t="n"/>
      <c r="U164" s="15" t="n"/>
      <c r="V164" s="15" t="n"/>
      <c r="W164" s="13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3" t="n"/>
      <c r="AK164" s="12" t="n"/>
      <c r="AL164" s="12" t="n"/>
      <c r="AM164" s="12" t="n"/>
      <c r="AN164" s="12" t="n"/>
      <c r="AO164" s="12" t="n"/>
      <c r="AP164" s="12" t="n"/>
      <c r="AQ164" s="7">
        <f>IF(A164="","",IF(AP164&lt;&gt;"",AP164,IF(LEFT(Z164,11)="gads_marque","Google Search – Marque",IF(LEFT(Z164,12)="gads_mariage","Google Search – Mariage et privé",IF(LEFT(Z164,10)="gads_corpo","Google Search – Corporatif",IF(LEFT(Z164,5)="meta_","Meta – Leads",IF(LEFT(Z164,5)="msft_","Microsoft Ads",IF(LEFT(Z164,8)="chatgpt_","ChatGPT Ads – Test",IF(X164="gbp","Fiche Google (organique)","Autre / non payé")))))))))</f>
        <v/>
      </c>
      <c r="AR164" s="7">
        <f>IF(K164="","",IFERROR(VLOOKUP(K164,Listes!$F$3:$H$8,3,FALSE),""))</f>
        <v/>
      </c>
      <c r="AS164" s="7">
        <f>IF(O164="","",IF(AND(M164="Autre (plus de 40 km)",OR(O164="lt600",O164="600_999",O164="1000_2499")),"D",IF(OR(O164="lt600",AND(O164="600_999",K164&lt;&gt;"mariage",K164&lt;&gt;"prive")),"C",IF(OR(O164="2500_4999",O164="5000p",J164="entreprise",J164="organisme",J164="agence"),"A",IF(OR(O164="1000_2499",O164="600_999"),"B",IF(O164="inconnu",IF(OR(N164="75_149",N164="150p"),"A","B"),""))))))</f>
        <v/>
      </c>
      <c r="AT164" s="7">
        <f>IF(A164="","",IF(P164&lt;&gt;"",P164,AS164))</f>
        <v/>
      </c>
      <c r="AU164" s="7">
        <f>IF(A164="","",IF(OR(AT164="A",AT164="B"),1,0))</f>
        <v/>
      </c>
      <c r="AV164" s="7">
        <f>IF(A164="","",IF(OR(R164="Dépôt payé (gagné)",R164="Événement livré",R164="Avis obtenu"),1,0))</f>
        <v/>
      </c>
      <c r="AW164" s="7">
        <f>IF(A164="","",IF(Q164&gt;70,"Immédiat – propriétaire",IF(Q164&gt;=40,"15 min – personne de garde","Selon la route")))</f>
        <v/>
      </c>
      <c r="AX164" s="11">
        <f>IF(A164="","",IF(AT164="A",400,IF(AT164="B",150,0)))</f>
        <v/>
      </c>
      <c r="AY164" s="11">
        <f>IF(A164="","",IF(AV164=1,N(V164),IF(N(U164)&gt;0,ROUND(N(U164)*IFERROR(VLOOKUP(R164,Listes!$AE$3:$AG$12,2,FALSE),0),0),0)))</f>
        <v/>
      </c>
      <c r="AZ164" s="7">
        <f>IF(LEFT(A164,7)="EXEMPLE",1,0)</f>
        <v/>
      </c>
      <c r="BA164" s="7">
        <f>IF(AND(AV164=1,AZ164=0,AC164&lt;&gt;"",W164&lt;&gt;"",N(V164)&gt;0),COUNTIFS($AV$3:AV164,1,$AZ$3:AZ164,0,$AC$3:AC164,"&lt;&gt;",$W$3:W164,"&lt;&gt;",$V$3:V164,"&gt;0"),"")</f>
        <v/>
      </c>
    </row>
    <row r="165">
      <c r="A165" s="12" t="n"/>
      <c r="B165" s="13" t="n"/>
      <c r="C165" s="13" t="n"/>
      <c r="D165" s="7">
        <f>IF(OR(B165="",C165=""),"",ROUND((C165-B165)*1440,0))</f>
        <v/>
      </c>
      <c r="E165" s="12" t="n"/>
      <c r="F165" s="12" t="n"/>
      <c r="G165" s="12" t="n"/>
      <c r="H165" s="12" t="n"/>
      <c r="I165" s="12" t="n"/>
      <c r="J165" s="12" t="n"/>
      <c r="K165" s="12" t="n"/>
      <c r="L165" s="14" t="n"/>
      <c r="M165" s="12" t="n"/>
      <c r="N165" s="12" t="n"/>
      <c r="O165" s="12" t="n"/>
      <c r="P165" s="12" t="n"/>
      <c r="Q165" s="7">
        <f>IF(A165="","",IFERROR(VLOOKUP(O165,Listes!$R$3:$T$8,2,FALSE),0)+IFERROR(VLOOKUP(J165,Listes!$J$3:$L$6,2,FALSE),0)+IFERROR(VLOOKUP(N165,Listes!$N$3:$P$6,2,FALSE),0)+IF(OR(L165="",B165=""),0,IF(L165-INT(B165)&lt;10,8,IF(L165-INT(B165)&lt;=90,10,5)))+IFERROR(VLOOKUP(AN165,Listes!$V$3:$W$5,2,FALSE),0)+IFERROR(VLOOKUP(AO165,Listes!$Y$3:$Z$5,2,FALSE),0))</f>
        <v/>
      </c>
      <c r="R165" s="12" t="n"/>
      <c r="S165" s="12" t="n"/>
      <c r="T165" s="12" t="n"/>
      <c r="U165" s="15" t="n"/>
      <c r="V165" s="15" t="n"/>
      <c r="W165" s="13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3" t="n"/>
      <c r="AK165" s="12" t="n"/>
      <c r="AL165" s="12" t="n"/>
      <c r="AM165" s="12" t="n"/>
      <c r="AN165" s="12" t="n"/>
      <c r="AO165" s="12" t="n"/>
      <c r="AP165" s="12" t="n"/>
      <c r="AQ165" s="7">
        <f>IF(A165="","",IF(AP165&lt;&gt;"",AP165,IF(LEFT(Z165,11)="gads_marque","Google Search – Marque",IF(LEFT(Z165,12)="gads_mariage","Google Search – Mariage et privé",IF(LEFT(Z165,10)="gads_corpo","Google Search – Corporatif",IF(LEFT(Z165,5)="meta_","Meta – Leads",IF(LEFT(Z165,5)="msft_","Microsoft Ads",IF(LEFT(Z165,8)="chatgpt_","ChatGPT Ads – Test",IF(X165="gbp","Fiche Google (organique)","Autre / non payé")))))))))</f>
        <v/>
      </c>
      <c r="AR165" s="7">
        <f>IF(K165="","",IFERROR(VLOOKUP(K165,Listes!$F$3:$H$8,3,FALSE),""))</f>
        <v/>
      </c>
      <c r="AS165" s="7">
        <f>IF(O165="","",IF(AND(M165="Autre (plus de 40 km)",OR(O165="lt600",O165="600_999",O165="1000_2499")),"D",IF(OR(O165="lt600",AND(O165="600_999",K165&lt;&gt;"mariage",K165&lt;&gt;"prive")),"C",IF(OR(O165="2500_4999",O165="5000p",J165="entreprise",J165="organisme",J165="agence"),"A",IF(OR(O165="1000_2499",O165="600_999"),"B",IF(O165="inconnu",IF(OR(N165="75_149",N165="150p"),"A","B"),""))))))</f>
        <v/>
      </c>
      <c r="AT165" s="7">
        <f>IF(A165="","",IF(P165&lt;&gt;"",P165,AS165))</f>
        <v/>
      </c>
      <c r="AU165" s="7">
        <f>IF(A165="","",IF(OR(AT165="A",AT165="B"),1,0))</f>
        <v/>
      </c>
      <c r="AV165" s="7">
        <f>IF(A165="","",IF(OR(R165="Dépôt payé (gagné)",R165="Événement livré",R165="Avis obtenu"),1,0))</f>
        <v/>
      </c>
      <c r="AW165" s="7">
        <f>IF(A165="","",IF(Q165&gt;70,"Immédiat – propriétaire",IF(Q165&gt;=40,"15 min – personne de garde","Selon la route")))</f>
        <v/>
      </c>
      <c r="AX165" s="11">
        <f>IF(A165="","",IF(AT165="A",400,IF(AT165="B",150,0)))</f>
        <v/>
      </c>
      <c r="AY165" s="11">
        <f>IF(A165="","",IF(AV165=1,N(V165),IF(N(U165)&gt;0,ROUND(N(U165)*IFERROR(VLOOKUP(R165,Listes!$AE$3:$AG$12,2,FALSE),0),0),0)))</f>
        <v/>
      </c>
      <c r="AZ165" s="7">
        <f>IF(LEFT(A165,7)="EXEMPLE",1,0)</f>
        <v/>
      </c>
      <c r="BA165" s="7">
        <f>IF(AND(AV165=1,AZ165=0,AC165&lt;&gt;"",W165&lt;&gt;"",N(V165)&gt;0),COUNTIFS($AV$3:AV165,1,$AZ$3:AZ165,0,$AC$3:AC165,"&lt;&gt;",$W$3:W165,"&lt;&gt;",$V$3:V165,"&gt;0"),"")</f>
        <v/>
      </c>
    </row>
    <row r="166">
      <c r="A166" s="12" t="n"/>
      <c r="B166" s="13" t="n"/>
      <c r="C166" s="13" t="n"/>
      <c r="D166" s="7">
        <f>IF(OR(B166="",C166=""),"",ROUND((C166-B166)*1440,0))</f>
        <v/>
      </c>
      <c r="E166" s="12" t="n"/>
      <c r="F166" s="12" t="n"/>
      <c r="G166" s="12" t="n"/>
      <c r="H166" s="12" t="n"/>
      <c r="I166" s="12" t="n"/>
      <c r="J166" s="12" t="n"/>
      <c r="K166" s="12" t="n"/>
      <c r="L166" s="14" t="n"/>
      <c r="M166" s="12" t="n"/>
      <c r="N166" s="12" t="n"/>
      <c r="O166" s="12" t="n"/>
      <c r="P166" s="12" t="n"/>
      <c r="Q166" s="7">
        <f>IF(A166="","",IFERROR(VLOOKUP(O166,Listes!$R$3:$T$8,2,FALSE),0)+IFERROR(VLOOKUP(J166,Listes!$J$3:$L$6,2,FALSE),0)+IFERROR(VLOOKUP(N166,Listes!$N$3:$P$6,2,FALSE),0)+IF(OR(L166="",B166=""),0,IF(L166-INT(B166)&lt;10,8,IF(L166-INT(B166)&lt;=90,10,5)))+IFERROR(VLOOKUP(AN166,Listes!$V$3:$W$5,2,FALSE),0)+IFERROR(VLOOKUP(AO166,Listes!$Y$3:$Z$5,2,FALSE),0))</f>
        <v/>
      </c>
      <c r="R166" s="12" t="n"/>
      <c r="S166" s="12" t="n"/>
      <c r="T166" s="12" t="n"/>
      <c r="U166" s="15" t="n"/>
      <c r="V166" s="15" t="n"/>
      <c r="W166" s="13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3" t="n"/>
      <c r="AK166" s="12" t="n"/>
      <c r="AL166" s="12" t="n"/>
      <c r="AM166" s="12" t="n"/>
      <c r="AN166" s="12" t="n"/>
      <c r="AO166" s="12" t="n"/>
      <c r="AP166" s="12" t="n"/>
      <c r="AQ166" s="7">
        <f>IF(A166="","",IF(AP166&lt;&gt;"",AP166,IF(LEFT(Z166,11)="gads_marque","Google Search – Marque",IF(LEFT(Z166,12)="gads_mariage","Google Search – Mariage et privé",IF(LEFT(Z166,10)="gads_corpo","Google Search – Corporatif",IF(LEFT(Z166,5)="meta_","Meta – Leads",IF(LEFT(Z166,5)="msft_","Microsoft Ads",IF(LEFT(Z166,8)="chatgpt_","ChatGPT Ads – Test",IF(X166="gbp","Fiche Google (organique)","Autre / non payé")))))))))</f>
        <v/>
      </c>
      <c r="AR166" s="7">
        <f>IF(K166="","",IFERROR(VLOOKUP(K166,Listes!$F$3:$H$8,3,FALSE),""))</f>
        <v/>
      </c>
      <c r="AS166" s="7">
        <f>IF(O166="","",IF(AND(M166="Autre (plus de 40 km)",OR(O166="lt600",O166="600_999",O166="1000_2499")),"D",IF(OR(O166="lt600",AND(O166="600_999",K166&lt;&gt;"mariage",K166&lt;&gt;"prive")),"C",IF(OR(O166="2500_4999",O166="5000p",J166="entreprise",J166="organisme",J166="agence"),"A",IF(OR(O166="1000_2499",O166="600_999"),"B",IF(O166="inconnu",IF(OR(N166="75_149",N166="150p"),"A","B"),""))))))</f>
        <v/>
      </c>
      <c r="AT166" s="7">
        <f>IF(A166="","",IF(P166&lt;&gt;"",P166,AS166))</f>
        <v/>
      </c>
      <c r="AU166" s="7">
        <f>IF(A166="","",IF(OR(AT166="A",AT166="B"),1,0))</f>
        <v/>
      </c>
      <c r="AV166" s="7">
        <f>IF(A166="","",IF(OR(R166="Dépôt payé (gagné)",R166="Événement livré",R166="Avis obtenu"),1,0))</f>
        <v/>
      </c>
      <c r="AW166" s="7">
        <f>IF(A166="","",IF(Q166&gt;70,"Immédiat – propriétaire",IF(Q166&gt;=40,"15 min – personne de garde","Selon la route")))</f>
        <v/>
      </c>
      <c r="AX166" s="11">
        <f>IF(A166="","",IF(AT166="A",400,IF(AT166="B",150,0)))</f>
        <v/>
      </c>
      <c r="AY166" s="11">
        <f>IF(A166="","",IF(AV166=1,N(V166),IF(N(U166)&gt;0,ROUND(N(U166)*IFERROR(VLOOKUP(R166,Listes!$AE$3:$AG$12,2,FALSE),0),0),0)))</f>
        <v/>
      </c>
      <c r="AZ166" s="7">
        <f>IF(LEFT(A166,7)="EXEMPLE",1,0)</f>
        <v/>
      </c>
      <c r="BA166" s="7">
        <f>IF(AND(AV166=1,AZ166=0,AC166&lt;&gt;"",W166&lt;&gt;"",N(V166)&gt;0),COUNTIFS($AV$3:AV166,1,$AZ$3:AZ166,0,$AC$3:AC166,"&lt;&gt;",$W$3:W166,"&lt;&gt;",$V$3:V166,"&gt;0"),"")</f>
        <v/>
      </c>
    </row>
    <row r="167">
      <c r="A167" s="12" t="n"/>
      <c r="B167" s="13" t="n"/>
      <c r="C167" s="13" t="n"/>
      <c r="D167" s="7">
        <f>IF(OR(B167="",C167=""),"",ROUND((C167-B167)*1440,0))</f>
        <v/>
      </c>
      <c r="E167" s="12" t="n"/>
      <c r="F167" s="12" t="n"/>
      <c r="G167" s="12" t="n"/>
      <c r="H167" s="12" t="n"/>
      <c r="I167" s="12" t="n"/>
      <c r="J167" s="12" t="n"/>
      <c r="K167" s="12" t="n"/>
      <c r="L167" s="14" t="n"/>
      <c r="M167" s="12" t="n"/>
      <c r="N167" s="12" t="n"/>
      <c r="O167" s="12" t="n"/>
      <c r="P167" s="12" t="n"/>
      <c r="Q167" s="7">
        <f>IF(A167="","",IFERROR(VLOOKUP(O167,Listes!$R$3:$T$8,2,FALSE),0)+IFERROR(VLOOKUP(J167,Listes!$J$3:$L$6,2,FALSE),0)+IFERROR(VLOOKUP(N167,Listes!$N$3:$P$6,2,FALSE),0)+IF(OR(L167="",B167=""),0,IF(L167-INT(B167)&lt;10,8,IF(L167-INT(B167)&lt;=90,10,5)))+IFERROR(VLOOKUP(AN167,Listes!$V$3:$W$5,2,FALSE),0)+IFERROR(VLOOKUP(AO167,Listes!$Y$3:$Z$5,2,FALSE),0))</f>
        <v/>
      </c>
      <c r="R167" s="12" t="n"/>
      <c r="S167" s="12" t="n"/>
      <c r="T167" s="12" t="n"/>
      <c r="U167" s="15" t="n"/>
      <c r="V167" s="15" t="n"/>
      <c r="W167" s="13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3" t="n"/>
      <c r="AK167" s="12" t="n"/>
      <c r="AL167" s="12" t="n"/>
      <c r="AM167" s="12" t="n"/>
      <c r="AN167" s="12" t="n"/>
      <c r="AO167" s="12" t="n"/>
      <c r="AP167" s="12" t="n"/>
      <c r="AQ167" s="7">
        <f>IF(A167="","",IF(AP167&lt;&gt;"",AP167,IF(LEFT(Z167,11)="gads_marque","Google Search – Marque",IF(LEFT(Z167,12)="gads_mariage","Google Search – Mariage et privé",IF(LEFT(Z167,10)="gads_corpo","Google Search – Corporatif",IF(LEFT(Z167,5)="meta_","Meta – Leads",IF(LEFT(Z167,5)="msft_","Microsoft Ads",IF(LEFT(Z167,8)="chatgpt_","ChatGPT Ads – Test",IF(X167="gbp","Fiche Google (organique)","Autre / non payé")))))))))</f>
        <v/>
      </c>
      <c r="AR167" s="7">
        <f>IF(K167="","",IFERROR(VLOOKUP(K167,Listes!$F$3:$H$8,3,FALSE),""))</f>
        <v/>
      </c>
      <c r="AS167" s="7">
        <f>IF(O167="","",IF(AND(M167="Autre (plus de 40 km)",OR(O167="lt600",O167="600_999",O167="1000_2499")),"D",IF(OR(O167="lt600",AND(O167="600_999",K167&lt;&gt;"mariage",K167&lt;&gt;"prive")),"C",IF(OR(O167="2500_4999",O167="5000p",J167="entreprise",J167="organisme",J167="agence"),"A",IF(OR(O167="1000_2499",O167="600_999"),"B",IF(O167="inconnu",IF(OR(N167="75_149",N167="150p"),"A","B"),""))))))</f>
        <v/>
      </c>
      <c r="AT167" s="7">
        <f>IF(A167="","",IF(P167&lt;&gt;"",P167,AS167))</f>
        <v/>
      </c>
      <c r="AU167" s="7">
        <f>IF(A167="","",IF(OR(AT167="A",AT167="B"),1,0))</f>
        <v/>
      </c>
      <c r="AV167" s="7">
        <f>IF(A167="","",IF(OR(R167="Dépôt payé (gagné)",R167="Événement livré",R167="Avis obtenu"),1,0))</f>
        <v/>
      </c>
      <c r="AW167" s="7">
        <f>IF(A167="","",IF(Q167&gt;70,"Immédiat – propriétaire",IF(Q167&gt;=40,"15 min – personne de garde","Selon la route")))</f>
        <v/>
      </c>
      <c r="AX167" s="11">
        <f>IF(A167="","",IF(AT167="A",400,IF(AT167="B",150,0)))</f>
        <v/>
      </c>
      <c r="AY167" s="11">
        <f>IF(A167="","",IF(AV167=1,N(V167),IF(N(U167)&gt;0,ROUND(N(U167)*IFERROR(VLOOKUP(R167,Listes!$AE$3:$AG$12,2,FALSE),0),0),0)))</f>
        <v/>
      </c>
      <c r="AZ167" s="7">
        <f>IF(LEFT(A167,7)="EXEMPLE",1,0)</f>
        <v/>
      </c>
      <c r="BA167" s="7">
        <f>IF(AND(AV167=1,AZ167=0,AC167&lt;&gt;"",W167&lt;&gt;"",N(V167)&gt;0),COUNTIFS($AV$3:AV167,1,$AZ$3:AZ167,0,$AC$3:AC167,"&lt;&gt;",$W$3:W167,"&lt;&gt;",$V$3:V167,"&gt;0"),"")</f>
        <v/>
      </c>
    </row>
    <row r="168">
      <c r="A168" s="12" t="n"/>
      <c r="B168" s="13" t="n"/>
      <c r="C168" s="13" t="n"/>
      <c r="D168" s="7">
        <f>IF(OR(B168="",C168=""),"",ROUND((C168-B168)*1440,0))</f>
        <v/>
      </c>
      <c r="E168" s="12" t="n"/>
      <c r="F168" s="12" t="n"/>
      <c r="G168" s="12" t="n"/>
      <c r="H168" s="12" t="n"/>
      <c r="I168" s="12" t="n"/>
      <c r="J168" s="12" t="n"/>
      <c r="K168" s="12" t="n"/>
      <c r="L168" s="14" t="n"/>
      <c r="M168" s="12" t="n"/>
      <c r="N168" s="12" t="n"/>
      <c r="O168" s="12" t="n"/>
      <c r="P168" s="12" t="n"/>
      <c r="Q168" s="7">
        <f>IF(A168="","",IFERROR(VLOOKUP(O168,Listes!$R$3:$T$8,2,FALSE),0)+IFERROR(VLOOKUP(J168,Listes!$J$3:$L$6,2,FALSE),0)+IFERROR(VLOOKUP(N168,Listes!$N$3:$P$6,2,FALSE),0)+IF(OR(L168="",B168=""),0,IF(L168-INT(B168)&lt;10,8,IF(L168-INT(B168)&lt;=90,10,5)))+IFERROR(VLOOKUP(AN168,Listes!$V$3:$W$5,2,FALSE),0)+IFERROR(VLOOKUP(AO168,Listes!$Y$3:$Z$5,2,FALSE),0))</f>
        <v/>
      </c>
      <c r="R168" s="12" t="n"/>
      <c r="S168" s="12" t="n"/>
      <c r="T168" s="12" t="n"/>
      <c r="U168" s="15" t="n"/>
      <c r="V168" s="15" t="n"/>
      <c r="W168" s="13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3" t="n"/>
      <c r="AK168" s="12" t="n"/>
      <c r="AL168" s="12" t="n"/>
      <c r="AM168" s="12" t="n"/>
      <c r="AN168" s="12" t="n"/>
      <c r="AO168" s="12" t="n"/>
      <c r="AP168" s="12" t="n"/>
      <c r="AQ168" s="7">
        <f>IF(A168="","",IF(AP168&lt;&gt;"",AP168,IF(LEFT(Z168,11)="gads_marque","Google Search – Marque",IF(LEFT(Z168,12)="gads_mariage","Google Search – Mariage et privé",IF(LEFT(Z168,10)="gads_corpo","Google Search – Corporatif",IF(LEFT(Z168,5)="meta_","Meta – Leads",IF(LEFT(Z168,5)="msft_","Microsoft Ads",IF(LEFT(Z168,8)="chatgpt_","ChatGPT Ads – Test",IF(X168="gbp","Fiche Google (organique)","Autre / non payé")))))))))</f>
        <v/>
      </c>
      <c r="AR168" s="7">
        <f>IF(K168="","",IFERROR(VLOOKUP(K168,Listes!$F$3:$H$8,3,FALSE),""))</f>
        <v/>
      </c>
      <c r="AS168" s="7">
        <f>IF(O168="","",IF(AND(M168="Autre (plus de 40 km)",OR(O168="lt600",O168="600_999",O168="1000_2499")),"D",IF(OR(O168="lt600",AND(O168="600_999",K168&lt;&gt;"mariage",K168&lt;&gt;"prive")),"C",IF(OR(O168="2500_4999",O168="5000p",J168="entreprise",J168="organisme",J168="agence"),"A",IF(OR(O168="1000_2499",O168="600_999"),"B",IF(O168="inconnu",IF(OR(N168="75_149",N168="150p"),"A","B"),""))))))</f>
        <v/>
      </c>
      <c r="AT168" s="7">
        <f>IF(A168="","",IF(P168&lt;&gt;"",P168,AS168))</f>
        <v/>
      </c>
      <c r="AU168" s="7">
        <f>IF(A168="","",IF(OR(AT168="A",AT168="B"),1,0))</f>
        <v/>
      </c>
      <c r="AV168" s="7">
        <f>IF(A168="","",IF(OR(R168="Dépôt payé (gagné)",R168="Événement livré",R168="Avis obtenu"),1,0))</f>
        <v/>
      </c>
      <c r="AW168" s="7">
        <f>IF(A168="","",IF(Q168&gt;70,"Immédiat – propriétaire",IF(Q168&gt;=40,"15 min – personne de garde","Selon la route")))</f>
        <v/>
      </c>
      <c r="AX168" s="11">
        <f>IF(A168="","",IF(AT168="A",400,IF(AT168="B",150,0)))</f>
        <v/>
      </c>
      <c r="AY168" s="11">
        <f>IF(A168="","",IF(AV168=1,N(V168),IF(N(U168)&gt;0,ROUND(N(U168)*IFERROR(VLOOKUP(R168,Listes!$AE$3:$AG$12,2,FALSE),0),0),0)))</f>
        <v/>
      </c>
      <c r="AZ168" s="7">
        <f>IF(LEFT(A168,7)="EXEMPLE",1,0)</f>
        <v/>
      </c>
      <c r="BA168" s="7">
        <f>IF(AND(AV168=1,AZ168=0,AC168&lt;&gt;"",W168&lt;&gt;"",N(V168)&gt;0),COUNTIFS($AV$3:AV168,1,$AZ$3:AZ168,0,$AC$3:AC168,"&lt;&gt;",$W$3:W168,"&lt;&gt;",$V$3:V168,"&gt;0"),"")</f>
        <v/>
      </c>
    </row>
    <row r="169">
      <c r="A169" s="12" t="n"/>
      <c r="B169" s="13" t="n"/>
      <c r="C169" s="13" t="n"/>
      <c r="D169" s="7">
        <f>IF(OR(B169="",C169=""),"",ROUND((C169-B169)*1440,0))</f>
        <v/>
      </c>
      <c r="E169" s="12" t="n"/>
      <c r="F169" s="12" t="n"/>
      <c r="G169" s="12" t="n"/>
      <c r="H169" s="12" t="n"/>
      <c r="I169" s="12" t="n"/>
      <c r="J169" s="12" t="n"/>
      <c r="K169" s="12" t="n"/>
      <c r="L169" s="14" t="n"/>
      <c r="M169" s="12" t="n"/>
      <c r="N169" s="12" t="n"/>
      <c r="O169" s="12" t="n"/>
      <c r="P169" s="12" t="n"/>
      <c r="Q169" s="7">
        <f>IF(A169="","",IFERROR(VLOOKUP(O169,Listes!$R$3:$T$8,2,FALSE),0)+IFERROR(VLOOKUP(J169,Listes!$J$3:$L$6,2,FALSE),0)+IFERROR(VLOOKUP(N169,Listes!$N$3:$P$6,2,FALSE),0)+IF(OR(L169="",B169=""),0,IF(L169-INT(B169)&lt;10,8,IF(L169-INT(B169)&lt;=90,10,5)))+IFERROR(VLOOKUP(AN169,Listes!$V$3:$W$5,2,FALSE),0)+IFERROR(VLOOKUP(AO169,Listes!$Y$3:$Z$5,2,FALSE),0))</f>
        <v/>
      </c>
      <c r="R169" s="12" t="n"/>
      <c r="S169" s="12" t="n"/>
      <c r="T169" s="12" t="n"/>
      <c r="U169" s="15" t="n"/>
      <c r="V169" s="15" t="n"/>
      <c r="W169" s="13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3" t="n"/>
      <c r="AK169" s="12" t="n"/>
      <c r="AL169" s="12" t="n"/>
      <c r="AM169" s="12" t="n"/>
      <c r="AN169" s="12" t="n"/>
      <c r="AO169" s="12" t="n"/>
      <c r="AP169" s="12" t="n"/>
      <c r="AQ169" s="7">
        <f>IF(A169="","",IF(AP169&lt;&gt;"",AP169,IF(LEFT(Z169,11)="gads_marque","Google Search – Marque",IF(LEFT(Z169,12)="gads_mariage","Google Search – Mariage et privé",IF(LEFT(Z169,10)="gads_corpo","Google Search – Corporatif",IF(LEFT(Z169,5)="meta_","Meta – Leads",IF(LEFT(Z169,5)="msft_","Microsoft Ads",IF(LEFT(Z169,8)="chatgpt_","ChatGPT Ads – Test",IF(X169="gbp","Fiche Google (organique)","Autre / non payé")))))))))</f>
        <v/>
      </c>
      <c r="AR169" s="7">
        <f>IF(K169="","",IFERROR(VLOOKUP(K169,Listes!$F$3:$H$8,3,FALSE),""))</f>
        <v/>
      </c>
      <c r="AS169" s="7">
        <f>IF(O169="","",IF(AND(M169="Autre (plus de 40 km)",OR(O169="lt600",O169="600_999",O169="1000_2499")),"D",IF(OR(O169="lt600",AND(O169="600_999",K169&lt;&gt;"mariage",K169&lt;&gt;"prive")),"C",IF(OR(O169="2500_4999",O169="5000p",J169="entreprise",J169="organisme",J169="agence"),"A",IF(OR(O169="1000_2499",O169="600_999"),"B",IF(O169="inconnu",IF(OR(N169="75_149",N169="150p"),"A","B"),""))))))</f>
        <v/>
      </c>
      <c r="AT169" s="7">
        <f>IF(A169="","",IF(P169&lt;&gt;"",P169,AS169))</f>
        <v/>
      </c>
      <c r="AU169" s="7">
        <f>IF(A169="","",IF(OR(AT169="A",AT169="B"),1,0))</f>
        <v/>
      </c>
      <c r="AV169" s="7">
        <f>IF(A169="","",IF(OR(R169="Dépôt payé (gagné)",R169="Événement livré",R169="Avis obtenu"),1,0))</f>
        <v/>
      </c>
      <c r="AW169" s="7">
        <f>IF(A169="","",IF(Q169&gt;70,"Immédiat – propriétaire",IF(Q169&gt;=40,"15 min – personne de garde","Selon la route")))</f>
        <v/>
      </c>
      <c r="AX169" s="11">
        <f>IF(A169="","",IF(AT169="A",400,IF(AT169="B",150,0)))</f>
        <v/>
      </c>
      <c r="AY169" s="11">
        <f>IF(A169="","",IF(AV169=1,N(V169),IF(N(U169)&gt;0,ROUND(N(U169)*IFERROR(VLOOKUP(R169,Listes!$AE$3:$AG$12,2,FALSE),0),0),0)))</f>
        <v/>
      </c>
      <c r="AZ169" s="7">
        <f>IF(LEFT(A169,7)="EXEMPLE",1,0)</f>
        <v/>
      </c>
      <c r="BA169" s="7">
        <f>IF(AND(AV169=1,AZ169=0,AC169&lt;&gt;"",W169&lt;&gt;"",N(V169)&gt;0),COUNTIFS($AV$3:AV169,1,$AZ$3:AZ169,0,$AC$3:AC169,"&lt;&gt;",$W$3:W169,"&lt;&gt;",$V$3:V169,"&gt;0"),"")</f>
        <v/>
      </c>
    </row>
    <row r="170">
      <c r="A170" s="12" t="n"/>
      <c r="B170" s="13" t="n"/>
      <c r="C170" s="13" t="n"/>
      <c r="D170" s="7">
        <f>IF(OR(B170="",C170=""),"",ROUND((C170-B170)*1440,0))</f>
        <v/>
      </c>
      <c r="E170" s="12" t="n"/>
      <c r="F170" s="12" t="n"/>
      <c r="G170" s="12" t="n"/>
      <c r="H170" s="12" t="n"/>
      <c r="I170" s="12" t="n"/>
      <c r="J170" s="12" t="n"/>
      <c r="K170" s="12" t="n"/>
      <c r="L170" s="14" t="n"/>
      <c r="M170" s="12" t="n"/>
      <c r="N170" s="12" t="n"/>
      <c r="O170" s="12" t="n"/>
      <c r="P170" s="12" t="n"/>
      <c r="Q170" s="7">
        <f>IF(A170="","",IFERROR(VLOOKUP(O170,Listes!$R$3:$T$8,2,FALSE),0)+IFERROR(VLOOKUP(J170,Listes!$J$3:$L$6,2,FALSE),0)+IFERROR(VLOOKUP(N170,Listes!$N$3:$P$6,2,FALSE),0)+IF(OR(L170="",B170=""),0,IF(L170-INT(B170)&lt;10,8,IF(L170-INT(B170)&lt;=90,10,5)))+IFERROR(VLOOKUP(AN170,Listes!$V$3:$W$5,2,FALSE),0)+IFERROR(VLOOKUP(AO170,Listes!$Y$3:$Z$5,2,FALSE),0))</f>
        <v/>
      </c>
      <c r="R170" s="12" t="n"/>
      <c r="S170" s="12" t="n"/>
      <c r="T170" s="12" t="n"/>
      <c r="U170" s="15" t="n"/>
      <c r="V170" s="15" t="n"/>
      <c r="W170" s="13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3" t="n"/>
      <c r="AK170" s="12" t="n"/>
      <c r="AL170" s="12" t="n"/>
      <c r="AM170" s="12" t="n"/>
      <c r="AN170" s="12" t="n"/>
      <c r="AO170" s="12" t="n"/>
      <c r="AP170" s="12" t="n"/>
      <c r="AQ170" s="7">
        <f>IF(A170="","",IF(AP170&lt;&gt;"",AP170,IF(LEFT(Z170,11)="gads_marque","Google Search – Marque",IF(LEFT(Z170,12)="gads_mariage","Google Search – Mariage et privé",IF(LEFT(Z170,10)="gads_corpo","Google Search – Corporatif",IF(LEFT(Z170,5)="meta_","Meta – Leads",IF(LEFT(Z170,5)="msft_","Microsoft Ads",IF(LEFT(Z170,8)="chatgpt_","ChatGPT Ads – Test",IF(X170="gbp","Fiche Google (organique)","Autre / non payé")))))))))</f>
        <v/>
      </c>
      <c r="AR170" s="7">
        <f>IF(K170="","",IFERROR(VLOOKUP(K170,Listes!$F$3:$H$8,3,FALSE),""))</f>
        <v/>
      </c>
      <c r="AS170" s="7">
        <f>IF(O170="","",IF(AND(M170="Autre (plus de 40 km)",OR(O170="lt600",O170="600_999",O170="1000_2499")),"D",IF(OR(O170="lt600",AND(O170="600_999",K170&lt;&gt;"mariage",K170&lt;&gt;"prive")),"C",IF(OR(O170="2500_4999",O170="5000p",J170="entreprise",J170="organisme",J170="agence"),"A",IF(OR(O170="1000_2499",O170="600_999"),"B",IF(O170="inconnu",IF(OR(N170="75_149",N170="150p"),"A","B"),""))))))</f>
        <v/>
      </c>
      <c r="AT170" s="7">
        <f>IF(A170="","",IF(P170&lt;&gt;"",P170,AS170))</f>
        <v/>
      </c>
      <c r="AU170" s="7">
        <f>IF(A170="","",IF(OR(AT170="A",AT170="B"),1,0))</f>
        <v/>
      </c>
      <c r="AV170" s="7">
        <f>IF(A170="","",IF(OR(R170="Dépôt payé (gagné)",R170="Événement livré",R170="Avis obtenu"),1,0))</f>
        <v/>
      </c>
      <c r="AW170" s="7">
        <f>IF(A170="","",IF(Q170&gt;70,"Immédiat – propriétaire",IF(Q170&gt;=40,"15 min – personne de garde","Selon la route")))</f>
        <v/>
      </c>
      <c r="AX170" s="11">
        <f>IF(A170="","",IF(AT170="A",400,IF(AT170="B",150,0)))</f>
        <v/>
      </c>
      <c r="AY170" s="11">
        <f>IF(A170="","",IF(AV170=1,N(V170),IF(N(U170)&gt;0,ROUND(N(U170)*IFERROR(VLOOKUP(R170,Listes!$AE$3:$AG$12,2,FALSE),0),0),0)))</f>
        <v/>
      </c>
      <c r="AZ170" s="7">
        <f>IF(LEFT(A170,7)="EXEMPLE",1,0)</f>
        <v/>
      </c>
      <c r="BA170" s="7">
        <f>IF(AND(AV170=1,AZ170=0,AC170&lt;&gt;"",W170&lt;&gt;"",N(V170)&gt;0),COUNTIFS($AV$3:AV170,1,$AZ$3:AZ170,0,$AC$3:AC170,"&lt;&gt;",$W$3:W170,"&lt;&gt;",$V$3:V170,"&gt;0"),"")</f>
        <v/>
      </c>
    </row>
    <row r="171">
      <c r="A171" s="12" t="n"/>
      <c r="B171" s="13" t="n"/>
      <c r="C171" s="13" t="n"/>
      <c r="D171" s="7">
        <f>IF(OR(B171="",C171=""),"",ROUND((C171-B171)*1440,0))</f>
        <v/>
      </c>
      <c r="E171" s="12" t="n"/>
      <c r="F171" s="12" t="n"/>
      <c r="G171" s="12" t="n"/>
      <c r="H171" s="12" t="n"/>
      <c r="I171" s="12" t="n"/>
      <c r="J171" s="12" t="n"/>
      <c r="K171" s="12" t="n"/>
      <c r="L171" s="14" t="n"/>
      <c r="M171" s="12" t="n"/>
      <c r="N171" s="12" t="n"/>
      <c r="O171" s="12" t="n"/>
      <c r="P171" s="12" t="n"/>
      <c r="Q171" s="7">
        <f>IF(A171="","",IFERROR(VLOOKUP(O171,Listes!$R$3:$T$8,2,FALSE),0)+IFERROR(VLOOKUP(J171,Listes!$J$3:$L$6,2,FALSE),0)+IFERROR(VLOOKUP(N171,Listes!$N$3:$P$6,2,FALSE),0)+IF(OR(L171="",B171=""),0,IF(L171-INT(B171)&lt;10,8,IF(L171-INT(B171)&lt;=90,10,5)))+IFERROR(VLOOKUP(AN171,Listes!$V$3:$W$5,2,FALSE),0)+IFERROR(VLOOKUP(AO171,Listes!$Y$3:$Z$5,2,FALSE),0))</f>
        <v/>
      </c>
      <c r="R171" s="12" t="n"/>
      <c r="S171" s="12" t="n"/>
      <c r="T171" s="12" t="n"/>
      <c r="U171" s="15" t="n"/>
      <c r="V171" s="15" t="n"/>
      <c r="W171" s="13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3" t="n"/>
      <c r="AK171" s="12" t="n"/>
      <c r="AL171" s="12" t="n"/>
      <c r="AM171" s="12" t="n"/>
      <c r="AN171" s="12" t="n"/>
      <c r="AO171" s="12" t="n"/>
      <c r="AP171" s="12" t="n"/>
      <c r="AQ171" s="7">
        <f>IF(A171="","",IF(AP171&lt;&gt;"",AP171,IF(LEFT(Z171,11)="gads_marque","Google Search – Marque",IF(LEFT(Z171,12)="gads_mariage","Google Search – Mariage et privé",IF(LEFT(Z171,10)="gads_corpo","Google Search – Corporatif",IF(LEFT(Z171,5)="meta_","Meta – Leads",IF(LEFT(Z171,5)="msft_","Microsoft Ads",IF(LEFT(Z171,8)="chatgpt_","ChatGPT Ads – Test",IF(X171="gbp","Fiche Google (organique)","Autre / non payé")))))))))</f>
        <v/>
      </c>
      <c r="AR171" s="7">
        <f>IF(K171="","",IFERROR(VLOOKUP(K171,Listes!$F$3:$H$8,3,FALSE),""))</f>
        <v/>
      </c>
      <c r="AS171" s="7">
        <f>IF(O171="","",IF(AND(M171="Autre (plus de 40 km)",OR(O171="lt600",O171="600_999",O171="1000_2499")),"D",IF(OR(O171="lt600",AND(O171="600_999",K171&lt;&gt;"mariage",K171&lt;&gt;"prive")),"C",IF(OR(O171="2500_4999",O171="5000p",J171="entreprise",J171="organisme",J171="agence"),"A",IF(OR(O171="1000_2499",O171="600_999"),"B",IF(O171="inconnu",IF(OR(N171="75_149",N171="150p"),"A","B"),""))))))</f>
        <v/>
      </c>
      <c r="AT171" s="7">
        <f>IF(A171="","",IF(P171&lt;&gt;"",P171,AS171))</f>
        <v/>
      </c>
      <c r="AU171" s="7">
        <f>IF(A171="","",IF(OR(AT171="A",AT171="B"),1,0))</f>
        <v/>
      </c>
      <c r="AV171" s="7">
        <f>IF(A171="","",IF(OR(R171="Dépôt payé (gagné)",R171="Événement livré",R171="Avis obtenu"),1,0))</f>
        <v/>
      </c>
      <c r="AW171" s="7">
        <f>IF(A171="","",IF(Q171&gt;70,"Immédiat – propriétaire",IF(Q171&gt;=40,"15 min – personne de garde","Selon la route")))</f>
        <v/>
      </c>
      <c r="AX171" s="11">
        <f>IF(A171="","",IF(AT171="A",400,IF(AT171="B",150,0)))</f>
        <v/>
      </c>
      <c r="AY171" s="11">
        <f>IF(A171="","",IF(AV171=1,N(V171),IF(N(U171)&gt;0,ROUND(N(U171)*IFERROR(VLOOKUP(R171,Listes!$AE$3:$AG$12,2,FALSE),0),0),0)))</f>
        <v/>
      </c>
      <c r="AZ171" s="7">
        <f>IF(LEFT(A171,7)="EXEMPLE",1,0)</f>
        <v/>
      </c>
      <c r="BA171" s="7">
        <f>IF(AND(AV171=1,AZ171=0,AC171&lt;&gt;"",W171&lt;&gt;"",N(V171)&gt;0),COUNTIFS($AV$3:AV171,1,$AZ$3:AZ171,0,$AC$3:AC171,"&lt;&gt;",$W$3:W171,"&lt;&gt;",$V$3:V171,"&gt;0"),"")</f>
        <v/>
      </c>
    </row>
    <row r="172">
      <c r="A172" s="12" t="n"/>
      <c r="B172" s="13" t="n"/>
      <c r="C172" s="13" t="n"/>
      <c r="D172" s="7">
        <f>IF(OR(B172="",C172=""),"",ROUND((C172-B172)*1440,0))</f>
        <v/>
      </c>
      <c r="E172" s="12" t="n"/>
      <c r="F172" s="12" t="n"/>
      <c r="G172" s="12" t="n"/>
      <c r="H172" s="12" t="n"/>
      <c r="I172" s="12" t="n"/>
      <c r="J172" s="12" t="n"/>
      <c r="K172" s="12" t="n"/>
      <c r="L172" s="14" t="n"/>
      <c r="M172" s="12" t="n"/>
      <c r="N172" s="12" t="n"/>
      <c r="O172" s="12" t="n"/>
      <c r="P172" s="12" t="n"/>
      <c r="Q172" s="7">
        <f>IF(A172="","",IFERROR(VLOOKUP(O172,Listes!$R$3:$T$8,2,FALSE),0)+IFERROR(VLOOKUP(J172,Listes!$J$3:$L$6,2,FALSE),0)+IFERROR(VLOOKUP(N172,Listes!$N$3:$P$6,2,FALSE),0)+IF(OR(L172="",B172=""),0,IF(L172-INT(B172)&lt;10,8,IF(L172-INT(B172)&lt;=90,10,5)))+IFERROR(VLOOKUP(AN172,Listes!$V$3:$W$5,2,FALSE),0)+IFERROR(VLOOKUP(AO172,Listes!$Y$3:$Z$5,2,FALSE),0))</f>
        <v/>
      </c>
      <c r="R172" s="12" t="n"/>
      <c r="S172" s="12" t="n"/>
      <c r="T172" s="12" t="n"/>
      <c r="U172" s="15" t="n"/>
      <c r="V172" s="15" t="n"/>
      <c r="W172" s="13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3" t="n"/>
      <c r="AK172" s="12" t="n"/>
      <c r="AL172" s="12" t="n"/>
      <c r="AM172" s="12" t="n"/>
      <c r="AN172" s="12" t="n"/>
      <c r="AO172" s="12" t="n"/>
      <c r="AP172" s="12" t="n"/>
      <c r="AQ172" s="7">
        <f>IF(A172="","",IF(AP172&lt;&gt;"",AP172,IF(LEFT(Z172,11)="gads_marque","Google Search – Marque",IF(LEFT(Z172,12)="gads_mariage","Google Search – Mariage et privé",IF(LEFT(Z172,10)="gads_corpo","Google Search – Corporatif",IF(LEFT(Z172,5)="meta_","Meta – Leads",IF(LEFT(Z172,5)="msft_","Microsoft Ads",IF(LEFT(Z172,8)="chatgpt_","ChatGPT Ads – Test",IF(X172="gbp","Fiche Google (organique)","Autre / non payé")))))))))</f>
        <v/>
      </c>
      <c r="AR172" s="7">
        <f>IF(K172="","",IFERROR(VLOOKUP(K172,Listes!$F$3:$H$8,3,FALSE),""))</f>
        <v/>
      </c>
      <c r="AS172" s="7">
        <f>IF(O172="","",IF(AND(M172="Autre (plus de 40 km)",OR(O172="lt600",O172="600_999",O172="1000_2499")),"D",IF(OR(O172="lt600",AND(O172="600_999",K172&lt;&gt;"mariage",K172&lt;&gt;"prive")),"C",IF(OR(O172="2500_4999",O172="5000p",J172="entreprise",J172="organisme",J172="agence"),"A",IF(OR(O172="1000_2499",O172="600_999"),"B",IF(O172="inconnu",IF(OR(N172="75_149",N172="150p"),"A","B"),""))))))</f>
        <v/>
      </c>
      <c r="AT172" s="7">
        <f>IF(A172="","",IF(P172&lt;&gt;"",P172,AS172))</f>
        <v/>
      </c>
      <c r="AU172" s="7">
        <f>IF(A172="","",IF(OR(AT172="A",AT172="B"),1,0))</f>
        <v/>
      </c>
      <c r="AV172" s="7">
        <f>IF(A172="","",IF(OR(R172="Dépôt payé (gagné)",R172="Événement livré",R172="Avis obtenu"),1,0))</f>
        <v/>
      </c>
      <c r="AW172" s="7">
        <f>IF(A172="","",IF(Q172&gt;70,"Immédiat – propriétaire",IF(Q172&gt;=40,"15 min – personne de garde","Selon la route")))</f>
        <v/>
      </c>
      <c r="AX172" s="11">
        <f>IF(A172="","",IF(AT172="A",400,IF(AT172="B",150,0)))</f>
        <v/>
      </c>
      <c r="AY172" s="11">
        <f>IF(A172="","",IF(AV172=1,N(V172),IF(N(U172)&gt;0,ROUND(N(U172)*IFERROR(VLOOKUP(R172,Listes!$AE$3:$AG$12,2,FALSE),0),0),0)))</f>
        <v/>
      </c>
      <c r="AZ172" s="7">
        <f>IF(LEFT(A172,7)="EXEMPLE",1,0)</f>
        <v/>
      </c>
      <c r="BA172" s="7">
        <f>IF(AND(AV172=1,AZ172=0,AC172&lt;&gt;"",W172&lt;&gt;"",N(V172)&gt;0),COUNTIFS($AV$3:AV172,1,$AZ$3:AZ172,0,$AC$3:AC172,"&lt;&gt;",$W$3:W172,"&lt;&gt;",$V$3:V172,"&gt;0"),"")</f>
        <v/>
      </c>
    </row>
    <row r="173">
      <c r="A173" s="12" t="n"/>
      <c r="B173" s="13" t="n"/>
      <c r="C173" s="13" t="n"/>
      <c r="D173" s="7">
        <f>IF(OR(B173="",C173=""),"",ROUND((C173-B173)*1440,0))</f>
        <v/>
      </c>
      <c r="E173" s="12" t="n"/>
      <c r="F173" s="12" t="n"/>
      <c r="G173" s="12" t="n"/>
      <c r="H173" s="12" t="n"/>
      <c r="I173" s="12" t="n"/>
      <c r="J173" s="12" t="n"/>
      <c r="K173" s="12" t="n"/>
      <c r="L173" s="14" t="n"/>
      <c r="M173" s="12" t="n"/>
      <c r="N173" s="12" t="n"/>
      <c r="O173" s="12" t="n"/>
      <c r="P173" s="12" t="n"/>
      <c r="Q173" s="7">
        <f>IF(A173="","",IFERROR(VLOOKUP(O173,Listes!$R$3:$T$8,2,FALSE),0)+IFERROR(VLOOKUP(J173,Listes!$J$3:$L$6,2,FALSE),0)+IFERROR(VLOOKUP(N173,Listes!$N$3:$P$6,2,FALSE),0)+IF(OR(L173="",B173=""),0,IF(L173-INT(B173)&lt;10,8,IF(L173-INT(B173)&lt;=90,10,5)))+IFERROR(VLOOKUP(AN173,Listes!$V$3:$W$5,2,FALSE),0)+IFERROR(VLOOKUP(AO173,Listes!$Y$3:$Z$5,2,FALSE),0))</f>
        <v/>
      </c>
      <c r="R173" s="12" t="n"/>
      <c r="S173" s="12" t="n"/>
      <c r="T173" s="12" t="n"/>
      <c r="U173" s="15" t="n"/>
      <c r="V173" s="15" t="n"/>
      <c r="W173" s="13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3" t="n"/>
      <c r="AK173" s="12" t="n"/>
      <c r="AL173" s="12" t="n"/>
      <c r="AM173" s="12" t="n"/>
      <c r="AN173" s="12" t="n"/>
      <c r="AO173" s="12" t="n"/>
      <c r="AP173" s="12" t="n"/>
      <c r="AQ173" s="7">
        <f>IF(A173="","",IF(AP173&lt;&gt;"",AP173,IF(LEFT(Z173,11)="gads_marque","Google Search – Marque",IF(LEFT(Z173,12)="gads_mariage","Google Search – Mariage et privé",IF(LEFT(Z173,10)="gads_corpo","Google Search – Corporatif",IF(LEFT(Z173,5)="meta_","Meta – Leads",IF(LEFT(Z173,5)="msft_","Microsoft Ads",IF(LEFT(Z173,8)="chatgpt_","ChatGPT Ads – Test",IF(X173="gbp","Fiche Google (organique)","Autre / non payé")))))))))</f>
        <v/>
      </c>
      <c r="AR173" s="7">
        <f>IF(K173="","",IFERROR(VLOOKUP(K173,Listes!$F$3:$H$8,3,FALSE),""))</f>
        <v/>
      </c>
      <c r="AS173" s="7">
        <f>IF(O173="","",IF(AND(M173="Autre (plus de 40 km)",OR(O173="lt600",O173="600_999",O173="1000_2499")),"D",IF(OR(O173="lt600",AND(O173="600_999",K173&lt;&gt;"mariage",K173&lt;&gt;"prive")),"C",IF(OR(O173="2500_4999",O173="5000p",J173="entreprise",J173="organisme",J173="agence"),"A",IF(OR(O173="1000_2499",O173="600_999"),"B",IF(O173="inconnu",IF(OR(N173="75_149",N173="150p"),"A","B"),""))))))</f>
        <v/>
      </c>
      <c r="AT173" s="7">
        <f>IF(A173="","",IF(P173&lt;&gt;"",P173,AS173))</f>
        <v/>
      </c>
      <c r="AU173" s="7">
        <f>IF(A173="","",IF(OR(AT173="A",AT173="B"),1,0))</f>
        <v/>
      </c>
      <c r="AV173" s="7">
        <f>IF(A173="","",IF(OR(R173="Dépôt payé (gagné)",R173="Événement livré",R173="Avis obtenu"),1,0))</f>
        <v/>
      </c>
      <c r="AW173" s="7">
        <f>IF(A173="","",IF(Q173&gt;70,"Immédiat – propriétaire",IF(Q173&gt;=40,"15 min – personne de garde","Selon la route")))</f>
        <v/>
      </c>
      <c r="AX173" s="11">
        <f>IF(A173="","",IF(AT173="A",400,IF(AT173="B",150,0)))</f>
        <v/>
      </c>
      <c r="AY173" s="11">
        <f>IF(A173="","",IF(AV173=1,N(V173),IF(N(U173)&gt;0,ROUND(N(U173)*IFERROR(VLOOKUP(R173,Listes!$AE$3:$AG$12,2,FALSE),0),0),0)))</f>
        <v/>
      </c>
      <c r="AZ173" s="7">
        <f>IF(LEFT(A173,7)="EXEMPLE",1,0)</f>
        <v/>
      </c>
      <c r="BA173" s="7">
        <f>IF(AND(AV173=1,AZ173=0,AC173&lt;&gt;"",W173&lt;&gt;"",N(V173)&gt;0),COUNTIFS($AV$3:AV173,1,$AZ$3:AZ173,0,$AC$3:AC173,"&lt;&gt;",$W$3:W173,"&lt;&gt;",$V$3:V173,"&gt;0"),"")</f>
        <v/>
      </c>
    </row>
    <row r="174">
      <c r="A174" s="12" t="n"/>
      <c r="B174" s="13" t="n"/>
      <c r="C174" s="13" t="n"/>
      <c r="D174" s="7">
        <f>IF(OR(B174="",C174=""),"",ROUND((C174-B174)*1440,0))</f>
        <v/>
      </c>
      <c r="E174" s="12" t="n"/>
      <c r="F174" s="12" t="n"/>
      <c r="G174" s="12" t="n"/>
      <c r="H174" s="12" t="n"/>
      <c r="I174" s="12" t="n"/>
      <c r="J174" s="12" t="n"/>
      <c r="K174" s="12" t="n"/>
      <c r="L174" s="14" t="n"/>
      <c r="M174" s="12" t="n"/>
      <c r="N174" s="12" t="n"/>
      <c r="O174" s="12" t="n"/>
      <c r="P174" s="12" t="n"/>
      <c r="Q174" s="7">
        <f>IF(A174="","",IFERROR(VLOOKUP(O174,Listes!$R$3:$T$8,2,FALSE),0)+IFERROR(VLOOKUP(J174,Listes!$J$3:$L$6,2,FALSE),0)+IFERROR(VLOOKUP(N174,Listes!$N$3:$P$6,2,FALSE),0)+IF(OR(L174="",B174=""),0,IF(L174-INT(B174)&lt;10,8,IF(L174-INT(B174)&lt;=90,10,5)))+IFERROR(VLOOKUP(AN174,Listes!$V$3:$W$5,2,FALSE),0)+IFERROR(VLOOKUP(AO174,Listes!$Y$3:$Z$5,2,FALSE),0))</f>
        <v/>
      </c>
      <c r="R174" s="12" t="n"/>
      <c r="S174" s="12" t="n"/>
      <c r="T174" s="12" t="n"/>
      <c r="U174" s="15" t="n"/>
      <c r="V174" s="15" t="n"/>
      <c r="W174" s="13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3" t="n"/>
      <c r="AK174" s="12" t="n"/>
      <c r="AL174" s="12" t="n"/>
      <c r="AM174" s="12" t="n"/>
      <c r="AN174" s="12" t="n"/>
      <c r="AO174" s="12" t="n"/>
      <c r="AP174" s="12" t="n"/>
      <c r="AQ174" s="7">
        <f>IF(A174="","",IF(AP174&lt;&gt;"",AP174,IF(LEFT(Z174,11)="gads_marque","Google Search – Marque",IF(LEFT(Z174,12)="gads_mariage","Google Search – Mariage et privé",IF(LEFT(Z174,10)="gads_corpo","Google Search – Corporatif",IF(LEFT(Z174,5)="meta_","Meta – Leads",IF(LEFT(Z174,5)="msft_","Microsoft Ads",IF(LEFT(Z174,8)="chatgpt_","ChatGPT Ads – Test",IF(X174="gbp","Fiche Google (organique)","Autre / non payé")))))))))</f>
        <v/>
      </c>
      <c r="AR174" s="7">
        <f>IF(K174="","",IFERROR(VLOOKUP(K174,Listes!$F$3:$H$8,3,FALSE),""))</f>
        <v/>
      </c>
      <c r="AS174" s="7">
        <f>IF(O174="","",IF(AND(M174="Autre (plus de 40 km)",OR(O174="lt600",O174="600_999",O174="1000_2499")),"D",IF(OR(O174="lt600",AND(O174="600_999",K174&lt;&gt;"mariage",K174&lt;&gt;"prive")),"C",IF(OR(O174="2500_4999",O174="5000p",J174="entreprise",J174="organisme",J174="agence"),"A",IF(OR(O174="1000_2499",O174="600_999"),"B",IF(O174="inconnu",IF(OR(N174="75_149",N174="150p"),"A","B"),""))))))</f>
        <v/>
      </c>
      <c r="AT174" s="7">
        <f>IF(A174="","",IF(P174&lt;&gt;"",P174,AS174))</f>
        <v/>
      </c>
      <c r="AU174" s="7">
        <f>IF(A174="","",IF(OR(AT174="A",AT174="B"),1,0))</f>
        <v/>
      </c>
      <c r="AV174" s="7">
        <f>IF(A174="","",IF(OR(R174="Dépôt payé (gagné)",R174="Événement livré",R174="Avis obtenu"),1,0))</f>
        <v/>
      </c>
      <c r="AW174" s="7">
        <f>IF(A174="","",IF(Q174&gt;70,"Immédiat – propriétaire",IF(Q174&gt;=40,"15 min – personne de garde","Selon la route")))</f>
        <v/>
      </c>
      <c r="AX174" s="11">
        <f>IF(A174="","",IF(AT174="A",400,IF(AT174="B",150,0)))</f>
        <v/>
      </c>
      <c r="AY174" s="11">
        <f>IF(A174="","",IF(AV174=1,N(V174),IF(N(U174)&gt;0,ROUND(N(U174)*IFERROR(VLOOKUP(R174,Listes!$AE$3:$AG$12,2,FALSE),0),0),0)))</f>
        <v/>
      </c>
      <c r="AZ174" s="7">
        <f>IF(LEFT(A174,7)="EXEMPLE",1,0)</f>
        <v/>
      </c>
      <c r="BA174" s="7">
        <f>IF(AND(AV174=1,AZ174=0,AC174&lt;&gt;"",W174&lt;&gt;"",N(V174)&gt;0),COUNTIFS($AV$3:AV174,1,$AZ$3:AZ174,0,$AC$3:AC174,"&lt;&gt;",$W$3:W174,"&lt;&gt;",$V$3:V174,"&gt;0"),"")</f>
        <v/>
      </c>
    </row>
    <row r="175">
      <c r="A175" s="12" t="n"/>
      <c r="B175" s="13" t="n"/>
      <c r="C175" s="13" t="n"/>
      <c r="D175" s="7">
        <f>IF(OR(B175="",C175=""),"",ROUND((C175-B175)*1440,0))</f>
        <v/>
      </c>
      <c r="E175" s="12" t="n"/>
      <c r="F175" s="12" t="n"/>
      <c r="G175" s="12" t="n"/>
      <c r="H175" s="12" t="n"/>
      <c r="I175" s="12" t="n"/>
      <c r="J175" s="12" t="n"/>
      <c r="K175" s="12" t="n"/>
      <c r="L175" s="14" t="n"/>
      <c r="M175" s="12" t="n"/>
      <c r="N175" s="12" t="n"/>
      <c r="O175" s="12" t="n"/>
      <c r="P175" s="12" t="n"/>
      <c r="Q175" s="7">
        <f>IF(A175="","",IFERROR(VLOOKUP(O175,Listes!$R$3:$T$8,2,FALSE),0)+IFERROR(VLOOKUP(J175,Listes!$J$3:$L$6,2,FALSE),0)+IFERROR(VLOOKUP(N175,Listes!$N$3:$P$6,2,FALSE),0)+IF(OR(L175="",B175=""),0,IF(L175-INT(B175)&lt;10,8,IF(L175-INT(B175)&lt;=90,10,5)))+IFERROR(VLOOKUP(AN175,Listes!$V$3:$W$5,2,FALSE),0)+IFERROR(VLOOKUP(AO175,Listes!$Y$3:$Z$5,2,FALSE),0))</f>
        <v/>
      </c>
      <c r="R175" s="12" t="n"/>
      <c r="S175" s="12" t="n"/>
      <c r="T175" s="12" t="n"/>
      <c r="U175" s="15" t="n"/>
      <c r="V175" s="15" t="n"/>
      <c r="W175" s="13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3" t="n"/>
      <c r="AK175" s="12" t="n"/>
      <c r="AL175" s="12" t="n"/>
      <c r="AM175" s="12" t="n"/>
      <c r="AN175" s="12" t="n"/>
      <c r="AO175" s="12" t="n"/>
      <c r="AP175" s="12" t="n"/>
      <c r="AQ175" s="7">
        <f>IF(A175="","",IF(AP175&lt;&gt;"",AP175,IF(LEFT(Z175,11)="gads_marque","Google Search – Marque",IF(LEFT(Z175,12)="gads_mariage","Google Search – Mariage et privé",IF(LEFT(Z175,10)="gads_corpo","Google Search – Corporatif",IF(LEFT(Z175,5)="meta_","Meta – Leads",IF(LEFT(Z175,5)="msft_","Microsoft Ads",IF(LEFT(Z175,8)="chatgpt_","ChatGPT Ads – Test",IF(X175="gbp","Fiche Google (organique)","Autre / non payé")))))))))</f>
        <v/>
      </c>
      <c r="AR175" s="7">
        <f>IF(K175="","",IFERROR(VLOOKUP(K175,Listes!$F$3:$H$8,3,FALSE),""))</f>
        <v/>
      </c>
      <c r="AS175" s="7">
        <f>IF(O175="","",IF(AND(M175="Autre (plus de 40 km)",OR(O175="lt600",O175="600_999",O175="1000_2499")),"D",IF(OR(O175="lt600",AND(O175="600_999",K175&lt;&gt;"mariage",K175&lt;&gt;"prive")),"C",IF(OR(O175="2500_4999",O175="5000p",J175="entreprise",J175="organisme",J175="agence"),"A",IF(OR(O175="1000_2499",O175="600_999"),"B",IF(O175="inconnu",IF(OR(N175="75_149",N175="150p"),"A","B"),""))))))</f>
        <v/>
      </c>
      <c r="AT175" s="7">
        <f>IF(A175="","",IF(P175&lt;&gt;"",P175,AS175))</f>
        <v/>
      </c>
      <c r="AU175" s="7">
        <f>IF(A175="","",IF(OR(AT175="A",AT175="B"),1,0))</f>
        <v/>
      </c>
      <c r="AV175" s="7">
        <f>IF(A175="","",IF(OR(R175="Dépôt payé (gagné)",R175="Événement livré",R175="Avis obtenu"),1,0))</f>
        <v/>
      </c>
      <c r="AW175" s="7">
        <f>IF(A175="","",IF(Q175&gt;70,"Immédiat – propriétaire",IF(Q175&gt;=40,"15 min – personne de garde","Selon la route")))</f>
        <v/>
      </c>
      <c r="AX175" s="11">
        <f>IF(A175="","",IF(AT175="A",400,IF(AT175="B",150,0)))</f>
        <v/>
      </c>
      <c r="AY175" s="11">
        <f>IF(A175="","",IF(AV175=1,N(V175),IF(N(U175)&gt;0,ROUND(N(U175)*IFERROR(VLOOKUP(R175,Listes!$AE$3:$AG$12,2,FALSE),0),0),0)))</f>
        <v/>
      </c>
      <c r="AZ175" s="7">
        <f>IF(LEFT(A175,7)="EXEMPLE",1,0)</f>
        <v/>
      </c>
      <c r="BA175" s="7">
        <f>IF(AND(AV175=1,AZ175=0,AC175&lt;&gt;"",W175&lt;&gt;"",N(V175)&gt;0),COUNTIFS($AV$3:AV175,1,$AZ$3:AZ175,0,$AC$3:AC175,"&lt;&gt;",$W$3:W175,"&lt;&gt;",$V$3:V175,"&gt;0"),"")</f>
        <v/>
      </c>
    </row>
    <row r="176">
      <c r="A176" s="12" t="n"/>
      <c r="B176" s="13" t="n"/>
      <c r="C176" s="13" t="n"/>
      <c r="D176" s="7">
        <f>IF(OR(B176="",C176=""),"",ROUND((C176-B176)*1440,0))</f>
        <v/>
      </c>
      <c r="E176" s="12" t="n"/>
      <c r="F176" s="12" t="n"/>
      <c r="G176" s="12" t="n"/>
      <c r="H176" s="12" t="n"/>
      <c r="I176" s="12" t="n"/>
      <c r="J176" s="12" t="n"/>
      <c r="K176" s="12" t="n"/>
      <c r="L176" s="14" t="n"/>
      <c r="M176" s="12" t="n"/>
      <c r="N176" s="12" t="n"/>
      <c r="O176" s="12" t="n"/>
      <c r="P176" s="12" t="n"/>
      <c r="Q176" s="7">
        <f>IF(A176="","",IFERROR(VLOOKUP(O176,Listes!$R$3:$T$8,2,FALSE),0)+IFERROR(VLOOKUP(J176,Listes!$J$3:$L$6,2,FALSE),0)+IFERROR(VLOOKUP(N176,Listes!$N$3:$P$6,2,FALSE),0)+IF(OR(L176="",B176=""),0,IF(L176-INT(B176)&lt;10,8,IF(L176-INT(B176)&lt;=90,10,5)))+IFERROR(VLOOKUP(AN176,Listes!$V$3:$W$5,2,FALSE),0)+IFERROR(VLOOKUP(AO176,Listes!$Y$3:$Z$5,2,FALSE),0))</f>
        <v/>
      </c>
      <c r="R176" s="12" t="n"/>
      <c r="S176" s="12" t="n"/>
      <c r="T176" s="12" t="n"/>
      <c r="U176" s="15" t="n"/>
      <c r="V176" s="15" t="n"/>
      <c r="W176" s="13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3" t="n"/>
      <c r="AK176" s="12" t="n"/>
      <c r="AL176" s="12" t="n"/>
      <c r="AM176" s="12" t="n"/>
      <c r="AN176" s="12" t="n"/>
      <c r="AO176" s="12" t="n"/>
      <c r="AP176" s="12" t="n"/>
      <c r="AQ176" s="7">
        <f>IF(A176="","",IF(AP176&lt;&gt;"",AP176,IF(LEFT(Z176,11)="gads_marque","Google Search – Marque",IF(LEFT(Z176,12)="gads_mariage","Google Search – Mariage et privé",IF(LEFT(Z176,10)="gads_corpo","Google Search – Corporatif",IF(LEFT(Z176,5)="meta_","Meta – Leads",IF(LEFT(Z176,5)="msft_","Microsoft Ads",IF(LEFT(Z176,8)="chatgpt_","ChatGPT Ads – Test",IF(X176="gbp","Fiche Google (organique)","Autre / non payé")))))))))</f>
        <v/>
      </c>
      <c r="AR176" s="7">
        <f>IF(K176="","",IFERROR(VLOOKUP(K176,Listes!$F$3:$H$8,3,FALSE),""))</f>
        <v/>
      </c>
      <c r="AS176" s="7">
        <f>IF(O176="","",IF(AND(M176="Autre (plus de 40 km)",OR(O176="lt600",O176="600_999",O176="1000_2499")),"D",IF(OR(O176="lt600",AND(O176="600_999",K176&lt;&gt;"mariage",K176&lt;&gt;"prive")),"C",IF(OR(O176="2500_4999",O176="5000p",J176="entreprise",J176="organisme",J176="agence"),"A",IF(OR(O176="1000_2499",O176="600_999"),"B",IF(O176="inconnu",IF(OR(N176="75_149",N176="150p"),"A","B"),""))))))</f>
        <v/>
      </c>
      <c r="AT176" s="7">
        <f>IF(A176="","",IF(P176&lt;&gt;"",P176,AS176))</f>
        <v/>
      </c>
      <c r="AU176" s="7">
        <f>IF(A176="","",IF(OR(AT176="A",AT176="B"),1,0))</f>
        <v/>
      </c>
      <c r="AV176" s="7">
        <f>IF(A176="","",IF(OR(R176="Dépôt payé (gagné)",R176="Événement livré",R176="Avis obtenu"),1,0))</f>
        <v/>
      </c>
      <c r="AW176" s="7">
        <f>IF(A176="","",IF(Q176&gt;70,"Immédiat – propriétaire",IF(Q176&gt;=40,"15 min – personne de garde","Selon la route")))</f>
        <v/>
      </c>
      <c r="AX176" s="11">
        <f>IF(A176="","",IF(AT176="A",400,IF(AT176="B",150,0)))</f>
        <v/>
      </c>
      <c r="AY176" s="11">
        <f>IF(A176="","",IF(AV176=1,N(V176),IF(N(U176)&gt;0,ROUND(N(U176)*IFERROR(VLOOKUP(R176,Listes!$AE$3:$AG$12,2,FALSE),0),0),0)))</f>
        <v/>
      </c>
      <c r="AZ176" s="7">
        <f>IF(LEFT(A176,7)="EXEMPLE",1,0)</f>
        <v/>
      </c>
      <c r="BA176" s="7">
        <f>IF(AND(AV176=1,AZ176=0,AC176&lt;&gt;"",W176&lt;&gt;"",N(V176)&gt;0),COUNTIFS($AV$3:AV176,1,$AZ$3:AZ176,0,$AC$3:AC176,"&lt;&gt;",$W$3:W176,"&lt;&gt;",$V$3:V176,"&gt;0"),"")</f>
        <v/>
      </c>
    </row>
    <row r="177">
      <c r="A177" s="12" t="n"/>
      <c r="B177" s="13" t="n"/>
      <c r="C177" s="13" t="n"/>
      <c r="D177" s="7">
        <f>IF(OR(B177="",C177=""),"",ROUND((C177-B177)*1440,0))</f>
        <v/>
      </c>
      <c r="E177" s="12" t="n"/>
      <c r="F177" s="12" t="n"/>
      <c r="G177" s="12" t="n"/>
      <c r="H177" s="12" t="n"/>
      <c r="I177" s="12" t="n"/>
      <c r="J177" s="12" t="n"/>
      <c r="K177" s="12" t="n"/>
      <c r="L177" s="14" t="n"/>
      <c r="M177" s="12" t="n"/>
      <c r="N177" s="12" t="n"/>
      <c r="O177" s="12" t="n"/>
      <c r="P177" s="12" t="n"/>
      <c r="Q177" s="7">
        <f>IF(A177="","",IFERROR(VLOOKUP(O177,Listes!$R$3:$T$8,2,FALSE),0)+IFERROR(VLOOKUP(J177,Listes!$J$3:$L$6,2,FALSE),0)+IFERROR(VLOOKUP(N177,Listes!$N$3:$P$6,2,FALSE),0)+IF(OR(L177="",B177=""),0,IF(L177-INT(B177)&lt;10,8,IF(L177-INT(B177)&lt;=90,10,5)))+IFERROR(VLOOKUP(AN177,Listes!$V$3:$W$5,2,FALSE),0)+IFERROR(VLOOKUP(AO177,Listes!$Y$3:$Z$5,2,FALSE),0))</f>
        <v/>
      </c>
      <c r="R177" s="12" t="n"/>
      <c r="S177" s="12" t="n"/>
      <c r="T177" s="12" t="n"/>
      <c r="U177" s="15" t="n"/>
      <c r="V177" s="15" t="n"/>
      <c r="W177" s="13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3" t="n"/>
      <c r="AK177" s="12" t="n"/>
      <c r="AL177" s="12" t="n"/>
      <c r="AM177" s="12" t="n"/>
      <c r="AN177" s="12" t="n"/>
      <c r="AO177" s="12" t="n"/>
      <c r="AP177" s="12" t="n"/>
      <c r="AQ177" s="7">
        <f>IF(A177="","",IF(AP177&lt;&gt;"",AP177,IF(LEFT(Z177,11)="gads_marque","Google Search – Marque",IF(LEFT(Z177,12)="gads_mariage","Google Search – Mariage et privé",IF(LEFT(Z177,10)="gads_corpo","Google Search – Corporatif",IF(LEFT(Z177,5)="meta_","Meta – Leads",IF(LEFT(Z177,5)="msft_","Microsoft Ads",IF(LEFT(Z177,8)="chatgpt_","ChatGPT Ads – Test",IF(X177="gbp","Fiche Google (organique)","Autre / non payé")))))))))</f>
        <v/>
      </c>
      <c r="AR177" s="7">
        <f>IF(K177="","",IFERROR(VLOOKUP(K177,Listes!$F$3:$H$8,3,FALSE),""))</f>
        <v/>
      </c>
      <c r="AS177" s="7">
        <f>IF(O177="","",IF(AND(M177="Autre (plus de 40 km)",OR(O177="lt600",O177="600_999",O177="1000_2499")),"D",IF(OR(O177="lt600",AND(O177="600_999",K177&lt;&gt;"mariage",K177&lt;&gt;"prive")),"C",IF(OR(O177="2500_4999",O177="5000p",J177="entreprise",J177="organisme",J177="agence"),"A",IF(OR(O177="1000_2499",O177="600_999"),"B",IF(O177="inconnu",IF(OR(N177="75_149",N177="150p"),"A","B"),""))))))</f>
        <v/>
      </c>
      <c r="AT177" s="7">
        <f>IF(A177="","",IF(P177&lt;&gt;"",P177,AS177))</f>
        <v/>
      </c>
      <c r="AU177" s="7">
        <f>IF(A177="","",IF(OR(AT177="A",AT177="B"),1,0))</f>
        <v/>
      </c>
      <c r="AV177" s="7">
        <f>IF(A177="","",IF(OR(R177="Dépôt payé (gagné)",R177="Événement livré",R177="Avis obtenu"),1,0))</f>
        <v/>
      </c>
      <c r="AW177" s="7">
        <f>IF(A177="","",IF(Q177&gt;70,"Immédiat – propriétaire",IF(Q177&gt;=40,"15 min – personne de garde","Selon la route")))</f>
        <v/>
      </c>
      <c r="AX177" s="11">
        <f>IF(A177="","",IF(AT177="A",400,IF(AT177="B",150,0)))</f>
        <v/>
      </c>
      <c r="AY177" s="11">
        <f>IF(A177="","",IF(AV177=1,N(V177),IF(N(U177)&gt;0,ROUND(N(U177)*IFERROR(VLOOKUP(R177,Listes!$AE$3:$AG$12,2,FALSE),0),0),0)))</f>
        <v/>
      </c>
      <c r="AZ177" s="7">
        <f>IF(LEFT(A177,7)="EXEMPLE",1,0)</f>
        <v/>
      </c>
      <c r="BA177" s="7">
        <f>IF(AND(AV177=1,AZ177=0,AC177&lt;&gt;"",W177&lt;&gt;"",N(V177)&gt;0),COUNTIFS($AV$3:AV177,1,$AZ$3:AZ177,0,$AC$3:AC177,"&lt;&gt;",$W$3:W177,"&lt;&gt;",$V$3:V177,"&gt;0"),"")</f>
        <v/>
      </c>
    </row>
    <row r="178">
      <c r="A178" s="12" t="n"/>
      <c r="B178" s="13" t="n"/>
      <c r="C178" s="13" t="n"/>
      <c r="D178" s="7">
        <f>IF(OR(B178="",C178=""),"",ROUND((C178-B178)*1440,0))</f>
        <v/>
      </c>
      <c r="E178" s="12" t="n"/>
      <c r="F178" s="12" t="n"/>
      <c r="G178" s="12" t="n"/>
      <c r="H178" s="12" t="n"/>
      <c r="I178" s="12" t="n"/>
      <c r="J178" s="12" t="n"/>
      <c r="K178" s="12" t="n"/>
      <c r="L178" s="14" t="n"/>
      <c r="M178" s="12" t="n"/>
      <c r="N178" s="12" t="n"/>
      <c r="O178" s="12" t="n"/>
      <c r="P178" s="12" t="n"/>
      <c r="Q178" s="7">
        <f>IF(A178="","",IFERROR(VLOOKUP(O178,Listes!$R$3:$T$8,2,FALSE),0)+IFERROR(VLOOKUP(J178,Listes!$J$3:$L$6,2,FALSE),0)+IFERROR(VLOOKUP(N178,Listes!$N$3:$P$6,2,FALSE),0)+IF(OR(L178="",B178=""),0,IF(L178-INT(B178)&lt;10,8,IF(L178-INT(B178)&lt;=90,10,5)))+IFERROR(VLOOKUP(AN178,Listes!$V$3:$W$5,2,FALSE),0)+IFERROR(VLOOKUP(AO178,Listes!$Y$3:$Z$5,2,FALSE),0))</f>
        <v/>
      </c>
      <c r="R178" s="12" t="n"/>
      <c r="S178" s="12" t="n"/>
      <c r="T178" s="12" t="n"/>
      <c r="U178" s="15" t="n"/>
      <c r="V178" s="15" t="n"/>
      <c r="W178" s="13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3" t="n"/>
      <c r="AK178" s="12" t="n"/>
      <c r="AL178" s="12" t="n"/>
      <c r="AM178" s="12" t="n"/>
      <c r="AN178" s="12" t="n"/>
      <c r="AO178" s="12" t="n"/>
      <c r="AP178" s="12" t="n"/>
      <c r="AQ178" s="7">
        <f>IF(A178="","",IF(AP178&lt;&gt;"",AP178,IF(LEFT(Z178,11)="gads_marque","Google Search – Marque",IF(LEFT(Z178,12)="gads_mariage","Google Search – Mariage et privé",IF(LEFT(Z178,10)="gads_corpo","Google Search – Corporatif",IF(LEFT(Z178,5)="meta_","Meta – Leads",IF(LEFT(Z178,5)="msft_","Microsoft Ads",IF(LEFT(Z178,8)="chatgpt_","ChatGPT Ads – Test",IF(X178="gbp","Fiche Google (organique)","Autre / non payé")))))))))</f>
        <v/>
      </c>
      <c r="AR178" s="7">
        <f>IF(K178="","",IFERROR(VLOOKUP(K178,Listes!$F$3:$H$8,3,FALSE),""))</f>
        <v/>
      </c>
      <c r="AS178" s="7">
        <f>IF(O178="","",IF(AND(M178="Autre (plus de 40 km)",OR(O178="lt600",O178="600_999",O178="1000_2499")),"D",IF(OR(O178="lt600",AND(O178="600_999",K178&lt;&gt;"mariage",K178&lt;&gt;"prive")),"C",IF(OR(O178="2500_4999",O178="5000p",J178="entreprise",J178="organisme",J178="agence"),"A",IF(OR(O178="1000_2499",O178="600_999"),"B",IF(O178="inconnu",IF(OR(N178="75_149",N178="150p"),"A","B"),""))))))</f>
        <v/>
      </c>
      <c r="AT178" s="7">
        <f>IF(A178="","",IF(P178&lt;&gt;"",P178,AS178))</f>
        <v/>
      </c>
      <c r="AU178" s="7">
        <f>IF(A178="","",IF(OR(AT178="A",AT178="B"),1,0))</f>
        <v/>
      </c>
      <c r="AV178" s="7">
        <f>IF(A178="","",IF(OR(R178="Dépôt payé (gagné)",R178="Événement livré",R178="Avis obtenu"),1,0))</f>
        <v/>
      </c>
      <c r="AW178" s="7">
        <f>IF(A178="","",IF(Q178&gt;70,"Immédiat – propriétaire",IF(Q178&gt;=40,"15 min – personne de garde","Selon la route")))</f>
        <v/>
      </c>
      <c r="AX178" s="11">
        <f>IF(A178="","",IF(AT178="A",400,IF(AT178="B",150,0)))</f>
        <v/>
      </c>
      <c r="AY178" s="11">
        <f>IF(A178="","",IF(AV178=1,N(V178),IF(N(U178)&gt;0,ROUND(N(U178)*IFERROR(VLOOKUP(R178,Listes!$AE$3:$AG$12,2,FALSE),0),0),0)))</f>
        <v/>
      </c>
      <c r="AZ178" s="7">
        <f>IF(LEFT(A178,7)="EXEMPLE",1,0)</f>
        <v/>
      </c>
      <c r="BA178" s="7">
        <f>IF(AND(AV178=1,AZ178=0,AC178&lt;&gt;"",W178&lt;&gt;"",N(V178)&gt;0),COUNTIFS($AV$3:AV178,1,$AZ$3:AZ178,0,$AC$3:AC178,"&lt;&gt;",$W$3:W178,"&lt;&gt;",$V$3:V178,"&gt;0"),"")</f>
        <v/>
      </c>
    </row>
    <row r="179">
      <c r="A179" s="12" t="n"/>
      <c r="B179" s="13" t="n"/>
      <c r="C179" s="13" t="n"/>
      <c r="D179" s="7">
        <f>IF(OR(B179="",C179=""),"",ROUND((C179-B179)*1440,0))</f>
        <v/>
      </c>
      <c r="E179" s="12" t="n"/>
      <c r="F179" s="12" t="n"/>
      <c r="G179" s="12" t="n"/>
      <c r="H179" s="12" t="n"/>
      <c r="I179" s="12" t="n"/>
      <c r="J179" s="12" t="n"/>
      <c r="K179" s="12" t="n"/>
      <c r="L179" s="14" t="n"/>
      <c r="M179" s="12" t="n"/>
      <c r="N179" s="12" t="n"/>
      <c r="O179" s="12" t="n"/>
      <c r="P179" s="12" t="n"/>
      <c r="Q179" s="7">
        <f>IF(A179="","",IFERROR(VLOOKUP(O179,Listes!$R$3:$T$8,2,FALSE),0)+IFERROR(VLOOKUP(J179,Listes!$J$3:$L$6,2,FALSE),0)+IFERROR(VLOOKUP(N179,Listes!$N$3:$P$6,2,FALSE),0)+IF(OR(L179="",B179=""),0,IF(L179-INT(B179)&lt;10,8,IF(L179-INT(B179)&lt;=90,10,5)))+IFERROR(VLOOKUP(AN179,Listes!$V$3:$W$5,2,FALSE),0)+IFERROR(VLOOKUP(AO179,Listes!$Y$3:$Z$5,2,FALSE),0))</f>
        <v/>
      </c>
      <c r="R179" s="12" t="n"/>
      <c r="S179" s="12" t="n"/>
      <c r="T179" s="12" t="n"/>
      <c r="U179" s="15" t="n"/>
      <c r="V179" s="15" t="n"/>
      <c r="W179" s="13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3" t="n"/>
      <c r="AK179" s="12" t="n"/>
      <c r="AL179" s="12" t="n"/>
      <c r="AM179" s="12" t="n"/>
      <c r="AN179" s="12" t="n"/>
      <c r="AO179" s="12" t="n"/>
      <c r="AP179" s="12" t="n"/>
      <c r="AQ179" s="7">
        <f>IF(A179="","",IF(AP179&lt;&gt;"",AP179,IF(LEFT(Z179,11)="gads_marque","Google Search – Marque",IF(LEFT(Z179,12)="gads_mariage","Google Search – Mariage et privé",IF(LEFT(Z179,10)="gads_corpo","Google Search – Corporatif",IF(LEFT(Z179,5)="meta_","Meta – Leads",IF(LEFT(Z179,5)="msft_","Microsoft Ads",IF(LEFT(Z179,8)="chatgpt_","ChatGPT Ads – Test",IF(X179="gbp","Fiche Google (organique)","Autre / non payé")))))))))</f>
        <v/>
      </c>
      <c r="AR179" s="7">
        <f>IF(K179="","",IFERROR(VLOOKUP(K179,Listes!$F$3:$H$8,3,FALSE),""))</f>
        <v/>
      </c>
      <c r="AS179" s="7">
        <f>IF(O179="","",IF(AND(M179="Autre (plus de 40 km)",OR(O179="lt600",O179="600_999",O179="1000_2499")),"D",IF(OR(O179="lt600",AND(O179="600_999",K179&lt;&gt;"mariage",K179&lt;&gt;"prive")),"C",IF(OR(O179="2500_4999",O179="5000p",J179="entreprise",J179="organisme",J179="agence"),"A",IF(OR(O179="1000_2499",O179="600_999"),"B",IF(O179="inconnu",IF(OR(N179="75_149",N179="150p"),"A","B"),""))))))</f>
        <v/>
      </c>
      <c r="AT179" s="7">
        <f>IF(A179="","",IF(P179&lt;&gt;"",P179,AS179))</f>
        <v/>
      </c>
      <c r="AU179" s="7">
        <f>IF(A179="","",IF(OR(AT179="A",AT179="B"),1,0))</f>
        <v/>
      </c>
      <c r="AV179" s="7">
        <f>IF(A179="","",IF(OR(R179="Dépôt payé (gagné)",R179="Événement livré",R179="Avis obtenu"),1,0))</f>
        <v/>
      </c>
      <c r="AW179" s="7">
        <f>IF(A179="","",IF(Q179&gt;70,"Immédiat – propriétaire",IF(Q179&gt;=40,"15 min – personne de garde","Selon la route")))</f>
        <v/>
      </c>
      <c r="AX179" s="11">
        <f>IF(A179="","",IF(AT179="A",400,IF(AT179="B",150,0)))</f>
        <v/>
      </c>
      <c r="AY179" s="11">
        <f>IF(A179="","",IF(AV179=1,N(V179),IF(N(U179)&gt;0,ROUND(N(U179)*IFERROR(VLOOKUP(R179,Listes!$AE$3:$AG$12,2,FALSE),0),0),0)))</f>
        <v/>
      </c>
      <c r="AZ179" s="7">
        <f>IF(LEFT(A179,7)="EXEMPLE",1,0)</f>
        <v/>
      </c>
      <c r="BA179" s="7">
        <f>IF(AND(AV179=1,AZ179=0,AC179&lt;&gt;"",W179&lt;&gt;"",N(V179)&gt;0),COUNTIFS($AV$3:AV179,1,$AZ$3:AZ179,0,$AC$3:AC179,"&lt;&gt;",$W$3:W179,"&lt;&gt;",$V$3:V179,"&gt;0"),"")</f>
        <v/>
      </c>
    </row>
    <row r="180">
      <c r="A180" s="12" t="n"/>
      <c r="B180" s="13" t="n"/>
      <c r="C180" s="13" t="n"/>
      <c r="D180" s="7">
        <f>IF(OR(B180="",C180=""),"",ROUND((C180-B180)*1440,0))</f>
        <v/>
      </c>
      <c r="E180" s="12" t="n"/>
      <c r="F180" s="12" t="n"/>
      <c r="G180" s="12" t="n"/>
      <c r="H180" s="12" t="n"/>
      <c r="I180" s="12" t="n"/>
      <c r="J180" s="12" t="n"/>
      <c r="K180" s="12" t="n"/>
      <c r="L180" s="14" t="n"/>
      <c r="M180" s="12" t="n"/>
      <c r="N180" s="12" t="n"/>
      <c r="O180" s="12" t="n"/>
      <c r="P180" s="12" t="n"/>
      <c r="Q180" s="7">
        <f>IF(A180="","",IFERROR(VLOOKUP(O180,Listes!$R$3:$T$8,2,FALSE),0)+IFERROR(VLOOKUP(J180,Listes!$J$3:$L$6,2,FALSE),0)+IFERROR(VLOOKUP(N180,Listes!$N$3:$P$6,2,FALSE),0)+IF(OR(L180="",B180=""),0,IF(L180-INT(B180)&lt;10,8,IF(L180-INT(B180)&lt;=90,10,5)))+IFERROR(VLOOKUP(AN180,Listes!$V$3:$W$5,2,FALSE),0)+IFERROR(VLOOKUP(AO180,Listes!$Y$3:$Z$5,2,FALSE),0))</f>
        <v/>
      </c>
      <c r="R180" s="12" t="n"/>
      <c r="S180" s="12" t="n"/>
      <c r="T180" s="12" t="n"/>
      <c r="U180" s="15" t="n"/>
      <c r="V180" s="15" t="n"/>
      <c r="W180" s="13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3" t="n"/>
      <c r="AK180" s="12" t="n"/>
      <c r="AL180" s="12" t="n"/>
      <c r="AM180" s="12" t="n"/>
      <c r="AN180" s="12" t="n"/>
      <c r="AO180" s="12" t="n"/>
      <c r="AP180" s="12" t="n"/>
      <c r="AQ180" s="7">
        <f>IF(A180="","",IF(AP180&lt;&gt;"",AP180,IF(LEFT(Z180,11)="gads_marque","Google Search – Marque",IF(LEFT(Z180,12)="gads_mariage","Google Search – Mariage et privé",IF(LEFT(Z180,10)="gads_corpo","Google Search – Corporatif",IF(LEFT(Z180,5)="meta_","Meta – Leads",IF(LEFT(Z180,5)="msft_","Microsoft Ads",IF(LEFT(Z180,8)="chatgpt_","ChatGPT Ads – Test",IF(X180="gbp","Fiche Google (organique)","Autre / non payé")))))))))</f>
        <v/>
      </c>
      <c r="AR180" s="7">
        <f>IF(K180="","",IFERROR(VLOOKUP(K180,Listes!$F$3:$H$8,3,FALSE),""))</f>
        <v/>
      </c>
      <c r="AS180" s="7">
        <f>IF(O180="","",IF(AND(M180="Autre (plus de 40 km)",OR(O180="lt600",O180="600_999",O180="1000_2499")),"D",IF(OR(O180="lt600",AND(O180="600_999",K180&lt;&gt;"mariage",K180&lt;&gt;"prive")),"C",IF(OR(O180="2500_4999",O180="5000p",J180="entreprise",J180="organisme",J180="agence"),"A",IF(OR(O180="1000_2499",O180="600_999"),"B",IF(O180="inconnu",IF(OR(N180="75_149",N180="150p"),"A","B"),""))))))</f>
        <v/>
      </c>
      <c r="AT180" s="7">
        <f>IF(A180="","",IF(P180&lt;&gt;"",P180,AS180))</f>
        <v/>
      </c>
      <c r="AU180" s="7">
        <f>IF(A180="","",IF(OR(AT180="A",AT180="B"),1,0))</f>
        <v/>
      </c>
      <c r="AV180" s="7">
        <f>IF(A180="","",IF(OR(R180="Dépôt payé (gagné)",R180="Événement livré",R180="Avis obtenu"),1,0))</f>
        <v/>
      </c>
      <c r="AW180" s="7">
        <f>IF(A180="","",IF(Q180&gt;70,"Immédiat – propriétaire",IF(Q180&gt;=40,"15 min – personne de garde","Selon la route")))</f>
        <v/>
      </c>
      <c r="AX180" s="11">
        <f>IF(A180="","",IF(AT180="A",400,IF(AT180="B",150,0)))</f>
        <v/>
      </c>
      <c r="AY180" s="11">
        <f>IF(A180="","",IF(AV180=1,N(V180),IF(N(U180)&gt;0,ROUND(N(U180)*IFERROR(VLOOKUP(R180,Listes!$AE$3:$AG$12,2,FALSE),0),0),0)))</f>
        <v/>
      </c>
      <c r="AZ180" s="7">
        <f>IF(LEFT(A180,7)="EXEMPLE",1,0)</f>
        <v/>
      </c>
      <c r="BA180" s="7">
        <f>IF(AND(AV180=1,AZ180=0,AC180&lt;&gt;"",W180&lt;&gt;"",N(V180)&gt;0),COUNTIFS($AV$3:AV180,1,$AZ$3:AZ180,0,$AC$3:AC180,"&lt;&gt;",$W$3:W180,"&lt;&gt;",$V$3:V180,"&gt;0"),"")</f>
        <v/>
      </c>
    </row>
    <row r="181">
      <c r="A181" s="12" t="n"/>
      <c r="B181" s="13" t="n"/>
      <c r="C181" s="13" t="n"/>
      <c r="D181" s="7">
        <f>IF(OR(B181="",C181=""),"",ROUND((C181-B181)*1440,0))</f>
        <v/>
      </c>
      <c r="E181" s="12" t="n"/>
      <c r="F181" s="12" t="n"/>
      <c r="G181" s="12" t="n"/>
      <c r="H181" s="12" t="n"/>
      <c r="I181" s="12" t="n"/>
      <c r="J181" s="12" t="n"/>
      <c r="K181" s="12" t="n"/>
      <c r="L181" s="14" t="n"/>
      <c r="M181" s="12" t="n"/>
      <c r="N181" s="12" t="n"/>
      <c r="O181" s="12" t="n"/>
      <c r="P181" s="12" t="n"/>
      <c r="Q181" s="7">
        <f>IF(A181="","",IFERROR(VLOOKUP(O181,Listes!$R$3:$T$8,2,FALSE),0)+IFERROR(VLOOKUP(J181,Listes!$J$3:$L$6,2,FALSE),0)+IFERROR(VLOOKUP(N181,Listes!$N$3:$P$6,2,FALSE),0)+IF(OR(L181="",B181=""),0,IF(L181-INT(B181)&lt;10,8,IF(L181-INT(B181)&lt;=90,10,5)))+IFERROR(VLOOKUP(AN181,Listes!$V$3:$W$5,2,FALSE),0)+IFERROR(VLOOKUP(AO181,Listes!$Y$3:$Z$5,2,FALSE),0))</f>
        <v/>
      </c>
      <c r="R181" s="12" t="n"/>
      <c r="S181" s="12" t="n"/>
      <c r="T181" s="12" t="n"/>
      <c r="U181" s="15" t="n"/>
      <c r="V181" s="15" t="n"/>
      <c r="W181" s="13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3" t="n"/>
      <c r="AK181" s="12" t="n"/>
      <c r="AL181" s="12" t="n"/>
      <c r="AM181" s="12" t="n"/>
      <c r="AN181" s="12" t="n"/>
      <c r="AO181" s="12" t="n"/>
      <c r="AP181" s="12" t="n"/>
      <c r="AQ181" s="7">
        <f>IF(A181="","",IF(AP181&lt;&gt;"",AP181,IF(LEFT(Z181,11)="gads_marque","Google Search – Marque",IF(LEFT(Z181,12)="gads_mariage","Google Search – Mariage et privé",IF(LEFT(Z181,10)="gads_corpo","Google Search – Corporatif",IF(LEFT(Z181,5)="meta_","Meta – Leads",IF(LEFT(Z181,5)="msft_","Microsoft Ads",IF(LEFT(Z181,8)="chatgpt_","ChatGPT Ads – Test",IF(X181="gbp","Fiche Google (organique)","Autre / non payé")))))))))</f>
        <v/>
      </c>
      <c r="AR181" s="7">
        <f>IF(K181="","",IFERROR(VLOOKUP(K181,Listes!$F$3:$H$8,3,FALSE),""))</f>
        <v/>
      </c>
      <c r="AS181" s="7">
        <f>IF(O181="","",IF(AND(M181="Autre (plus de 40 km)",OR(O181="lt600",O181="600_999",O181="1000_2499")),"D",IF(OR(O181="lt600",AND(O181="600_999",K181&lt;&gt;"mariage",K181&lt;&gt;"prive")),"C",IF(OR(O181="2500_4999",O181="5000p",J181="entreprise",J181="organisme",J181="agence"),"A",IF(OR(O181="1000_2499",O181="600_999"),"B",IF(O181="inconnu",IF(OR(N181="75_149",N181="150p"),"A","B"),""))))))</f>
        <v/>
      </c>
      <c r="AT181" s="7">
        <f>IF(A181="","",IF(P181&lt;&gt;"",P181,AS181))</f>
        <v/>
      </c>
      <c r="AU181" s="7">
        <f>IF(A181="","",IF(OR(AT181="A",AT181="B"),1,0))</f>
        <v/>
      </c>
      <c r="AV181" s="7">
        <f>IF(A181="","",IF(OR(R181="Dépôt payé (gagné)",R181="Événement livré",R181="Avis obtenu"),1,0))</f>
        <v/>
      </c>
      <c r="AW181" s="7">
        <f>IF(A181="","",IF(Q181&gt;70,"Immédiat – propriétaire",IF(Q181&gt;=40,"15 min – personne de garde","Selon la route")))</f>
        <v/>
      </c>
      <c r="AX181" s="11">
        <f>IF(A181="","",IF(AT181="A",400,IF(AT181="B",150,0)))</f>
        <v/>
      </c>
      <c r="AY181" s="11">
        <f>IF(A181="","",IF(AV181=1,N(V181),IF(N(U181)&gt;0,ROUND(N(U181)*IFERROR(VLOOKUP(R181,Listes!$AE$3:$AG$12,2,FALSE),0),0),0)))</f>
        <v/>
      </c>
      <c r="AZ181" s="7">
        <f>IF(LEFT(A181,7)="EXEMPLE",1,0)</f>
        <v/>
      </c>
      <c r="BA181" s="7">
        <f>IF(AND(AV181=1,AZ181=0,AC181&lt;&gt;"",W181&lt;&gt;"",N(V181)&gt;0),COUNTIFS($AV$3:AV181,1,$AZ$3:AZ181,0,$AC$3:AC181,"&lt;&gt;",$W$3:W181,"&lt;&gt;",$V$3:V181,"&gt;0"),"")</f>
        <v/>
      </c>
    </row>
    <row r="182">
      <c r="A182" s="12" t="n"/>
      <c r="B182" s="13" t="n"/>
      <c r="C182" s="13" t="n"/>
      <c r="D182" s="7">
        <f>IF(OR(B182="",C182=""),"",ROUND((C182-B182)*1440,0))</f>
        <v/>
      </c>
      <c r="E182" s="12" t="n"/>
      <c r="F182" s="12" t="n"/>
      <c r="G182" s="12" t="n"/>
      <c r="H182" s="12" t="n"/>
      <c r="I182" s="12" t="n"/>
      <c r="J182" s="12" t="n"/>
      <c r="K182" s="12" t="n"/>
      <c r="L182" s="14" t="n"/>
      <c r="M182" s="12" t="n"/>
      <c r="N182" s="12" t="n"/>
      <c r="O182" s="12" t="n"/>
      <c r="P182" s="12" t="n"/>
      <c r="Q182" s="7">
        <f>IF(A182="","",IFERROR(VLOOKUP(O182,Listes!$R$3:$T$8,2,FALSE),0)+IFERROR(VLOOKUP(J182,Listes!$J$3:$L$6,2,FALSE),0)+IFERROR(VLOOKUP(N182,Listes!$N$3:$P$6,2,FALSE),0)+IF(OR(L182="",B182=""),0,IF(L182-INT(B182)&lt;10,8,IF(L182-INT(B182)&lt;=90,10,5)))+IFERROR(VLOOKUP(AN182,Listes!$V$3:$W$5,2,FALSE),0)+IFERROR(VLOOKUP(AO182,Listes!$Y$3:$Z$5,2,FALSE),0))</f>
        <v/>
      </c>
      <c r="R182" s="12" t="n"/>
      <c r="S182" s="12" t="n"/>
      <c r="T182" s="12" t="n"/>
      <c r="U182" s="15" t="n"/>
      <c r="V182" s="15" t="n"/>
      <c r="W182" s="13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3" t="n"/>
      <c r="AK182" s="12" t="n"/>
      <c r="AL182" s="12" t="n"/>
      <c r="AM182" s="12" t="n"/>
      <c r="AN182" s="12" t="n"/>
      <c r="AO182" s="12" t="n"/>
      <c r="AP182" s="12" t="n"/>
      <c r="AQ182" s="7">
        <f>IF(A182="","",IF(AP182&lt;&gt;"",AP182,IF(LEFT(Z182,11)="gads_marque","Google Search – Marque",IF(LEFT(Z182,12)="gads_mariage","Google Search – Mariage et privé",IF(LEFT(Z182,10)="gads_corpo","Google Search – Corporatif",IF(LEFT(Z182,5)="meta_","Meta – Leads",IF(LEFT(Z182,5)="msft_","Microsoft Ads",IF(LEFT(Z182,8)="chatgpt_","ChatGPT Ads – Test",IF(X182="gbp","Fiche Google (organique)","Autre / non payé")))))))))</f>
        <v/>
      </c>
      <c r="AR182" s="7">
        <f>IF(K182="","",IFERROR(VLOOKUP(K182,Listes!$F$3:$H$8,3,FALSE),""))</f>
        <v/>
      </c>
      <c r="AS182" s="7">
        <f>IF(O182="","",IF(AND(M182="Autre (plus de 40 km)",OR(O182="lt600",O182="600_999",O182="1000_2499")),"D",IF(OR(O182="lt600",AND(O182="600_999",K182&lt;&gt;"mariage",K182&lt;&gt;"prive")),"C",IF(OR(O182="2500_4999",O182="5000p",J182="entreprise",J182="organisme",J182="agence"),"A",IF(OR(O182="1000_2499",O182="600_999"),"B",IF(O182="inconnu",IF(OR(N182="75_149",N182="150p"),"A","B"),""))))))</f>
        <v/>
      </c>
      <c r="AT182" s="7">
        <f>IF(A182="","",IF(P182&lt;&gt;"",P182,AS182))</f>
        <v/>
      </c>
      <c r="AU182" s="7">
        <f>IF(A182="","",IF(OR(AT182="A",AT182="B"),1,0))</f>
        <v/>
      </c>
      <c r="AV182" s="7">
        <f>IF(A182="","",IF(OR(R182="Dépôt payé (gagné)",R182="Événement livré",R182="Avis obtenu"),1,0))</f>
        <v/>
      </c>
      <c r="AW182" s="7">
        <f>IF(A182="","",IF(Q182&gt;70,"Immédiat – propriétaire",IF(Q182&gt;=40,"15 min – personne de garde","Selon la route")))</f>
        <v/>
      </c>
      <c r="AX182" s="11">
        <f>IF(A182="","",IF(AT182="A",400,IF(AT182="B",150,0)))</f>
        <v/>
      </c>
      <c r="AY182" s="11">
        <f>IF(A182="","",IF(AV182=1,N(V182),IF(N(U182)&gt;0,ROUND(N(U182)*IFERROR(VLOOKUP(R182,Listes!$AE$3:$AG$12,2,FALSE),0),0),0)))</f>
        <v/>
      </c>
      <c r="AZ182" s="7">
        <f>IF(LEFT(A182,7)="EXEMPLE",1,0)</f>
        <v/>
      </c>
      <c r="BA182" s="7">
        <f>IF(AND(AV182=1,AZ182=0,AC182&lt;&gt;"",W182&lt;&gt;"",N(V182)&gt;0),COUNTIFS($AV$3:AV182,1,$AZ$3:AZ182,0,$AC$3:AC182,"&lt;&gt;",$W$3:W182,"&lt;&gt;",$V$3:V182,"&gt;0"),"")</f>
        <v/>
      </c>
    </row>
    <row r="183">
      <c r="A183" s="12" t="n"/>
      <c r="B183" s="13" t="n"/>
      <c r="C183" s="13" t="n"/>
      <c r="D183" s="7">
        <f>IF(OR(B183="",C183=""),"",ROUND((C183-B183)*1440,0))</f>
        <v/>
      </c>
      <c r="E183" s="12" t="n"/>
      <c r="F183" s="12" t="n"/>
      <c r="G183" s="12" t="n"/>
      <c r="H183" s="12" t="n"/>
      <c r="I183" s="12" t="n"/>
      <c r="J183" s="12" t="n"/>
      <c r="K183" s="12" t="n"/>
      <c r="L183" s="14" t="n"/>
      <c r="M183" s="12" t="n"/>
      <c r="N183" s="12" t="n"/>
      <c r="O183" s="12" t="n"/>
      <c r="P183" s="12" t="n"/>
      <c r="Q183" s="7">
        <f>IF(A183="","",IFERROR(VLOOKUP(O183,Listes!$R$3:$T$8,2,FALSE),0)+IFERROR(VLOOKUP(J183,Listes!$J$3:$L$6,2,FALSE),0)+IFERROR(VLOOKUP(N183,Listes!$N$3:$P$6,2,FALSE),0)+IF(OR(L183="",B183=""),0,IF(L183-INT(B183)&lt;10,8,IF(L183-INT(B183)&lt;=90,10,5)))+IFERROR(VLOOKUP(AN183,Listes!$V$3:$W$5,2,FALSE),0)+IFERROR(VLOOKUP(AO183,Listes!$Y$3:$Z$5,2,FALSE),0))</f>
        <v/>
      </c>
      <c r="R183" s="12" t="n"/>
      <c r="S183" s="12" t="n"/>
      <c r="T183" s="12" t="n"/>
      <c r="U183" s="15" t="n"/>
      <c r="V183" s="15" t="n"/>
      <c r="W183" s="13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3" t="n"/>
      <c r="AK183" s="12" t="n"/>
      <c r="AL183" s="12" t="n"/>
      <c r="AM183" s="12" t="n"/>
      <c r="AN183" s="12" t="n"/>
      <c r="AO183" s="12" t="n"/>
      <c r="AP183" s="12" t="n"/>
      <c r="AQ183" s="7">
        <f>IF(A183="","",IF(AP183&lt;&gt;"",AP183,IF(LEFT(Z183,11)="gads_marque","Google Search – Marque",IF(LEFT(Z183,12)="gads_mariage","Google Search – Mariage et privé",IF(LEFT(Z183,10)="gads_corpo","Google Search – Corporatif",IF(LEFT(Z183,5)="meta_","Meta – Leads",IF(LEFT(Z183,5)="msft_","Microsoft Ads",IF(LEFT(Z183,8)="chatgpt_","ChatGPT Ads – Test",IF(X183="gbp","Fiche Google (organique)","Autre / non payé")))))))))</f>
        <v/>
      </c>
      <c r="AR183" s="7">
        <f>IF(K183="","",IFERROR(VLOOKUP(K183,Listes!$F$3:$H$8,3,FALSE),""))</f>
        <v/>
      </c>
      <c r="AS183" s="7">
        <f>IF(O183="","",IF(AND(M183="Autre (plus de 40 km)",OR(O183="lt600",O183="600_999",O183="1000_2499")),"D",IF(OR(O183="lt600",AND(O183="600_999",K183&lt;&gt;"mariage",K183&lt;&gt;"prive")),"C",IF(OR(O183="2500_4999",O183="5000p",J183="entreprise",J183="organisme",J183="agence"),"A",IF(OR(O183="1000_2499",O183="600_999"),"B",IF(O183="inconnu",IF(OR(N183="75_149",N183="150p"),"A","B"),""))))))</f>
        <v/>
      </c>
      <c r="AT183" s="7">
        <f>IF(A183="","",IF(P183&lt;&gt;"",P183,AS183))</f>
        <v/>
      </c>
      <c r="AU183" s="7">
        <f>IF(A183="","",IF(OR(AT183="A",AT183="B"),1,0))</f>
        <v/>
      </c>
      <c r="AV183" s="7">
        <f>IF(A183="","",IF(OR(R183="Dépôt payé (gagné)",R183="Événement livré",R183="Avis obtenu"),1,0))</f>
        <v/>
      </c>
      <c r="AW183" s="7">
        <f>IF(A183="","",IF(Q183&gt;70,"Immédiat – propriétaire",IF(Q183&gt;=40,"15 min – personne de garde","Selon la route")))</f>
        <v/>
      </c>
      <c r="AX183" s="11">
        <f>IF(A183="","",IF(AT183="A",400,IF(AT183="B",150,0)))</f>
        <v/>
      </c>
      <c r="AY183" s="11">
        <f>IF(A183="","",IF(AV183=1,N(V183),IF(N(U183)&gt;0,ROUND(N(U183)*IFERROR(VLOOKUP(R183,Listes!$AE$3:$AG$12,2,FALSE),0),0),0)))</f>
        <v/>
      </c>
      <c r="AZ183" s="7">
        <f>IF(LEFT(A183,7)="EXEMPLE",1,0)</f>
        <v/>
      </c>
      <c r="BA183" s="7">
        <f>IF(AND(AV183=1,AZ183=0,AC183&lt;&gt;"",W183&lt;&gt;"",N(V183)&gt;0),COUNTIFS($AV$3:AV183,1,$AZ$3:AZ183,0,$AC$3:AC183,"&lt;&gt;",$W$3:W183,"&lt;&gt;",$V$3:V183,"&gt;0"),"")</f>
        <v/>
      </c>
    </row>
    <row r="184">
      <c r="A184" s="12" t="n"/>
      <c r="B184" s="13" t="n"/>
      <c r="C184" s="13" t="n"/>
      <c r="D184" s="7">
        <f>IF(OR(B184="",C184=""),"",ROUND((C184-B184)*1440,0))</f>
        <v/>
      </c>
      <c r="E184" s="12" t="n"/>
      <c r="F184" s="12" t="n"/>
      <c r="G184" s="12" t="n"/>
      <c r="H184" s="12" t="n"/>
      <c r="I184" s="12" t="n"/>
      <c r="J184" s="12" t="n"/>
      <c r="K184" s="12" t="n"/>
      <c r="L184" s="14" t="n"/>
      <c r="M184" s="12" t="n"/>
      <c r="N184" s="12" t="n"/>
      <c r="O184" s="12" t="n"/>
      <c r="P184" s="12" t="n"/>
      <c r="Q184" s="7">
        <f>IF(A184="","",IFERROR(VLOOKUP(O184,Listes!$R$3:$T$8,2,FALSE),0)+IFERROR(VLOOKUP(J184,Listes!$J$3:$L$6,2,FALSE),0)+IFERROR(VLOOKUP(N184,Listes!$N$3:$P$6,2,FALSE),0)+IF(OR(L184="",B184=""),0,IF(L184-INT(B184)&lt;10,8,IF(L184-INT(B184)&lt;=90,10,5)))+IFERROR(VLOOKUP(AN184,Listes!$V$3:$W$5,2,FALSE),0)+IFERROR(VLOOKUP(AO184,Listes!$Y$3:$Z$5,2,FALSE),0))</f>
        <v/>
      </c>
      <c r="R184" s="12" t="n"/>
      <c r="S184" s="12" t="n"/>
      <c r="T184" s="12" t="n"/>
      <c r="U184" s="15" t="n"/>
      <c r="V184" s="15" t="n"/>
      <c r="W184" s="13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3" t="n"/>
      <c r="AK184" s="12" t="n"/>
      <c r="AL184" s="12" t="n"/>
      <c r="AM184" s="12" t="n"/>
      <c r="AN184" s="12" t="n"/>
      <c r="AO184" s="12" t="n"/>
      <c r="AP184" s="12" t="n"/>
      <c r="AQ184" s="7">
        <f>IF(A184="","",IF(AP184&lt;&gt;"",AP184,IF(LEFT(Z184,11)="gads_marque","Google Search – Marque",IF(LEFT(Z184,12)="gads_mariage","Google Search – Mariage et privé",IF(LEFT(Z184,10)="gads_corpo","Google Search – Corporatif",IF(LEFT(Z184,5)="meta_","Meta – Leads",IF(LEFT(Z184,5)="msft_","Microsoft Ads",IF(LEFT(Z184,8)="chatgpt_","ChatGPT Ads – Test",IF(X184="gbp","Fiche Google (organique)","Autre / non payé")))))))))</f>
        <v/>
      </c>
      <c r="AR184" s="7">
        <f>IF(K184="","",IFERROR(VLOOKUP(K184,Listes!$F$3:$H$8,3,FALSE),""))</f>
        <v/>
      </c>
      <c r="AS184" s="7">
        <f>IF(O184="","",IF(AND(M184="Autre (plus de 40 km)",OR(O184="lt600",O184="600_999",O184="1000_2499")),"D",IF(OR(O184="lt600",AND(O184="600_999",K184&lt;&gt;"mariage",K184&lt;&gt;"prive")),"C",IF(OR(O184="2500_4999",O184="5000p",J184="entreprise",J184="organisme",J184="agence"),"A",IF(OR(O184="1000_2499",O184="600_999"),"B",IF(O184="inconnu",IF(OR(N184="75_149",N184="150p"),"A","B"),""))))))</f>
        <v/>
      </c>
      <c r="AT184" s="7">
        <f>IF(A184="","",IF(P184&lt;&gt;"",P184,AS184))</f>
        <v/>
      </c>
      <c r="AU184" s="7">
        <f>IF(A184="","",IF(OR(AT184="A",AT184="B"),1,0))</f>
        <v/>
      </c>
      <c r="AV184" s="7">
        <f>IF(A184="","",IF(OR(R184="Dépôt payé (gagné)",R184="Événement livré",R184="Avis obtenu"),1,0))</f>
        <v/>
      </c>
      <c r="AW184" s="7">
        <f>IF(A184="","",IF(Q184&gt;70,"Immédiat – propriétaire",IF(Q184&gt;=40,"15 min – personne de garde","Selon la route")))</f>
        <v/>
      </c>
      <c r="AX184" s="11">
        <f>IF(A184="","",IF(AT184="A",400,IF(AT184="B",150,0)))</f>
        <v/>
      </c>
      <c r="AY184" s="11">
        <f>IF(A184="","",IF(AV184=1,N(V184),IF(N(U184)&gt;0,ROUND(N(U184)*IFERROR(VLOOKUP(R184,Listes!$AE$3:$AG$12,2,FALSE),0),0),0)))</f>
        <v/>
      </c>
      <c r="AZ184" s="7">
        <f>IF(LEFT(A184,7)="EXEMPLE",1,0)</f>
        <v/>
      </c>
      <c r="BA184" s="7">
        <f>IF(AND(AV184=1,AZ184=0,AC184&lt;&gt;"",W184&lt;&gt;"",N(V184)&gt;0),COUNTIFS($AV$3:AV184,1,$AZ$3:AZ184,0,$AC$3:AC184,"&lt;&gt;",$W$3:W184,"&lt;&gt;",$V$3:V184,"&gt;0"),"")</f>
        <v/>
      </c>
    </row>
    <row r="185">
      <c r="A185" s="12" t="n"/>
      <c r="B185" s="13" t="n"/>
      <c r="C185" s="13" t="n"/>
      <c r="D185" s="7">
        <f>IF(OR(B185="",C185=""),"",ROUND((C185-B185)*1440,0))</f>
        <v/>
      </c>
      <c r="E185" s="12" t="n"/>
      <c r="F185" s="12" t="n"/>
      <c r="G185" s="12" t="n"/>
      <c r="H185" s="12" t="n"/>
      <c r="I185" s="12" t="n"/>
      <c r="J185" s="12" t="n"/>
      <c r="K185" s="12" t="n"/>
      <c r="L185" s="14" t="n"/>
      <c r="M185" s="12" t="n"/>
      <c r="N185" s="12" t="n"/>
      <c r="O185" s="12" t="n"/>
      <c r="P185" s="12" t="n"/>
      <c r="Q185" s="7">
        <f>IF(A185="","",IFERROR(VLOOKUP(O185,Listes!$R$3:$T$8,2,FALSE),0)+IFERROR(VLOOKUP(J185,Listes!$J$3:$L$6,2,FALSE),0)+IFERROR(VLOOKUP(N185,Listes!$N$3:$P$6,2,FALSE),0)+IF(OR(L185="",B185=""),0,IF(L185-INT(B185)&lt;10,8,IF(L185-INT(B185)&lt;=90,10,5)))+IFERROR(VLOOKUP(AN185,Listes!$V$3:$W$5,2,FALSE),0)+IFERROR(VLOOKUP(AO185,Listes!$Y$3:$Z$5,2,FALSE),0))</f>
        <v/>
      </c>
      <c r="R185" s="12" t="n"/>
      <c r="S185" s="12" t="n"/>
      <c r="T185" s="12" t="n"/>
      <c r="U185" s="15" t="n"/>
      <c r="V185" s="15" t="n"/>
      <c r="W185" s="13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3" t="n"/>
      <c r="AK185" s="12" t="n"/>
      <c r="AL185" s="12" t="n"/>
      <c r="AM185" s="12" t="n"/>
      <c r="AN185" s="12" t="n"/>
      <c r="AO185" s="12" t="n"/>
      <c r="AP185" s="12" t="n"/>
      <c r="AQ185" s="7">
        <f>IF(A185="","",IF(AP185&lt;&gt;"",AP185,IF(LEFT(Z185,11)="gads_marque","Google Search – Marque",IF(LEFT(Z185,12)="gads_mariage","Google Search – Mariage et privé",IF(LEFT(Z185,10)="gads_corpo","Google Search – Corporatif",IF(LEFT(Z185,5)="meta_","Meta – Leads",IF(LEFT(Z185,5)="msft_","Microsoft Ads",IF(LEFT(Z185,8)="chatgpt_","ChatGPT Ads – Test",IF(X185="gbp","Fiche Google (organique)","Autre / non payé")))))))))</f>
        <v/>
      </c>
      <c r="AR185" s="7">
        <f>IF(K185="","",IFERROR(VLOOKUP(K185,Listes!$F$3:$H$8,3,FALSE),""))</f>
        <v/>
      </c>
      <c r="AS185" s="7">
        <f>IF(O185="","",IF(AND(M185="Autre (plus de 40 km)",OR(O185="lt600",O185="600_999",O185="1000_2499")),"D",IF(OR(O185="lt600",AND(O185="600_999",K185&lt;&gt;"mariage",K185&lt;&gt;"prive")),"C",IF(OR(O185="2500_4999",O185="5000p",J185="entreprise",J185="organisme",J185="agence"),"A",IF(OR(O185="1000_2499",O185="600_999"),"B",IF(O185="inconnu",IF(OR(N185="75_149",N185="150p"),"A","B"),""))))))</f>
        <v/>
      </c>
      <c r="AT185" s="7">
        <f>IF(A185="","",IF(P185&lt;&gt;"",P185,AS185))</f>
        <v/>
      </c>
      <c r="AU185" s="7">
        <f>IF(A185="","",IF(OR(AT185="A",AT185="B"),1,0))</f>
        <v/>
      </c>
      <c r="AV185" s="7">
        <f>IF(A185="","",IF(OR(R185="Dépôt payé (gagné)",R185="Événement livré",R185="Avis obtenu"),1,0))</f>
        <v/>
      </c>
      <c r="AW185" s="7">
        <f>IF(A185="","",IF(Q185&gt;70,"Immédiat – propriétaire",IF(Q185&gt;=40,"15 min – personne de garde","Selon la route")))</f>
        <v/>
      </c>
      <c r="AX185" s="11">
        <f>IF(A185="","",IF(AT185="A",400,IF(AT185="B",150,0)))</f>
        <v/>
      </c>
      <c r="AY185" s="11">
        <f>IF(A185="","",IF(AV185=1,N(V185),IF(N(U185)&gt;0,ROUND(N(U185)*IFERROR(VLOOKUP(R185,Listes!$AE$3:$AG$12,2,FALSE),0),0),0)))</f>
        <v/>
      </c>
      <c r="AZ185" s="7">
        <f>IF(LEFT(A185,7)="EXEMPLE",1,0)</f>
        <v/>
      </c>
      <c r="BA185" s="7">
        <f>IF(AND(AV185=1,AZ185=0,AC185&lt;&gt;"",W185&lt;&gt;"",N(V185)&gt;0),COUNTIFS($AV$3:AV185,1,$AZ$3:AZ185,0,$AC$3:AC185,"&lt;&gt;",$W$3:W185,"&lt;&gt;",$V$3:V185,"&gt;0"),"")</f>
        <v/>
      </c>
    </row>
    <row r="186">
      <c r="A186" s="12" t="n"/>
      <c r="B186" s="13" t="n"/>
      <c r="C186" s="13" t="n"/>
      <c r="D186" s="7">
        <f>IF(OR(B186="",C186=""),"",ROUND((C186-B186)*1440,0))</f>
        <v/>
      </c>
      <c r="E186" s="12" t="n"/>
      <c r="F186" s="12" t="n"/>
      <c r="G186" s="12" t="n"/>
      <c r="H186" s="12" t="n"/>
      <c r="I186" s="12" t="n"/>
      <c r="J186" s="12" t="n"/>
      <c r="K186" s="12" t="n"/>
      <c r="L186" s="14" t="n"/>
      <c r="M186" s="12" t="n"/>
      <c r="N186" s="12" t="n"/>
      <c r="O186" s="12" t="n"/>
      <c r="P186" s="12" t="n"/>
      <c r="Q186" s="7">
        <f>IF(A186="","",IFERROR(VLOOKUP(O186,Listes!$R$3:$T$8,2,FALSE),0)+IFERROR(VLOOKUP(J186,Listes!$J$3:$L$6,2,FALSE),0)+IFERROR(VLOOKUP(N186,Listes!$N$3:$P$6,2,FALSE),0)+IF(OR(L186="",B186=""),0,IF(L186-INT(B186)&lt;10,8,IF(L186-INT(B186)&lt;=90,10,5)))+IFERROR(VLOOKUP(AN186,Listes!$V$3:$W$5,2,FALSE),0)+IFERROR(VLOOKUP(AO186,Listes!$Y$3:$Z$5,2,FALSE),0))</f>
        <v/>
      </c>
      <c r="R186" s="12" t="n"/>
      <c r="S186" s="12" t="n"/>
      <c r="T186" s="12" t="n"/>
      <c r="U186" s="15" t="n"/>
      <c r="V186" s="15" t="n"/>
      <c r="W186" s="13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3" t="n"/>
      <c r="AK186" s="12" t="n"/>
      <c r="AL186" s="12" t="n"/>
      <c r="AM186" s="12" t="n"/>
      <c r="AN186" s="12" t="n"/>
      <c r="AO186" s="12" t="n"/>
      <c r="AP186" s="12" t="n"/>
      <c r="AQ186" s="7">
        <f>IF(A186="","",IF(AP186&lt;&gt;"",AP186,IF(LEFT(Z186,11)="gads_marque","Google Search – Marque",IF(LEFT(Z186,12)="gads_mariage","Google Search – Mariage et privé",IF(LEFT(Z186,10)="gads_corpo","Google Search – Corporatif",IF(LEFT(Z186,5)="meta_","Meta – Leads",IF(LEFT(Z186,5)="msft_","Microsoft Ads",IF(LEFT(Z186,8)="chatgpt_","ChatGPT Ads – Test",IF(X186="gbp","Fiche Google (organique)","Autre / non payé")))))))))</f>
        <v/>
      </c>
      <c r="AR186" s="7">
        <f>IF(K186="","",IFERROR(VLOOKUP(K186,Listes!$F$3:$H$8,3,FALSE),""))</f>
        <v/>
      </c>
      <c r="AS186" s="7">
        <f>IF(O186="","",IF(AND(M186="Autre (plus de 40 km)",OR(O186="lt600",O186="600_999",O186="1000_2499")),"D",IF(OR(O186="lt600",AND(O186="600_999",K186&lt;&gt;"mariage",K186&lt;&gt;"prive")),"C",IF(OR(O186="2500_4999",O186="5000p",J186="entreprise",J186="organisme",J186="agence"),"A",IF(OR(O186="1000_2499",O186="600_999"),"B",IF(O186="inconnu",IF(OR(N186="75_149",N186="150p"),"A","B"),""))))))</f>
        <v/>
      </c>
      <c r="AT186" s="7">
        <f>IF(A186="","",IF(P186&lt;&gt;"",P186,AS186))</f>
        <v/>
      </c>
      <c r="AU186" s="7">
        <f>IF(A186="","",IF(OR(AT186="A",AT186="B"),1,0))</f>
        <v/>
      </c>
      <c r="AV186" s="7">
        <f>IF(A186="","",IF(OR(R186="Dépôt payé (gagné)",R186="Événement livré",R186="Avis obtenu"),1,0))</f>
        <v/>
      </c>
      <c r="AW186" s="7">
        <f>IF(A186="","",IF(Q186&gt;70,"Immédiat – propriétaire",IF(Q186&gt;=40,"15 min – personne de garde","Selon la route")))</f>
        <v/>
      </c>
      <c r="AX186" s="11">
        <f>IF(A186="","",IF(AT186="A",400,IF(AT186="B",150,0)))</f>
        <v/>
      </c>
      <c r="AY186" s="11">
        <f>IF(A186="","",IF(AV186=1,N(V186),IF(N(U186)&gt;0,ROUND(N(U186)*IFERROR(VLOOKUP(R186,Listes!$AE$3:$AG$12,2,FALSE),0),0),0)))</f>
        <v/>
      </c>
      <c r="AZ186" s="7">
        <f>IF(LEFT(A186,7)="EXEMPLE",1,0)</f>
        <v/>
      </c>
      <c r="BA186" s="7">
        <f>IF(AND(AV186=1,AZ186=0,AC186&lt;&gt;"",W186&lt;&gt;"",N(V186)&gt;0),COUNTIFS($AV$3:AV186,1,$AZ$3:AZ186,0,$AC$3:AC186,"&lt;&gt;",$W$3:W186,"&lt;&gt;",$V$3:V186,"&gt;0"),"")</f>
        <v/>
      </c>
    </row>
    <row r="187">
      <c r="A187" s="12" t="n"/>
      <c r="B187" s="13" t="n"/>
      <c r="C187" s="13" t="n"/>
      <c r="D187" s="7">
        <f>IF(OR(B187="",C187=""),"",ROUND((C187-B187)*1440,0))</f>
        <v/>
      </c>
      <c r="E187" s="12" t="n"/>
      <c r="F187" s="12" t="n"/>
      <c r="G187" s="12" t="n"/>
      <c r="H187" s="12" t="n"/>
      <c r="I187" s="12" t="n"/>
      <c r="J187" s="12" t="n"/>
      <c r="K187" s="12" t="n"/>
      <c r="L187" s="14" t="n"/>
      <c r="M187" s="12" t="n"/>
      <c r="N187" s="12" t="n"/>
      <c r="O187" s="12" t="n"/>
      <c r="P187" s="12" t="n"/>
      <c r="Q187" s="7">
        <f>IF(A187="","",IFERROR(VLOOKUP(O187,Listes!$R$3:$T$8,2,FALSE),0)+IFERROR(VLOOKUP(J187,Listes!$J$3:$L$6,2,FALSE),0)+IFERROR(VLOOKUP(N187,Listes!$N$3:$P$6,2,FALSE),0)+IF(OR(L187="",B187=""),0,IF(L187-INT(B187)&lt;10,8,IF(L187-INT(B187)&lt;=90,10,5)))+IFERROR(VLOOKUP(AN187,Listes!$V$3:$W$5,2,FALSE),0)+IFERROR(VLOOKUP(AO187,Listes!$Y$3:$Z$5,2,FALSE),0))</f>
        <v/>
      </c>
      <c r="R187" s="12" t="n"/>
      <c r="S187" s="12" t="n"/>
      <c r="T187" s="12" t="n"/>
      <c r="U187" s="15" t="n"/>
      <c r="V187" s="15" t="n"/>
      <c r="W187" s="13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3" t="n"/>
      <c r="AK187" s="12" t="n"/>
      <c r="AL187" s="12" t="n"/>
      <c r="AM187" s="12" t="n"/>
      <c r="AN187" s="12" t="n"/>
      <c r="AO187" s="12" t="n"/>
      <c r="AP187" s="12" t="n"/>
      <c r="AQ187" s="7">
        <f>IF(A187="","",IF(AP187&lt;&gt;"",AP187,IF(LEFT(Z187,11)="gads_marque","Google Search – Marque",IF(LEFT(Z187,12)="gads_mariage","Google Search – Mariage et privé",IF(LEFT(Z187,10)="gads_corpo","Google Search – Corporatif",IF(LEFT(Z187,5)="meta_","Meta – Leads",IF(LEFT(Z187,5)="msft_","Microsoft Ads",IF(LEFT(Z187,8)="chatgpt_","ChatGPT Ads – Test",IF(X187="gbp","Fiche Google (organique)","Autre / non payé")))))))))</f>
        <v/>
      </c>
      <c r="AR187" s="7">
        <f>IF(K187="","",IFERROR(VLOOKUP(K187,Listes!$F$3:$H$8,3,FALSE),""))</f>
        <v/>
      </c>
      <c r="AS187" s="7">
        <f>IF(O187="","",IF(AND(M187="Autre (plus de 40 km)",OR(O187="lt600",O187="600_999",O187="1000_2499")),"D",IF(OR(O187="lt600",AND(O187="600_999",K187&lt;&gt;"mariage",K187&lt;&gt;"prive")),"C",IF(OR(O187="2500_4999",O187="5000p",J187="entreprise",J187="organisme",J187="agence"),"A",IF(OR(O187="1000_2499",O187="600_999"),"B",IF(O187="inconnu",IF(OR(N187="75_149",N187="150p"),"A","B"),""))))))</f>
        <v/>
      </c>
      <c r="AT187" s="7">
        <f>IF(A187="","",IF(P187&lt;&gt;"",P187,AS187))</f>
        <v/>
      </c>
      <c r="AU187" s="7">
        <f>IF(A187="","",IF(OR(AT187="A",AT187="B"),1,0))</f>
        <v/>
      </c>
      <c r="AV187" s="7">
        <f>IF(A187="","",IF(OR(R187="Dépôt payé (gagné)",R187="Événement livré",R187="Avis obtenu"),1,0))</f>
        <v/>
      </c>
      <c r="AW187" s="7">
        <f>IF(A187="","",IF(Q187&gt;70,"Immédiat – propriétaire",IF(Q187&gt;=40,"15 min – personne de garde","Selon la route")))</f>
        <v/>
      </c>
      <c r="AX187" s="11">
        <f>IF(A187="","",IF(AT187="A",400,IF(AT187="B",150,0)))</f>
        <v/>
      </c>
      <c r="AY187" s="11">
        <f>IF(A187="","",IF(AV187=1,N(V187),IF(N(U187)&gt;0,ROUND(N(U187)*IFERROR(VLOOKUP(R187,Listes!$AE$3:$AG$12,2,FALSE),0),0),0)))</f>
        <v/>
      </c>
      <c r="AZ187" s="7">
        <f>IF(LEFT(A187,7)="EXEMPLE",1,0)</f>
        <v/>
      </c>
      <c r="BA187" s="7">
        <f>IF(AND(AV187=1,AZ187=0,AC187&lt;&gt;"",W187&lt;&gt;"",N(V187)&gt;0),COUNTIFS($AV$3:AV187,1,$AZ$3:AZ187,0,$AC$3:AC187,"&lt;&gt;",$W$3:W187,"&lt;&gt;",$V$3:V187,"&gt;0"),"")</f>
        <v/>
      </c>
    </row>
    <row r="188">
      <c r="A188" s="12" t="n"/>
      <c r="B188" s="13" t="n"/>
      <c r="C188" s="13" t="n"/>
      <c r="D188" s="7">
        <f>IF(OR(B188="",C188=""),"",ROUND((C188-B188)*1440,0))</f>
        <v/>
      </c>
      <c r="E188" s="12" t="n"/>
      <c r="F188" s="12" t="n"/>
      <c r="G188" s="12" t="n"/>
      <c r="H188" s="12" t="n"/>
      <c r="I188" s="12" t="n"/>
      <c r="J188" s="12" t="n"/>
      <c r="K188" s="12" t="n"/>
      <c r="L188" s="14" t="n"/>
      <c r="M188" s="12" t="n"/>
      <c r="N188" s="12" t="n"/>
      <c r="O188" s="12" t="n"/>
      <c r="P188" s="12" t="n"/>
      <c r="Q188" s="7">
        <f>IF(A188="","",IFERROR(VLOOKUP(O188,Listes!$R$3:$T$8,2,FALSE),0)+IFERROR(VLOOKUP(J188,Listes!$J$3:$L$6,2,FALSE),0)+IFERROR(VLOOKUP(N188,Listes!$N$3:$P$6,2,FALSE),0)+IF(OR(L188="",B188=""),0,IF(L188-INT(B188)&lt;10,8,IF(L188-INT(B188)&lt;=90,10,5)))+IFERROR(VLOOKUP(AN188,Listes!$V$3:$W$5,2,FALSE),0)+IFERROR(VLOOKUP(AO188,Listes!$Y$3:$Z$5,2,FALSE),0))</f>
        <v/>
      </c>
      <c r="R188" s="12" t="n"/>
      <c r="S188" s="12" t="n"/>
      <c r="T188" s="12" t="n"/>
      <c r="U188" s="15" t="n"/>
      <c r="V188" s="15" t="n"/>
      <c r="W188" s="13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3" t="n"/>
      <c r="AK188" s="12" t="n"/>
      <c r="AL188" s="12" t="n"/>
      <c r="AM188" s="12" t="n"/>
      <c r="AN188" s="12" t="n"/>
      <c r="AO188" s="12" t="n"/>
      <c r="AP188" s="12" t="n"/>
      <c r="AQ188" s="7">
        <f>IF(A188="","",IF(AP188&lt;&gt;"",AP188,IF(LEFT(Z188,11)="gads_marque","Google Search – Marque",IF(LEFT(Z188,12)="gads_mariage","Google Search – Mariage et privé",IF(LEFT(Z188,10)="gads_corpo","Google Search – Corporatif",IF(LEFT(Z188,5)="meta_","Meta – Leads",IF(LEFT(Z188,5)="msft_","Microsoft Ads",IF(LEFT(Z188,8)="chatgpt_","ChatGPT Ads – Test",IF(X188="gbp","Fiche Google (organique)","Autre / non payé")))))))))</f>
        <v/>
      </c>
      <c r="AR188" s="7">
        <f>IF(K188="","",IFERROR(VLOOKUP(K188,Listes!$F$3:$H$8,3,FALSE),""))</f>
        <v/>
      </c>
      <c r="AS188" s="7">
        <f>IF(O188="","",IF(AND(M188="Autre (plus de 40 km)",OR(O188="lt600",O188="600_999",O188="1000_2499")),"D",IF(OR(O188="lt600",AND(O188="600_999",K188&lt;&gt;"mariage",K188&lt;&gt;"prive")),"C",IF(OR(O188="2500_4999",O188="5000p",J188="entreprise",J188="organisme",J188="agence"),"A",IF(OR(O188="1000_2499",O188="600_999"),"B",IF(O188="inconnu",IF(OR(N188="75_149",N188="150p"),"A","B"),""))))))</f>
        <v/>
      </c>
      <c r="AT188" s="7">
        <f>IF(A188="","",IF(P188&lt;&gt;"",P188,AS188))</f>
        <v/>
      </c>
      <c r="AU188" s="7">
        <f>IF(A188="","",IF(OR(AT188="A",AT188="B"),1,0))</f>
        <v/>
      </c>
      <c r="AV188" s="7">
        <f>IF(A188="","",IF(OR(R188="Dépôt payé (gagné)",R188="Événement livré",R188="Avis obtenu"),1,0))</f>
        <v/>
      </c>
      <c r="AW188" s="7">
        <f>IF(A188="","",IF(Q188&gt;70,"Immédiat – propriétaire",IF(Q188&gt;=40,"15 min – personne de garde","Selon la route")))</f>
        <v/>
      </c>
      <c r="AX188" s="11">
        <f>IF(A188="","",IF(AT188="A",400,IF(AT188="B",150,0)))</f>
        <v/>
      </c>
      <c r="AY188" s="11">
        <f>IF(A188="","",IF(AV188=1,N(V188),IF(N(U188)&gt;0,ROUND(N(U188)*IFERROR(VLOOKUP(R188,Listes!$AE$3:$AG$12,2,FALSE),0),0),0)))</f>
        <v/>
      </c>
      <c r="AZ188" s="7">
        <f>IF(LEFT(A188,7)="EXEMPLE",1,0)</f>
        <v/>
      </c>
      <c r="BA188" s="7">
        <f>IF(AND(AV188=1,AZ188=0,AC188&lt;&gt;"",W188&lt;&gt;"",N(V188)&gt;0),COUNTIFS($AV$3:AV188,1,$AZ$3:AZ188,0,$AC$3:AC188,"&lt;&gt;",$W$3:W188,"&lt;&gt;",$V$3:V188,"&gt;0"),"")</f>
        <v/>
      </c>
    </row>
    <row r="189">
      <c r="A189" s="12" t="n"/>
      <c r="B189" s="13" t="n"/>
      <c r="C189" s="13" t="n"/>
      <c r="D189" s="7">
        <f>IF(OR(B189="",C189=""),"",ROUND((C189-B189)*1440,0))</f>
        <v/>
      </c>
      <c r="E189" s="12" t="n"/>
      <c r="F189" s="12" t="n"/>
      <c r="G189" s="12" t="n"/>
      <c r="H189" s="12" t="n"/>
      <c r="I189" s="12" t="n"/>
      <c r="J189" s="12" t="n"/>
      <c r="K189" s="12" t="n"/>
      <c r="L189" s="14" t="n"/>
      <c r="M189" s="12" t="n"/>
      <c r="N189" s="12" t="n"/>
      <c r="O189" s="12" t="n"/>
      <c r="P189" s="12" t="n"/>
      <c r="Q189" s="7">
        <f>IF(A189="","",IFERROR(VLOOKUP(O189,Listes!$R$3:$T$8,2,FALSE),0)+IFERROR(VLOOKUP(J189,Listes!$J$3:$L$6,2,FALSE),0)+IFERROR(VLOOKUP(N189,Listes!$N$3:$P$6,2,FALSE),0)+IF(OR(L189="",B189=""),0,IF(L189-INT(B189)&lt;10,8,IF(L189-INT(B189)&lt;=90,10,5)))+IFERROR(VLOOKUP(AN189,Listes!$V$3:$W$5,2,FALSE),0)+IFERROR(VLOOKUP(AO189,Listes!$Y$3:$Z$5,2,FALSE),0))</f>
        <v/>
      </c>
      <c r="R189" s="12" t="n"/>
      <c r="S189" s="12" t="n"/>
      <c r="T189" s="12" t="n"/>
      <c r="U189" s="15" t="n"/>
      <c r="V189" s="15" t="n"/>
      <c r="W189" s="13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3" t="n"/>
      <c r="AK189" s="12" t="n"/>
      <c r="AL189" s="12" t="n"/>
      <c r="AM189" s="12" t="n"/>
      <c r="AN189" s="12" t="n"/>
      <c r="AO189" s="12" t="n"/>
      <c r="AP189" s="12" t="n"/>
      <c r="AQ189" s="7">
        <f>IF(A189="","",IF(AP189&lt;&gt;"",AP189,IF(LEFT(Z189,11)="gads_marque","Google Search – Marque",IF(LEFT(Z189,12)="gads_mariage","Google Search – Mariage et privé",IF(LEFT(Z189,10)="gads_corpo","Google Search – Corporatif",IF(LEFT(Z189,5)="meta_","Meta – Leads",IF(LEFT(Z189,5)="msft_","Microsoft Ads",IF(LEFT(Z189,8)="chatgpt_","ChatGPT Ads – Test",IF(X189="gbp","Fiche Google (organique)","Autre / non payé")))))))))</f>
        <v/>
      </c>
      <c r="AR189" s="7">
        <f>IF(K189="","",IFERROR(VLOOKUP(K189,Listes!$F$3:$H$8,3,FALSE),""))</f>
        <v/>
      </c>
      <c r="AS189" s="7">
        <f>IF(O189="","",IF(AND(M189="Autre (plus de 40 km)",OR(O189="lt600",O189="600_999",O189="1000_2499")),"D",IF(OR(O189="lt600",AND(O189="600_999",K189&lt;&gt;"mariage",K189&lt;&gt;"prive")),"C",IF(OR(O189="2500_4999",O189="5000p",J189="entreprise",J189="organisme",J189="agence"),"A",IF(OR(O189="1000_2499",O189="600_999"),"B",IF(O189="inconnu",IF(OR(N189="75_149",N189="150p"),"A","B"),""))))))</f>
        <v/>
      </c>
      <c r="AT189" s="7">
        <f>IF(A189="","",IF(P189&lt;&gt;"",P189,AS189))</f>
        <v/>
      </c>
      <c r="AU189" s="7">
        <f>IF(A189="","",IF(OR(AT189="A",AT189="B"),1,0))</f>
        <v/>
      </c>
      <c r="AV189" s="7">
        <f>IF(A189="","",IF(OR(R189="Dépôt payé (gagné)",R189="Événement livré",R189="Avis obtenu"),1,0))</f>
        <v/>
      </c>
      <c r="AW189" s="7">
        <f>IF(A189="","",IF(Q189&gt;70,"Immédiat – propriétaire",IF(Q189&gt;=40,"15 min – personne de garde","Selon la route")))</f>
        <v/>
      </c>
      <c r="AX189" s="11">
        <f>IF(A189="","",IF(AT189="A",400,IF(AT189="B",150,0)))</f>
        <v/>
      </c>
      <c r="AY189" s="11">
        <f>IF(A189="","",IF(AV189=1,N(V189),IF(N(U189)&gt;0,ROUND(N(U189)*IFERROR(VLOOKUP(R189,Listes!$AE$3:$AG$12,2,FALSE),0),0),0)))</f>
        <v/>
      </c>
      <c r="AZ189" s="7">
        <f>IF(LEFT(A189,7)="EXEMPLE",1,0)</f>
        <v/>
      </c>
      <c r="BA189" s="7">
        <f>IF(AND(AV189=1,AZ189=0,AC189&lt;&gt;"",W189&lt;&gt;"",N(V189)&gt;0),COUNTIFS($AV$3:AV189,1,$AZ$3:AZ189,0,$AC$3:AC189,"&lt;&gt;",$W$3:W189,"&lt;&gt;",$V$3:V189,"&gt;0"),"")</f>
        <v/>
      </c>
    </row>
    <row r="190">
      <c r="A190" s="12" t="n"/>
      <c r="B190" s="13" t="n"/>
      <c r="C190" s="13" t="n"/>
      <c r="D190" s="7">
        <f>IF(OR(B190="",C190=""),"",ROUND((C190-B190)*1440,0))</f>
        <v/>
      </c>
      <c r="E190" s="12" t="n"/>
      <c r="F190" s="12" t="n"/>
      <c r="G190" s="12" t="n"/>
      <c r="H190" s="12" t="n"/>
      <c r="I190" s="12" t="n"/>
      <c r="J190" s="12" t="n"/>
      <c r="K190" s="12" t="n"/>
      <c r="L190" s="14" t="n"/>
      <c r="M190" s="12" t="n"/>
      <c r="N190" s="12" t="n"/>
      <c r="O190" s="12" t="n"/>
      <c r="P190" s="12" t="n"/>
      <c r="Q190" s="7">
        <f>IF(A190="","",IFERROR(VLOOKUP(O190,Listes!$R$3:$T$8,2,FALSE),0)+IFERROR(VLOOKUP(J190,Listes!$J$3:$L$6,2,FALSE),0)+IFERROR(VLOOKUP(N190,Listes!$N$3:$P$6,2,FALSE),0)+IF(OR(L190="",B190=""),0,IF(L190-INT(B190)&lt;10,8,IF(L190-INT(B190)&lt;=90,10,5)))+IFERROR(VLOOKUP(AN190,Listes!$V$3:$W$5,2,FALSE),0)+IFERROR(VLOOKUP(AO190,Listes!$Y$3:$Z$5,2,FALSE),0))</f>
        <v/>
      </c>
      <c r="R190" s="12" t="n"/>
      <c r="S190" s="12" t="n"/>
      <c r="T190" s="12" t="n"/>
      <c r="U190" s="15" t="n"/>
      <c r="V190" s="15" t="n"/>
      <c r="W190" s="13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3" t="n"/>
      <c r="AK190" s="12" t="n"/>
      <c r="AL190" s="12" t="n"/>
      <c r="AM190" s="12" t="n"/>
      <c r="AN190" s="12" t="n"/>
      <c r="AO190" s="12" t="n"/>
      <c r="AP190" s="12" t="n"/>
      <c r="AQ190" s="7">
        <f>IF(A190="","",IF(AP190&lt;&gt;"",AP190,IF(LEFT(Z190,11)="gads_marque","Google Search – Marque",IF(LEFT(Z190,12)="gads_mariage","Google Search – Mariage et privé",IF(LEFT(Z190,10)="gads_corpo","Google Search – Corporatif",IF(LEFT(Z190,5)="meta_","Meta – Leads",IF(LEFT(Z190,5)="msft_","Microsoft Ads",IF(LEFT(Z190,8)="chatgpt_","ChatGPT Ads – Test",IF(X190="gbp","Fiche Google (organique)","Autre / non payé")))))))))</f>
        <v/>
      </c>
      <c r="AR190" s="7">
        <f>IF(K190="","",IFERROR(VLOOKUP(K190,Listes!$F$3:$H$8,3,FALSE),""))</f>
        <v/>
      </c>
      <c r="AS190" s="7">
        <f>IF(O190="","",IF(AND(M190="Autre (plus de 40 km)",OR(O190="lt600",O190="600_999",O190="1000_2499")),"D",IF(OR(O190="lt600",AND(O190="600_999",K190&lt;&gt;"mariage",K190&lt;&gt;"prive")),"C",IF(OR(O190="2500_4999",O190="5000p",J190="entreprise",J190="organisme",J190="agence"),"A",IF(OR(O190="1000_2499",O190="600_999"),"B",IF(O190="inconnu",IF(OR(N190="75_149",N190="150p"),"A","B"),""))))))</f>
        <v/>
      </c>
      <c r="AT190" s="7">
        <f>IF(A190="","",IF(P190&lt;&gt;"",P190,AS190))</f>
        <v/>
      </c>
      <c r="AU190" s="7">
        <f>IF(A190="","",IF(OR(AT190="A",AT190="B"),1,0))</f>
        <v/>
      </c>
      <c r="AV190" s="7">
        <f>IF(A190="","",IF(OR(R190="Dépôt payé (gagné)",R190="Événement livré",R190="Avis obtenu"),1,0))</f>
        <v/>
      </c>
      <c r="AW190" s="7">
        <f>IF(A190="","",IF(Q190&gt;70,"Immédiat – propriétaire",IF(Q190&gt;=40,"15 min – personne de garde","Selon la route")))</f>
        <v/>
      </c>
      <c r="AX190" s="11">
        <f>IF(A190="","",IF(AT190="A",400,IF(AT190="B",150,0)))</f>
        <v/>
      </c>
      <c r="AY190" s="11">
        <f>IF(A190="","",IF(AV190=1,N(V190),IF(N(U190)&gt;0,ROUND(N(U190)*IFERROR(VLOOKUP(R190,Listes!$AE$3:$AG$12,2,FALSE),0),0),0)))</f>
        <v/>
      </c>
      <c r="AZ190" s="7">
        <f>IF(LEFT(A190,7)="EXEMPLE",1,0)</f>
        <v/>
      </c>
      <c r="BA190" s="7">
        <f>IF(AND(AV190=1,AZ190=0,AC190&lt;&gt;"",W190&lt;&gt;"",N(V190)&gt;0),COUNTIFS($AV$3:AV190,1,$AZ$3:AZ190,0,$AC$3:AC190,"&lt;&gt;",$W$3:W190,"&lt;&gt;",$V$3:V190,"&gt;0"),"")</f>
        <v/>
      </c>
    </row>
    <row r="191">
      <c r="A191" s="12" t="n"/>
      <c r="B191" s="13" t="n"/>
      <c r="C191" s="13" t="n"/>
      <c r="D191" s="7">
        <f>IF(OR(B191="",C191=""),"",ROUND((C191-B191)*1440,0))</f>
        <v/>
      </c>
      <c r="E191" s="12" t="n"/>
      <c r="F191" s="12" t="n"/>
      <c r="G191" s="12" t="n"/>
      <c r="H191" s="12" t="n"/>
      <c r="I191" s="12" t="n"/>
      <c r="J191" s="12" t="n"/>
      <c r="K191" s="12" t="n"/>
      <c r="L191" s="14" t="n"/>
      <c r="M191" s="12" t="n"/>
      <c r="N191" s="12" t="n"/>
      <c r="O191" s="12" t="n"/>
      <c r="P191" s="12" t="n"/>
      <c r="Q191" s="7">
        <f>IF(A191="","",IFERROR(VLOOKUP(O191,Listes!$R$3:$T$8,2,FALSE),0)+IFERROR(VLOOKUP(J191,Listes!$J$3:$L$6,2,FALSE),0)+IFERROR(VLOOKUP(N191,Listes!$N$3:$P$6,2,FALSE),0)+IF(OR(L191="",B191=""),0,IF(L191-INT(B191)&lt;10,8,IF(L191-INT(B191)&lt;=90,10,5)))+IFERROR(VLOOKUP(AN191,Listes!$V$3:$W$5,2,FALSE),0)+IFERROR(VLOOKUP(AO191,Listes!$Y$3:$Z$5,2,FALSE),0))</f>
        <v/>
      </c>
      <c r="R191" s="12" t="n"/>
      <c r="S191" s="12" t="n"/>
      <c r="T191" s="12" t="n"/>
      <c r="U191" s="15" t="n"/>
      <c r="V191" s="15" t="n"/>
      <c r="W191" s="13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3" t="n"/>
      <c r="AK191" s="12" t="n"/>
      <c r="AL191" s="12" t="n"/>
      <c r="AM191" s="12" t="n"/>
      <c r="AN191" s="12" t="n"/>
      <c r="AO191" s="12" t="n"/>
      <c r="AP191" s="12" t="n"/>
      <c r="AQ191" s="7">
        <f>IF(A191="","",IF(AP191&lt;&gt;"",AP191,IF(LEFT(Z191,11)="gads_marque","Google Search – Marque",IF(LEFT(Z191,12)="gads_mariage","Google Search – Mariage et privé",IF(LEFT(Z191,10)="gads_corpo","Google Search – Corporatif",IF(LEFT(Z191,5)="meta_","Meta – Leads",IF(LEFT(Z191,5)="msft_","Microsoft Ads",IF(LEFT(Z191,8)="chatgpt_","ChatGPT Ads – Test",IF(X191="gbp","Fiche Google (organique)","Autre / non payé")))))))))</f>
        <v/>
      </c>
      <c r="AR191" s="7">
        <f>IF(K191="","",IFERROR(VLOOKUP(K191,Listes!$F$3:$H$8,3,FALSE),""))</f>
        <v/>
      </c>
      <c r="AS191" s="7">
        <f>IF(O191="","",IF(AND(M191="Autre (plus de 40 km)",OR(O191="lt600",O191="600_999",O191="1000_2499")),"D",IF(OR(O191="lt600",AND(O191="600_999",K191&lt;&gt;"mariage",K191&lt;&gt;"prive")),"C",IF(OR(O191="2500_4999",O191="5000p",J191="entreprise",J191="organisme",J191="agence"),"A",IF(OR(O191="1000_2499",O191="600_999"),"B",IF(O191="inconnu",IF(OR(N191="75_149",N191="150p"),"A","B"),""))))))</f>
        <v/>
      </c>
      <c r="AT191" s="7">
        <f>IF(A191="","",IF(P191&lt;&gt;"",P191,AS191))</f>
        <v/>
      </c>
      <c r="AU191" s="7">
        <f>IF(A191="","",IF(OR(AT191="A",AT191="B"),1,0))</f>
        <v/>
      </c>
      <c r="AV191" s="7">
        <f>IF(A191="","",IF(OR(R191="Dépôt payé (gagné)",R191="Événement livré",R191="Avis obtenu"),1,0))</f>
        <v/>
      </c>
      <c r="AW191" s="7">
        <f>IF(A191="","",IF(Q191&gt;70,"Immédiat – propriétaire",IF(Q191&gt;=40,"15 min – personne de garde","Selon la route")))</f>
        <v/>
      </c>
      <c r="AX191" s="11">
        <f>IF(A191="","",IF(AT191="A",400,IF(AT191="B",150,0)))</f>
        <v/>
      </c>
      <c r="AY191" s="11">
        <f>IF(A191="","",IF(AV191=1,N(V191),IF(N(U191)&gt;0,ROUND(N(U191)*IFERROR(VLOOKUP(R191,Listes!$AE$3:$AG$12,2,FALSE),0),0),0)))</f>
        <v/>
      </c>
      <c r="AZ191" s="7">
        <f>IF(LEFT(A191,7)="EXEMPLE",1,0)</f>
        <v/>
      </c>
      <c r="BA191" s="7">
        <f>IF(AND(AV191=1,AZ191=0,AC191&lt;&gt;"",W191&lt;&gt;"",N(V191)&gt;0),COUNTIFS($AV$3:AV191,1,$AZ$3:AZ191,0,$AC$3:AC191,"&lt;&gt;",$W$3:W191,"&lt;&gt;",$V$3:V191,"&gt;0"),"")</f>
        <v/>
      </c>
    </row>
    <row r="192">
      <c r="A192" s="12" t="n"/>
      <c r="B192" s="13" t="n"/>
      <c r="C192" s="13" t="n"/>
      <c r="D192" s="7">
        <f>IF(OR(B192="",C192=""),"",ROUND((C192-B192)*1440,0))</f>
        <v/>
      </c>
      <c r="E192" s="12" t="n"/>
      <c r="F192" s="12" t="n"/>
      <c r="G192" s="12" t="n"/>
      <c r="H192" s="12" t="n"/>
      <c r="I192" s="12" t="n"/>
      <c r="J192" s="12" t="n"/>
      <c r="K192" s="12" t="n"/>
      <c r="L192" s="14" t="n"/>
      <c r="M192" s="12" t="n"/>
      <c r="N192" s="12" t="n"/>
      <c r="O192" s="12" t="n"/>
      <c r="P192" s="12" t="n"/>
      <c r="Q192" s="7">
        <f>IF(A192="","",IFERROR(VLOOKUP(O192,Listes!$R$3:$T$8,2,FALSE),0)+IFERROR(VLOOKUP(J192,Listes!$J$3:$L$6,2,FALSE),0)+IFERROR(VLOOKUP(N192,Listes!$N$3:$P$6,2,FALSE),0)+IF(OR(L192="",B192=""),0,IF(L192-INT(B192)&lt;10,8,IF(L192-INT(B192)&lt;=90,10,5)))+IFERROR(VLOOKUP(AN192,Listes!$V$3:$W$5,2,FALSE),0)+IFERROR(VLOOKUP(AO192,Listes!$Y$3:$Z$5,2,FALSE),0))</f>
        <v/>
      </c>
      <c r="R192" s="12" t="n"/>
      <c r="S192" s="12" t="n"/>
      <c r="T192" s="12" t="n"/>
      <c r="U192" s="15" t="n"/>
      <c r="V192" s="15" t="n"/>
      <c r="W192" s="13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3" t="n"/>
      <c r="AK192" s="12" t="n"/>
      <c r="AL192" s="12" t="n"/>
      <c r="AM192" s="12" t="n"/>
      <c r="AN192" s="12" t="n"/>
      <c r="AO192" s="12" t="n"/>
      <c r="AP192" s="12" t="n"/>
      <c r="AQ192" s="7">
        <f>IF(A192="","",IF(AP192&lt;&gt;"",AP192,IF(LEFT(Z192,11)="gads_marque","Google Search – Marque",IF(LEFT(Z192,12)="gads_mariage","Google Search – Mariage et privé",IF(LEFT(Z192,10)="gads_corpo","Google Search – Corporatif",IF(LEFT(Z192,5)="meta_","Meta – Leads",IF(LEFT(Z192,5)="msft_","Microsoft Ads",IF(LEFT(Z192,8)="chatgpt_","ChatGPT Ads – Test",IF(X192="gbp","Fiche Google (organique)","Autre / non payé")))))))))</f>
        <v/>
      </c>
      <c r="AR192" s="7">
        <f>IF(K192="","",IFERROR(VLOOKUP(K192,Listes!$F$3:$H$8,3,FALSE),""))</f>
        <v/>
      </c>
      <c r="AS192" s="7">
        <f>IF(O192="","",IF(AND(M192="Autre (plus de 40 km)",OR(O192="lt600",O192="600_999",O192="1000_2499")),"D",IF(OR(O192="lt600",AND(O192="600_999",K192&lt;&gt;"mariage",K192&lt;&gt;"prive")),"C",IF(OR(O192="2500_4999",O192="5000p",J192="entreprise",J192="organisme",J192="agence"),"A",IF(OR(O192="1000_2499",O192="600_999"),"B",IF(O192="inconnu",IF(OR(N192="75_149",N192="150p"),"A","B"),""))))))</f>
        <v/>
      </c>
      <c r="AT192" s="7">
        <f>IF(A192="","",IF(P192&lt;&gt;"",P192,AS192))</f>
        <v/>
      </c>
      <c r="AU192" s="7">
        <f>IF(A192="","",IF(OR(AT192="A",AT192="B"),1,0))</f>
        <v/>
      </c>
      <c r="AV192" s="7">
        <f>IF(A192="","",IF(OR(R192="Dépôt payé (gagné)",R192="Événement livré",R192="Avis obtenu"),1,0))</f>
        <v/>
      </c>
      <c r="AW192" s="7">
        <f>IF(A192="","",IF(Q192&gt;70,"Immédiat – propriétaire",IF(Q192&gt;=40,"15 min – personne de garde","Selon la route")))</f>
        <v/>
      </c>
      <c r="AX192" s="11">
        <f>IF(A192="","",IF(AT192="A",400,IF(AT192="B",150,0)))</f>
        <v/>
      </c>
      <c r="AY192" s="11">
        <f>IF(A192="","",IF(AV192=1,N(V192),IF(N(U192)&gt;0,ROUND(N(U192)*IFERROR(VLOOKUP(R192,Listes!$AE$3:$AG$12,2,FALSE),0),0),0)))</f>
        <v/>
      </c>
      <c r="AZ192" s="7">
        <f>IF(LEFT(A192,7)="EXEMPLE",1,0)</f>
        <v/>
      </c>
      <c r="BA192" s="7">
        <f>IF(AND(AV192=1,AZ192=0,AC192&lt;&gt;"",W192&lt;&gt;"",N(V192)&gt;0),COUNTIFS($AV$3:AV192,1,$AZ$3:AZ192,0,$AC$3:AC192,"&lt;&gt;",$W$3:W192,"&lt;&gt;",$V$3:V192,"&gt;0"),"")</f>
        <v/>
      </c>
    </row>
    <row r="193">
      <c r="A193" s="12" t="n"/>
      <c r="B193" s="13" t="n"/>
      <c r="C193" s="13" t="n"/>
      <c r="D193" s="7">
        <f>IF(OR(B193="",C193=""),"",ROUND((C193-B193)*1440,0))</f>
        <v/>
      </c>
      <c r="E193" s="12" t="n"/>
      <c r="F193" s="12" t="n"/>
      <c r="G193" s="12" t="n"/>
      <c r="H193" s="12" t="n"/>
      <c r="I193" s="12" t="n"/>
      <c r="J193" s="12" t="n"/>
      <c r="K193" s="12" t="n"/>
      <c r="L193" s="14" t="n"/>
      <c r="M193" s="12" t="n"/>
      <c r="N193" s="12" t="n"/>
      <c r="O193" s="12" t="n"/>
      <c r="P193" s="12" t="n"/>
      <c r="Q193" s="7">
        <f>IF(A193="","",IFERROR(VLOOKUP(O193,Listes!$R$3:$T$8,2,FALSE),0)+IFERROR(VLOOKUP(J193,Listes!$J$3:$L$6,2,FALSE),0)+IFERROR(VLOOKUP(N193,Listes!$N$3:$P$6,2,FALSE),0)+IF(OR(L193="",B193=""),0,IF(L193-INT(B193)&lt;10,8,IF(L193-INT(B193)&lt;=90,10,5)))+IFERROR(VLOOKUP(AN193,Listes!$V$3:$W$5,2,FALSE),0)+IFERROR(VLOOKUP(AO193,Listes!$Y$3:$Z$5,2,FALSE),0))</f>
        <v/>
      </c>
      <c r="R193" s="12" t="n"/>
      <c r="S193" s="12" t="n"/>
      <c r="T193" s="12" t="n"/>
      <c r="U193" s="15" t="n"/>
      <c r="V193" s="15" t="n"/>
      <c r="W193" s="13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3" t="n"/>
      <c r="AK193" s="12" t="n"/>
      <c r="AL193" s="12" t="n"/>
      <c r="AM193" s="12" t="n"/>
      <c r="AN193" s="12" t="n"/>
      <c r="AO193" s="12" t="n"/>
      <c r="AP193" s="12" t="n"/>
      <c r="AQ193" s="7">
        <f>IF(A193="","",IF(AP193&lt;&gt;"",AP193,IF(LEFT(Z193,11)="gads_marque","Google Search – Marque",IF(LEFT(Z193,12)="gads_mariage","Google Search – Mariage et privé",IF(LEFT(Z193,10)="gads_corpo","Google Search – Corporatif",IF(LEFT(Z193,5)="meta_","Meta – Leads",IF(LEFT(Z193,5)="msft_","Microsoft Ads",IF(LEFT(Z193,8)="chatgpt_","ChatGPT Ads – Test",IF(X193="gbp","Fiche Google (organique)","Autre / non payé")))))))))</f>
        <v/>
      </c>
      <c r="AR193" s="7">
        <f>IF(K193="","",IFERROR(VLOOKUP(K193,Listes!$F$3:$H$8,3,FALSE),""))</f>
        <v/>
      </c>
      <c r="AS193" s="7">
        <f>IF(O193="","",IF(AND(M193="Autre (plus de 40 km)",OR(O193="lt600",O193="600_999",O193="1000_2499")),"D",IF(OR(O193="lt600",AND(O193="600_999",K193&lt;&gt;"mariage",K193&lt;&gt;"prive")),"C",IF(OR(O193="2500_4999",O193="5000p",J193="entreprise",J193="organisme",J193="agence"),"A",IF(OR(O193="1000_2499",O193="600_999"),"B",IF(O193="inconnu",IF(OR(N193="75_149",N193="150p"),"A","B"),""))))))</f>
        <v/>
      </c>
      <c r="AT193" s="7">
        <f>IF(A193="","",IF(P193&lt;&gt;"",P193,AS193))</f>
        <v/>
      </c>
      <c r="AU193" s="7">
        <f>IF(A193="","",IF(OR(AT193="A",AT193="B"),1,0))</f>
        <v/>
      </c>
      <c r="AV193" s="7">
        <f>IF(A193="","",IF(OR(R193="Dépôt payé (gagné)",R193="Événement livré",R193="Avis obtenu"),1,0))</f>
        <v/>
      </c>
      <c r="AW193" s="7">
        <f>IF(A193="","",IF(Q193&gt;70,"Immédiat – propriétaire",IF(Q193&gt;=40,"15 min – personne de garde","Selon la route")))</f>
        <v/>
      </c>
      <c r="AX193" s="11">
        <f>IF(A193="","",IF(AT193="A",400,IF(AT193="B",150,0)))</f>
        <v/>
      </c>
      <c r="AY193" s="11">
        <f>IF(A193="","",IF(AV193=1,N(V193),IF(N(U193)&gt;0,ROUND(N(U193)*IFERROR(VLOOKUP(R193,Listes!$AE$3:$AG$12,2,FALSE),0),0),0)))</f>
        <v/>
      </c>
      <c r="AZ193" s="7">
        <f>IF(LEFT(A193,7)="EXEMPLE",1,0)</f>
        <v/>
      </c>
      <c r="BA193" s="7">
        <f>IF(AND(AV193=1,AZ193=0,AC193&lt;&gt;"",W193&lt;&gt;"",N(V193)&gt;0),COUNTIFS($AV$3:AV193,1,$AZ$3:AZ193,0,$AC$3:AC193,"&lt;&gt;",$W$3:W193,"&lt;&gt;",$V$3:V193,"&gt;0"),"")</f>
        <v/>
      </c>
    </row>
    <row r="194">
      <c r="A194" s="12" t="n"/>
      <c r="B194" s="13" t="n"/>
      <c r="C194" s="13" t="n"/>
      <c r="D194" s="7">
        <f>IF(OR(B194="",C194=""),"",ROUND((C194-B194)*1440,0))</f>
        <v/>
      </c>
      <c r="E194" s="12" t="n"/>
      <c r="F194" s="12" t="n"/>
      <c r="G194" s="12" t="n"/>
      <c r="H194" s="12" t="n"/>
      <c r="I194" s="12" t="n"/>
      <c r="J194" s="12" t="n"/>
      <c r="K194" s="12" t="n"/>
      <c r="L194" s="14" t="n"/>
      <c r="M194" s="12" t="n"/>
      <c r="N194" s="12" t="n"/>
      <c r="O194" s="12" t="n"/>
      <c r="P194" s="12" t="n"/>
      <c r="Q194" s="7">
        <f>IF(A194="","",IFERROR(VLOOKUP(O194,Listes!$R$3:$T$8,2,FALSE),0)+IFERROR(VLOOKUP(J194,Listes!$J$3:$L$6,2,FALSE),0)+IFERROR(VLOOKUP(N194,Listes!$N$3:$P$6,2,FALSE),0)+IF(OR(L194="",B194=""),0,IF(L194-INT(B194)&lt;10,8,IF(L194-INT(B194)&lt;=90,10,5)))+IFERROR(VLOOKUP(AN194,Listes!$V$3:$W$5,2,FALSE),0)+IFERROR(VLOOKUP(AO194,Listes!$Y$3:$Z$5,2,FALSE),0))</f>
        <v/>
      </c>
      <c r="R194" s="12" t="n"/>
      <c r="S194" s="12" t="n"/>
      <c r="T194" s="12" t="n"/>
      <c r="U194" s="15" t="n"/>
      <c r="V194" s="15" t="n"/>
      <c r="W194" s="13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3" t="n"/>
      <c r="AK194" s="12" t="n"/>
      <c r="AL194" s="12" t="n"/>
      <c r="AM194" s="12" t="n"/>
      <c r="AN194" s="12" t="n"/>
      <c r="AO194" s="12" t="n"/>
      <c r="AP194" s="12" t="n"/>
      <c r="AQ194" s="7">
        <f>IF(A194="","",IF(AP194&lt;&gt;"",AP194,IF(LEFT(Z194,11)="gads_marque","Google Search – Marque",IF(LEFT(Z194,12)="gads_mariage","Google Search – Mariage et privé",IF(LEFT(Z194,10)="gads_corpo","Google Search – Corporatif",IF(LEFT(Z194,5)="meta_","Meta – Leads",IF(LEFT(Z194,5)="msft_","Microsoft Ads",IF(LEFT(Z194,8)="chatgpt_","ChatGPT Ads – Test",IF(X194="gbp","Fiche Google (organique)","Autre / non payé")))))))))</f>
        <v/>
      </c>
      <c r="AR194" s="7">
        <f>IF(K194="","",IFERROR(VLOOKUP(K194,Listes!$F$3:$H$8,3,FALSE),""))</f>
        <v/>
      </c>
      <c r="AS194" s="7">
        <f>IF(O194="","",IF(AND(M194="Autre (plus de 40 km)",OR(O194="lt600",O194="600_999",O194="1000_2499")),"D",IF(OR(O194="lt600",AND(O194="600_999",K194&lt;&gt;"mariage",K194&lt;&gt;"prive")),"C",IF(OR(O194="2500_4999",O194="5000p",J194="entreprise",J194="organisme",J194="agence"),"A",IF(OR(O194="1000_2499",O194="600_999"),"B",IF(O194="inconnu",IF(OR(N194="75_149",N194="150p"),"A","B"),""))))))</f>
        <v/>
      </c>
      <c r="AT194" s="7">
        <f>IF(A194="","",IF(P194&lt;&gt;"",P194,AS194))</f>
        <v/>
      </c>
      <c r="AU194" s="7">
        <f>IF(A194="","",IF(OR(AT194="A",AT194="B"),1,0))</f>
        <v/>
      </c>
      <c r="AV194" s="7">
        <f>IF(A194="","",IF(OR(R194="Dépôt payé (gagné)",R194="Événement livré",R194="Avis obtenu"),1,0))</f>
        <v/>
      </c>
      <c r="AW194" s="7">
        <f>IF(A194="","",IF(Q194&gt;70,"Immédiat – propriétaire",IF(Q194&gt;=40,"15 min – personne de garde","Selon la route")))</f>
        <v/>
      </c>
      <c r="AX194" s="11">
        <f>IF(A194="","",IF(AT194="A",400,IF(AT194="B",150,0)))</f>
        <v/>
      </c>
      <c r="AY194" s="11">
        <f>IF(A194="","",IF(AV194=1,N(V194),IF(N(U194)&gt;0,ROUND(N(U194)*IFERROR(VLOOKUP(R194,Listes!$AE$3:$AG$12,2,FALSE),0),0),0)))</f>
        <v/>
      </c>
      <c r="AZ194" s="7">
        <f>IF(LEFT(A194,7)="EXEMPLE",1,0)</f>
        <v/>
      </c>
      <c r="BA194" s="7">
        <f>IF(AND(AV194=1,AZ194=0,AC194&lt;&gt;"",W194&lt;&gt;"",N(V194)&gt;0),COUNTIFS($AV$3:AV194,1,$AZ$3:AZ194,0,$AC$3:AC194,"&lt;&gt;",$W$3:W194,"&lt;&gt;",$V$3:V194,"&gt;0"),"")</f>
        <v/>
      </c>
    </row>
    <row r="195">
      <c r="A195" s="12" t="n"/>
      <c r="B195" s="13" t="n"/>
      <c r="C195" s="13" t="n"/>
      <c r="D195" s="7">
        <f>IF(OR(B195="",C195=""),"",ROUND((C195-B195)*1440,0))</f>
        <v/>
      </c>
      <c r="E195" s="12" t="n"/>
      <c r="F195" s="12" t="n"/>
      <c r="G195" s="12" t="n"/>
      <c r="H195" s="12" t="n"/>
      <c r="I195" s="12" t="n"/>
      <c r="J195" s="12" t="n"/>
      <c r="K195" s="12" t="n"/>
      <c r="L195" s="14" t="n"/>
      <c r="M195" s="12" t="n"/>
      <c r="N195" s="12" t="n"/>
      <c r="O195" s="12" t="n"/>
      <c r="P195" s="12" t="n"/>
      <c r="Q195" s="7">
        <f>IF(A195="","",IFERROR(VLOOKUP(O195,Listes!$R$3:$T$8,2,FALSE),0)+IFERROR(VLOOKUP(J195,Listes!$J$3:$L$6,2,FALSE),0)+IFERROR(VLOOKUP(N195,Listes!$N$3:$P$6,2,FALSE),0)+IF(OR(L195="",B195=""),0,IF(L195-INT(B195)&lt;10,8,IF(L195-INT(B195)&lt;=90,10,5)))+IFERROR(VLOOKUP(AN195,Listes!$V$3:$W$5,2,FALSE),0)+IFERROR(VLOOKUP(AO195,Listes!$Y$3:$Z$5,2,FALSE),0))</f>
        <v/>
      </c>
      <c r="R195" s="12" t="n"/>
      <c r="S195" s="12" t="n"/>
      <c r="T195" s="12" t="n"/>
      <c r="U195" s="15" t="n"/>
      <c r="V195" s="15" t="n"/>
      <c r="W195" s="13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3" t="n"/>
      <c r="AK195" s="12" t="n"/>
      <c r="AL195" s="12" t="n"/>
      <c r="AM195" s="12" t="n"/>
      <c r="AN195" s="12" t="n"/>
      <c r="AO195" s="12" t="n"/>
      <c r="AP195" s="12" t="n"/>
      <c r="AQ195" s="7">
        <f>IF(A195="","",IF(AP195&lt;&gt;"",AP195,IF(LEFT(Z195,11)="gads_marque","Google Search – Marque",IF(LEFT(Z195,12)="gads_mariage","Google Search – Mariage et privé",IF(LEFT(Z195,10)="gads_corpo","Google Search – Corporatif",IF(LEFT(Z195,5)="meta_","Meta – Leads",IF(LEFT(Z195,5)="msft_","Microsoft Ads",IF(LEFT(Z195,8)="chatgpt_","ChatGPT Ads – Test",IF(X195="gbp","Fiche Google (organique)","Autre / non payé")))))))))</f>
        <v/>
      </c>
      <c r="AR195" s="7">
        <f>IF(K195="","",IFERROR(VLOOKUP(K195,Listes!$F$3:$H$8,3,FALSE),""))</f>
        <v/>
      </c>
      <c r="AS195" s="7">
        <f>IF(O195="","",IF(AND(M195="Autre (plus de 40 km)",OR(O195="lt600",O195="600_999",O195="1000_2499")),"D",IF(OR(O195="lt600",AND(O195="600_999",K195&lt;&gt;"mariage",K195&lt;&gt;"prive")),"C",IF(OR(O195="2500_4999",O195="5000p",J195="entreprise",J195="organisme",J195="agence"),"A",IF(OR(O195="1000_2499",O195="600_999"),"B",IF(O195="inconnu",IF(OR(N195="75_149",N195="150p"),"A","B"),""))))))</f>
        <v/>
      </c>
      <c r="AT195" s="7">
        <f>IF(A195="","",IF(P195&lt;&gt;"",P195,AS195))</f>
        <v/>
      </c>
      <c r="AU195" s="7">
        <f>IF(A195="","",IF(OR(AT195="A",AT195="B"),1,0))</f>
        <v/>
      </c>
      <c r="AV195" s="7">
        <f>IF(A195="","",IF(OR(R195="Dépôt payé (gagné)",R195="Événement livré",R195="Avis obtenu"),1,0))</f>
        <v/>
      </c>
      <c r="AW195" s="7">
        <f>IF(A195="","",IF(Q195&gt;70,"Immédiat – propriétaire",IF(Q195&gt;=40,"15 min – personne de garde","Selon la route")))</f>
        <v/>
      </c>
      <c r="AX195" s="11">
        <f>IF(A195="","",IF(AT195="A",400,IF(AT195="B",150,0)))</f>
        <v/>
      </c>
      <c r="AY195" s="11">
        <f>IF(A195="","",IF(AV195=1,N(V195),IF(N(U195)&gt;0,ROUND(N(U195)*IFERROR(VLOOKUP(R195,Listes!$AE$3:$AG$12,2,FALSE),0),0),0)))</f>
        <v/>
      </c>
      <c r="AZ195" s="7">
        <f>IF(LEFT(A195,7)="EXEMPLE",1,0)</f>
        <v/>
      </c>
      <c r="BA195" s="7">
        <f>IF(AND(AV195=1,AZ195=0,AC195&lt;&gt;"",W195&lt;&gt;"",N(V195)&gt;0),COUNTIFS($AV$3:AV195,1,$AZ$3:AZ195,0,$AC$3:AC195,"&lt;&gt;",$W$3:W195,"&lt;&gt;",$V$3:V195,"&gt;0"),"")</f>
        <v/>
      </c>
    </row>
    <row r="196">
      <c r="A196" s="12" t="n"/>
      <c r="B196" s="13" t="n"/>
      <c r="C196" s="13" t="n"/>
      <c r="D196" s="7">
        <f>IF(OR(B196="",C196=""),"",ROUND((C196-B196)*1440,0))</f>
        <v/>
      </c>
      <c r="E196" s="12" t="n"/>
      <c r="F196" s="12" t="n"/>
      <c r="G196" s="12" t="n"/>
      <c r="H196" s="12" t="n"/>
      <c r="I196" s="12" t="n"/>
      <c r="J196" s="12" t="n"/>
      <c r="K196" s="12" t="n"/>
      <c r="L196" s="14" t="n"/>
      <c r="M196" s="12" t="n"/>
      <c r="N196" s="12" t="n"/>
      <c r="O196" s="12" t="n"/>
      <c r="P196" s="12" t="n"/>
      <c r="Q196" s="7">
        <f>IF(A196="","",IFERROR(VLOOKUP(O196,Listes!$R$3:$T$8,2,FALSE),0)+IFERROR(VLOOKUP(J196,Listes!$J$3:$L$6,2,FALSE),0)+IFERROR(VLOOKUP(N196,Listes!$N$3:$P$6,2,FALSE),0)+IF(OR(L196="",B196=""),0,IF(L196-INT(B196)&lt;10,8,IF(L196-INT(B196)&lt;=90,10,5)))+IFERROR(VLOOKUP(AN196,Listes!$V$3:$W$5,2,FALSE),0)+IFERROR(VLOOKUP(AO196,Listes!$Y$3:$Z$5,2,FALSE),0))</f>
        <v/>
      </c>
      <c r="R196" s="12" t="n"/>
      <c r="S196" s="12" t="n"/>
      <c r="T196" s="12" t="n"/>
      <c r="U196" s="15" t="n"/>
      <c r="V196" s="15" t="n"/>
      <c r="W196" s="13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3" t="n"/>
      <c r="AK196" s="12" t="n"/>
      <c r="AL196" s="12" t="n"/>
      <c r="AM196" s="12" t="n"/>
      <c r="AN196" s="12" t="n"/>
      <c r="AO196" s="12" t="n"/>
      <c r="AP196" s="12" t="n"/>
      <c r="AQ196" s="7">
        <f>IF(A196="","",IF(AP196&lt;&gt;"",AP196,IF(LEFT(Z196,11)="gads_marque","Google Search – Marque",IF(LEFT(Z196,12)="gads_mariage","Google Search – Mariage et privé",IF(LEFT(Z196,10)="gads_corpo","Google Search – Corporatif",IF(LEFT(Z196,5)="meta_","Meta – Leads",IF(LEFT(Z196,5)="msft_","Microsoft Ads",IF(LEFT(Z196,8)="chatgpt_","ChatGPT Ads – Test",IF(X196="gbp","Fiche Google (organique)","Autre / non payé")))))))))</f>
        <v/>
      </c>
      <c r="AR196" s="7">
        <f>IF(K196="","",IFERROR(VLOOKUP(K196,Listes!$F$3:$H$8,3,FALSE),""))</f>
        <v/>
      </c>
      <c r="AS196" s="7">
        <f>IF(O196="","",IF(AND(M196="Autre (plus de 40 km)",OR(O196="lt600",O196="600_999",O196="1000_2499")),"D",IF(OR(O196="lt600",AND(O196="600_999",K196&lt;&gt;"mariage",K196&lt;&gt;"prive")),"C",IF(OR(O196="2500_4999",O196="5000p",J196="entreprise",J196="organisme",J196="agence"),"A",IF(OR(O196="1000_2499",O196="600_999"),"B",IF(O196="inconnu",IF(OR(N196="75_149",N196="150p"),"A","B"),""))))))</f>
        <v/>
      </c>
      <c r="AT196" s="7">
        <f>IF(A196="","",IF(P196&lt;&gt;"",P196,AS196))</f>
        <v/>
      </c>
      <c r="AU196" s="7">
        <f>IF(A196="","",IF(OR(AT196="A",AT196="B"),1,0))</f>
        <v/>
      </c>
      <c r="AV196" s="7">
        <f>IF(A196="","",IF(OR(R196="Dépôt payé (gagné)",R196="Événement livré",R196="Avis obtenu"),1,0))</f>
        <v/>
      </c>
      <c r="AW196" s="7">
        <f>IF(A196="","",IF(Q196&gt;70,"Immédiat – propriétaire",IF(Q196&gt;=40,"15 min – personne de garde","Selon la route")))</f>
        <v/>
      </c>
      <c r="AX196" s="11">
        <f>IF(A196="","",IF(AT196="A",400,IF(AT196="B",150,0)))</f>
        <v/>
      </c>
      <c r="AY196" s="11">
        <f>IF(A196="","",IF(AV196=1,N(V196),IF(N(U196)&gt;0,ROUND(N(U196)*IFERROR(VLOOKUP(R196,Listes!$AE$3:$AG$12,2,FALSE),0),0),0)))</f>
        <v/>
      </c>
      <c r="AZ196" s="7">
        <f>IF(LEFT(A196,7)="EXEMPLE",1,0)</f>
        <v/>
      </c>
      <c r="BA196" s="7">
        <f>IF(AND(AV196=1,AZ196=0,AC196&lt;&gt;"",W196&lt;&gt;"",N(V196)&gt;0),COUNTIFS($AV$3:AV196,1,$AZ$3:AZ196,0,$AC$3:AC196,"&lt;&gt;",$W$3:W196,"&lt;&gt;",$V$3:V196,"&gt;0"),"")</f>
        <v/>
      </c>
    </row>
    <row r="197">
      <c r="A197" s="12" t="n"/>
      <c r="B197" s="13" t="n"/>
      <c r="C197" s="13" t="n"/>
      <c r="D197" s="7">
        <f>IF(OR(B197="",C197=""),"",ROUND((C197-B197)*1440,0))</f>
        <v/>
      </c>
      <c r="E197" s="12" t="n"/>
      <c r="F197" s="12" t="n"/>
      <c r="G197" s="12" t="n"/>
      <c r="H197" s="12" t="n"/>
      <c r="I197" s="12" t="n"/>
      <c r="J197" s="12" t="n"/>
      <c r="K197" s="12" t="n"/>
      <c r="L197" s="14" t="n"/>
      <c r="M197" s="12" t="n"/>
      <c r="N197" s="12" t="n"/>
      <c r="O197" s="12" t="n"/>
      <c r="P197" s="12" t="n"/>
      <c r="Q197" s="7">
        <f>IF(A197="","",IFERROR(VLOOKUP(O197,Listes!$R$3:$T$8,2,FALSE),0)+IFERROR(VLOOKUP(J197,Listes!$J$3:$L$6,2,FALSE),0)+IFERROR(VLOOKUP(N197,Listes!$N$3:$P$6,2,FALSE),0)+IF(OR(L197="",B197=""),0,IF(L197-INT(B197)&lt;10,8,IF(L197-INT(B197)&lt;=90,10,5)))+IFERROR(VLOOKUP(AN197,Listes!$V$3:$W$5,2,FALSE),0)+IFERROR(VLOOKUP(AO197,Listes!$Y$3:$Z$5,2,FALSE),0))</f>
        <v/>
      </c>
      <c r="R197" s="12" t="n"/>
      <c r="S197" s="12" t="n"/>
      <c r="T197" s="12" t="n"/>
      <c r="U197" s="15" t="n"/>
      <c r="V197" s="15" t="n"/>
      <c r="W197" s="13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3" t="n"/>
      <c r="AK197" s="12" t="n"/>
      <c r="AL197" s="12" t="n"/>
      <c r="AM197" s="12" t="n"/>
      <c r="AN197" s="12" t="n"/>
      <c r="AO197" s="12" t="n"/>
      <c r="AP197" s="12" t="n"/>
      <c r="AQ197" s="7">
        <f>IF(A197="","",IF(AP197&lt;&gt;"",AP197,IF(LEFT(Z197,11)="gads_marque","Google Search – Marque",IF(LEFT(Z197,12)="gads_mariage","Google Search – Mariage et privé",IF(LEFT(Z197,10)="gads_corpo","Google Search – Corporatif",IF(LEFT(Z197,5)="meta_","Meta – Leads",IF(LEFT(Z197,5)="msft_","Microsoft Ads",IF(LEFT(Z197,8)="chatgpt_","ChatGPT Ads – Test",IF(X197="gbp","Fiche Google (organique)","Autre / non payé")))))))))</f>
        <v/>
      </c>
      <c r="AR197" s="7">
        <f>IF(K197="","",IFERROR(VLOOKUP(K197,Listes!$F$3:$H$8,3,FALSE),""))</f>
        <v/>
      </c>
      <c r="AS197" s="7">
        <f>IF(O197="","",IF(AND(M197="Autre (plus de 40 km)",OR(O197="lt600",O197="600_999",O197="1000_2499")),"D",IF(OR(O197="lt600",AND(O197="600_999",K197&lt;&gt;"mariage",K197&lt;&gt;"prive")),"C",IF(OR(O197="2500_4999",O197="5000p",J197="entreprise",J197="organisme",J197="agence"),"A",IF(OR(O197="1000_2499",O197="600_999"),"B",IF(O197="inconnu",IF(OR(N197="75_149",N197="150p"),"A","B"),""))))))</f>
        <v/>
      </c>
      <c r="AT197" s="7">
        <f>IF(A197="","",IF(P197&lt;&gt;"",P197,AS197))</f>
        <v/>
      </c>
      <c r="AU197" s="7">
        <f>IF(A197="","",IF(OR(AT197="A",AT197="B"),1,0))</f>
        <v/>
      </c>
      <c r="AV197" s="7">
        <f>IF(A197="","",IF(OR(R197="Dépôt payé (gagné)",R197="Événement livré",R197="Avis obtenu"),1,0))</f>
        <v/>
      </c>
      <c r="AW197" s="7">
        <f>IF(A197="","",IF(Q197&gt;70,"Immédiat – propriétaire",IF(Q197&gt;=40,"15 min – personne de garde","Selon la route")))</f>
        <v/>
      </c>
      <c r="AX197" s="11">
        <f>IF(A197="","",IF(AT197="A",400,IF(AT197="B",150,0)))</f>
        <v/>
      </c>
      <c r="AY197" s="11">
        <f>IF(A197="","",IF(AV197=1,N(V197),IF(N(U197)&gt;0,ROUND(N(U197)*IFERROR(VLOOKUP(R197,Listes!$AE$3:$AG$12,2,FALSE),0),0),0)))</f>
        <v/>
      </c>
      <c r="AZ197" s="7">
        <f>IF(LEFT(A197,7)="EXEMPLE",1,0)</f>
        <v/>
      </c>
      <c r="BA197" s="7">
        <f>IF(AND(AV197=1,AZ197=0,AC197&lt;&gt;"",W197&lt;&gt;"",N(V197)&gt;0),COUNTIFS($AV$3:AV197,1,$AZ$3:AZ197,0,$AC$3:AC197,"&lt;&gt;",$W$3:W197,"&lt;&gt;",$V$3:V197,"&gt;0"),"")</f>
        <v/>
      </c>
    </row>
    <row r="198">
      <c r="A198" s="12" t="n"/>
      <c r="B198" s="13" t="n"/>
      <c r="C198" s="13" t="n"/>
      <c r="D198" s="7">
        <f>IF(OR(B198="",C198=""),"",ROUND((C198-B198)*1440,0))</f>
        <v/>
      </c>
      <c r="E198" s="12" t="n"/>
      <c r="F198" s="12" t="n"/>
      <c r="G198" s="12" t="n"/>
      <c r="H198" s="12" t="n"/>
      <c r="I198" s="12" t="n"/>
      <c r="J198" s="12" t="n"/>
      <c r="K198" s="12" t="n"/>
      <c r="L198" s="14" t="n"/>
      <c r="M198" s="12" t="n"/>
      <c r="N198" s="12" t="n"/>
      <c r="O198" s="12" t="n"/>
      <c r="P198" s="12" t="n"/>
      <c r="Q198" s="7">
        <f>IF(A198="","",IFERROR(VLOOKUP(O198,Listes!$R$3:$T$8,2,FALSE),0)+IFERROR(VLOOKUP(J198,Listes!$J$3:$L$6,2,FALSE),0)+IFERROR(VLOOKUP(N198,Listes!$N$3:$P$6,2,FALSE),0)+IF(OR(L198="",B198=""),0,IF(L198-INT(B198)&lt;10,8,IF(L198-INT(B198)&lt;=90,10,5)))+IFERROR(VLOOKUP(AN198,Listes!$V$3:$W$5,2,FALSE),0)+IFERROR(VLOOKUP(AO198,Listes!$Y$3:$Z$5,2,FALSE),0))</f>
        <v/>
      </c>
      <c r="R198" s="12" t="n"/>
      <c r="S198" s="12" t="n"/>
      <c r="T198" s="12" t="n"/>
      <c r="U198" s="15" t="n"/>
      <c r="V198" s="15" t="n"/>
      <c r="W198" s="13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3" t="n"/>
      <c r="AK198" s="12" t="n"/>
      <c r="AL198" s="12" t="n"/>
      <c r="AM198" s="12" t="n"/>
      <c r="AN198" s="12" t="n"/>
      <c r="AO198" s="12" t="n"/>
      <c r="AP198" s="12" t="n"/>
      <c r="AQ198" s="7">
        <f>IF(A198="","",IF(AP198&lt;&gt;"",AP198,IF(LEFT(Z198,11)="gads_marque","Google Search – Marque",IF(LEFT(Z198,12)="gads_mariage","Google Search – Mariage et privé",IF(LEFT(Z198,10)="gads_corpo","Google Search – Corporatif",IF(LEFT(Z198,5)="meta_","Meta – Leads",IF(LEFT(Z198,5)="msft_","Microsoft Ads",IF(LEFT(Z198,8)="chatgpt_","ChatGPT Ads – Test",IF(X198="gbp","Fiche Google (organique)","Autre / non payé")))))))))</f>
        <v/>
      </c>
      <c r="AR198" s="7">
        <f>IF(K198="","",IFERROR(VLOOKUP(K198,Listes!$F$3:$H$8,3,FALSE),""))</f>
        <v/>
      </c>
      <c r="AS198" s="7">
        <f>IF(O198="","",IF(AND(M198="Autre (plus de 40 km)",OR(O198="lt600",O198="600_999",O198="1000_2499")),"D",IF(OR(O198="lt600",AND(O198="600_999",K198&lt;&gt;"mariage",K198&lt;&gt;"prive")),"C",IF(OR(O198="2500_4999",O198="5000p",J198="entreprise",J198="organisme",J198="agence"),"A",IF(OR(O198="1000_2499",O198="600_999"),"B",IF(O198="inconnu",IF(OR(N198="75_149",N198="150p"),"A","B"),""))))))</f>
        <v/>
      </c>
      <c r="AT198" s="7">
        <f>IF(A198="","",IF(P198&lt;&gt;"",P198,AS198))</f>
        <v/>
      </c>
      <c r="AU198" s="7">
        <f>IF(A198="","",IF(OR(AT198="A",AT198="B"),1,0))</f>
        <v/>
      </c>
      <c r="AV198" s="7">
        <f>IF(A198="","",IF(OR(R198="Dépôt payé (gagné)",R198="Événement livré",R198="Avis obtenu"),1,0))</f>
        <v/>
      </c>
      <c r="AW198" s="7">
        <f>IF(A198="","",IF(Q198&gt;70,"Immédiat – propriétaire",IF(Q198&gt;=40,"15 min – personne de garde","Selon la route")))</f>
        <v/>
      </c>
      <c r="AX198" s="11">
        <f>IF(A198="","",IF(AT198="A",400,IF(AT198="B",150,0)))</f>
        <v/>
      </c>
      <c r="AY198" s="11">
        <f>IF(A198="","",IF(AV198=1,N(V198),IF(N(U198)&gt;0,ROUND(N(U198)*IFERROR(VLOOKUP(R198,Listes!$AE$3:$AG$12,2,FALSE),0),0),0)))</f>
        <v/>
      </c>
      <c r="AZ198" s="7">
        <f>IF(LEFT(A198,7)="EXEMPLE",1,0)</f>
        <v/>
      </c>
      <c r="BA198" s="7">
        <f>IF(AND(AV198=1,AZ198=0,AC198&lt;&gt;"",W198&lt;&gt;"",N(V198)&gt;0),COUNTIFS($AV$3:AV198,1,$AZ$3:AZ198,0,$AC$3:AC198,"&lt;&gt;",$W$3:W198,"&lt;&gt;",$V$3:V198,"&gt;0"),"")</f>
        <v/>
      </c>
    </row>
    <row r="199">
      <c r="A199" s="12" t="n"/>
      <c r="B199" s="13" t="n"/>
      <c r="C199" s="13" t="n"/>
      <c r="D199" s="7">
        <f>IF(OR(B199="",C199=""),"",ROUND((C199-B199)*1440,0))</f>
        <v/>
      </c>
      <c r="E199" s="12" t="n"/>
      <c r="F199" s="12" t="n"/>
      <c r="G199" s="12" t="n"/>
      <c r="H199" s="12" t="n"/>
      <c r="I199" s="12" t="n"/>
      <c r="J199" s="12" t="n"/>
      <c r="K199" s="12" t="n"/>
      <c r="L199" s="14" t="n"/>
      <c r="M199" s="12" t="n"/>
      <c r="N199" s="12" t="n"/>
      <c r="O199" s="12" t="n"/>
      <c r="P199" s="12" t="n"/>
      <c r="Q199" s="7">
        <f>IF(A199="","",IFERROR(VLOOKUP(O199,Listes!$R$3:$T$8,2,FALSE),0)+IFERROR(VLOOKUP(J199,Listes!$J$3:$L$6,2,FALSE),0)+IFERROR(VLOOKUP(N199,Listes!$N$3:$P$6,2,FALSE),0)+IF(OR(L199="",B199=""),0,IF(L199-INT(B199)&lt;10,8,IF(L199-INT(B199)&lt;=90,10,5)))+IFERROR(VLOOKUP(AN199,Listes!$V$3:$W$5,2,FALSE),0)+IFERROR(VLOOKUP(AO199,Listes!$Y$3:$Z$5,2,FALSE),0))</f>
        <v/>
      </c>
      <c r="R199" s="12" t="n"/>
      <c r="S199" s="12" t="n"/>
      <c r="T199" s="12" t="n"/>
      <c r="U199" s="15" t="n"/>
      <c r="V199" s="15" t="n"/>
      <c r="W199" s="13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3" t="n"/>
      <c r="AK199" s="12" t="n"/>
      <c r="AL199" s="12" t="n"/>
      <c r="AM199" s="12" t="n"/>
      <c r="AN199" s="12" t="n"/>
      <c r="AO199" s="12" t="n"/>
      <c r="AP199" s="12" t="n"/>
      <c r="AQ199" s="7">
        <f>IF(A199="","",IF(AP199&lt;&gt;"",AP199,IF(LEFT(Z199,11)="gads_marque","Google Search – Marque",IF(LEFT(Z199,12)="gads_mariage","Google Search – Mariage et privé",IF(LEFT(Z199,10)="gads_corpo","Google Search – Corporatif",IF(LEFT(Z199,5)="meta_","Meta – Leads",IF(LEFT(Z199,5)="msft_","Microsoft Ads",IF(LEFT(Z199,8)="chatgpt_","ChatGPT Ads – Test",IF(X199="gbp","Fiche Google (organique)","Autre / non payé")))))))))</f>
        <v/>
      </c>
      <c r="AR199" s="7">
        <f>IF(K199="","",IFERROR(VLOOKUP(K199,Listes!$F$3:$H$8,3,FALSE),""))</f>
        <v/>
      </c>
      <c r="AS199" s="7">
        <f>IF(O199="","",IF(AND(M199="Autre (plus de 40 km)",OR(O199="lt600",O199="600_999",O199="1000_2499")),"D",IF(OR(O199="lt600",AND(O199="600_999",K199&lt;&gt;"mariage",K199&lt;&gt;"prive")),"C",IF(OR(O199="2500_4999",O199="5000p",J199="entreprise",J199="organisme",J199="agence"),"A",IF(OR(O199="1000_2499",O199="600_999"),"B",IF(O199="inconnu",IF(OR(N199="75_149",N199="150p"),"A","B"),""))))))</f>
        <v/>
      </c>
      <c r="AT199" s="7">
        <f>IF(A199="","",IF(P199&lt;&gt;"",P199,AS199))</f>
        <v/>
      </c>
      <c r="AU199" s="7">
        <f>IF(A199="","",IF(OR(AT199="A",AT199="B"),1,0))</f>
        <v/>
      </c>
      <c r="AV199" s="7">
        <f>IF(A199="","",IF(OR(R199="Dépôt payé (gagné)",R199="Événement livré",R199="Avis obtenu"),1,0))</f>
        <v/>
      </c>
      <c r="AW199" s="7">
        <f>IF(A199="","",IF(Q199&gt;70,"Immédiat – propriétaire",IF(Q199&gt;=40,"15 min – personne de garde","Selon la route")))</f>
        <v/>
      </c>
      <c r="AX199" s="11">
        <f>IF(A199="","",IF(AT199="A",400,IF(AT199="B",150,0)))</f>
        <v/>
      </c>
      <c r="AY199" s="11">
        <f>IF(A199="","",IF(AV199=1,N(V199),IF(N(U199)&gt;0,ROUND(N(U199)*IFERROR(VLOOKUP(R199,Listes!$AE$3:$AG$12,2,FALSE),0),0),0)))</f>
        <v/>
      </c>
      <c r="AZ199" s="7">
        <f>IF(LEFT(A199,7)="EXEMPLE",1,0)</f>
        <v/>
      </c>
      <c r="BA199" s="7">
        <f>IF(AND(AV199=1,AZ199=0,AC199&lt;&gt;"",W199&lt;&gt;"",N(V199)&gt;0),COUNTIFS($AV$3:AV199,1,$AZ$3:AZ199,0,$AC$3:AC199,"&lt;&gt;",$W$3:W199,"&lt;&gt;",$V$3:V199,"&gt;0"),"")</f>
        <v/>
      </c>
    </row>
    <row r="200">
      <c r="A200" s="12" t="n"/>
      <c r="B200" s="13" t="n"/>
      <c r="C200" s="13" t="n"/>
      <c r="D200" s="7">
        <f>IF(OR(B200="",C200=""),"",ROUND((C200-B200)*1440,0))</f>
        <v/>
      </c>
      <c r="E200" s="12" t="n"/>
      <c r="F200" s="12" t="n"/>
      <c r="G200" s="12" t="n"/>
      <c r="H200" s="12" t="n"/>
      <c r="I200" s="12" t="n"/>
      <c r="J200" s="12" t="n"/>
      <c r="K200" s="12" t="n"/>
      <c r="L200" s="14" t="n"/>
      <c r="M200" s="12" t="n"/>
      <c r="N200" s="12" t="n"/>
      <c r="O200" s="12" t="n"/>
      <c r="P200" s="12" t="n"/>
      <c r="Q200" s="7">
        <f>IF(A200="","",IFERROR(VLOOKUP(O200,Listes!$R$3:$T$8,2,FALSE),0)+IFERROR(VLOOKUP(J200,Listes!$J$3:$L$6,2,FALSE),0)+IFERROR(VLOOKUP(N200,Listes!$N$3:$P$6,2,FALSE),0)+IF(OR(L200="",B200=""),0,IF(L200-INT(B200)&lt;10,8,IF(L200-INT(B200)&lt;=90,10,5)))+IFERROR(VLOOKUP(AN200,Listes!$V$3:$W$5,2,FALSE),0)+IFERROR(VLOOKUP(AO200,Listes!$Y$3:$Z$5,2,FALSE),0))</f>
        <v/>
      </c>
      <c r="R200" s="12" t="n"/>
      <c r="S200" s="12" t="n"/>
      <c r="T200" s="12" t="n"/>
      <c r="U200" s="15" t="n"/>
      <c r="V200" s="15" t="n"/>
      <c r="W200" s="13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3" t="n"/>
      <c r="AK200" s="12" t="n"/>
      <c r="AL200" s="12" t="n"/>
      <c r="AM200" s="12" t="n"/>
      <c r="AN200" s="12" t="n"/>
      <c r="AO200" s="12" t="n"/>
      <c r="AP200" s="12" t="n"/>
      <c r="AQ200" s="7">
        <f>IF(A200="","",IF(AP200&lt;&gt;"",AP200,IF(LEFT(Z200,11)="gads_marque","Google Search – Marque",IF(LEFT(Z200,12)="gads_mariage","Google Search – Mariage et privé",IF(LEFT(Z200,10)="gads_corpo","Google Search – Corporatif",IF(LEFT(Z200,5)="meta_","Meta – Leads",IF(LEFT(Z200,5)="msft_","Microsoft Ads",IF(LEFT(Z200,8)="chatgpt_","ChatGPT Ads – Test",IF(X200="gbp","Fiche Google (organique)","Autre / non payé")))))))))</f>
        <v/>
      </c>
      <c r="AR200" s="7">
        <f>IF(K200="","",IFERROR(VLOOKUP(K200,Listes!$F$3:$H$8,3,FALSE),""))</f>
        <v/>
      </c>
      <c r="AS200" s="7">
        <f>IF(O200="","",IF(AND(M200="Autre (plus de 40 km)",OR(O200="lt600",O200="600_999",O200="1000_2499")),"D",IF(OR(O200="lt600",AND(O200="600_999",K200&lt;&gt;"mariage",K200&lt;&gt;"prive")),"C",IF(OR(O200="2500_4999",O200="5000p",J200="entreprise",J200="organisme",J200="agence"),"A",IF(OR(O200="1000_2499",O200="600_999"),"B",IF(O200="inconnu",IF(OR(N200="75_149",N200="150p"),"A","B"),""))))))</f>
        <v/>
      </c>
      <c r="AT200" s="7">
        <f>IF(A200="","",IF(P200&lt;&gt;"",P200,AS200))</f>
        <v/>
      </c>
      <c r="AU200" s="7">
        <f>IF(A200="","",IF(OR(AT200="A",AT200="B"),1,0))</f>
        <v/>
      </c>
      <c r="AV200" s="7">
        <f>IF(A200="","",IF(OR(R200="Dépôt payé (gagné)",R200="Événement livré",R200="Avis obtenu"),1,0))</f>
        <v/>
      </c>
      <c r="AW200" s="7">
        <f>IF(A200="","",IF(Q200&gt;70,"Immédiat – propriétaire",IF(Q200&gt;=40,"15 min – personne de garde","Selon la route")))</f>
        <v/>
      </c>
      <c r="AX200" s="11">
        <f>IF(A200="","",IF(AT200="A",400,IF(AT200="B",150,0)))</f>
        <v/>
      </c>
      <c r="AY200" s="11">
        <f>IF(A200="","",IF(AV200=1,N(V200),IF(N(U200)&gt;0,ROUND(N(U200)*IFERROR(VLOOKUP(R200,Listes!$AE$3:$AG$12,2,FALSE),0),0),0)))</f>
        <v/>
      </c>
      <c r="AZ200" s="7">
        <f>IF(LEFT(A200,7)="EXEMPLE",1,0)</f>
        <v/>
      </c>
      <c r="BA200" s="7">
        <f>IF(AND(AV200=1,AZ200=0,AC200&lt;&gt;"",W200&lt;&gt;"",N(V200)&gt;0),COUNTIFS($AV$3:AV200,1,$AZ$3:AZ200,0,$AC$3:AC200,"&lt;&gt;",$W$3:W200,"&lt;&gt;",$V$3:V200,"&gt;0"),"")</f>
        <v/>
      </c>
    </row>
    <row r="201">
      <c r="A201" s="12" t="n"/>
      <c r="B201" s="13" t="n"/>
      <c r="C201" s="13" t="n"/>
      <c r="D201" s="7">
        <f>IF(OR(B201="",C201=""),"",ROUND((C201-B201)*1440,0))</f>
        <v/>
      </c>
      <c r="E201" s="12" t="n"/>
      <c r="F201" s="12" t="n"/>
      <c r="G201" s="12" t="n"/>
      <c r="H201" s="12" t="n"/>
      <c r="I201" s="12" t="n"/>
      <c r="J201" s="12" t="n"/>
      <c r="K201" s="12" t="n"/>
      <c r="L201" s="14" t="n"/>
      <c r="M201" s="12" t="n"/>
      <c r="N201" s="12" t="n"/>
      <c r="O201" s="12" t="n"/>
      <c r="P201" s="12" t="n"/>
      <c r="Q201" s="7">
        <f>IF(A201="","",IFERROR(VLOOKUP(O201,Listes!$R$3:$T$8,2,FALSE),0)+IFERROR(VLOOKUP(J201,Listes!$J$3:$L$6,2,FALSE),0)+IFERROR(VLOOKUP(N201,Listes!$N$3:$P$6,2,FALSE),0)+IF(OR(L201="",B201=""),0,IF(L201-INT(B201)&lt;10,8,IF(L201-INT(B201)&lt;=90,10,5)))+IFERROR(VLOOKUP(AN201,Listes!$V$3:$W$5,2,FALSE),0)+IFERROR(VLOOKUP(AO201,Listes!$Y$3:$Z$5,2,FALSE),0))</f>
        <v/>
      </c>
      <c r="R201" s="12" t="n"/>
      <c r="S201" s="12" t="n"/>
      <c r="T201" s="12" t="n"/>
      <c r="U201" s="15" t="n"/>
      <c r="V201" s="15" t="n"/>
      <c r="W201" s="13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3" t="n"/>
      <c r="AK201" s="12" t="n"/>
      <c r="AL201" s="12" t="n"/>
      <c r="AM201" s="12" t="n"/>
      <c r="AN201" s="12" t="n"/>
      <c r="AO201" s="12" t="n"/>
      <c r="AP201" s="12" t="n"/>
      <c r="AQ201" s="7">
        <f>IF(A201="","",IF(AP201&lt;&gt;"",AP201,IF(LEFT(Z201,11)="gads_marque","Google Search – Marque",IF(LEFT(Z201,12)="gads_mariage","Google Search – Mariage et privé",IF(LEFT(Z201,10)="gads_corpo","Google Search – Corporatif",IF(LEFT(Z201,5)="meta_","Meta – Leads",IF(LEFT(Z201,5)="msft_","Microsoft Ads",IF(LEFT(Z201,8)="chatgpt_","ChatGPT Ads – Test",IF(X201="gbp","Fiche Google (organique)","Autre / non payé")))))))))</f>
        <v/>
      </c>
      <c r="AR201" s="7">
        <f>IF(K201="","",IFERROR(VLOOKUP(K201,Listes!$F$3:$H$8,3,FALSE),""))</f>
        <v/>
      </c>
      <c r="AS201" s="7">
        <f>IF(O201="","",IF(AND(M201="Autre (plus de 40 km)",OR(O201="lt600",O201="600_999",O201="1000_2499")),"D",IF(OR(O201="lt600",AND(O201="600_999",K201&lt;&gt;"mariage",K201&lt;&gt;"prive")),"C",IF(OR(O201="2500_4999",O201="5000p",J201="entreprise",J201="organisme",J201="agence"),"A",IF(OR(O201="1000_2499",O201="600_999"),"B",IF(O201="inconnu",IF(OR(N201="75_149",N201="150p"),"A","B"),""))))))</f>
        <v/>
      </c>
      <c r="AT201" s="7">
        <f>IF(A201="","",IF(P201&lt;&gt;"",P201,AS201))</f>
        <v/>
      </c>
      <c r="AU201" s="7">
        <f>IF(A201="","",IF(OR(AT201="A",AT201="B"),1,0))</f>
        <v/>
      </c>
      <c r="AV201" s="7">
        <f>IF(A201="","",IF(OR(R201="Dépôt payé (gagné)",R201="Événement livré",R201="Avis obtenu"),1,0))</f>
        <v/>
      </c>
      <c r="AW201" s="7">
        <f>IF(A201="","",IF(Q201&gt;70,"Immédiat – propriétaire",IF(Q201&gt;=40,"15 min – personne de garde","Selon la route")))</f>
        <v/>
      </c>
      <c r="AX201" s="11">
        <f>IF(A201="","",IF(AT201="A",400,IF(AT201="B",150,0)))</f>
        <v/>
      </c>
      <c r="AY201" s="11">
        <f>IF(A201="","",IF(AV201=1,N(V201),IF(N(U201)&gt;0,ROUND(N(U201)*IFERROR(VLOOKUP(R201,Listes!$AE$3:$AG$12,2,FALSE),0),0),0)))</f>
        <v/>
      </c>
      <c r="AZ201" s="7">
        <f>IF(LEFT(A201,7)="EXEMPLE",1,0)</f>
        <v/>
      </c>
      <c r="BA201" s="7">
        <f>IF(AND(AV201=1,AZ201=0,AC201&lt;&gt;"",W201&lt;&gt;"",N(V201)&gt;0),COUNTIFS($AV$3:AV201,1,$AZ$3:AZ201,0,$AC$3:AC201,"&lt;&gt;",$W$3:W201,"&lt;&gt;",$V$3:V201,"&gt;0"),"")</f>
        <v/>
      </c>
    </row>
    <row r="202">
      <c r="A202" s="12" t="n"/>
      <c r="B202" s="13" t="n"/>
      <c r="C202" s="13" t="n"/>
      <c r="D202" s="7">
        <f>IF(OR(B202="",C202=""),"",ROUND((C202-B202)*1440,0))</f>
        <v/>
      </c>
      <c r="E202" s="12" t="n"/>
      <c r="F202" s="12" t="n"/>
      <c r="G202" s="12" t="n"/>
      <c r="H202" s="12" t="n"/>
      <c r="I202" s="12" t="n"/>
      <c r="J202" s="12" t="n"/>
      <c r="K202" s="12" t="n"/>
      <c r="L202" s="14" t="n"/>
      <c r="M202" s="12" t="n"/>
      <c r="N202" s="12" t="n"/>
      <c r="O202" s="12" t="n"/>
      <c r="P202" s="12" t="n"/>
      <c r="Q202" s="7">
        <f>IF(A202="","",IFERROR(VLOOKUP(O202,Listes!$R$3:$T$8,2,FALSE),0)+IFERROR(VLOOKUP(J202,Listes!$J$3:$L$6,2,FALSE),0)+IFERROR(VLOOKUP(N202,Listes!$N$3:$P$6,2,FALSE),0)+IF(OR(L202="",B202=""),0,IF(L202-INT(B202)&lt;10,8,IF(L202-INT(B202)&lt;=90,10,5)))+IFERROR(VLOOKUP(AN202,Listes!$V$3:$W$5,2,FALSE),0)+IFERROR(VLOOKUP(AO202,Listes!$Y$3:$Z$5,2,FALSE),0))</f>
        <v/>
      </c>
      <c r="R202" s="12" t="n"/>
      <c r="S202" s="12" t="n"/>
      <c r="T202" s="12" t="n"/>
      <c r="U202" s="15" t="n"/>
      <c r="V202" s="15" t="n"/>
      <c r="W202" s="13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3" t="n"/>
      <c r="AK202" s="12" t="n"/>
      <c r="AL202" s="12" t="n"/>
      <c r="AM202" s="12" t="n"/>
      <c r="AN202" s="12" t="n"/>
      <c r="AO202" s="12" t="n"/>
      <c r="AP202" s="12" t="n"/>
      <c r="AQ202" s="7">
        <f>IF(A202="","",IF(AP202&lt;&gt;"",AP202,IF(LEFT(Z202,11)="gads_marque","Google Search – Marque",IF(LEFT(Z202,12)="gads_mariage","Google Search – Mariage et privé",IF(LEFT(Z202,10)="gads_corpo","Google Search – Corporatif",IF(LEFT(Z202,5)="meta_","Meta – Leads",IF(LEFT(Z202,5)="msft_","Microsoft Ads",IF(LEFT(Z202,8)="chatgpt_","ChatGPT Ads – Test",IF(X202="gbp","Fiche Google (organique)","Autre / non payé")))))))))</f>
        <v/>
      </c>
      <c r="AR202" s="7">
        <f>IF(K202="","",IFERROR(VLOOKUP(K202,Listes!$F$3:$H$8,3,FALSE),""))</f>
        <v/>
      </c>
      <c r="AS202" s="7">
        <f>IF(O202="","",IF(AND(M202="Autre (plus de 40 km)",OR(O202="lt600",O202="600_999",O202="1000_2499")),"D",IF(OR(O202="lt600",AND(O202="600_999",K202&lt;&gt;"mariage",K202&lt;&gt;"prive")),"C",IF(OR(O202="2500_4999",O202="5000p",J202="entreprise",J202="organisme",J202="agence"),"A",IF(OR(O202="1000_2499",O202="600_999"),"B",IF(O202="inconnu",IF(OR(N202="75_149",N202="150p"),"A","B"),""))))))</f>
        <v/>
      </c>
      <c r="AT202" s="7">
        <f>IF(A202="","",IF(P202&lt;&gt;"",P202,AS202))</f>
        <v/>
      </c>
      <c r="AU202" s="7">
        <f>IF(A202="","",IF(OR(AT202="A",AT202="B"),1,0))</f>
        <v/>
      </c>
      <c r="AV202" s="7">
        <f>IF(A202="","",IF(OR(R202="Dépôt payé (gagné)",R202="Événement livré",R202="Avis obtenu"),1,0))</f>
        <v/>
      </c>
      <c r="AW202" s="7">
        <f>IF(A202="","",IF(Q202&gt;70,"Immédiat – propriétaire",IF(Q202&gt;=40,"15 min – personne de garde","Selon la route")))</f>
        <v/>
      </c>
      <c r="AX202" s="11">
        <f>IF(A202="","",IF(AT202="A",400,IF(AT202="B",150,0)))</f>
        <v/>
      </c>
      <c r="AY202" s="11">
        <f>IF(A202="","",IF(AV202=1,N(V202),IF(N(U202)&gt;0,ROUND(N(U202)*IFERROR(VLOOKUP(R202,Listes!$AE$3:$AG$12,2,FALSE),0),0),0)))</f>
        <v/>
      </c>
      <c r="AZ202" s="7">
        <f>IF(LEFT(A202,7)="EXEMPLE",1,0)</f>
        <v/>
      </c>
      <c r="BA202" s="7">
        <f>IF(AND(AV202=1,AZ202=0,AC202&lt;&gt;"",W202&lt;&gt;"",N(V202)&gt;0),COUNTIFS($AV$3:AV202,1,$AZ$3:AZ202,0,$AC$3:AC202,"&lt;&gt;",$W$3:W202,"&lt;&gt;",$V$3:V202,"&gt;0"),"")</f>
        <v/>
      </c>
    </row>
    <row r="203">
      <c r="A203" s="12" t="n"/>
      <c r="B203" s="13" t="n"/>
      <c r="C203" s="13" t="n"/>
      <c r="D203" s="7">
        <f>IF(OR(B203="",C203=""),"",ROUND((C203-B203)*1440,0))</f>
        <v/>
      </c>
      <c r="E203" s="12" t="n"/>
      <c r="F203" s="12" t="n"/>
      <c r="G203" s="12" t="n"/>
      <c r="H203" s="12" t="n"/>
      <c r="I203" s="12" t="n"/>
      <c r="J203" s="12" t="n"/>
      <c r="K203" s="12" t="n"/>
      <c r="L203" s="14" t="n"/>
      <c r="M203" s="12" t="n"/>
      <c r="N203" s="12" t="n"/>
      <c r="O203" s="12" t="n"/>
      <c r="P203" s="12" t="n"/>
      <c r="Q203" s="7">
        <f>IF(A203="","",IFERROR(VLOOKUP(O203,Listes!$R$3:$T$8,2,FALSE),0)+IFERROR(VLOOKUP(J203,Listes!$J$3:$L$6,2,FALSE),0)+IFERROR(VLOOKUP(N203,Listes!$N$3:$P$6,2,FALSE),0)+IF(OR(L203="",B203=""),0,IF(L203-INT(B203)&lt;10,8,IF(L203-INT(B203)&lt;=90,10,5)))+IFERROR(VLOOKUP(AN203,Listes!$V$3:$W$5,2,FALSE),0)+IFERROR(VLOOKUP(AO203,Listes!$Y$3:$Z$5,2,FALSE),0))</f>
        <v/>
      </c>
      <c r="R203" s="12" t="n"/>
      <c r="S203" s="12" t="n"/>
      <c r="T203" s="12" t="n"/>
      <c r="U203" s="15" t="n"/>
      <c r="V203" s="15" t="n"/>
      <c r="W203" s="13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3" t="n"/>
      <c r="AK203" s="12" t="n"/>
      <c r="AL203" s="12" t="n"/>
      <c r="AM203" s="12" t="n"/>
      <c r="AN203" s="12" t="n"/>
      <c r="AO203" s="12" t="n"/>
      <c r="AP203" s="12" t="n"/>
      <c r="AQ203" s="7">
        <f>IF(A203="","",IF(AP203&lt;&gt;"",AP203,IF(LEFT(Z203,11)="gads_marque","Google Search – Marque",IF(LEFT(Z203,12)="gads_mariage","Google Search – Mariage et privé",IF(LEFT(Z203,10)="gads_corpo","Google Search – Corporatif",IF(LEFT(Z203,5)="meta_","Meta – Leads",IF(LEFT(Z203,5)="msft_","Microsoft Ads",IF(LEFT(Z203,8)="chatgpt_","ChatGPT Ads – Test",IF(X203="gbp","Fiche Google (organique)","Autre / non payé")))))))))</f>
        <v/>
      </c>
      <c r="AR203" s="7">
        <f>IF(K203="","",IFERROR(VLOOKUP(K203,Listes!$F$3:$H$8,3,FALSE),""))</f>
        <v/>
      </c>
      <c r="AS203" s="7">
        <f>IF(O203="","",IF(AND(M203="Autre (plus de 40 km)",OR(O203="lt600",O203="600_999",O203="1000_2499")),"D",IF(OR(O203="lt600",AND(O203="600_999",K203&lt;&gt;"mariage",K203&lt;&gt;"prive")),"C",IF(OR(O203="2500_4999",O203="5000p",J203="entreprise",J203="organisme",J203="agence"),"A",IF(OR(O203="1000_2499",O203="600_999"),"B",IF(O203="inconnu",IF(OR(N203="75_149",N203="150p"),"A","B"),""))))))</f>
        <v/>
      </c>
      <c r="AT203" s="7">
        <f>IF(A203="","",IF(P203&lt;&gt;"",P203,AS203))</f>
        <v/>
      </c>
      <c r="AU203" s="7">
        <f>IF(A203="","",IF(OR(AT203="A",AT203="B"),1,0))</f>
        <v/>
      </c>
      <c r="AV203" s="7">
        <f>IF(A203="","",IF(OR(R203="Dépôt payé (gagné)",R203="Événement livré",R203="Avis obtenu"),1,0))</f>
        <v/>
      </c>
      <c r="AW203" s="7">
        <f>IF(A203="","",IF(Q203&gt;70,"Immédiat – propriétaire",IF(Q203&gt;=40,"15 min – personne de garde","Selon la route")))</f>
        <v/>
      </c>
      <c r="AX203" s="11">
        <f>IF(A203="","",IF(AT203="A",400,IF(AT203="B",150,0)))</f>
        <v/>
      </c>
      <c r="AY203" s="11">
        <f>IF(A203="","",IF(AV203=1,N(V203),IF(N(U203)&gt;0,ROUND(N(U203)*IFERROR(VLOOKUP(R203,Listes!$AE$3:$AG$12,2,FALSE),0),0),0)))</f>
        <v/>
      </c>
      <c r="AZ203" s="7">
        <f>IF(LEFT(A203,7)="EXEMPLE",1,0)</f>
        <v/>
      </c>
      <c r="BA203" s="7">
        <f>IF(AND(AV203=1,AZ203=0,AC203&lt;&gt;"",W203&lt;&gt;"",N(V203)&gt;0),COUNTIFS($AV$3:AV203,1,$AZ$3:AZ203,0,$AC$3:AC203,"&lt;&gt;",$W$3:W203,"&lt;&gt;",$V$3:V203,"&gt;0"),"")</f>
        <v/>
      </c>
    </row>
    <row r="204">
      <c r="A204" s="12" t="n"/>
      <c r="B204" s="13" t="n"/>
      <c r="C204" s="13" t="n"/>
      <c r="D204" s="7">
        <f>IF(OR(B204="",C204=""),"",ROUND((C204-B204)*1440,0))</f>
        <v/>
      </c>
      <c r="E204" s="12" t="n"/>
      <c r="F204" s="12" t="n"/>
      <c r="G204" s="12" t="n"/>
      <c r="H204" s="12" t="n"/>
      <c r="I204" s="12" t="n"/>
      <c r="J204" s="12" t="n"/>
      <c r="K204" s="12" t="n"/>
      <c r="L204" s="14" t="n"/>
      <c r="M204" s="12" t="n"/>
      <c r="N204" s="12" t="n"/>
      <c r="O204" s="12" t="n"/>
      <c r="P204" s="12" t="n"/>
      <c r="Q204" s="7">
        <f>IF(A204="","",IFERROR(VLOOKUP(O204,Listes!$R$3:$T$8,2,FALSE),0)+IFERROR(VLOOKUP(J204,Listes!$J$3:$L$6,2,FALSE),0)+IFERROR(VLOOKUP(N204,Listes!$N$3:$P$6,2,FALSE),0)+IF(OR(L204="",B204=""),0,IF(L204-INT(B204)&lt;10,8,IF(L204-INT(B204)&lt;=90,10,5)))+IFERROR(VLOOKUP(AN204,Listes!$V$3:$W$5,2,FALSE),0)+IFERROR(VLOOKUP(AO204,Listes!$Y$3:$Z$5,2,FALSE),0))</f>
        <v/>
      </c>
      <c r="R204" s="12" t="n"/>
      <c r="S204" s="12" t="n"/>
      <c r="T204" s="12" t="n"/>
      <c r="U204" s="15" t="n"/>
      <c r="V204" s="15" t="n"/>
      <c r="W204" s="13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3" t="n"/>
      <c r="AK204" s="12" t="n"/>
      <c r="AL204" s="12" t="n"/>
      <c r="AM204" s="12" t="n"/>
      <c r="AN204" s="12" t="n"/>
      <c r="AO204" s="12" t="n"/>
      <c r="AP204" s="12" t="n"/>
      <c r="AQ204" s="7">
        <f>IF(A204="","",IF(AP204&lt;&gt;"",AP204,IF(LEFT(Z204,11)="gads_marque","Google Search – Marque",IF(LEFT(Z204,12)="gads_mariage","Google Search – Mariage et privé",IF(LEFT(Z204,10)="gads_corpo","Google Search – Corporatif",IF(LEFT(Z204,5)="meta_","Meta – Leads",IF(LEFT(Z204,5)="msft_","Microsoft Ads",IF(LEFT(Z204,8)="chatgpt_","ChatGPT Ads – Test",IF(X204="gbp","Fiche Google (organique)","Autre / non payé")))))))))</f>
        <v/>
      </c>
      <c r="AR204" s="7">
        <f>IF(K204="","",IFERROR(VLOOKUP(K204,Listes!$F$3:$H$8,3,FALSE),""))</f>
        <v/>
      </c>
      <c r="AS204" s="7">
        <f>IF(O204="","",IF(AND(M204="Autre (plus de 40 km)",OR(O204="lt600",O204="600_999",O204="1000_2499")),"D",IF(OR(O204="lt600",AND(O204="600_999",K204&lt;&gt;"mariage",K204&lt;&gt;"prive")),"C",IF(OR(O204="2500_4999",O204="5000p",J204="entreprise",J204="organisme",J204="agence"),"A",IF(OR(O204="1000_2499",O204="600_999"),"B",IF(O204="inconnu",IF(OR(N204="75_149",N204="150p"),"A","B"),""))))))</f>
        <v/>
      </c>
      <c r="AT204" s="7">
        <f>IF(A204="","",IF(P204&lt;&gt;"",P204,AS204))</f>
        <v/>
      </c>
      <c r="AU204" s="7">
        <f>IF(A204="","",IF(OR(AT204="A",AT204="B"),1,0))</f>
        <v/>
      </c>
      <c r="AV204" s="7">
        <f>IF(A204="","",IF(OR(R204="Dépôt payé (gagné)",R204="Événement livré",R204="Avis obtenu"),1,0))</f>
        <v/>
      </c>
      <c r="AW204" s="7">
        <f>IF(A204="","",IF(Q204&gt;70,"Immédiat – propriétaire",IF(Q204&gt;=40,"15 min – personne de garde","Selon la route")))</f>
        <v/>
      </c>
      <c r="AX204" s="11">
        <f>IF(A204="","",IF(AT204="A",400,IF(AT204="B",150,0)))</f>
        <v/>
      </c>
      <c r="AY204" s="11">
        <f>IF(A204="","",IF(AV204=1,N(V204),IF(N(U204)&gt;0,ROUND(N(U204)*IFERROR(VLOOKUP(R204,Listes!$AE$3:$AG$12,2,FALSE),0),0),0)))</f>
        <v/>
      </c>
      <c r="AZ204" s="7">
        <f>IF(LEFT(A204,7)="EXEMPLE",1,0)</f>
        <v/>
      </c>
      <c r="BA204" s="7">
        <f>IF(AND(AV204=1,AZ204=0,AC204&lt;&gt;"",W204&lt;&gt;"",N(V204)&gt;0),COUNTIFS($AV$3:AV204,1,$AZ$3:AZ204,0,$AC$3:AC204,"&lt;&gt;",$W$3:W204,"&lt;&gt;",$V$3:V204,"&gt;0"),"")</f>
        <v/>
      </c>
    </row>
    <row r="205">
      <c r="A205" s="12" t="n"/>
      <c r="B205" s="13" t="n"/>
      <c r="C205" s="13" t="n"/>
      <c r="D205" s="7">
        <f>IF(OR(B205="",C205=""),"",ROUND((C205-B205)*1440,0))</f>
        <v/>
      </c>
      <c r="E205" s="12" t="n"/>
      <c r="F205" s="12" t="n"/>
      <c r="G205" s="12" t="n"/>
      <c r="H205" s="12" t="n"/>
      <c r="I205" s="12" t="n"/>
      <c r="J205" s="12" t="n"/>
      <c r="K205" s="12" t="n"/>
      <c r="L205" s="14" t="n"/>
      <c r="M205" s="12" t="n"/>
      <c r="N205" s="12" t="n"/>
      <c r="O205" s="12" t="n"/>
      <c r="P205" s="12" t="n"/>
      <c r="Q205" s="7">
        <f>IF(A205="","",IFERROR(VLOOKUP(O205,Listes!$R$3:$T$8,2,FALSE),0)+IFERROR(VLOOKUP(J205,Listes!$J$3:$L$6,2,FALSE),0)+IFERROR(VLOOKUP(N205,Listes!$N$3:$P$6,2,FALSE),0)+IF(OR(L205="",B205=""),0,IF(L205-INT(B205)&lt;10,8,IF(L205-INT(B205)&lt;=90,10,5)))+IFERROR(VLOOKUP(AN205,Listes!$V$3:$W$5,2,FALSE),0)+IFERROR(VLOOKUP(AO205,Listes!$Y$3:$Z$5,2,FALSE),0))</f>
        <v/>
      </c>
      <c r="R205" s="12" t="n"/>
      <c r="S205" s="12" t="n"/>
      <c r="T205" s="12" t="n"/>
      <c r="U205" s="15" t="n"/>
      <c r="V205" s="15" t="n"/>
      <c r="W205" s="13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3" t="n"/>
      <c r="AK205" s="12" t="n"/>
      <c r="AL205" s="12" t="n"/>
      <c r="AM205" s="12" t="n"/>
      <c r="AN205" s="12" t="n"/>
      <c r="AO205" s="12" t="n"/>
      <c r="AP205" s="12" t="n"/>
      <c r="AQ205" s="7">
        <f>IF(A205="","",IF(AP205&lt;&gt;"",AP205,IF(LEFT(Z205,11)="gads_marque","Google Search – Marque",IF(LEFT(Z205,12)="gads_mariage","Google Search – Mariage et privé",IF(LEFT(Z205,10)="gads_corpo","Google Search – Corporatif",IF(LEFT(Z205,5)="meta_","Meta – Leads",IF(LEFT(Z205,5)="msft_","Microsoft Ads",IF(LEFT(Z205,8)="chatgpt_","ChatGPT Ads – Test",IF(X205="gbp","Fiche Google (organique)","Autre / non payé")))))))))</f>
        <v/>
      </c>
      <c r="AR205" s="7">
        <f>IF(K205="","",IFERROR(VLOOKUP(K205,Listes!$F$3:$H$8,3,FALSE),""))</f>
        <v/>
      </c>
      <c r="AS205" s="7">
        <f>IF(O205="","",IF(AND(M205="Autre (plus de 40 km)",OR(O205="lt600",O205="600_999",O205="1000_2499")),"D",IF(OR(O205="lt600",AND(O205="600_999",K205&lt;&gt;"mariage",K205&lt;&gt;"prive")),"C",IF(OR(O205="2500_4999",O205="5000p",J205="entreprise",J205="organisme",J205="agence"),"A",IF(OR(O205="1000_2499",O205="600_999"),"B",IF(O205="inconnu",IF(OR(N205="75_149",N205="150p"),"A","B"),""))))))</f>
        <v/>
      </c>
      <c r="AT205" s="7">
        <f>IF(A205="","",IF(P205&lt;&gt;"",P205,AS205))</f>
        <v/>
      </c>
      <c r="AU205" s="7">
        <f>IF(A205="","",IF(OR(AT205="A",AT205="B"),1,0))</f>
        <v/>
      </c>
      <c r="AV205" s="7">
        <f>IF(A205="","",IF(OR(R205="Dépôt payé (gagné)",R205="Événement livré",R205="Avis obtenu"),1,0))</f>
        <v/>
      </c>
      <c r="AW205" s="7">
        <f>IF(A205="","",IF(Q205&gt;70,"Immédiat – propriétaire",IF(Q205&gt;=40,"15 min – personne de garde","Selon la route")))</f>
        <v/>
      </c>
      <c r="AX205" s="11">
        <f>IF(A205="","",IF(AT205="A",400,IF(AT205="B",150,0)))</f>
        <v/>
      </c>
      <c r="AY205" s="11">
        <f>IF(A205="","",IF(AV205=1,N(V205),IF(N(U205)&gt;0,ROUND(N(U205)*IFERROR(VLOOKUP(R205,Listes!$AE$3:$AG$12,2,FALSE),0),0),0)))</f>
        <v/>
      </c>
      <c r="AZ205" s="7">
        <f>IF(LEFT(A205,7)="EXEMPLE",1,0)</f>
        <v/>
      </c>
      <c r="BA205" s="7">
        <f>IF(AND(AV205=1,AZ205=0,AC205&lt;&gt;"",W205&lt;&gt;"",N(V205)&gt;0),COUNTIFS($AV$3:AV205,1,$AZ$3:AZ205,0,$AC$3:AC205,"&lt;&gt;",$W$3:W205,"&lt;&gt;",$V$3:V205,"&gt;0"),"")</f>
        <v/>
      </c>
    </row>
    <row r="206">
      <c r="A206" s="12" t="n"/>
      <c r="B206" s="13" t="n"/>
      <c r="C206" s="13" t="n"/>
      <c r="D206" s="7">
        <f>IF(OR(B206="",C206=""),"",ROUND((C206-B206)*1440,0))</f>
        <v/>
      </c>
      <c r="E206" s="12" t="n"/>
      <c r="F206" s="12" t="n"/>
      <c r="G206" s="12" t="n"/>
      <c r="H206" s="12" t="n"/>
      <c r="I206" s="12" t="n"/>
      <c r="J206" s="12" t="n"/>
      <c r="K206" s="12" t="n"/>
      <c r="L206" s="14" t="n"/>
      <c r="M206" s="12" t="n"/>
      <c r="N206" s="12" t="n"/>
      <c r="O206" s="12" t="n"/>
      <c r="P206" s="12" t="n"/>
      <c r="Q206" s="7">
        <f>IF(A206="","",IFERROR(VLOOKUP(O206,Listes!$R$3:$T$8,2,FALSE),0)+IFERROR(VLOOKUP(J206,Listes!$J$3:$L$6,2,FALSE),0)+IFERROR(VLOOKUP(N206,Listes!$N$3:$P$6,2,FALSE),0)+IF(OR(L206="",B206=""),0,IF(L206-INT(B206)&lt;10,8,IF(L206-INT(B206)&lt;=90,10,5)))+IFERROR(VLOOKUP(AN206,Listes!$V$3:$W$5,2,FALSE),0)+IFERROR(VLOOKUP(AO206,Listes!$Y$3:$Z$5,2,FALSE),0))</f>
        <v/>
      </c>
      <c r="R206" s="12" t="n"/>
      <c r="S206" s="12" t="n"/>
      <c r="T206" s="12" t="n"/>
      <c r="U206" s="15" t="n"/>
      <c r="V206" s="15" t="n"/>
      <c r="W206" s="13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3" t="n"/>
      <c r="AK206" s="12" t="n"/>
      <c r="AL206" s="12" t="n"/>
      <c r="AM206" s="12" t="n"/>
      <c r="AN206" s="12" t="n"/>
      <c r="AO206" s="12" t="n"/>
      <c r="AP206" s="12" t="n"/>
      <c r="AQ206" s="7">
        <f>IF(A206="","",IF(AP206&lt;&gt;"",AP206,IF(LEFT(Z206,11)="gads_marque","Google Search – Marque",IF(LEFT(Z206,12)="gads_mariage","Google Search – Mariage et privé",IF(LEFT(Z206,10)="gads_corpo","Google Search – Corporatif",IF(LEFT(Z206,5)="meta_","Meta – Leads",IF(LEFT(Z206,5)="msft_","Microsoft Ads",IF(LEFT(Z206,8)="chatgpt_","ChatGPT Ads – Test",IF(X206="gbp","Fiche Google (organique)","Autre / non payé")))))))))</f>
        <v/>
      </c>
      <c r="AR206" s="7">
        <f>IF(K206="","",IFERROR(VLOOKUP(K206,Listes!$F$3:$H$8,3,FALSE),""))</f>
        <v/>
      </c>
      <c r="AS206" s="7">
        <f>IF(O206="","",IF(AND(M206="Autre (plus de 40 km)",OR(O206="lt600",O206="600_999",O206="1000_2499")),"D",IF(OR(O206="lt600",AND(O206="600_999",K206&lt;&gt;"mariage",K206&lt;&gt;"prive")),"C",IF(OR(O206="2500_4999",O206="5000p",J206="entreprise",J206="organisme",J206="agence"),"A",IF(OR(O206="1000_2499",O206="600_999"),"B",IF(O206="inconnu",IF(OR(N206="75_149",N206="150p"),"A","B"),""))))))</f>
        <v/>
      </c>
      <c r="AT206" s="7">
        <f>IF(A206="","",IF(P206&lt;&gt;"",P206,AS206))</f>
        <v/>
      </c>
      <c r="AU206" s="7">
        <f>IF(A206="","",IF(OR(AT206="A",AT206="B"),1,0))</f>
        <v/>
      </c>
      <c r="AV206" s="7">
        <f>IF(A206="","",IF(OR(R206="Dépôt payé (gagné)",R206="Événement livré",R206="Avis obtenu"),1,0))</f>
        <v/>
      </c>
      <c r="AW206" s="7">
        <f>IF(A206="","",IF(Q206&gt;70,"Immédiat – propriétaire",IF(Q206&gt;=40,"15 min – personne de garde","Selon la route")))</f>
        <v/>
      </c>
      <c r="AX206" s="11">
        <f>IF(A206="","",IF(AT206="A",400,IF(AT206="B",150,0)))</f>
        <v/>
      </c>
      <c r="AY206" s="11">
        <f>IF(A206="","",IF(AV206=1,N(V206),IF(N(U206)&gt;0,ROUND(N(U206)*IFERROR(VLOOKUP(R206,Listes!$AE$3:$AG$12,2,FALSE),0),0),0)))</f>
        <v/>
      </c>
      <c r="AZ206" s="7">
        <f>IF(LEFT(A206,7)="EXEMPLE",1,0)</f>
        <v/>
      </c>
      <c r="BA206" s="7">
        <f>IF(AND(AV206=1,AZ206=0,AC206&lt;&gt;"",W206&lt;&gt;"",N(V206)&gt;0),COUNTIFS($AV$3:AV206,1,$AZ$3:AZ206,0,$AC$3:AC206,"&lt;&gt;",$W$3:W206,"&lt;&gt;",$V$3:V206,"&gt;0"),"")</f>
        <v/>
      </c>
    </row>
    <row r="207">
      <c r="A207" s="12" t="n"/>
      <c r="B207" s="13" t="n"/>
      <c r="C207" s="13" t="n"/>
      <c r="D207" s="7">
        <f>IF(OR(B207="",C207=""),"",ROUND((C207-B207)*1440,0))</f>
        <v/>
      </c>
      <c r="E207" s="12" t="n"/>
      <c r="F207" s="12" t="n"/>
      <c r="G207" s="12" t="n"/>
      <c r="H207" s="12" t="n"/>
      <c r="I207" s="12" t="n"/>
      <c r="J207" s="12" t="n"/>
      <c r="K207" s="12" t="n"/>
      <c r="L207" s="14" t="n"/>
      <c r="M207" s="12" t="n"/>
      <c r="N207" s="12" t="n"/>
      <c r="O207" s="12" t="n"/>
      <c r="P207" s="12" t="n"/>
      <c r="Q207" s="7">
        <f>IF(A207="","",IFERROR(VLOOKUP(O207,Listes!$R$3:$T$8,2,FALSE),0)+IFERROR(VLOOKUP(J207,Listes!$J$3:$L$6,2,FALSE),0)+IFERROR(VLOOKUP(N207,Listes!$N$3:$P$6,2,FALSE),0)+IF(OR(L207="",B207=""),0,IF(L207-INT(B207)&lt;10,8,IF(L207-INT(B207)&lt;=90,10,5)))+IFERROR(VLOOKUP(AN207,Listes!$V$3:$W$5,2,FALSE),0)+IFERROR(VLOOKUP(AO207,Listes!$Y$3:$Z$5,2,FALSE),0))</f>
        <v/>
      </c>
      <c r="R207" s="12" t="n"/>
      <c r="S207" s="12" t="n"/>
      <c r="T207" s="12" t="n"/>
      <c r="U207" s="15" t="n"/>
      <c r="V207" s="15" t="n"/>
      <c r="W207" s="13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3" t="n"/>
      <c r="AK207" s="12" t="n"/>
      <c r="AL207" s="12" t="n"/>
      <c r="AM207" s="12" t="n"/>
      <c r="AN207" s="12" t="n"/>
      <c r="AO207" s="12" t="n"/>
      <c r="AP207" s="12" t="n"/>
      <c r="AQ207" s="7">
        <f>IF(A207="","",IF(AP207&lt;&gt;"",AP207,IF(LEFT(Z207,11)="gads_marque","Google Search – Marque",IF(LEFT(Z207,12)="gads_mariage","Google Search – Mariage et privé",IF(LEFT(Z207,10)="gads_corpo","Google Search – Corporatif",IF(LEFT(Z207,5)="meta_","Meta – Leads",IF(LEFT(Z207,5)="msft_","Microsoft Ads",IF(LEFT(Z207,8)="chatgpt_","ChatGPT Ads – Test",IF(X207="gbp","Fiche Google (organique)","Autre / non payé")))))))))</f>
        <v/>
      </c>
      <c r="AR207" s="7">
        <f>IF(K207="","",IFERROR(VLOOKUP(K207,Listes!$F$3:$H$8,3,FALSE),""))</f>
        <v/>
      </c>
      <c r="AS207" s="7">
        <f>IF(O207="","",IF(AND(M207="Autre (plus de 40 km)",OR(O207="lt600",O207="600_999",O207="1000_2499")),"D",IF(OR(O207="lt600",AND(O207="600_999",K207&lt;&gt;"mariage",K207&lt;&gt;"prive")),"C",IF(OR(O207="2500_4999",O207="5000p",J207="entreprise",J207="organisme",J207="agence"),"A",IF(OR(O207="1000_2499",O207="600_999"),"B",IF(O207="inconnu",IF(OR(N207="75_149",N207="150p"),"A","B"),""))))))</f>
        <v/>
      </c>
      <c r="AT207" s="7">
        <f>IF(A207="","",IF(P207&lt;&gt;"",P207,AS207))</f>
        <v/>
      </c>
      <c r="AU207" s="7">
        <f>IF(A207="","",IF(OR(AT207="A",AT207="B"),1,0))</f>
        <v/>
      </c>
      <c r="AV207" s="7">
        <f>IF(A207="","",IF(OR(R207="Dépôt payé (gagné)",R207="Événement livré",R207="Avis obtenu"),1,0))</f>
        <v/>
      </c>
      <c r="AW207" s="7">
        <f>IF(A207="","",IF(Q207&gt;70,"Immédiat – propriétaire",IF(Q207&gt;=40,"15 min – personne de garde","Selon la route")))</f>
        <v/>
      </c>
      <c r="AX207" s="11">
        <f>IF(A207="","",IF(AT207="A",400,IF(AT207="B",150,0)))</f>
        <v/>
      </c>
      <c r="AY207" s="11">
        <f>IF(A207="","",IF(AV207=1,N(V207),IF(N(U207)&gt;0,ROUND(N(U207)*IFERROR(VLOOKUP(R207,Listes!$AE$3:$AG$12,2,FALSE),0),0),0)))</f>
        <v/>
      </c>
      <c r="AZ207" s="7">
        <f>IF(LEFT(A207,7)="EXEMPLE",1,0)</f>
        <v/>
      </c>
      <c r="BA207" s="7">
        <f>IF(AND(AV207=1,AZ207=0,AC207&lt;&gt;"",W207&lt;&gt;"",N(V207)&gt;0),COUNTIFS($AV$3:AV207,1,$AZ$3:AZ207,0,$AC$3:AC207,"&lt;&gt;",$W$3:W207,"&lt;&gt;",$V$3:V207,"&gt;0"),"")</f>
        <v/>
      </c>
    </row>
    <row r="208">
      <c r="A208" s="12" t="n"/>
      <c r="B208" s="13" t="n"/>
      <c r="C208" s="13" t="n"/>
      <c r="D208" s="7">
        <f>IF(OR(B208="",C208=""),"",ROUND((C208-B208)*1440,0))</f>
        <v/>
      </c>
      <c r="E208" s="12" t="n"/>
      <c r="F208" s="12" t="n"/>
      <c r="G208" s="12" t="n"/>
      <c r="H208" s="12" t="n"/>
      <c r="I208" s="12" t="n"/>
      <c r="J208" s="12" t="n"/>
      <c r="K208" s="12" t="n"/>
      <c r="L208" s="14" t="n"/>
      <c r="M208" s="12" t="n"/>
      <c r="N208" s="12" t="n"/>
      <c r="O208" s="12" t="n"/>
      <c r="P208" s="12" t="n"/>
      <c r="Q208" s="7">
        <f>IF(A208="","",IFERROR(VLOOKUP(O208,Listes!$R$3:$T$8,2,FALSE),0)+IFERROR(VLOOKUP(J208,Listes!$J$3:$L$6,2,FALSE),0)+IFERROR(VLOOKUP(N208,Listes!$N$3:$P$6,2,FALSE),0)+IF(OR(L208="",B208=""),0,IF(L208-INT(B208)&lt;10,8,IF(L208-INT(B208)&lt;=90,10,5)))+IFERROR(VLOOKUP(AN208,Listes!$V$3:$W$5,2,FALSE),0)+IFERROR(VLOOKUP(AO208,Listes!$Y$3:$Z$5,2,FALSE),0))</f>
        <v/>
      </c>
      <c r="R208" s="12" t="n"/>
      <c r="S208" s="12" t="n"/>
      <c r="T208" s="12" t="n"/>
      <c r="U208" s="15" t="n"/>
      <c r="V208" s="15" t="n"/>
      <c r="W208" s="13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3" t="n"/>
      <c r="AK208" s="12" t="n"/>
      <c r="AL208" s="12" t="n"/>
      <c r="AM208" s="12" t="n"/>
      <c r="AN208" s="12" t="n"/>
      <c r="AO208" s="12" t="n"/>
      <c r="AP208" s="12" t="n"/>
      <c r="AQ208" s="7">
        <f>IF(A208="","",IF(AP208&lt;&gt;"",AP208,IF(LEFT(Z208,11)="gads_marque","Google Search – Marque",IF(LEFT(Z208,12)="gads_mariage","Google Search – Mariage et privé",IF(LEFT(Z208,10)="gads_corpo","Google Search – Corporatif",IF(LEFT(Z208,5)="meta_","Meta – Leads",IF(LEFT(Z208,5)="msft_","Microsoft Ads",IF(LEFT(Z208,8)="chatgpt_","ChatGPT Ads – Test",IF(X208="gbp","Fiche Google (organique)","Autre / non payé")))))))))</f>
        <v/>
      </c>
      <c r="AR208" s="7">
        <f>IF(K208="","",IFERROR(VLOOKUP(K208,Listes!$F$3:$H$8,3,FALSE),""))</f>
        <v/>
      </c>
      <c r="AS208" s="7">
        <f>IF(O208="","",IF(AND(M208="Autre (plus de 40 km)",OR(O208="lt600",O208="600_999",O208="1000_2499")),"D",IF(OR(O208="lt600",AND(O208="600_999",K208&lt;&gt;"mariage",K208&lt;&gt;"prive")),"C",IF(OR(O208="2500_4999",O208="5000p",J208="entreprise",J208="organisme",J208="agence"),"A",IF(OR(O208="1000_2499",O208="600_999"),"B",IF(O208="inconnu",IF(OR(N208="75_149",N208="150p"),"A","B"),""))))))</f>
        <v/>
      </c>
      <c r="AT208" s="7">
        <f>IF(A208="","",IF(P208&lt;&gt;"",P208,AS208))</f>
        <v/>
      </c>
      <c r="AU208" s="7">
        <f>IF(A208="","",IF(OR(AT208="A",AT208="B"),1,0))</f>
        <v/>
      </c>
      <c r="AV208" s="7">
        <f>IF(A208="","",IF(OR(R208="Dépôt payé (gagné)",R208="Événement livré",R208="Avis obtenu"),1,0))</f>
        <v/>
      </c>
      <c r="AW208" s="7">
        <f>IF(A208="","",IF(Q208&gt;70,"Immédiat – propriétaire",IF(Q208&gt;=40,"15 min – personne de garde","Selon la route")))</f>
        <v/>
      </c>
      <c r="AX208" s="11">
        <f>IF(A208="","",IF(AT208="A",400,IF(AT208="B",150,0)))</f>
        <v/>
      </c>
      <c r="AY208" s="11">
        <f>IF(A208="","",IF(AV208=1,N(V208),IF(N(U208)&gt;0,ROUND(N(U208)*IFERROR(VLOOKUP(R208,Listes!$AE$3:$AG$12,2,FALSE),0),0),0)))</f>
        <v/>
      </c>
      <c r="AZ208" s="7">
        <f>IF(LEFT(A208,7)="EXEMPLE",1,0)</f>
        <v/>
      </c>
      <c r="BA208" s="7">
        <f>IF(AND(AV208=1,AZ208=0,AC208&lt;&gt;"",W208&lt;&gt;"",N(V208)&gt;0),COUNTIFS($AV$3:AV208,1,$AZ$3:AZ208,0,$AC$3:AC208,"&lt;&gt;",$W$3:W208,"&lt;&gt;",$V$3:V208,"&gt;0"),"")</f>
        <v/>
      </c>
    </row>
    <row r="209">
      <c r="A209" s="12" t="n"/>
      <c r="B209" s="13" t="n"/>
      <c r="C209" s="13" t="n"/>
      <c r="D209" s="7">
        <f>IF(OR(B209="",C209=""),"",ROUND((C209-B209)*1440,0))</f>
        <v/>
      </c>
      <c r="E209" s="12" t="n"/>
      <c r="F209" s="12" t="n"/>
      <c r="G209" s="12" t="n"/>
      <c r="H209" s="12" t="n"/>
      <c r="I209" s="12" t="n"/>
      <c r="J209" s="12" t="n"/>
      <c r="K209" s="12" t="n"/>
      <c r="L209" s="14" t="n"/>
      <c r="M209" s="12" t="n"/>
      <c r="N209" s="12" t="n"/>
      <c r="O209" s="12" t="n"/>
      <c r="P209" s="12" t="n"/>
      <c r="Q209" s="7">
        <f>IF(A209="","",IFERROR(VLOOKUP(O209,Listes!$R$3:$T$8,2,FALSE),0)+IFERROR(VLOOKUP(J209,Listes!$J$3:$L$6,2,FALSE),0)+IFERROR(VLOOKUP(N209,Listes!$N$3:$P$6,2,FALSE),0)+IF(OR(L209="",B209=""),0,IF(L209-INT(B209)&lt;10,8,IF(L209-INT(B209)&lt;=90,10,5)))+IFERROR(VLOOKUP(AN209,Listes!$V$3:$W$5,2,FALSE),0)+IFERROR(VLOOKUP(AO209,Listes!$Y$3:$Z$5,2,FALSE),0))</f>
        <v/>
      </c>
      <c r="R209" s="12" t="n"/>
      <c r="S209" s="12" t="n"/>
      <c r="T209" s="12" t="n"/>
      <c r="U209" s="15" t="n"/>
      <c r="V209" s="15" t="n"/>
      <c r="W209" s="13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3" t="n"/>
      <c r="AK209" s="12" t="n"/>
      <c r="AL209" s="12" t="n"/>
      <c r="AM209" s="12" t="n"/>
      <c r="AN209" s="12" t="n"/>
      <c r="AO209" s="12" t="n"/>
      <c r="AP209" s="12" t="n"/>
      <c r="AQ209" s="7">
        <f>IF(A209="","",IF(AP209&lt;&gt;"",AP209,IF(LEFT(Z209,11)="gads_marque","Google Search – Marque",IF(LEFT(Z209,12)="gads_mariage","Google Search – Mariage et privé",IF(LEFT(Z209,10)="gads_corpo","Google Search – Corporatif",IF(LEFT(Z209,5)="meta_","Meta – Leads",IF(LEFT(Z209,5)="msft_","Microsoft Ads",IF(LEFT(Z209,8)="chatgpt_","ChatGPT Ads – Test",IF(X209="gbp","Fiche Google (organique)","Autre / non payé")))))))))</f>
        <v/>
      </c>
      <c r="AR209" s="7">
        <f>IF(K209="","",IFERROR(VLOOKUP(K209,Listes!$F$3:$H$8,3,FALSE),""))</f>
        <v/>
      </c>
      <c r="AS209" s="7">
        <f>IF(O209="","",IF(AND(M209="Autre (plus de 40 km)",OR(O209="lt600",O209="600_999",O209="1000_2499")),"D",IF(OR(O209="lt600",AND(O209="600_999",K209&lt;&gt;"mariage",K209&lt;&gt;"prive")),"C",IF(OR(O209="2500_4999",O209="5000p",J209="entreprise",J209="organisme",J209="agence"),"A",IF(OR(O209="1000_2499",O209="600_999"),"B",IF(O209="inconnu",IF(OR(N209="75_149",N209="150p"),"A","B"),""))))))</f>
        <v/>
      </c>
      <c r="AT209" s="7">
        <f>IF(A209="","",IF(P209&lt;&gt;"",P209,AS209))</f>
        <v/>
      </c>
      <c r="AU209" s="7">
        <f>IF(A209="","",IF(OR(AT209="A",AT209="B"),1,0))</f>
        <v/>
      </c>
      <c r="AV209" s="7">
        <f>IF(A209="","",IF(OR(R209="Dépôt payé (gagné)",R209="Événement livré",R209="Avis obtenu"),1,0))</f>
        <v/>
      </c>
      <c r="AW209" s="7">
        <f>IF(A209="","",IF(Q209&gt;70,"Immédiat – propriétaire",IF(Q209&gt;=40,"15 min – personne de garde","Selon la route")))</f>
        <v/>
      </c>
      <c r="AX209" s="11">
        <f>IF(A209="","",IF(AT209="A",400,IF(AT209="B",150,0)))</f>
        <v/>
      </c>
      <c r="AY209" s="11">
        <f>IF(A209="","",IF(AV209=1,N(V209),IF(N(U209)&gt;0,ROUND(N(U209)*IFERROR(VLOOKUP(R209,Listes!$AE$3:$AG$12,2,FALSE),0),0),0)))</f>
        <v/>
      </c>
      <c r="AZ209" s="7">
        <f>IF(LEFT(A209,7)="EXEMPLE",1,0)</f>
        <v/>
      </c>
      <c r="BA209" s="7">
        <f>IF(AND(AV209=1,AZ209=0,AC209&lt;&gt;"",W209&lt;&gt;"",N(V209)&gt;0),COUNTIFS($AV$3:AV209,1,$AZ$3:AZ209,0,$AC$3:AC209,"&lt;&gt;",$W$3:W209,"&lt;&gt;",$V$3:V209,"&gt;0"),"")</f>
        <v/>
      </c>
    </row>
    <row r="210">
      <c r="A210" s="12" t="n"/>
      <c r="B210" s="13" t="n"/>
      <c r="C210" s="13" t="n"/>
      <c r="D210" s="7">
        <f>IF(OR(B210="",C210=""),"",ROUND((C210-B210)*1440,0))</f>
        <v/>
      </c>
      <c r="E210" s="12" t="n"/>
      <c r="F210" s="12" t="n"/>
      <c r="G210" s="12" t="n"/>
      <c r="H210" s="12" t="n"/>
      <c r="I210" s="12" t="n"/>
      <c r="J210" s="12" t="n"/>
      <c r="K210" s="12" t="n"/>
      <c r="L210" s="14" t="n"/>
      <c r="M210" s="12" t="n"/>
      <c r="N210" s="12" t="n"/>
      <c r="O210" s="12" t="n"/>
      <c r="P210" s="12" t="n"/>
      <c r="Q210" s="7">
        <f>IF(A210="","",IFERROR(VLOOKUP(O210,Listes!$R$3:$T$8,2,FALSE),0)+IFERROR(VLOOKUP(J210,Listes!$J$3:$L$6,2,FALSE),0)+IFERROR(VLOOKUP(N210,Listes!$N$3:$P$6,2,FALSE),0)+IF(OR(L210="",B210=""),0,IF(L210-INT(B210)&lt;10,8,IF(L210-INT(B210)&lt;=90,10,5)))+IFERROR(VLOOKUP(AN210,Listes!$V$3:$W$5,2,FALSE),0)+IFERROR(VLOOKUP(AO210,Listes!$Y$3:$Z$5,2,FALSE),0))</f>
        <v/>
      </c>
      <c r="R210" s="12" t="n"/>
      <c r="S210" s="12" t="n"/>
      <c r="T210" s="12" t="n"/>
      <c r="U210" s="15" t="n"/>
      <c r="V210" s="15" t="n"/>
      <c r="W210" s="13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3" t="n"/>
      <c r="AK210" s="12" t="n"/>
      <c r="AL210" s="12" t="n"/>
      <c r="AM210" s="12" t="n"/>
      <c r="AN210" s="12" t="n"/>
      <c r="AO210" s="12" t="n"/>
      <c r="AP210" s="12" t="n"/>
      <c r="AQ210" s="7">
        <f>IF(A210="","",IF(AP210&lt;&gt;"",AP210,IF(LEFT(Z210,11)="gads_marque","Google Search – Marque",IF(LEFT(Z210,12)="gads_mariage","Google Search – Mariage et privé",IF(LEFT(Z210,10)="gads_corpo","Google Search – Corporatif",IF(LEFT(Z210,5)="meta_","Meta – Leads",IF(LEFT(Z210,5)="msft_","Microsoft Ads",IF(LEFT(Z210,8)="chatgpt_","ChatGPT Ads – Test",IF(X210="gbp","Fiche Google (organique)","Autre / non payé")))))))))</f>
        <v/>
      </c>
      <c r="AR210" s="7">
        <f>IF(K210="","",IFERROR(VLOOKUP(K210,Listes!$F$3:$H$8,3,FALSE),""))</f>
        <v/>
      </c>
      <c r="AS210" s="7">
        <f>IF(O210="","",IF(AND(M210="Autre (plus de 40 km)",OR(O210="lt600",O210="600_999",O210="1000_2499")),"D",IF(OR(O210="lt600",AND(O210="600_999",K210&lt;&gt;"mariage",K210&lt;&gt;"prive")),"C",IF(OR(O210="2500_4999",O210="5000p",J210="entreprise",J210="organisme",J210="agence"),"A",IF(OR(O210="1000_2499",O210="600_999"),"B",IF(O210="inconnu",IF(OR(N210="75_149",N210="150p"),"A","B"),""))))))</f>
        <v/>
      </c>
      <c r="AT210" s="7">
        <f>IF(A210="","",IF(P210&lt;&gt;"",P210,AS210))</f>
        <v/>
      </c>
      <c r="AU210" s="7">
        <f>IF(A210="","",IF(OR(AT210="A",AT210="B"),1,0))</f>
        <v/>
      </c>
      <c r="AV210" s="7">
        <f>IF(A210="","",IF(OR(R210="Dépôt payé (gagné)",R210="Événement livré",R210="Avis obtenu"),1,0))</f>
        <v/>
      </c>
      <c r="AW210" s="7">
        <f>IF(A210="","",IF(Q210&gt;70,"Immédiat – propriétaire",IF(Q210&gt;=40,"15 min – personne de garde","Selon la route")))</f>
        <v/>
      </c>
      <c r="AX210" s="11">
        <f>IF(A210="","",IF(AT210="A",400,IF(AT210="B",150,0)))</f>
        <v/>
      </c>
      <c r="AY210" s="11">
        <f>IF(A210="","",IF(AV210=1,N(V210),IF(N(U210)&gt;0,ROUND(N(U210)*IFERROR(VLOOKUP(R210,Listes!$AE$3:$AG$12,2,FALSE),0),0),0)))</f>
        <v/>
      </c>
      <c r="AZ210" s="7">
        <f>IF(LEFT(A210,7)="EXEMPLE",1,0)</f>
        <v/>
      </c>
      <c r="BA210" s="7">
        <f>IF(AND(AV210=1,AZ210=0,AC210&lt;&gt;"",W210&lt;&gt;"",N(V210)&gt;0),COUNTIFS($AV$3:AV210,1,$AZ$3:AZ210,0,$AC$3:AC210,"&lt;&gt;",$W$3:W210,"&lt;&gt;",$V$3:V210,"&gt;0"),"")</f>
        <v/>
      </c>
    </row>
    <row r="211">
      <c r="A211" s="12" t="n"/>
      <c r="B211" s="13" t="n"/>
      <c r="C211" s="13" t="n"/>
      <c r="D211" s="7">
        <f>IF(OR(B211="",C211=""),"",ROUND((C211-B211)*1440,0))</f>
        <v/>
      </c>
      <c r="E211" s="12" t="n"/>
      <c r="F211" s="12" t="n"/>
      <c r="G211" s="12" t="n"/>
      <c r="H211" s="12" t="n"/>
      <c r="I211" s="12" t="n"/>
      <c r="J211" s="12" t="n"/>
      <c r="K211" s="12" t="n"/>
      <c r="L211" s="14" t="n"/>
      <c r="M211" s="12" t="n"/>
      <c r="N211" s="12" t="n"/>
      <c r="O211" s="12" t="n"/>
      <c r="P211" s="12" t="n"/>
      <c r="Q211" s="7">
        <f>IF(A211="","",IFERROR(VLOOKUP(O211,Listes!$R$3:$T$8,2,FALSE),0)+IFERROR(VLOOKUP(J211,Listes!$J$3:$L$6,2,FALSE),0)+IFERROR(VLOOKUP(N211,Listes!$N$3:$P$6,2,FALSE),0)+IF(OR(L211="",B211=""),0,IF(L211-INT(B211)&lt;10,8,IF(L211-INT(B211)&lt;=90,10,5)))+IFERROR(VLOOKUP(AN211,Listes!$V$3:$W$5,2,FALSE),0)+IFERROR(VLOOKUP(AO211,Listes!$Y$3:$Z$5,2,FALSE),0))</f>
        <v/>
      </c>
      <c r="R211" s="12" t="n"/>
      <c r="S211" s="12" t="n"/>
      <c r="T211" s="12" t="n"/>
      <c r="U211" s="15" t="n"/>
      <c r="V211" s="15" t="n"/>
      <c r="W211" s="13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3" t="n"/>
      <c r="AK211" s="12" t="n"/>
      <c r="AL211" s="12" t="n"/>
      <c r="AM211" s="12" t="n"/>
      <c r="AN211" s="12" t="n"/>
      <c r="AO211" s="12" t="n"/>
      <c r="AP211" s="12" t="n"/>
      <c r="AQ211" s="7">
        <f>IF(A211="","",IF(AP211&lt;&gt;"",AP211,IF(LEFT(Z211,11)="gads_marque","Google Search – Marque",IF(LEFT(Z211,12)="gads_mariage","Google Search – Mariage et privé",IF(LEFT(Z211,10)="gads_corpo","Google Search – Corporatif",IF(LEFT(Z211,5)="meta_","Meta – Leads",IF(LEFT(Z211,5)="msft_","Microsoft Ads",IF(LEFT(Z211,8)="chatgpt_","ChatGPT Ads – Test",IF(X211="gbp","Fiche Google (organique)","Autre / non payé")))))))))</f>
        <v/>
      </c>
      <c r="AR211" s="7">
        <f>IF(K211="","",IFERROR(VLOOKUP(K211,Listes!$F$3:$H$8,3,FALSE),""))</f>
        <v/>
      </c>
      <c r="AS211" s="7">
        <f>IF(O211="","",IF(AND(M211="Autre (plus de 40 km)",OR(O211="lt600",O211="600_999",O211="1000_2499")),"D",IF(OR(O211="lt600",AND(O211="600_999",K211&lt;&gt;"mariage",K211&lt;&gt;"prive")),"C",IF(OR(O211="2500_4999",O211="5000p",J211="entreprise",J211="organisme",J211="agence"),"A",IF(OR(O211="1000_2499",O211="600_999"),"B",IF(O211="inconnu",IF(OR(N211="75_149",N211="150p"),"A","B"),""))))))</f>
        <v/>
      </c>
      <c r="AT211" s="7">
        <f>IF(A211="","",IF(P211&lt;&gt;"",P211,AS211))</f>
        <v/>
      </c>
      <c r="AU211" s="7">
        <f>IF(A211="","",IF(OR(AT211="A",AT211="B"),1,0))</f>
        <v/>
      </c>
      <c r="AV211" s="7">
        <f>IF(A211="","",IF(OR(R211="Dépôt payé (gagné)",R211="Événement livré",R211="Avis obtenu"),1,0))</f>
        <v/>
      </c>
      <c r="AW211" s="7">
        <f>IF(A211="","",IF(Q211&gt;70,"Immédiat – propriétaire",IF(Q211&gt;=40,"15 min – personne de garde","Selon la route")))</f>
        <v/>
      </c>
      <c r="AX211" s="11">
        <f>IF(A211="","",IF(AT211="A",400,IF(AT211="B",150,0)))</f>
        <v/>
      </c>
      <c r="AY211" s="11">
        <f>IF(A211="","",IF(AV211=1,N(V211),IF(N(U211)&gt;0,ROUND(N(U211)*IFERROR(VLOOKUP(R211,Listes!$AE$3:$AG$12,2,FALSE),0),0),0)))</f>
        <v/>
      </c>
      <c r="AZ211" s="7">
        <f>IF(LEFT(A211,7)="EXEMPLE",1,0)</f>
        <v/>
      </c>
      <c r="BA211" s="7">
        <f>IF(AND(AV211=1,AZ211=0,AC211&lt;&gt;"",W211&lt;&gt;"",N(V211)&gt;0),COUNTIFS($AV$3:AV211,1,$AZ$3:AZ211,0,$AC$3:AC211,"&lt;&gt;",$W$3:W211,"&lt;&gt;",$V$3:V211,"&gt;0"),"")</f>
        <v/>
      </c>
    </row>
    <row r="212">
      <c r="A212" s="12" t="n"/>
      <c r="B212" s="13" t="n"/>
      <c r="C212" s="13" t="n"/>
      <c r="D212" s="7">
        <f>IF(OR(B212="",C212=""),"",ROUND((C212-B212)*1440,0))</f>
        <v/>
      </c>
      <c r="E212" s="12" t="n"/>
      <c r="F212" s="12" t="n"/>
      <c r="G212" s="12" t="n"/>
      <c r="H212" s="12" t="n"/>
      <c r="I212" s="12" t="n"/>
      <c r="J212" s="12" t="n"/>
      <c r="K212" s="12" t="n"/>
      <c r="L212" s="14" t="n"/>
      <c r="M212" s="12" t="n"/>
      <c r="N212" s="12" t="n"/>
      <c r="O212" s="12" t="n"/>
      <c r="P212" s="12" t="n"/>
      <c r="Q212" s="7">
        <f>IF(A212="","",IFERROR(VLOOKUP(O212,Listes!$R$3:$T$8,2,FALSE),0)+IFERROR(VLOOKUP(J212,Listes!$J$3:$L$6,2,FALSE),0)+IFERROR(VLOOKUP(N212,Listes!$N$3:$P$6,2,FALSE),0)+IF(OR(L212="",B212=""),0,IF(L212-INT(B212)&lt;10,8,IF(L212-INT(B212)&lt;=90,10,5)))+IFERROR(VLOOKUP(AN212,Listes!$V$3:$W$5,2,FALSE),0)+IFERROR(VLOOKUP(AO212,Listes!$Y$3:$Z$5,2,FALSE),0))</f>
        <v/>
      </c>
      <c r="R212" s="12" t="n"/>
      <c r="S212" s="12" t="n"/>
      <c r="T212" s="12" t="n"/>
      <c r="U212" s="15" t="n"/>
      <c r="V212" s="15" t="n"/>
      <c r="W212" s="13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3" t="n"/>
      <c r="AK212" s="12" t="n"/>
      <c r="AL212" s="12" t="n"/>
      <c r="AM212" s="12" t="n"/>
      <c r="AN212" s="12" t="n"/>
      <c r="AO212" s="12" t="n"/>
      <c r="AP212" s="12" t="n"/>
      <c r="AQ212" s="7">
        <f>IF(A212="","",IF(AP212&lt;&gt;"",AP212,IF(LEFT(Z212,11)="gads_marque","Google Search – Marque",IF(LEFT(Z212,12)="gads_mariage","Google Search – Mariage et privé",IF(LEFT(Z212,10)="gads_corpo","Google Search – Corporatif",IF(LEFT(Z212,5)="meta_","Meta – Leads",IF(LEFT(Z212,5)="msft_","Microsoft Ads",IF(LEFT(Z212,8)="chatgpt_","ChatGPT Ads – Test",IF(X212="gbp","Fiche Google (organique)","Autre / non payé")))))))))</f>
        <v/>
      </c>
      <c r="AR212" s="7">
        <f>IF(K212="","",IFERROR(VLOOKUP(K212,Listes!$F$3:$H$8,3,FALSE),""))</f>
        <v/>
      </c>
      <c r="AS212" s="7">
        <f>IF(O212="","",IF(AND(M212="Autre (plus de 40 km)",OR(O212="lt600",O212="600_999",O212="1000_2499")),"D",IF(OR(O212="lt600",AND(O212="600_999",K212&lt;&gt;"mariage",K212&lt;&gt;"prive")),"C",IF(OR(O212="2500_4999",O212="5000p",J212="entreprise",J212="organisme",J212="agence"),"A",IF(OR(O212="1000_2499",O212="600_999"),"B",IF(O212="inconnu",IF(OR(N212="75_149",N212="150p"),"A","B"),""))))))</f>
        <v/>
      </c>
      <c r="AT212" s="7">
        <f>IF(A212="","",IF(P212&lt;&gt;"",P212,AS212))</f>
        <v/>
      </c>
      <c r="AU212" s="7">
        <f>IF(A212="","",IF(OR(AT212="A",AT212="B"),1,0))</f>
        <v/>
      </c>
      <c r="AV212" s="7">
        <f>IF(A212="","",IF(OR(R212="Dépôt payé (gagné)",R212="Événement livré",R212="Avis obtenu"),1,0))</f>
        <v/>
      </c>
      <c r="AW212" s="7">
        <f>IF(A212="","",IF(Q212&gt;70,"Immédiat – propriétaire",IF(Q212&gt;=40,"15 min – personne de garde","Selon la route")))</f>
        <v/>
      </c>
      <c r="AX212" s="11">
        <f>IF(A212="","",IF(AT212="A",400,IF(AT212="B",150,0)))</f>
        <v/>
      </c>
      <c r="AY212" s="11">
        <f>IF(A212="","",IF(AV212=1,N(V212),IF(N(U212)&gt;0,ROUND(N(U212)*IFERROR(VLOOKUP(R212,Listes!$AE$3:$AG$12,2,FALSE),0),0),0)))</f>
        <v/>
      </c>
      <c r="AZ212" s="7">
        <f>IF(LEFT(A212,7)="EXEMPLE",1,0)</f>
        <v/>
      </c>
      <c r="BA212" s="7">
        <f>IF(AND(AV212=1,AZ212=0,AC212&lt;&gt;"",W212&lt;&gt;"",N(V212)&gt;0),COUNTIFS($AV$3:AV212,1,$AZ$3:AZ212,0,$AC$3:AC212,"&lt;&gt;",$W$3:W212,"&lt;&gt;",$V$3:V212,"&gt;0"),"")</f>
        <v/>
      </c>
    </row>
    <row r="213">
      <c r="A213" s="12" t="n"/>
      <c r="B213" s="13" t="n"/>
      <c r="C213" s="13" t="n"/>
      <c r="D213" s="7">
        <f>IF(OR(B213="",C213=""),"",ROUND((C213-B213)*1440,0))</f>
        <v/>
      </c>
      <c r="E213" s="12" t="n"/>
      <c r="F213" s="12" t="n"/>
      <c r="G213" s="12" t="n"/>
      <c r="H213" s="12" t="n"/>
      <c r="I213" s="12" t="n"/>
      <c r="J213" s="12" t="n"/>
      <c r="K213" s="12" t="n"/>
      <c r="L213" s="14" t="n"/>
      <c r="M213" s="12" t="n"/>
      <c r="N213" s="12" t="n"/>
      <c r="O213" s="12" t="n"/>
      <c r="P213" s="12" t="n"/>
      <c r="Q213" s="7">
        <f>IF(A213="","",IFERROR(VLOOKUP(O213,Listes!$R$3:$T$8,2,FALSE),0)+IFERROR(VLOOKUP(J213,Listes!$J$3:$L$6,2,FALSE),0)+IFERROR(VLOOKUP(N213,Listes!$N$3:$P$6,2,FALSE),0)+IF(OR(L213="",B213=""),0,IF(L213-INT(B213)&lt;10,8,IF(L213-INT(B213)&lt;=90,10,5)))+IFERROR(VLOOKUP(AN213,Listes!$V$3:$W$5,2,FALSE),0)+IFERROR(VLOOKUP(AO213,Listes!$Y$3:$Z$5,2,FALSE),0))</f>
        <v/>
      </c>
      <c r="R213" s="12" t="n"/>
      <c r="S213" s="12" t="n"/>
      <c r="T213" s="12" t="n"/>
      <c r="U213" s="15" t="n"/>
      <c r="V213" s="15" t="n"/>
      <c r="W213" s="13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3" t="n"/>
      <c r="AK213" s="12" t="n"/>
      <c r="AL213" s="12" t="n"/>
      <c r="AM213" s="12" t="n"/>
      <c r="AN213" s="12" t="n"/>
      <c r="AO213" s="12" t="n"/>
      <c r="AP213" s="12" t="n"/>
      <c r="AQ213" s="7">
        <f>IF(A213="","",IF(AP213&lt;&gt;"",AP213,IF(LEFT(Z213,11)="gads_marque","Google Search – Marque",IF(LEFT(Z213,12)="gads_mariage","Google Search – Mariage et privé",IF(LEFT(Z213,10)="gads_corpo","Google Search – Corporatif",IF(LEFT(Z213,5)="meta_","Meta – Leads",IF(LEFT(Z213,5)="msft_","Microsoft Ads",IF(LEFT(Z213,8)="chatgpt_","ChatGPT Ads – Test",IF(X213="gbp","Fiche Google (organique)","Autre / non payé")))))))))</f>
        <v/>
      </c>
      <c r="AR213" s="7">
        <f>IF(K213="","",IFERROR(VLOOKUP(K213,Listes!$F$3:$H$8,3,FALSE),""))</f>
        <v/>
      </c>
      <c r="AS213" s="7">
        <f>IF(O213="","",IF(AND(M213="Autre (plus de 40 km)",OR(O213="lt600",O213="600_999",O213="1000_2499")),"D",IF(OR(O213="lt600",AND(O213="600_999",K213&lt;&gt;"mariage",K213&lt;&gt;"prive")),"C",IF(OR(O213="2500_4999",O213="5000p",J213="entreprise",J213="organisme",J213="agence"),"A",IF(OR(O213="1000_2499",O213="600_999"),"B",IF(O213="inconnu",IF(OR(N213="75_149",N213="150p"),"A","B"),""))))))</f>
        <v/>
      </c>
      <c r="AT213" s="7">
        <f>IF(A213="","",IF(P213&lt;&gt;"",P213,AS213))</f>
        <v/>
      </c>
      <c r="AU213" s="7">
        <f>IF(A213="","",IF(OR(AT213="A",AT213="B"),1,0))</f>
        <v/>
      </c>
      <c r="AV213" s="7">
        <f>IF(A213="","",IF(OR(R213="Dépôt payé (gagné)",R213="Événement livré",R213="Avis obtenu"),1,0))</f>
        <v/>
      </c>
      <c r="AW213" s="7">
        <f>IF(A213="","",IF(Q213&gt;70,"Immédiat – propriétaire",IF(Q213&gt;=40,"15 min – personne de garde","Selon la route")))</f>
        <v/>
      </c>
      <c r="AX213" s="11">
        <f>IF(A213="","",IF(AT213="A",400,IF(AT213="B",150,0)))</f>
        <v/>
      </c>
      <c r="AY213" s="11">
        <f>IF(A213="","",IF(AV213=1,N(V213),IF(N(U213)&gt;0,ROUND(N(U213)*IFERROR(VLOOKUP(R213,Listes!$AE$3:$AG$12,2,FALSE),0),0),0)))</f>
        <v/>
      </c>
      <c r="AZ213" s="7">
        <f>IF(LEFT(A213,7)="EXEMPLE",1,0)</f>
        <v/>
      </c>
      <c r="BA213" s="7">
        <f>IF(AND(AV213=1,AZ213=0,AC213&lt;&gt;"",W213&lt;&gt;"",N(V213)&gt;0),COUNTIFS($AV$3:AV213,1,$AZ$3:AZ213,0,$AC$3:AC213,"&lt;&gt;",$W$3:W213,"&lt;&gt;",$V$3:V213,"&gt;0"),"")</f>
        <v/>
      </c>
    </row>
    <row r="214">
      <c r="A214" s="12" t="n"/>
      <c r="B214" s="13" t="n"/>
      <c r="C214" s="13" t="n"/>
      <c r="D214" s="7">
        <f>IF(OR(B214="",C214=""),"",ROUND((C214-B214)*1440,0))</f>
        <v/>
      </c>
      <c r="E214" s="12" t="n"/>
      <c r="F214" s="12" t="n"/>
      <c r="G214" s="12" t="n"/>
      <c r="H214" s="12" t="n"/>
      <c r="I214" s="12" t="n"/>
      <c r="J214" s="12" t="n"/>
      <c r="K214" s="12" t="n"/>
      <c r="L214" s="14" t="n"/>
      <c r="M214" s="12" t="n"/>
      <c r="N214" s="12" t="n"/>
      <c r="O214" s="12" t="n"/>
      <c r="P214" s="12" t="n"/>
      <c r="Q214" s="7">
        <f>IF(A214="","",IFERROR(VLOOKUP(O214,Listes!$R$3:$T$8,2,FALSE),0)+IFERROR(VLOOKUP(J214,Listes!$J$3:$L$6,2,FALSE),0)+IFERROR(VLOOKUP(N214,Listes!$N$3:$P$6,2,FALSE),0)+IF(OR(L214="",B214=""),0,IF(L214-INT(B214)&lt;10,8,IF(L214-INT(B214)&lt;=90,10,5)))+IFERROR(VLOOKUP(AN214,Listes!$V$3:$W$5,2,FALSE),0)+IFERROR(VLOOKUP(AO214,Listes!$Y$3:$Z$5,2,FALSE),0))</f>
        <v/>
      </c>
      <c r="R214" s="12" t="n"/>
      <c r="S214" s="12" t="n"/>
      <c r="T214" s="12" t="n"/>
      <c r="U214" s="15" t="n"/>
      <c r="V214" s="15" t="n"/>
      <c r="W214" s="13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3" t="n"/>
      <c r="AK214" s="12" t="n"/>
      <c r="AL214" s="12" t="n"/>
      <c r="AM214" s="12" t="n"/>
      <c r="AN214" s="12" t="n"/>
      <c r="AO214" s="12" t="n"/>
      <c r="AP214" s="12" t="n"/>
      <c r="AQ214" s="7">
        <f>IF(A214="","",IF(AP214&lt;&gt;"",AP214,IF(LEFT(Z214,11)="gads_marque","Google Search – Marque",IF(LEFT(Z214,12)="gads_mariage","Google Search – Mariage et privé",IF(LEFT(Z214,10)="gads_corpo","Google Search – Corporatif",IF(LEFT(Z214,5)="meta_","Meta – Leads",IF(LEFT(Z214,5)="msft_","Microsoft Ads",IF(LEFT(Z214,8)="chatgpt_","ChatGPT Ads – Test",IF(X214="gbp","Fiche Google (organique)","Autre / non payé")))))))))</f>
        <v/>
      </c>
      <c r="AR214" s="7">
        <f>IF(K214="","",IFERROR(VLOOKUP(K214,Listes!$F$3:$H$8,3,FALSE),""))</f>
        <v/>
      </c>
      <c r="AS214" s="7">
        <f>IF(O214="","",IF(AND(M214="Autre (plus de 40 km)",OR(O214="lt600",O214="600_999",O214="1000_2499")),"D",IF(OR(O214="lt600",AND(O214="600_999",K214&lt;&gt;"mariage",K214&lt;&gt;"prive")),"C",IF(OR(O214="2500_4999",O214="5000p",J214="entreprise",J214="organisme",J214="agence"),"A",IF(OR(O214="1000_2499",O214="600_999"),"B",IF(O214="inconnu",IF(OR(N214="75_149",N214="150p"),"A","B"),""))))))</f>
        <v/>
      </c>
      <c r="AT214" s="7">
        <f>IF(A214="","",IF(P214&lt;&gt;"",P214,AS214))</f>
        <v/>
      </c>
      <c r="AU214" s="7">
        <f>IF(A214="","",IF(OR(AT214="A",AT214="B"),1,0))</f>
        <v/>
      </c>
      <c r="AV214" s="7">
        <f>IF(A214="","",IF(OR(R214="Dépôt payé (gagné)",R214="Événement livré",R214="Avis obtenu"),1,0))</f>
        <v/>
      </c>
      <c r="AW214" s="7">
        <f>IF(A214="","",IF(Q214&gt;70,"Immédiat – propriétaire",IF(Q214&gt;=40,"15 min – personne de garde","Selon la route")))</f>
        <v/>
      </c>
      <c r="AX214" s="11">
        <f>IF(A214="","",IF(AT214="A",400,IF(AT214="B",150,0)))</f>
        <v/>
      </c>
      <c r="AY214" s="11">
        <f>IF(A214="","",IF(AV214=1,N(V214),IF(N(U214)&gt;0,ROUND(N(U214)*IFERROR(VLOOKUP(R214,Listes!$AE$3:$AG$12,2,FALSE),0),0),0)))</f>
        <v/>
      </c>
      <c r="AZ214" s="7">
        <f>IF(LEFT(A214,7)="EXEMPLE",1,0)</f>
        <v/>
      </c>
      <c r="BA214" s="7">
        <f>IF(AND(AV214=1,AZ214=0,AC214&lt;&gt;"",W214&lt;&gt;"",N(V214)&gt;0),COUNTIFS($AV$3:AV214,1,$AZ$3:AZ214,0,$AC$3:AC214,"&lt;&gt;",$W$3:W214,"&lt;&gt;",$V$3:V214,"&gt;0"),"")</f>
        <v/>
      </c>
    </row>
    <row r="215">
      <c r="A215" s="12" t="n"/>
      <c r="B215" s="13" t="n"/>
      <c r="C215" s="13" t="n"/>
      <c r="D215" s="7">
        <f>IF(OR(B215="",C215=""),"",ROUND((C215-B215)*1440,0))</f>
        <v/>
      </c>
      <c r="E215" s="12" t="n"/>
      <c r="F215" s="12" t="n"/>
      <c r="G215" s="12" t="n"/>
      <c r="H215" s="12" t="n"/>
      <c r="I215" s="12" t="n"/>
      <c r="J215" s="12" t="n"/>
      <c r="K215" s="12" t="n"/>
      <c r="L215" s="14" t="n"/>
      <c r="M215" s="12" t="n"/>
      <c r="N215" s="12" t="n"/>
      <c r="O215" s="12" t="n"/>
      <c r="P215" s="12" t="n"/>
      <c r="Q215" s="7">
        <f>IF(A215="","",IFERROR(VLOOKUP(O215,Listes!$R$3:$T$8,2,FALSE),0)+IFERROR(VLOOKUP(J215,Listes!$J$3:$L$6,2,FALSE),0)+IFERROR(VLOOKUP(N215,Listes!$N$3:$P$6,2,FALSE),0)+IF(OR(L215="",B215=""),0,IF(L215-INT(B215)&lt;10,8,IF(L215-INT(B215)&lt;=90,10,5)))+IFERROR(VLOOKUP(AN215,Listes!$V$3:$W$5,2,FALSE),0)+IFERROR(VLOOKUP(AO215,Listes!$Y$3:$Z$5,2,FALSE),0))</f>
        <v/>
      </c>
      <c r="R215" s="12" t="n"/>
      <c r="S215" s="12" t="n"/>
      <c r="T215" s="12" t="n"/>
      <c r="U215" s="15" t="n"/>
      <c r="V215" s="15" t="n"/>
      <c r="W215" s="13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3" t="n"/>
      <c r="AK215" s="12" t="n"/>
      <c r="AL215" s="12" t="n"/>
      <c r="AM215" s="12" t="n"/>
      <c r="AN215" s="12" t="n"/>
      <c r="AO215" s="12" t="n"/>
      <c r="AP215" s="12" t="n"/>
      <c r="AQ215" s="7">
        <f>IF(A215="","",IF(AP215&lt;&gt;"",AP215,IF(LEFT(Z215,11)="gads_marque","Google Search – Marque",IF(LEFT(Z215,12)="gads_mariage","Google Search – Mariage et privé",IF(LEFT(Z215,10)="gads_corpo","Google Search – Corporatif",IF(LEFT(Z215,5)="meta_","Meta – Leads",IF(LEFT(Z215,5)="msft_","Microsoft Ads",IF(LEFT(Z215,8)="chatgpt_","ChatGPT Ads – Test",IF(X215="gbp","Fiche Google (organique)","Autre / non payé")))))))))</f>
        <v/>
      </c>
      <c r="AR215" s="7">
        <f>IF(K215="","",IFERROR(VLOOKUP(K215,Listes!$F$3:$H$8,3,FALSE),""))</f>
        <v/>
      </c>
      <c r="AS215" s="7">
        <f>IF(O215="","",IF(AND(M215="Autre (plus de 40 km)",OR(O215="lt600",O215="600_999",O215="1000_2499")),"D",IF(OR(O215="lt600",AND(O215="600_999",K215&lt;&gt;"mariage",K215&lt;&gt;"prive")),"C",IF(OR(O215="2500_4999",O215="5000p",J215="entreprise",J215="organisme",J215="agence"),"A",IF(OR(O215="1000_2499",O215="600_999"),"B",IF(O215="inconnu",IF(OR(N215="75_149",N215="150p"),"A","B"),""))))))</f>
        <v/>
      </c>
      <c r="AT215" s="7">
        <f>IF(A215="","",IF(P215&lt;&gt;"",P215,AS215))</f>
        <v/>
      </c>
      <c r="AU215" s="7">
        <f>IF(A215="","",IF(OR(AT215="A",AT215="B"),1,0))</f>
        <v/>
      </c>
      <c r="AV215" s="7">
        <f>IF(A215="","",IF(OR(R215="Dépôt payé (gagné)",R215="Événement livré",R215="Avis obtenu"),1,0))</f>
        <v/>
      </c>
      <c r="AW215" s="7">
        <f>IF(A215="","",IF(Q215&gt;70,"Immédiat – propriétaire",IF(Q215&gt;=40,"15 min – personne de garde","Selon la route")))</f>
        <v/>
      </c>
      <c r="AX215" s="11">
        <f>IF(A215="","",IF(AT215="A",400,IF(AT215="B",150,0)))</f>
        <v/>
      </c>
      <c r="AY215" s="11">
        <f>IF(A215="","",IF(AV215=1,N(V215),IF(N(U215)&gt;0,ROUND(N(U215)*IFERROR(VLOOKUP(R215,Listes!$AE$3:$AG$12,2,FALSE),0),0),0)))</f>
        <v/>
      </c>
      <c r="AZ215" s="7">
        <f>IF(LEFT(A215,7)="EXEMPLE",1,0)</f>
        <v/>
      </c>
      <c r="BA215" s="7">
        <f>IF(AND(AV215=1,AZ215=0,AC215&lt;&gt;"",W215&lt;&gt;"",N(V215)&gt;0),COUNTIFS($AV$3:AV215,1,$AZ$3:AZ215,0,$AC$3:AC215,"&lt;&gt;",$W$3:W215,"&lt;&gt;",$V$3:V215,"&gt;0"),"")</f>
        <v/>
      </c>
    </row>
    <row r="216">
      <c r="A216" s="12" t="n"/>
      <c r="B216" s="13" t="n"/>
      <c r="C216" s="13" t="n"/>
      <c r="D216" s="7">
        <f>IF(OR(B216="",C216=""),"",ROUND((C216-B216)*1440,0))</f>
        <v/>
      </c>
      <c r="E216" s="12" t="n"/>
      <c r="F216" s="12" t="n"/>
      <c r="G216" s="12" t="n"/>
      <c r="H216" s="12" t="n"/>
      <c r="I216" s="12" t="n"/>
      <c r="J216" s="12" t="n"/>
      <c r="K216" s="12" t="n"/>
      <c r="L216" s="14" t="n"/>
      <c r="M216" s="12" t="n"/>
      <c r="N216" s="12" t="n"/>
      <c r="O216" s="12" t="n"/>
      <c r="P216" s="12" t="n"/>
      <c r="Q216" s="7">
        <f>IF(A216="","",IFERROR(VLOOKUP(O216,Listes!$R$3:$T$8,2,FALSE),0)+IFERROR(VLOOKUP(J216,Listes!$J$3:$L$6,2,FALSE),0)+IFERROR(VLOOKUP(N216,Listes!$N$3:$P$6,2,FALSE),0)+IF(OR(L216="",B216=""),0,IF(L216-INT(B216)&lt;10,8,IF(L216-INT(B216)&lt;=90,10,5)))+IFERROR(VLOOKUP(AN216,Listes!$V$3:$W$5,2,FALSE),0)+IFERROR(VLOOKUP(AO216,Listes!$Y$3:$Z$5,2,FALSE),0))</f>
        <v/>
      </c>
      <c r="R216" s="12" t="n"/>
      <c r="S216" s="12" t="n"/>
      <c r="T216" s="12" t="n"/>
      <c r="U216" s="15" t="n"/>
      <c r="V216" s="15" t="n"/>
      <c r="W216" s="13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3" t="n"/>
      <c r="AK216" s="12" t="n"/>
      <c r="AL216" s="12" t="n"/>
      <c r="AM216" s="12" t="n"/>
      <c r="AN216" s="12" t="n"/>
      <c r="AO216" s="12" t="n"/>
      <c r="AP216" s="12" t="n"/>
      <c r="AQ216" s="7">
        <f>IF(A216="","",IF(AP216&lt;&gt;"",AP216,IF(LEFT(Z216,11)="gads_marque","Google Search – Marque",IF(LEFT(Z216,12)="gads_mariage","Google Search – Mariage et privé",IF(LEFT(Z216,10)="gads_corpo","Google Search – Corporatif",IF(LEFT(Z216,5)="meta_","Meta – Leads",IF(LEFT(Z216,5)="msft_","Microsoft Ads",IF(LEFT(Z216,8)="chatgpt_","ChatGPT Ads – Test",IF(X216="gbp","Fiche Google (organique)","Autre / non payé")))))))))</f>
        <v/>
      </c>
      <c r="AR216" s="7">
        <f>IF(K216="","",IFERROR(VLOOKUP(K216,Listes!$F$3:$H$8,3,FALSE),""))</f>
        <v/>
      </c>
      <c r="AS216" s="7">
        <f>IF(O216="","",IF(AND(M216="Autre (plus de 40 km)",OR(O216="lt600",O216="600_999",O216="1000_2499")),"D",IF(OR(O216="lt600",AND(O216="600_999",K216&lt;&gt;"mariage",K216&lt;&gt;"prive")),"C",IF(OR(O216="2500_4999",O216="5000p",J216="entreprise",J216="organisme",J216="agence"),"A",IF(OR(O216="1000_2499",O216="600_999"),"B",IF(O216="inconnu",IF(OR(N216="75_149",N216="150p"),"A","B"),""))))))</f>
        <v/>
      </c>
      <c r="AT216" s="7">
        <f>IF(A216="","",IF(P216&lt;&gt;"",P216,AS216))</f>
        <v/>
      </c>
      <c r="AU216" s="7">
        <f>IF(A216="","",IF(OR(AT216="A",AT216="B"),1,0))</f>
        <v/>
      </c>
      <c r="AV216" s="7">
        <f>IF(A216="","",IF(OR(R216="Dépôt payé (gagné)",R216="Événement livré",R216="Avis obtenu"),1,0))</f>
        <v/>
      </c>
      <c r="AW216" s="7">
        <f>IF(A216="","",IF(Q216&gt;70,"Immédiat – propriétaire",IF(Q216&gt;=40,"15 min – personne de garde","Selon la route")))</f>
        <v/>
      </c>
      <c r="AX216" s="11">
        <f>IF(A216="","",IF(AT216="A",400,IF(AT216="B",150,0)))</f>
        <v/>
      </c>
      <c r="AY216" s="11">
        <f>IF(A216="","",IF(AV216=1,N(V216),IF(N(U216)&gt;0,ROUND(N(U216)*IFERROR(VLOOKUP(R216,Listes!$AE$3:$AG$12,2,FALSE),0),0),0)))</f>
        <v/>
      </c>
      <c r="AZ216" s="7">
        <f>IF(LEFT(A216,7)="EXEMPLE",1,0)</f>
        <v/>
      </c>
      <c r="BA216" s="7">
        <f>IF(AND(AV216=1,AZ216=0,AC216&lt;&gt;"",W216&lt;&gt;"",N(V216)&gt;0),COUNTIFS($AV$3:AV216,1,$AZ$3:AZ216,0,$AC$3:AC216,"&lt;&gt;",$W$3:W216,"&lt;&gt;",$V$3:V216,"&gt;0"),"")</f>
        <v/>
      </c>
    </row>
    <row r="217">
      <c r="A217" s="12" t="n"/>
      <c r="B217" s="13" t="n"/>
      <c r="C217" s="13" t="n"/>
      <c r="D217" s="7">
        <f>IF(OR(B217="",C217=""),"",ROUND((C217-B217)*1440,0))</f>
        <v/>
      </c>
      <c r="E217" s="12" t="n"/>
      <c r="F217" s="12" t="n"/>
      <c r="G217" s="12" t="n"/>
      <c r="H217" s="12" t="n"/>
      <c r="I217" s="12" t="n"/>
      <c r="J217" s="12" t="n"/>
      <c r="K217" s="12" t="n"/>
      <c r="L217" s="14" t="n"/>
      <c r="M217" s="12" t="n"/>
      <c r="N217" s="12" t="n"/>
      <c r="O217" s="12" t="n"/>
      <c r="P217" s="12" t="n"/>
      <c r="Q217" s="7">
        <f>IF(A217="","",IFERROR(VLOOKUP(O217,Listes!$R$3:$T$8,2,FALSE),0)+IFERROR(VLOOKUP(J217,Listes!$J$3:$L$6,2,FALSE),0)+IFERROR(VLOOKUP(N217,Listes!$N$3:$P$6,2,FALSE),0)+IF(OR(L217="",B217=""),0,IF(L217-INT(B217)&lt;10,8,IF(L217-INT(B217)&lt;=90,10,5)))+IFERROR(VLOOKUP(AN217,Listes!$V$3:$W$5,2,FALSE),0)+IFERROR(VLOOKUP(AO217,Listes!$Y$3:$Z$5,2,FALSE),0))</f>
        <v/>
      </c>
      <c r="R217" s="12" t="n"/>
      <c r="S217" s="12" t="n"/>
      <c r="T217" s="12" t="n"/>
      <c r="U217" s="15" t="n"/>
      <c r="V217" s="15" t="n"/>
      <c r="W217" s="13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3" t="n"/>
      <c r="AK217" s="12" t="n"/>
      <c r="AL217" s="12" t="n"/>
      <c r="AM217" s="12" t="n"/>
      <c r="AN217" s="12" t="n"/>
      <c r="AO217" s="12" t="n"/>
      <c r="AP217" s="12" t="n"/>
      <c r="AQ217" s="7">
        <f>IF(A217="","",IF(AP217&lt;&gt;"",AP217,IF(LEFT(Z217,11)="gads_marque","Google Search – Marque",IF(LEFT(Z217,12)="gads_mariage","Google Search – Mariage et privé",IF(LEFT(Z217,10)="gads_corpo","Google Search – Corporatif",IF(LEFT(Z217,5)="meta_","Meta – Leads",IF(LEFT(Z217,5)="msft_","Microsoft Ads",IF(LEFT(Z217,8)="chatgpt_","ChatGPT Ads – Test",IF(X217="gbp","Fiche Google (organique)","Autre / non payé")))))))))</f>
        <v/>
      </c>
      <c r="AR217" s="7">
        <f>IF(K217="","",IFERROR(VLOOKUP(K217,Listes!$F$3:$H$8,3,FALSE),""))</f>
        <v/>
      </c>
      <c r="AS217" s="7">
        <f>IF(O217="","",IF(AND(M217="Autre (plus de 40 km)",OR(O217="lt600",O217="600_999",O217="1000_2499")),"D",IF(OR(O217="lt600",AND(O217="600_999",K217&lt;&gt;"mariage",K217&lt;&gt;"prive")),"C",IF(OR(O217="2500_4999",O217="5000p",J217="entreprise",J217="organisme",J217="agence"),"A",IF(OR(O217="1000_2499",O217="600_999"),"B",IF(O217="inconnu",IF(OR(N217="75_149",N217="150p"),"A","B"),""))))))</f>
        <v/>
      </c>
      <c r="AT217" s="7">
        <f>IF(A217="","",IF(P217&lt;&gt;"",P217,AS217))</f>
        <v/>
      </c>
      <c r="AU217" s="7">
        <f>IF(A217="","",IF(OR(AT217="A",AT217="B"),1,0))</f>
        <v/>
      </c>
      <c r="AV217" s="7">
        <f>IF(A217="","",IF(OR(R217="Dépôt payé (gagné)",R217="Événement livré",R217="Avis obtenu"),1,0))</f>
        <v/>
      </c>
      <c r="AW217" s="7">
        <f>IF(A217="","",IF(Q217&gt;70,"Immédiat – propriétaire",IF(Q217&gt;=40,"15 min – personne de garde","Selon la route")))</f>
        <v/>
      </c>
      <c r="AX217" s="11">
        <f>IF(A217="","",IF(AT217="A",400,IF(AT217="B",150,0)))</f>
        <v/>
      </c>
      <c r="AY217" s="11">
        <f>IF(A217="","",IF(AV217=1,N(V217),IF(N(U217)&gt;0,ROUND(N(U217)*IFERROR(VLOOKUP(R217,Listes!$AE$3:$AG$12,2,FALSE),0),0),0)))</f>
        <v/>
      </c>
      <c r="AZ217" s="7">
        <f>IF(LEFT(A217,7)="EXEMPLE",1,0)</f>
        <v/>
      </c>
      <c r="BA217" s="7">
        <f>IF(AND(AV217=1,AZ217=0,AC217&lt;&gt;"",W217&lt;&gt;"",N(V217)&gt;0),COUNTIFS($AV$3:AV217,1,$AZ$3:AZ217,0,$AC$3:AC217,"&lt;&gt;",$W$3:W217,"&lt;&gt;",$V$3:V217,"&gt;0"),"")</f>
        <v/>
      </c>
    </row>
    <row r="218">
      <c r="A218" s="12" t="n"/>
      <c r="B218" s="13" t="n"/>
      <c r="C218" s="13" t="n"/>
      <c r="D218" s="7">
        <f>IF(OR(B218="",C218=""),"",ROUND((C218-B218)*1440,0))</f>
        <v/>
      </c>
      <c r="E218" s="12" t="n"/>
      <c r="F218" s="12" t="n"/>
      <c r="G218" s="12" t="n"/>
      <c r="H218" s="12" t="n"/>
      <c r="I218" s="12" t="n"/>
      <c r="J218" s="12" t="n"/>
      <c r="K218" s="12" t="n"/>
      <c r="L218" s="14" t="n"/>
      <c r="M218" s="12" t="n"/>
      <c r="N218" s="12" t="n"/>
      <c r="O218" s="12" t="n"/>
      <c r="P218" s="12" t="n"/>
      <c r="Q218" s="7">
        <f>IF(A218="","",IFERROR(VLOOKUP(O218,Listes!$R$3:$T$8,2,FALSE),0)+IFERROR(VLOOKUP(J218,Listes!$J$3:$L$6,2,FALSE),0)+IFERROR(VLOOKUP(N218,Listes!$N$3:$P$6,2,FALSE),0)+IF(OR(L218="",B218=""),0,IF(L218-INT(B218)&lt;10,8,IF(L218-INT(B218)&lt;=90,10,5)))+IFERROR(VLOOKUP(AN218,Listes!$V$3:$W$5,2,FALSE),0)+IFERROR(VLOOKUP(AO218,Listes!$Y$3:$Z$5,2,FALSE),0))</f>
        <v/>
      </c>
      <c r="R218" s="12" t="n"/>
      <c r="S218" s="12" t="n"/>
      <c r="T218" s="12" t="n"/>
      <c r="U218" s="15" t="n"/>
      <c r="V218" s="15" t="n"/>
      <c r="W218" s="13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3" t="n"/>
      <c r="AK218" s="12" t="n"/>
      <c r="AL218" s="12" t="n"/>
      <c r="AM218" s="12" t="n"/>
      <c r="AN218" s="12" t="n"/>
      <c r="AO218" s="12" t="n"/>
      <c r="AP218" s="12" t="n"/>
      <c r="AQ218" s="7">
        <f>IF(A218="","",IF(AP218&lt;&gt;"",AP218,IF(LEFT(Z218,11)="gads_marque","Google Search – Marque",IF(LEFT(Z218,12)="gads_mariage","Google Search – Mariage et privé",IF(LEFT(Z218,10)="gads_corpo","Google Search – Corporatif",IF(LEFT(Z218,5)="meta_","Meta – Leads",IF(LEFT(Z218,5)="msft_","Microsoft Ads",IF(LEFT(Z218,8)="chatgpt_","ChatGPT Ads – Test",IF(X218="gbp","Fiche Google (organique)","Autre / non payé")))))))))</f>
        <v/>
      </c>
      <c r="AR218" s="7">
        <f>IF(K218="","",IFERROR(VLOOKUP(K218,Listes!$F$3:$H$8,3,FALSE),""))</f>
        <v/>
      </c>
      <c r="AS218" s="7">
        <f>IF(O218="","",IF(AND(M218="Autre (plus de 40 km)",OR(O218="lt600",O218="600_999",O218="1000_2499")),"D",IF(OR(O218="lt600",AND(O218="600_999",K218&lt;&gt;"mariage",K218&lt;&gt;"prive")),"C",IF(OR(O218="2500_4999",O218="5000p",J218="entreprise",J218="organisme",J218="agence"),"A",IF(OR(O218="1000_2499",O218="600_999"),"B",IF(O218="inconnu",IF(OR(N218="75_149",N218="150p"),"A","B"),""))))))</f>
        <v/>
      </c>
      <c r="AT218" s="7">
        <f>IF(A218="","",IF(P218&lt;&gt;"",P218,AS218))</f>
        <v/>
      </c>
      <c r="AU218" s="7">
        <f>IF(A218="","",IF(OR(AT218="A",AT218="B"),1,0))</f>
        <v/>
      </c>
      <c r="AV218" s="7">
        <f>IF(A218="","",IF(OR(R218="Dépôt payé (gagné)",R218="Événement livré",R218="Avis obtenu"),1,0))</f>
        <v/>
      </c>
      <c r="AW218" s="7">
        <f>IF(A218="","",IF(Q218&gt;70,"Immédiat – propriétaire",IF(Q218&gt;=40,"15 min – personne de garde","Selon la route")))</f>
        <v/>
      </c>
      <c r="AX218" s="11">
        <f>IF(A218="","",IF(AT218="A",400,IF(AT218="B",150,0)))</f>
        <v/>
      </c>
      <c r="AY218" s="11">
        <f>IF(A218="","",IF(AV218=1,N(V218),IF(N(U218)&gt;0,ROUND(N(U218)*IFERROR(VLOOKUP(R218,Listes!$AE$3:$AG$12,2,FALSE),0),0),0)))</f>
        <v/>
      </c>
      <c r="AZ218" s="7">
        <f>IF(LEFT(A218,7)="EXEMPLE",1,0)</f>
        <v/>
      </c>
      <c r="BA218" s="7">
        <f>IF(AND(AV218=1,AZ218=0,AC218&lt;&gt;"",W218&lt;&gt;"",N(V218)&gt;0),COUNTIFS($AV$3:AV218,1,$AZ$3:AZ218,0,$AC$3:AC218,"&lt;&gt;",$W$3:W218,"&lt;&gt;",$V$3:V218,"&gt;0"),"")</f>
        <v/>
      </c>
    </row>
    <row r="219">
      <c r="A219" s="12" t="n"/>
      <c r="B219" s="13" t="n"/>
      <c r="C219" s="13" t="n"/>
      <c r="D219" s="7">
        <f>IF(OR(B219="",C219=""),"",ROUND((C219-B219)*1440,0))</f>
        <v/>
      </c>
      <c r="E219" s="12" t="n"/>
      <c r="F219" s="12" t="n"/>
      <c r="G219" s="12" t="n"/>
      <c r="H219" s="12" t="n"/>
      <c r="I219" s="12" t="n"/>
      <c r="J219" s="12" t="n"/>
      <c r="K219" s="12" t="n"/>
      <c r="L219" s="14" t="n"/>
      <c r="M219" s="12" t="n"/>
      <c r="N219" s="12" t="n"/>
      <c r="O219" s="12" t="n"/>
      <c r="P219" s="12" t="n"/>
      <c r="Q219" s="7">
        <f>IF(A219="","",IFERROR(VLOOKUP(O219,Listes!$R$3:$T$8,2,FALSE),0)+IFERROR(VLOOKUP(J219,Listes!$J$3:$L$6,2,FALSE),0)+IFERROR(VLOOKUP(N219,Listes!$N$3:$P$6,2,FALSE),0)+IF(OR(L219="",B219=""),0,IF(L219-INT(B219)&lt;10,8,IF(L219-INT(B219)&lt;=90,10,5)))+IFERROR(VLOOKUP(AN219,Listes!$V$3:$W$5,2,FALSE),0)+IFERROR(VLOOKUP(AO219,Listes!$Y$3:$Z$5,2,FALSE),0))</f>
        <v/>
      </c>
      <c r="R219" s="12" t="n"/>
      <c r="S219" s="12" t="n"/>
      <c r="T219" s="12" t="n"/>
      <c r="U219" s="15" t="n"/>
      <c r="V219" s="15" t="n"/>
      <c r="W219" s="13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3" t="n"/>
      <c r="AK219" s="12" t="n"/>
      <c r="AL219" s="12" t="n"/>
      <c r="AM219" s="12" t="n"/>
      <c r="AN219" s="12" t="n"/>
      <c r="AO219" s="12" t="n"/>
      <c r="AP219" s="12" t="n"/>
      <c r="AQ219" s="7">
        <f>IF(A219="","",IF(AP219&lt;&gt;"",AP219,IF(LEFT(Z219,11)="gads_marque","Google Search – Marque",IF(LEFT(Z219,12)="gads_mariage","Google Search – Mariage et privé",IF(LEFT(Z219,10)="gads_corpo","Google Search – Corporatif",IF(LEFT(Z219,5)="meta_","Meta – Leads",IF(LEFT(Z219,5)="msft_","Microsoft Ads",IF(LEFT(Z219,8)="chatgpt_","ChatGPT Ads – Test",IF(X219="gbp","Fiche Google (organique)","Autre / non payé")))))))))</f>
        <v/>
      </c>
      <c r="AR219" s="7">
        <f>IF(K219="","",IFERROR(VLOOKUP(K219,Listes!$F$3:$H$8,3,FALSE),""))</f>
        <v/>
      </c>
      <c r="AS219" s="7">
        <f>IF(O219="","",IF(AND(M219="Autre (plus de 40 km)",OR(O219="lt600",O219="600_999",O219="1000_2499")),"D",IF(OR(O219="lt600",AND(O219="600_999",K219&lt;&gt;"mariage",K219&lt;&gt;"prive")),"C",IF(OR(O219="2500_4999",O219="5000p",J219="entreprise",J219="organisme",J219="agence"),"A",IF(OR(O219="1000_2499",O219="600_999"),"B",IF(O219="inconnu",IF(OR(N219="75_149",N219="150p"),"A","B"),""))))))</f>
        <v/>
      </c>
      <c r="AT219" s="7">
        <f>IF(A219="","",IF(P219&lt;&gt;"",P219,AS219))</f>
        <v/>
      </c>
      <c r="AU219" s="7">
        <f>IF(A219="","",IF(OR(AT219="A",AT219="B"),1,0))</f>
        <v/>
      </c>
      <c r="AV219" s="7">
        <f>IF(A219="","",IF(OR(R219="Dépôt payé (gagné)",R219="Événement livré",R219="Avis obtenu"),1,0))</f>
        <v/>
      </c>
      <c r="AW219" s="7">
        <f>IF(A219="","",IF(Q219&gt;70,"Immédiat – propriétaire",IF(Q219&gt;=40,"15 min – personne de garde","Selon la route")))</f>
        <v/>
      </c>
      <c r="AX219" s="11">
        <f>IF(A219="","",IF(AT219="A",400,IF(AT219="B",150,0)))</f>
        <v/>
      </c>
      <c r="AY219" s="11">
        <f>IF(A219="","",IF(AV219=1,N(V219),IF(N(U219)&gt;0,ROUND(N(U219)*IFERROR(VLOOKUP(R219,Listes!$AE$3:$AG$12,2,FALSE),0),0),0)))</f>
        <v/>
      </c>
      <c r="AZ219" s="7">
        <f>IF(LEFT(A219,7)="EXEMPLE",1,0)</f>
        <v/>
      </c>
      <c r="BA219" s="7">
        <f>IF(AND(AV219=1,AZ219=0,AC219&lt;&gt;"",W219&lt;&gt;"",N(V219)&gt;0),COUNTIFS($AV$3:AV219,1,$AZ$3:AZ219,0,$AC$3:AC219,"&lt;&gt;",$W$3:W219,"&lt;&gt;",$V$3:V219,"&gt;0"),"")</f>
        <v/>
      </c>
    </row>
    <row r="220">
      <c r="A220" s="12" t="n"/>
      <c r="B220" s="13" t="n"/>
      <c r="C220" s="13" t="n"/>
      <c r="D220" s="7">
        <f>IF(OR(B220="",C220=""),"",ROUND((C220-B220)*1440,0))</f>
        <v/>
      </c>
      <c r="E220" s="12" t="n"/>
      <c r="F220" s="12" t="n"/>
      <c r="G220" s="12" t="n"/>
      <c r="H220" s="12" t="n"/>
      <c r="I220" s="12" t="n"/>
      <c r="J220" s="12" t="n"/>
      <c r="K220" s="12" t="n"/>
      <c r="L220" s="14" t="n"/>
      <c r="M220" s="12" t="n"/>
      <c r="N220" s="12" t="n"/>
      <c r="O220" s="12" t="n"/>
      <c r="P220" s="12" t="n"/>
      <c r="Q220" s="7">
        <f>IF(A220="","",IFERROR(VLOOKUP(O220,Listes!$R$3:$T$8,2,FALSE),0)+IFERROR(VLOOKUP(J220,Listes!$J$3:$L$6,2,FALSE),0)+IFERROR(VLOOKUP(N220,Listes!$N$3:$P$6,2,FALSE),0)+IF(OR(L220="",B220=""),0,IF(L220-INT(B220)&lt;10,8,IF(L220-INT(B220)&lt;=90,10,5)))+IFERROR(VLOOKUP(AN220,Listes!$V$3:$W$5,2,FALSE),0)+IFERROR(VLOOKUP(AO220,Listes!$Y$3:$Z$5,2,FALSE),0))</f>
        <v/>
      </c>
      <c r="R220" s="12" t="n"/>
      <c r="S220" s="12" t="n"/>
      <c r="T220" s="12" t="n"/>
      <c r="U220" s="15" t="n"/>
      <c r="V220" s="15" t="n"/>
      <c r="W220" s="13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3" t="n"/>
      <c r="AK220" s="12" t="n"/>
      <c r="AL220" s="12" t="n"/>
      <c r="AM220" s="12" t="n"/>
      <c r="AN220" s="12" t="n"/>
      <c r="AO220" s="12" t="n"/>
      <c r="AP220" s="12" t="n"/>
      <c r="AQ220" s="7">
        <f>IF(A220="","",IF(AP220&lt;&gt;"",AP220,IF(LEFT(Z220,11)="gads_marque","Google Search – Marque",IF(LEFT(Z220,12)="gads_mariage","Google Search – Mariage et privé",IF(LEFT(Z220,10)="gads_corpo","Google Search – Corporatif",IF(LEFT(Z220,5)="meta_","Meta – Leads",IF(LEFT(Z220,5)="msft_","Microsoft Ads",IF(LEFT(Z220,8)="chatgpt_","ChatGPT Ads – Test",IF(X220="gbp","Fiche Google (organique)","Autre / non payé")))))))))</f>
        <v/>
      </c>
      <c r="AR220" s="7">
        <f>IF(K220="","",IFERROR(VLOOKUP(K220,Listes!$F$3:$H$8,3,FALSE),""))</f>
        <v/>
      </c>
      <c r="AS220" s="7">
        <f>IF(O220="","",IF(AND(M220="Autre (plus de 40 km)",OR(O220="lt600",O220="600_999",O220="1000_2499")),"D",IF(OR(O220="lt600",AND(O220="600_999",K220&lt;&gt;"mariage",K220&lt;&gt;"prive")),"C",IF(OR(O220="2500_4999",O220="5000p",J220="entreprise",J220="organisme",J220="agence"),"A",IF(OR(O220="1000_2499",O220="600_999"),"B",IF(O220="inconnu",IF(OR(N220="75_149",N220="150p"),"A","B"),""))))))</f>
        <v/>
      </c>
      <c r="AT220" s="7">
        <f>IF(A220="","",IF(P220&lt;&gt;"",P220,AS220))</f>
        <v/>
      </c>
      <c r="AU220" s="7">
        <f>IF(A220="","",IF(OR(AT220="A",AT220="B"),1,0))</f>
        <v/>
      </c>
      <c r="AV220" s="7">
        <f>IF(A220="","",IF(OR(R220="Dépôt payé (gagné)",R220="Événement livré",R220="Avis obtenu"),1,0))</f>
        <v/>
      </c>
      <c r="AW220" s="7">
        <f>IF(A220="","",IF(Q220&gt;70,"Immédiat – propriétaire",IF(Q220&gt;=40,"15 min – personne de garde","Selon la route")))</f>
        <v/>
      </c>
      <c r="AX220" s="11">
        <f>IF(A220="","",IF(AT220="A",400,IF(AT220="B",150,0)))</f>
        <v/>
      </c>
      <c r="AY220" s="11">
        <f>IF(A220="","",IF(AV220=1,N(V220),IF(N(U220)&gt;0,ROUND(N(U220)*IFERROR(VLOOKUP(R220,Listes!$AE$3:$AG$12,2,FALSE),0),0),0)))</f>
        <v/>
      </c>
      <c r="AZ220" s="7">
        <f>IF(LEFT(A220,7)="EXEMPLE",1,0)</f>
        <v/>
      </c>
      <c r="BA220" s="7">
        <f>IF(AND(AV220=1,AZ220=0,AC220&lt;&gt;"",W220&lt;&gt;"",N(V220)&gt;0),COUNTIFS($AV$3:AV220,1,$AZ$3:AZ220,0,$AC$3:AC220,"&lt;&gt;",$W$3:W220,"&lt;&gt;",$V$3:V220,"&gt;0"),"")</f>
        <v/>
      </c>
    </row>
    <row r="221">
      <c r="A221" s="12" t="n"/>
      <c r="B221" s="13" t="n"/>
      <c r="C221" s="13" t="n"/>
      <c r="D221" s="7">
        <f>IF(OR(B221="",C221=""),"",ROUND((C221-B221)*1440,0))</f>
        <v/>
      </c>
      <c r="E221" s="12" t="n"/>
      <c r="F221" s="12" t="n"/>
      <c r="G221" s="12" t="n"/>
      <c r="H221" s="12" t="n"/>
      <c r="I221" s="12" t="n"/>
      <c r="J221" s="12" t="n"/>
      <c r="K221" s="12" t="n"/>
      <c r="L221" s="14" t="n"/>
      <c r="M221" s="12" t="n"/>
      <c r="N221" s="12" t="n"/>
      <c r="O221" s="12" t="n"/>
      <c r="P221" s="12" t="n"/>
      <c r="Q221" s="7">
        <f>IF(A221="","",IFERROR(VLOOKUP(O221,Listes!$R$3:$T$8,2,FALSE),0)+IFERROR(VLOOKUP(J221,Listes!$J$3:$L$6,2,FALSE),0)+IFERROR(VLOOKUP(N221,Listes!$N$3:$P$6,2,FALSE),0)+IF(OR(L221="",B221=""),0,IF(L221-INT(B221)&lt;10,8,IF(L221-INT(B221)&lt;=90,10,5)))+IFERROR(VLOOKUP(AN221,Listes!$V$3:$W$5,2,FALSE),0)+IFERROR(VLOOKUP(AO221,Listes!$Y$3:$Z$5,2,FALSE),0))</f>
        <v/>
      </c>
      <c r="R221" s="12" t="n"/>
      <c r="S221" s="12" t="n"/>
      <c r="T221" s="12" t="n"/>
      <c r="U221" s="15" t="n"/>
      <c r="V221" s="15" t="n"/>
      <c r="W221" s="13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3" t="n"/>
      <c r="AK221" s="12" t="n"/>
      <c r="AL221" s="12" t="n"/>
      <c r="AM221" s="12" t="n"/>
      <c r="AN221" s="12" t="n"/>
      <c r="AO221" s="12" t="n"/>
      <c r="AP221" s="12" t="n"/>
      <c r="AQ221" s="7">
        <f>IF(A221="","",IF(AP221&lt;&gt;"",AP221,IF(LEFT(Z221,11)="gads_marque","Google Search – Marque",IF(LEFT(Z221,12)="gads_mariage","Google Search – Mariage et privé",IF(LEFT(Z221,10)="gads_corpo","Google Search – Corporatif",IF(LEFT(Z221,5)="meta_","Meta – Leads",IF(LEFT(Z221,5)="msft_","Microsoft Ads",IF(LEFT(Z221,8)="chatgpt_","ChatGPT Ads – Test",IF(X221="gbp","Fiche Google (organique)","Autre / non payé")))))))))</f>
        <v/>
      </c>
      <c r="AR221" s="7">
        <f>IF(K221="","",IFERROR(VLOOKUP(K221,Listes!$F$3:$H$8,3,FALSE),""))</f>
        <v/>
      </c>
      <c r="AS221" s="7">
        <f>IF(O221="","",IF(AND(M221="Autre (plus de 40 km)",OR(O221="lt600",O221="600_999",O221="1000_2499")),"D",IF(OR(O221="lt600",AND(O221="600_999",K221&lt;&gt;"mariage",K221&lt;&gt;"prive")),"C",IF(OR(O221="2500_4999",O221="5000p",J221="entreprise",J221="organisme",J221="agence"),"A",IF(OR(O221="1000_2499",O221="600_999"),"B",IF(O221="inconnu",IF(OR(N221="75_149",N221="150p"),"A","B"),""))))))</f>
        <v/>
      </c>
      <c r="AT221" s="7">
        <f>IF(A221="","",IF(P221&lt;&gt;"",P221,AS221))</f>
        <v/>
      </c>
      <c r="AU221" s="7">
        <f>IF(A221="","",IF(OR(AT221="A",AT221="B"),1,0))</f>
        <v/>
      </c>
      <c r="AV221" s="7">
        <f>IF(A221="","",IF(OR(R221="Dépôt payé (gagné)",R221="Événement livré",R221="Avis obtenu"),1,0))</f>
        <v/>
      </c>
      <c r="AW221" s="7">
        <f>IF(A221="","",IF(Q221&gt;70,"Immédiat – propriétaire",IF(Q221&gt;=40,"15 min – personne de garde","Selon la route")))</f>
        <v/>
      </c>
      <c r="AX221" s="11">
        <f>IF(A221="","",IF(AT221="A",400,IF(AT221="B",150,0)))</f>
        <v/>
      </c>
      <c r="AY221" s="11">
        <f>IF(A221="","",IF(AV221=1,N(V221),IF(N(U221)&gt;0,ROUND(N(U221)*IFERROR(VLOOKUP(R221,Listes!$AE$3:$AG$12,2,FALSE),0),0),0)))</f>
        <v/>
      </c>
      <c r="AZ221" s="7">
        <f>IF(LEFT(A221,7)="EXEMPLE",1,0)</f>
        <v/>
      </c>
      <c r="BA221" s="7">
        <f>IF(AND(AV221=1,AZ221=0,AC221&lt;&gt;"",W221&lt;&gt;"",N(V221)&gt;0),COUNTIFS($AV$3:AV221,1,$AZ$3:AZ221,0,$AC$3:AC221,"&lt;&gt;",$W$3:W221,"&lt;&gt;",$V$3:V221,"&gt;0"),"")</f>
        <v/>
      </c>
    </row>
    <row r="222">
      <c r="A222" s="12" t="n"/>
      <c r="B222" s="13" t="n"/>
      <c r="C222" s="13" t="n"/>
      <c r="D222" s="7">
        <f>IF(OR(B222="",C222=""),"",ROUND((C222-B222)*1440,0))</f>
        <v/>
      </c>
      <c r="E222" s="12" t="n"/>
      <c r="F222" s="12" t="n"/>
      <c r="G222" s="12" t="n"/>
      <c r="H222" s="12" t="n"/>
      <c r="I222" s="12" t="n"/>
      <c r="J222" s="12" t="n"/>
      <c r="K222" s="12" t="n"/>
      <c r="L222" s="14" t="n"/>
      <c r="M222" s="12" t="n"/>
      <c r="N222" s="12" t="n"/>
      <c r="O222" s="12" t="n"/>
      <c r="P222" s="12" t="n"/>
      <c r="Q222" s="7">
        <f>IF(A222="","",IFERROR(VLOOKUP(O222,Listes!$R$3:$T$8,2,FALSE),0)+IFERROR(VLOOKUP(J222,Listes!$J$3:$L$6,2,FALSE),0)+IFERROR(VLOOKUP(N222,Listes!$N$3:$P$6,2,FALSE),0)+IF(OR(L222="",B222=""),0,IF(L222-INT(B222)&lt;10,8,IF(L222-INT(B222)&lt;=90,10,5)))+IFERROR(VLOOKUP(AN222,Listes!$V$3:$W$5,2,FALSE),0)+IFERROR(VLOOKUP(AO222,Listes!$Y$3:$Z$5,2,FALSE),0))</f>
        <v/>
      </c>
      <c r="R222" s="12" t="n"/>
      <c r="S222" s="12" t="n"/>
      <c r="T222" s="12" t="n"/>
      <c r="U222" s="15" t="n"/>
      <c r="V222" s="15" t="n"/>
      <c r="W222" s="13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3" t="n"/>
      <c r="AK222" s="12" t="n"/>
      <c r="AL222" s="12" t="n"/>
      <c r="AM222" s="12" t="n"/>
      <c r="AN222" s="12" t="n"/>
      <c r="AO222" s="12" t="n"/>
      <c r="AP222" s="12" t="n"/>
      <c r="AQ222" s="7">
        <f>IF(A222="","",IF(AP222&lt;&gt;"",AP222,IF(LEFT(Z222,11)="gads_marque","Google Search – Marque",IF(LEFT(Z222,12)="gads_mariage","Google Search – Mariage et privé",IF(LEFT(Z222,10)="gads_corpo","Google Search – Corporatif",IF(LEFT(Z222,5)="meta_","Meta – Leads",IF(LEFT(Z222,5)="msft_","Microsoft Ads",IF(LEFT(Z222,8)="chatgpt_","ChatGPT Ads – Test",IF(X222="gbp","Fiche Google (organique)","Autre / non payé")))))))))</f>
        <v/>
      </c>
      <c r="AR222" s="7">
        <f>IF(K222="","",IFERROR(VLOOKUP(K222,Listes!$F$3:$H$8,3,FALSE),""))</f>
        <v/>
      </c>
      <c r="AS222" s="7">
        <f>IF(O222="","",IF(AND(M222="Autre (plus de 40 km)",OR(O222="lt600",O222="600_999",O222="1000_2499")),"D",IF(OR(O222="lt600",AND(O222="600_999",K222&lt;&gt;"mariage",K222&lt;&gt;"prive")),"C",IF(OR(O222="2500_4999",O222="5000p",J222="entreprise",J222="organisme",J222="agence"),"A",IF(OR(O222="1000_2499",O222="600_999"),"B",IF(O222="inconnu",IF(OR(N222="75_149",N222="150p"),"A","B"),""))))))</f>
        <v/>
      </c>
      <c r="AT222" s="7">
        <f>IF(A222="","",IF(P222&lt;&gt;"",P222,AS222))</f>
        <v/>
      </c>
      <c r="AU222" s="7">
        <f>IF(A222="","",IF(OR(AT222="A",AT222="B"),1,0))</f>
        <v/>
      </c>
      <c r="AV222" s="7">
        <f>IF(A222="","",IF(OR(R222="Dépôt payé (gagné)",R222="Événement livré",R222="Avis obtenu"),1,0))</f>
        <v/>
      </c>
      <c r="AW222" s="7">
        <f>IF(A222="","",IF(Q222&gt;70,"Immédiat – propriétaire",IF(Q222&gt;=40,"15 min – personne de garde","Selon la route")))</f>
        <v/>
      </c>
      <c r="AX222" s="11">
        <f>IF(A222="","",IF(AT222="A",400,IF(AT222="B",150,0)))</f>
        <v/>
      </c>
      <c r="AY222" s="11">
        <f>IF(A222="","",IF(AV222=1,N(V222),IF(N(U222)&gt;0,ROUND(N(U222)*IFERROR(VLOOKUP(R222,Listes!$AE$3:$AG$12,2,FALSE),0),0),0)))</f>
        <v/>
      </c>
      <c r="AZ222" s="7">
        <f>IF(LEFT(A222,7)="EXEMPLE",1,0)</f>
        <v/>
      </c>
      <c r="BA222" s="7">
        <f>IF(AND(AV222=1,AZ222=0,AC222&lt;&gt;"",W222&lt;&gt;"",N(V222)&gt;0),COUNTIFS($AV$3:AV222,1,$AZ$3:AZ222,0,$AC$3:AC222,"&lt;&gt;",$W$3:W222,"&lt;&gt;",$V$3:V222,"&gt;0"),"")</f>
        <v/>
      </c>
    </row>
    <row r="223">
      <c r="A223" s="12" t="n"/>
      <c r="B223" s="13" t="n"/>
      <c r="C223" s="13" t="n"/>
      <c r="D223" s="7">
        <f>IF(OR(B223="",C223=""),"",ROUND((C223-B223)*1440,0))</f>
        <v/>
      </c>
      <c r="E223" s="12" t="n"/>
      <c r="F223" s="12" t="n"/>
      <c r="G223" s="12" t="n"/>
      <c r="H223" s="12" t="n"/>
      <c r="I223" s="12" t="n"/>
      <c r="J223" s="12" t="n"/>
      <c r="K223" s="12" t="n"/>
      <c r="L223" s="14" t="n"/>
      <c r="M223" s="12" t="n"/>
      <c r="N223" s="12" t="n"/>
      <c r="O223" s="12" t="n"/>
      <c r="P223" s="12" t="n"/>
      <c r="Q223" s="7">
        <f>IF(A223="","",IFERROR(VLOOKUP(O223,Listes!$R$3:$T$8,2,FALSE),0)+IFERROR(VLOOKUP(J223,Listes!$J$3:$L$6,2,FALSE),0)+IFERROR(VLOOKUP(N223,Listes!$N$3:$P$6,2,FALSE),0)+IF(OR(L223="",B223=""),0,IF(L223-INT(B223)&lt;10,8,IF(L223-INT(B223)&lt;=90,10,5)))+IFERROR(VLOOKUP(AN223,Listes!$V$3:$W$5,2,FALSE),0)+IFERROR(VLOOKUP(AO223,Listes!$Y$3:$Z$5,2,FALSE),0))</f>
        <v/>
      </c>
      <c r="R223" s="12" t="n"/>
      <c r="S223" s="12" t="n"/>
      <c r="T223" s="12" t="n"/>
      <c r="U223" s="15" t="n"/>
      <c r="V223" s="15" t="n"/>
      <c r="W223" s="13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3" t="n"/>
      <c r="AK223" s="12" t="n"/>
      <c r="AL223" s="12" t="n"/>
      <c r="AM223" s="12" t="n"/>
      <c r="AN223" s="12" t="n"/>
      <c r="AO223" s="12" t="n"/>
      <c r="AP223" s="12" t="n"/>
      <c r="AQ223" s="7">
        <f>IF(A223="","",IF(AP223&lt;&gt;"",AP223,IF(LEFT(Z223,11)="gads_marque","Google Search – Marque",IF(LEFT(Z223,12)="gads_mariage","Google Search – Mariage et privé",IF(LEFT(Z223,10)="gads_corpo","Google Search – Corporatif",IF(LEFT(Z223,5)="meta_","Meta – Leads",IF(LEFT(Z223,5)="msft_","Microsoft Ads",IF(LEFT(Z223,8)="chatgpt_","ChatGPT Ads – Test",IF(X223="gbp","Fiche Google (organique)","Autre / non payé")))))))))</f>
        <v/>
      </c>
      <c r="AR223" s="7">
        <f>IF(K223="","",IFERROR(VLOOKUP(K223,Listes!$F$3:$H$8,3,FALSE),""))</f>
        <v/>
      </c>
      <c r="AS223" s="7">
        <f>IF(O223="","",IF(AND(M223="Autre (plus de 40 km)",OR(O223="lt600",O223="600_999",O223="1000_2499")),"D",IF(OR(O223="lt600",AND(O223="600_999",K223&lt;&gt;"mariage",K223&lt;&gt;"prive")),"C",IF(OR(O223="2500_4999",O223="5000p",J223="entreprise",J223="organisme",J223="agence"),"A",IF(OR(O223="1000_2499",O223="600_999"),"B",IF(O223="inconnu",IF(OR(N223="75_149",N223="150p"),"A","B"),""))))))</f>
        <v/>
      </c>
      <c r="AT223" s="7">
        <f>IF(A223="","",IF(P223&lt;&gt;"",P223,AS223))</f>
        <v/>
      </c>
      <c r="AU223" s="7">
        <f>IF(A223="","",IF(OR(AT223="A",AT223="B"),1,0))</f>
        <v/>
      </c>
      <c r="AV223" s="7">
        <f>IF(A223="","",IF(OR(R223="Dépôt payé (gagné)",R223="Événement livré",R223="Avis obtenu"),1,0))</f>
        <v/>
      </c>
      <c r="AW223" s="7">
        <f>IF(A223="","",IF(Q223&gt;70,"Immédiat – propriétaire",IF(Q223&gt;=40,"15 min – personne de garde","Selon la route")))</f>
        <v/>
      </c>
      <c r="AX223" s="11">
        <f>IF(A223="","",IF(AT223="A",400,IF(AT223="B",150,0)))</f>
        <v/>
      </c>
      <c r="AY223" s="11">
        <f>IF(A223="","",IF(AV223=1,N(V223),IF(N(U223)&gt;0,ROUND(N(U223)*IFERROR(VLOOKUP(R223,Listes!$AE$3:$AG$12,2,FALSE),0),0),0)))</f>
        <v/>
      </c>
      <c r="AZ223" s="7">
        <f>IF(LEFT(A223,7)="EXEMPLE",1,0)</f>
        <v/>
      </c>
      <c r="BA223" s="7">
        <f>IF(AND(AV223=1,AZ223=0,AC223&lt;&gt;"",W223&lt;&gt;"",N(V223)&gt;0),COUNTIFS($AV$3:AV223,1,$AZ$3:AZ223,0,$AC$3:AC223,"&lt;&gt;",$W$3:W223,"&lt;&gt;",$V$3:V223,"&gt;0"),"")</f>
        <v/>
      </c>
    </row>
    <row r="224">
      <c r="A224" s="12" t="n"/>
      <c r="B224" s="13" t="n"/>
      <c r="C224" s="13" t="n"/>
      <c r="D224" s="7">
        <f>IF(OR(B224="",C224=""),"",ROUND((C224-B224)*1440,0))</f>
        <v/>
      </c>
      <c r="E224" s="12" t="n"/>
      <c r="F224" s="12" t="n"/>
      <c r="G224" s="12" t="n"/>
      <c r="H224" s="12" t="n"/>
      <c r="I224" s="12" t="n"/>
      <c r="J224" s="12" t="n"/>
      <c r="K224" s="12" t="n"/>
      <c r="L224" s="14" t="n"/>
      <c r="M224" s="12" t="n"/>
      <c r="N224" s="12" t="n"/>
      <c r="O224" s="12" t="n"/>
      <c r="P224" s="12" t="n"/>
      <c r="Q224" s="7">
        <f>IF(A224="","",IFERROR(VLOOKUP(O224,Listes!$R$3:$T$8,2,FALSE),0)+IFERROR(VLOOKUP(J224,Listes!$J$3:$L$6,2,FALSE),0)+IFERROR(VLOOKUP(N224,Listes!$N$3:$P$6,2,FALSE),0)+IF(OR(L224="",B224=""),0,IF(L224-INT(B224)&lt;10,8,IF(L224-INT(B224)&lt;=90,10,5)))+IFERROR(VLOOKUP(AN224,Listes!$V$3:$W$5,2,FALSE),0)+IFERROR(VLOOKUP(AO224,Listes!$Y$3:$Z$5,2,FALSE),0))</f>
        <v/>
      </c>
      <c r="R224" s="12" t="n"/>
      <c r="S224" s="12" t="n"/>
      <c r="T224" s="12" t="n"/>
      <c r="U224" s="15" t="n"/>
      <c r="V224" s="15" t="n"/>
      <c r="W224" s="13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3" t="n"/>
      <c r="AK224" s="12" t="n"/>
      <c r="AL224" s="12" t="n"/>
      <c r="AM224" s="12" t="n"/>
      <c r="AN224" s="12" t="n"/>
      <c r="AO224" s="12" t="n"/>
      <c r="AP224" s="12" t="n"/>
      <c r="AQ224" s="7">
        <f>IF(A224="","",IF(AP224&lt;&gt;"",AP224,IF(LEFT(Z224,11)="gads_marque","Google Search – Marque",IF(LEFT(Z224,12)="gads_mariage","Google Search – Mariage et privé",IF(LEFT(Z224,10)="gads_corpo","Google Search – Corporatif",IF(LEFT(Z224,5)="meta_","Meta – Leads",IF(LEFT(Z224,5)="msft_","Microsoft Ads",IF(LEFT(Z224,8)="chatgpt_","ChatGPT Ads – Test",IF(X224="gbp","Fiche Google (organique)","Autre / non payé")))))))))</f>
        <v/>
      </c>
      <c r="AR224" s="7">
        <f>IF(K224="","",IFERROR(VLOOKUP(K224,Listes!$F$3:$H$8,3,FALSE),""))</f>
        <v/>
      </c>
      <c r="AS224" s="7">
        <f>IF(O224="","",IF(AND(M224="Autre (plus de 40 km)",OR(O224="lt600",O224="600_999",O224="1000_2499")),"D",IF(OR(O224="lt600",AND(O224="600_999",K224&lt;&gt;"mariage",K224&lt;&gt;"prive")),"C",IF(OR(O224="2500_4999",O224="5000p",J224="entreprise",J224="organisme",J224="agence"),"A",IF(OR(O224="1000_2499",O224="600_999"),"B",IF(O224="inconnu",IF(OR(N224="75_149",N224="150p"),"A","B"),""))))))</f>
        <v/>
      </c>
      <c r="AT224" s="7">
        <f>IF(A224="","",IF(P224&lt;&gt;"",P224,AS224))</f>
        <v/>
      </c>
      <c r="AU224" s="7">
        <f>IF(A224="","",IF(OR(AT224="A",AT224="B"),1,0))</f>
        <v/>
      </c>
      <c r="AV224" s="7">
        <f>IF(A224="","",IF(OR(R224="Dépôt payé (gagné)",R224="Événement livré",R224="Avis obtenu"),1,0))</f>
        <v/>
      </c>
      <c r="AW224" s="7">
        <f>IF(A224="","",IF(Q224&gt;70,"Immédiat – propriétaire",IF(Q224&gt;=40,"15 min – personne de garde","Selon la route")))</f>
        <v/>
      </c>
      <c r="AX224" s="11">
        <f>IF(A224="","",IF(AT224="A",400,IF(AT224="B",150,0)))</f>
        <v/>
      </c>
      <c r="AY224" s="11">
        <f>IF(A224="","",IF(AV224=1,N(V224),IF(N(U224)&gt;0,ROUND(N(U224)*IFERROR(VLOOKUP(R224,Listes!$AE$3:$AG$12,2,FALSE),0),0),0)))</f>
        <v/>
      </c>
      <c r="AZ224" s="7">
        <f>IF(LEFT(A224,7)="EXEMPLE",1,0)</f>
        <v/>
      </c>
      <c r="BA224" s="7">
        <f>IF(AND(AV224=1,AZ224=0,AC224&lt;&gt;"",W224&lt;&gt;"",N(V224)&gt;0),COUNTIFS($AV$3:AV224,1,$AZ$3:AZ224,0,$AC$3:AC224,"&lt;&gt;",$W$3:W224,"&lt;&gt;",$V$3:V224,"&gt;0"),"")</f>
        <v/>
      </c>
    </row>
    <row r="225">
      <c r="A225" s="12" t="n"/>
      <c r="B225" s="13" t="n"/>
      <c r="C225" s="13" t="n"/>
      <c r="D225" s="7">
        <f>IF(OR(B225="",C225=""),"",ROUND((C225-B225)*1440,0))</f>
        <v/>
      </c>
      <c r="E225" s="12" t="n"/>
      <c r="F225" s="12" t="n"/>
      <c r="G225" s="12" t="n"/>
      <c r="H225" s="12" t="n"/>
      <c r="I225" s="12" t="n"/>
      <c r="J225" s="12" t="n"/>
      <c r="K225" s="12" t="n"/>
      <c r="L225" s="14" t="n"/>
      <c r="M225" s="12" t="n"/>
      <c r="N225" s="12" t="n"/>
      <c r="O225" s="12" t="n"/>
      <c r="P225" s="12" t="n"/>
      <c r="Q225" s="7">
        <f>IF(A225="","",IFERROR(VLOOKUP(O225,Listes!$R$3:$T$8,2,FALSE),0)+IFERROR(VLOOKUP(J225,Listes!$J$3:$L$6,2,FALSE),0)+IFERROR(VLOOKUP(N225,Listes!$N$3:$P$6,2,FALSE),0)+IF(OR(L225="",B225=""),0,IF(L225-INT(B225)&lt;10,8,IF(L225-INT(B225)&lt;=90,10,5)))+IFERROR(VLOOKUP(AN225,Listes!$V$3:$W$5,2,FALSE),0)+IFERROR(VLOOKUP(AO225,Listes!$Y$3:$Z$5,2,FALSE),0))</f>
        <v/>
      </c>
      <c r="R225" s="12" t="n"/>
      <c r="S225" s="12" t="n"/>
      <c r="T225" s="12" t="n"/>
      <c r="U225" s="15" t="n"/>
      <c r="V225" s="15" t="n"/>
      <c r="W225" s="13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3" t="n"/>
      <c r="AK225" s="12" t="n"/>
      <c r="AL225" s="12" t="n"/>
      <c r="AM225" s="12" t="n"/>
      <c r="AN225" s="12" t="n"/>
      <c r="AO225" s="12" t="n"/>
      <c r="AP225" s="12" t="n"/>
      <c r="AQ225" s="7">
        <f>IF(A225="","",IF(AP225&lt;&gt;"",AP225,IF(LEFT(Z225,11)="gads_marque","Google Search – Marque",IF(LEFT(Z225,12)="gads_mariage","Google Search – Mariage et privé",IF(LEFT(Z225,10)="gads_corpo","Google Search – Corporatif",IF(LEFT(Z225,5)="meta_","Meta – Leads",IF(LEFT(Z225,5)="msft_","Microsoft Ads",IF(LEFT(Z225,8)="chatgpt_","ChatGPT Ads – Test",IF(X225="gbp","Fiche Google (organique)","Autre / non payé")))))))))</f>
        <v/>
      </c>
      <c r="AR225" s="7">
        <f>IF(K225="","",IFERROR(VLOOKUP(K225,Listes!$F$3:$H$8,3,FALSE),""))</f>
        <v/>
      </c>
      <c r="AS225" s="7">
        <f>IF(O225="","",IF(AND(M225="Autre (plus de 40 km)",OR(O225="lt600",O225="600_999",O225="1000_2499")),"D",IF(OR(O225="lt600",AND(O225="600_999",K225&lt;&gt;"mariage",K225&lt;&gt;"prive")),"C",IF(OR(O225="2500_4999",O225="5000p",J225="entreprise",J225="organisme",J225="agence"),"A",IF(OR(O225="1000_2499",O225="600_999"),"B",IF(O225="inconnu",IF(OR(N225="75_149",N225="150p"),"A","B"),""))))))</f>
        <v/>
      </c>
      <c r="AT225" s="7">
        <f>IF(A225="","",IF(P225&lt;&gt;"",P225,AS225))</f>
        <v/>
      </c>
      <c r="AU225" s="7">
        <f>IF(A225="","",IF(OR(AT225="A",AT225="B"),1,0))</f>
        <v/>
      </c>
      <c r="AV225" s="7">
        <f>IF(A225="","",IF(OR(R225="Dépôt payé (gagné)",R225="Événement livré",R225="Avis obtenu"),1,0))</f>
        <v/>
      </c>
      <c r="AW225" s="7">
        <f>IF(A225="","",IF(Q225&gt;70,"Immédiat – propriétaire",IF(Q225&gt;=40,"15 min – personne de garde","Selon la route")))</f>
        <v/>
      </c>
      <c r="AX225" s="11">
        <f>IF(A225="","",IF(AT225="A",400,IF(AT225="B",150,0)))</f>
        <v/>
      </c>
      <c r="AY225" s="11">
        <f>IF(A225="","",IF(AV225=1,N(V225),IF(N(U225)&gt;0,ROUND(N(U225)*IFERROR(VLOOKUP(R225,Listes!$AE$3:$AG$12,2,FALSE),0),0),0)))</f>
        <v/>
      </c>
      <c r="AZ225" s="7">
        <f>IF(LEFT(A225,7)="EXEMPLE",1,0)</f>
        <v/>
      </c>
      <c r="BA225" s="7">
        <f>IF(AND(AV225=1,AZ225=0,AC225&lt;&gt;"",W225&lt;&gt;"",N(V225)&gt;0),COUNTIFS($AV$3:AV225,1,$AZ$3:AZ225,0,$AC$3:AC225,"&lt;&gt;",$W$3:W225,"&lt;&gt;",$V$3:V225,"&gt;0"),"")</f>
        <v/>
      </c>
    </row>
    <row r="226">
      <c r="A226" s="12" t="n"/>
      <c r="B226" s="13" t="n"/>
      <c r="C226" s="13" t="n"/>
      <c r="D226" s="7">
        <f>IF(OR(B226="",C226=""),"",ROUND((C226-B226)*1440,0))</f>
        <v/>
      </c>
      <c r="E226" s="12" t="n"/>
      <c r="F226" s="12" t="n"/>
      <c r="G226" s="12" t="n"/>
      <c r="H226" s="12" t="n"/>
      <c r="I226" s="12" t="n"/>
      <c r="J226" s="12" t="n"/>
      <c r="K226" s="12" t="n"/>
      <c r="L226" s="14" t="n"/>
      <c r="M226" s="12" t="n"/>
      <c r="N226" s="12" t="n"/>
      <c r="O226" s="12" t="n"/>
      <c r="P226" s="12" t="n"/>
      <c r="Q226" s="7">
        <f>IF(A226="","",IFERROR(VLOOKUP(O226,Listes!$R$3:$T$8,2,FALSE),0)+IFERROR(VLOOKUP(J226,Listes!$J$3:$L$6,2,FALSE),0)+IFERROR(VLOOKUP(N226,Listes!$N$3:$P$6,2,FALSE),0)+IF(OR(L226="",B226=""),0,IF(L226-INT(B226)&lt;10,8,IF(L226-INT(B226)&lt;=90,10,5)))+IFERROR(VLOOKUP(AN226,Listes!$V$3:$W$5,2,FALSE),0)+IFERROR(VLOOKUP(AO226,Listes!$Y$3:$Z$5,2,FALSE),0))</f>
        <v/>
      </c>
      <c r="R226" s="12" t="n"/>
      <c r="S226" s="12" t="n"/>
      <c r="T226" s="12" t="n"/>
      <c r="U226" s="15" t="n"/>
      <c r="V226" s="15" t="n"/>
      <c r="W226" s="13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3" t="n"/>
      <c r="AK226" s="12" t="n"/>
      <c r="AL226" s="12" t="n"/>
      <c r="AM226" s="12" t="n"/>
      <c r="AN226" s="12" t="n"/>
      <c r="AO226" s="12" t="n"/>
      <c r="AP226" s="12" t="n"/>
      <c r="AQ226" s="7">
        <f>IF(A226="","",IF(AP226&lt;&gt;"",AP226,IF(LEFT(Z226,11)="gads_marque","Google Search – Marque",IF(LEFT(Z226,12)="gads_mariage","Google Search – Mariage et privé",IF(LEFT(Z226,10)="gads_corpo","Google Search – Corporatif",IF(LEFT(Z226,5)="meta_","Meta – Leads",IF(LEFT(Z226,5)="msft_","Microsoft Ads",IF(LEFT(Z226,8)="chatgpt_","ChatGPT Ads – Test",IF(X226="gbp","Fiche Google (organique)","Autre / non payé")))))))))</f>
        <v/>
      </c>
      <c r="AR226" s="7">
        <f>IF(K226="","",IFERROR(VLOOKUP(K226,Listes!$F$3:$H$8,3,FALSE),""))</f>
        <v/>
      </c>
      <c r="AS226" s="7">
        <f>IF(O226="","",IF(AND(M226="Autre (plus de 40 km)",OR(O226="lt600",O226="600_999",O226="1000_2499")),"D",IF(OR(O226="lt600",AND(O226="600_999",K226&lt;&gt;"mariage",K226&lt;&gt;"prive")),"C",IF(OR(O226="2500_4999",O226="5000p",J226="entreprise",J226="organisme",J226="agence"),"A",IF(OR(O226="1000_2499",O226="600_999"),"B",IF(O226="inconnu",IF(OR(N226="75_149",N226="150p"),"A","B"),""))))))</f>
        <v/>
      </c>
      <c r="AT226" s="7">
        <f>IF(A226="","",IF(P226&lt;&gt;"",P226,AS226))</f>
        <v/>
      </c>
      <c r="AU226" s="7">
        <f>IF(A226="","",IF(OR(AT226="A",AT226="B"),1,0))</f>
        <v/>
      </c>
      <c r="AV226" s="7">
        <f>IF(A226="","",IF(OR(R226="Dépôt payé (gagné)",R226="Événement livré",R226="Avis obtenu"),1,0))</f>
        <v/>
      </c>
      <c r="AW226" s="7">
        <f>IF(A226="","",IF(Q226&gt;70,"Immédiat – propriétaire",IF(Q226&gt;=40,"15 min – personne de garde","Selon la route")))</f>
        <v/>
      </c>
      <c r="AX226" s="11">
        <f>IF(A226="","",IF(AT226="A",400,IF(AT226="B",150,0)))</f>
        <v/>
      </c>
      <c r="AY226" s="11">
        <f>IF(A226="","",IF(AV226=1,N(V226),IF(N(U226)&gt;0,ROUND(N(U226)*IFERROR(VLOOKUP(R226,Listes!$AE$3:$AG$12,2,FALSE),0),0),0)))</f>
        <v/>
      </c>
      <c r="AZ226" s="7">
        <f>IF(LEFT(A226,7)="EXEMPLE",1,0)</f>
        <v/>
      </c>
      <c r="BA226" s="7">
        <f>IF(AND(AV226=1,AZ226=0,AC226&lt;&gt;"",W226&lt;&gt;"",N(V226)&gt;0),COUNTIFS($AV$3:AV226,1,$AZ$3:AZ226,0,$AC$3:AC226,"&lt;&gt;",$W$3:W226,"&lt;&gt;",$V$3:V226,"&gt;0"),"")</f>
        <v/>
      </c>
    </row>
    <row r="227">
      <c r="A227" s="12" t="n"/>
      <c r="B227" s="13" t="n"/>
      <c r="C227" s="13" t="n"/>
      <c r="D227" s="7">
        <f>IF(OR(B227="",C227=""),"",ROUND((C227-B227)*1440,0))</f>
        <v/>
      </c>
      <c r="E227" s="12" t="n"/>
      <c r="F227" s="12" t="n"/>
      <c r="G227" s="12" t="n"/>
      <c r="H227" s="12" t="n"/>
      <c r="I227" s="12" t="n"/>
      <c r="J227" s="12" t="n"/>
      <c r="K227" s="12" t="n"/>
      <c r="L227" s="14" t="n"/>
      <c r="M227" s="12" t="n"/>
      <c r="N227" s="12" t="n"/>
      <c r="O227" s="12" t="n"/>
      <c r="P227" s="12" t="n"/>
      <c r="Q227" s="7">
        <f>IF(A227="","",IFERROR(VLOOKUP(O227,Listes!$R$3:$T$8,2,FALSE),0)+IFERROR(VLOOKUP(J227,Listes!$J$3:$L$6,2,FALSE),0)+IFERROR(VLOOKUP(N227,Listes!$N$3:$P$6,2,FALSE),0)+IF(OR(L227="",B227=""),0,IF(L227-INT(B227)&lt;10,8,IF(L227-INT(B227)&lt;=90,10,5)))+IFERROR(VLOOKUP(AN227,Listes!$V$3:$W$5,2,FALSE),0)+IFERROR(VLOOKUP(AO227,Listes!$Y$3:$Z$5,2,FALSE),0))</f>
        <v/>
      </c>
      <c r="R227" s="12" t="n"/>
      <c r="S227" s="12" t="n"/>
      <c r="T227" s="12" t="n"/>
      <c r="U227" s="15" t="n"/>
      <c r="V227" s="15" t="n"/>
      <c r="W227" s="13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3" t="n"/>
      <c r="AK227" s="12" t="n"/>
      <c r="AL227" s="12" t="n"/>
      <c r="AM227" s="12" t="n"/>
      <c r="AN227" s="12" t="n"/>
      <c r="AO227" s="12" t="n"/>
      <c r="AP227" s="12" t="n"/>
      <c r="AQ227" s="7">
        <f>IF(A227="","",IF(AP227&lt;&gt;"",AP227,IF(LEFT(Z227,11)="gads_marque","Google Search – Marque",IF(LEFT(Z227,12)="gads_mariage","Google Search – Mariage et privé",IF(LEFT(Z227,10)="gads_corpo","Google Search – Corporatif",IF(LEFT(Z227,5)="meta_","Meta – Leads",IF(LEFT(Z227,5)="msft_","Microsoft Ads",IF(LEFT(Z227,8)="chatgpt_","ChatGPT Ads – Test",IF(X227="gbp","Fiche Google (organique)","Autre / non payé")))))))))</f>
        <v/>
      </c>
      <c r="AR227" s="7">
        <f>IF(K227="","",IFERROR(VLOOKUP(K227,Listes!$F$3:$H$8,3,FALSE),""))</f>
        <v/>
      </c>
      <c r="AS227" s="7">
        <f>IF(O227="","",IF(AND(M227="Autre (plus de 40 km)",OR(O227="lt600",O227="600_999",O227="1000_2499")),"D",IF(OR(O227="lt600",AND(O227="600_999",K227&lt;&gt;"mariage",K227&lt;&gt;"prive")),"C",IF(OR(O227="2500_4999",O227="5000p",J227="entreprise",J227="organisme",J227="agence"),"A",IF(OR(O227="1000_2499",O227="600_999"),"B",IF(O227="inconnu",IF(OR(N227="75_149",N227="150p"),"A","B"),""))))))</f>
        <v/>
      </c>
      <c r="AT227" s="7">
        <f>IF(A227="","",IF(P227&lt;&gt;"",P227,AS227))</f>
        <v/>
      </c>
      <c r="AU227" s="7">
        <f>IF(A227="","",IF(OR(AT227="A",AT227="B"),1,0))</f>
        <v/>
      </c>
      <c r="AV227" s="7">
        <f>IF(A227="","",IF(OR(R227="Dépôt payé (gagné)",R227="Événement livré",R227="Avis obtenu"),1,0))</f>
        <v/>
      </c>
      <c r="AW227" s="7">
        <f>IF(A227="","",IF(Q227&gt;70,"Immédiat – propriétaire",IF(Q227&gt;=40,"15 min – personne de garde","Selon la route")))</f>
        <v/>
      </c>
      <c r="AX227" s="11">
        <f>IF(A227="","",IF(AT227="A",400,IF(AT227="B",150,0)))</f>
        <v/>
      </c>
      <c r="AY227" s="11">
        <f>IF(A227="","",IF(AV227=1,N(V227),IF(N(U227)&gt;0,ROUND(N(U227)*IFERROR(VLOOKUP(R227,Listes!$AE$3:$AG$12,2,FALSE),0),0),0)))</f>
        <v/>
      </c>
      <c r="AZ227" s="7">
        <f>IF(LEFT(A227,7)="EXEMPLE",1,0)</f>
        <v/>
      </c>
      <c r="BA227" s="7">
        <f>IF(AND(AV227=1,AZ227=0,AC227&lt;&gt;"",W227&lt;&gt;"",N(V227)&gt;0),COUNTIFS($AV$3:AV227,1,$AZ$3:AZ227,0,$AC$3:AC227,"&lt;&gt;",$W$3:W227,"&lt;&gt;",$V$3:V227,"&gt;0"),"")</f>
        <v/>
      </c>
    </row>
    <row r="228">
      <c r="A228" s="12" t="n"/>
      <c r="B228" s="13" t="n"/>
      <c r="C228" s="13" t="n"/>
      <c r="D228" s="7">
        <f>IF(OR(B228="",C228=""),"",ROUND((C228-B228)*1440,0))</f>
        <v/>
      </c>
      <c r="E228" s="12" t="n"/>
      <c r="F228" s="12" t="n"/>
      <c r="G228" s="12" t="n"/>
      <c r="H228" s="12" t="n"/>
      <c r="I228" s="12" t="n"/>
      <c r="J228" s="12" t="n"/>
      <c r="K228" s="12" t="n"/>
      <c r="L228" s="14" t="n"/>
      <c r="M228" s="12" t="n"/>
      <c r="N228" s="12" t="n"/>
      <c r="O228" s="12" t="n"/>
      <c r="P228" s="12" t="n"/>
      <c r="Q228" s="7">
        <f>IF(A228="","",IFERROR(VLOOKUP(O228,Listes!$R$3:$T$8,2,FALSE),0)+IFERROR(VLOOKUP(J228,Listes!$J$3:$L$6,2,FALSE),0)+IFERROR(VLOOKUP(N228,Listes!$N$3:$P$6,2,FALSE),0)+IF(OR(L228="",B228=""),0,IF(L228-INT(B228)&lt;10,8,IF(L228-INT(B228)&lt;=90,10,5)))+IFERROR(VLOOKUP(AN228,Listes!$V$3:$W$5,2,FALSE),0)+IFERROR(VLOOKUP(AO228,Listes!$Y$3:$Z$5,2,FALSE),0))</f>
        <v/>
      </c>
      <c r="R228" s="12" t="n"/>
      <c r="S228" s="12" t="n"/>
      <c r="T228" s="12" t="n"/>
      <c r="U228" s="15" t="n"/>
      <c r="V228" s="15" t="n"/>
      <c r="W228" s="13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3" t="n"/>
      <c r="AK228" s="12" t="n"/>
      <c r="AL228" s="12" t="n"/>
      <c r="AM228" s="12" t="n"/>
      <c r="AN228" s="12" t="n"/>
      <c r="AO228" s="12" t="n"/>
      <c r="AP228" s="12" t="n"/>
      <c r="AQ228" s="7">
        <f>IF(A228="","",IF(AP228&lt;&gt;"",AP228,IF(LEFT(Z228,11)="gads_marque","Google Search – Marque",IF(LEFT(Z228,12)="gads_mariage","Google Search – Mariage et privé",IF(LEFT(Z228,10)="gads_corpo","Google Search – Corporatif",IF(LEFT(Z228,5)="meta_","Meta – Leads",IF(LEFT(Z228,5)="msft_","Microsoft Ads",IF(LEFT(Z228,8)="chatgpt_","ChatGPT Ads – Test",IF(X228="gbp","Fiche Google (organique)","Autre / non payé")))))))))</f>
        <v/>
      </c>
      <c r="AR228" s="7">
        <f>IF(K228="","",IFERROR(VLOOKUP(K228,Listes!$F$3:$H$8,3,FALSE),""))</f>
        <v/>
      </c>
      <c r="AS228" s="7">
        <f>IF(O228="","",IF(AND(M228="Autre (plus de 40 km)",OR(O228="lt600",O228="600_999",O228="1000_2499")),"D",IF(OR(O228="lt600",AND(O228="600_999",K228&lt;&gt;"mariage",K228&lt;&gt;"prive")),"C",IF(OR(O228="2500_4999",O228="5000p",J228="entreprise",J228="organisme",J228="agence"),"A",IF(OR(O228="1000_2499",O228="600_999"),"B",IF(O228="inconnu",IF(OR(N228="75_149",N228="150p"),"A","B"),""))))))</f>
        <v/>
      </c>
      <c r="AT228" s="7">
        <f>IF(A228="","",IF(P228&lt;&gt;"",P228,AS228))</f>
        <v/>
      </c>
      <c r="AU228" s="7">
        <f>IF(A228="","",IF(OR(AT228="A",AT228="B"),1,0))</f>
        <v/>
      </c>
      <c r="AV228" s="7">
        <f>IF(A228="","",IF(OR(R228="Dépôt payé (gagné)",R228="Événement livré",R228="Avis obtenu"),1,0))</f>
        <v/>
      </c>
      <c r="AW228" s="7">
        <f>IF(A228="","",IF(Q228&gt;70,"Immédiat – propriétaire",IF(Q228&gt;=40,"15 min – personne de garde","Selon la route")))</f>
        <v/>
      </c>
      <c r="AX228" s="11">
        <f>IF(A228="","",IF(AT228="A",400,IF(AT228="B",150,0)))</f>
        <v/>
      </c>
      <c r="AY228" s="11">
        <f>IF(A228="","",IF(AV228=1,N(V228),IF(N(U228)&gt;0,ROUND(N(U228)*IFERROR(VLOOKUP(R228,Listes!$AE$3:$AG$12,2,FALSE),0),0),0)))</f>
        <v/>
      </c>
      <c r="AZ228" s="7">
        <f>IF(LEFT(A228,7)="EXEMPLE",1,0)</f>
        <v/>
      </c>
      <c r="BA228" s="7">
        <f>IF(AND(AV228=1,AZ228=0,AC228&lt;&gt;"",W228&lt;&gt;"",N(V228)&gt;0),COUNTIFS($AV$3:AV228,1,$AZ$3:AZ228,0,$AC$3:AC228,"&lt;&gt;",$W$3:W228,"&lt;&gt;",$V$3:V228,"&gt;0"),"")</f>
        <v/>
      </c>
    </row>
    <row r="229">
      <c r="A229" s="12" t="n"/>
      <c r="B229" s="13" t="n"/>
      <c r="C229" s="13" t="n"/>
      <c r="D229" s="7">
        <f>IF(OR(B229="",C229=""),"",ROUND((C229-B229)*1440,0))</f>
        <v/>
      </c>
      <c r="E229" s="12" t="n"/>
      <c r="F229" s="12" t="n"/>
      <c r="G229" s="12" t="n"/>
      <c r="H229" s="12" t="n"/>
      <c r="I229" s="12" t="n"/>
      <c r="J229" s="12" t="n"/>
      <c r="K229" s="12" t="n"/>
      <c r="L229" s="14" t="n"/>
      <c r="M229" s="12" t="n"/>
      <c r="N229" s="12" t="n"/>
      <c r="O229" s="12" t="n"/>
      <c r="P229" s="12" t="n"/>
      <c r="Q229" s="7">
        <f>IF(A229="","",IFERROR(VLOOKUP(O229,Listes!$R$3:$T$8,2,FALSE),0)+IFERROR(VLOOKUP(J229,Listes!$J$3:$L$6,2,FALSE),0)+IFERROR(VLOOKUP(N229,Listes!$N$3:$P$6,2,FALSE),0)+IF(OR(L229="",B229=""),0,IF(L229-INT(B229)&lt;10,8,IF(L229-INT(B229)&lt;=90,10,5)))+IFERROR(VLOOKUP(AN229,Listes!$V$3:$W$5,2,FALSE),0)+IFERROR(VLOOKUP(AO229,Listes!$Y$3:$Z$5,2,FALSE),0))</f>
        <v/>
      </c>
      <c r="R229" s="12" t="n"/>
      <c r="S229" s="12" t="n"/>
      <c r="T229" s="12" t="n"/>
      <c r="U229" s="15" t="n"/>
      <c r="V229" s="15" t="n"/>
      <c r="W229" s="13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3" t="n"/>
      <c r="AK229" s="12" t="n"/>
      <c r="AL229" s="12" t="n"/>
      <c r="AM229" s="12" t="n"/>
      <c r="AN229" s="12" t="n"/>
      <c r="AO229" s="12" t="n"/>
      <c r="AP229" s="12" t="n"/>
      <c r="AQ229" s="7">
        <f>IF(A229="","",IF(AP229&lt;&gt;"",AP229,IF(LEFT(Z229,11)="gads_marque","Google Search – Marque",IF(LEFT(Z229,12)="gads_mariage","Google Search – Mariage et privé",IF(LEFT(Z229,10)="gads_corpo","Google Search – Corporatif",IF(LEFT(Z229,5)="meta_","Meta – Leads",IF(LEFT(Z229,5)="msft_","Microsoft Ads",IF(LEFT(Z229,8)="chatgpt_","ChatGPT Ads – Test",IF(X229="gbp","Fiche Google (organique)","Autre / non payé")))))))))</f>
        <v/>
      </c>
      <c r="AR229" s="7">
        <f>IF(K229="","",IFERROR(VLOOKUP(K229,Listes!$F$3:$H$8,3,FALSE),""))</f>
        <v/>
      </c>
      <c r="AS229" s="7">
        <f>IF(O229="","",IF(AND(M229="Autre (plus de 40 km)",OR(O229="lt600",O229="600_999",O229="1000_2499")),"D",IF(OR(O229="lt600",AND(O229="600_999",K229&lt;&gt;"mariage",K229&lt;&gt;"prive")),"C",IF(OR(O229="2500_4999",O229="5000p",J229="entreprise",J229="organisme",J229="agence"),"A",IF(OR(O229="1000_2499",O229="600_999"),"B",IF(O229="inconnu",IF(OR(N229="75_149",N229="150p"),"A","B"),""))))))</f>
        <v/>
      </c>
      <c r="AT229" s="7">
        <f>IF(A229="","",IF(P229&lt;&gt;"",P229,AS229))</f>
        <v/>
      </c>
      <c r="AU229" s="7">
        <f>IF(A229="","",IF(OR(AT229="A",AT229="B"),1,0))</f>
        <v/>
      </c>
      <c r="AV229" s="7">
        <f>IF(A229="","",IF(OR(R229="Dépôt payé (gagné)",R229="Événement livré",R229="Avis obtenu"),1,0))</f>
        <v/>
      </c>
      <c r="AW229" s="7">
        <f>IF(A229="","",IF(Q229&gt;70,"Immédiat – propriétaire",IF(Q229&gt;=40,"15 min – personne de garde","Selon la route")))</f>
        <v/>
      </c>
      <c r="AX229" s="11">
        <f>IF(A229="","",IF(AT229="A",400,IF(AT229="B",150,0)))</f>
        <v/>
      </c>
      <c r="AY229" s="11">
        <f>IF(A229="","",IF(AV229=1,N(V229),IF(N(U229)&gt;0,ROUND(N(U229)*IFERROR(VLOOKUP(R229,Listes!$AE$3:$AG$12,2,FALSE),0),0),0)))</f>
        <v/>
      </c>
      <c r="AZ229" s="7">
        <f>IF(LEFT(A229,7)="EXEMPLE",1,0)</f>
        <v/>
      </c>
      <c r="BA229" s="7">
        <f>IF(AND(AV229=1,AZ229=0,AC229&lt;&gt;"",W229&lt;&gt;"",N(V229)&gt;0),COUNTIFS($AV$3:AV229,1,$AZ$3:AZ229,0,$AC$3:AC229,"&lt;&gt;",$W$3:W229,"&lt;&gt;",$V$3:V229,"&gt;0"),"")</f>
        <v/>
      </c>
    </row>
    <row r="230">
      <c r="A230" s="12" t="n"/>
      <c r="B230" s="13" t="n"/>
      <c r="C230" s="13" t="n"/>
      <c r="D230" s="7">
        <f>IF(OR(B230="",C230=""),"",ROUND((C230-B230)*1440,0))</f>
        <v/>
      </c>
      <c r="E230" s="12" t="n"/>
      <c r="F230" s="12" t="n"/>
      <c r="G230" s="12" t="n"/>
      <c r="H230" s="12" t="n"/>
      <c r="I230" s="12" t="n"/>
      <c r="J230" s="12" t="n"/>
      <c r="K230" s="12" t="n"/>
      <c r="L230" s="14" t="n"/>
      <c r="M230" s="12" t="n"/>
      <c r="N230" s="12" t="n"/>
      <c r="O230" s="12" t="n"/>
      <c r="P230" s="12" t="n"/>
      <c r="Q230" s="7">
        <f>IF(A230="","",IFERROR(VLOOKUP(O230,Listes!$R$3:$T$8,2,FALSE),0)+IFERROR(VLOOKUP(J230,Listes!$J$3:$L$6,2,FALSE),0)+IFERROR(VLOOKUP(N230,Listes!$N$3:$P$6,2,FALSE),0)+IF(OR(L230="",B230=""),0,IF(L230-INT(B230)&lt;10,8,IF(L230-INT(B230)&lt;=90,10,5)))+IFERROR(VLOOKUP(AN230,Listes!$V$3:$W$5,2,FALSE),0)+IFERROR(VLOOKUP(AO230,Listes!$Y$3:$Z$5,2,FALSE),0))</f>
        <v/>
      </c>
      <c r="R230" s="12" t="n"/>
      <c r="S230" s="12" t="n"/>
      <c r="T230" s="12" t="n"/>
      <c r="U230" s="15" t="n"/>
      <c r="V230" s="15" t="n"/>
      <c r="W230" s="13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3" t="n"/>
      <c r="AK230" s="12" t="n"/>
      <c r="AL230" s="12" t="n"/>
      <c r="AM230" s="12" t="n"/>
      <c r="AN230" s="12" t="n"/>
      <c r="AO230" s="12" t="n"/>
      <c r="AP230" s="12" t="n"/>
      <c r="AQ230" s="7">
        <f>IF(A230="","",IF(AP230&lt;&gt;"",AP230,IF(LEFT(Z230,11)="gads_marque","Google Search – Marque",IF(LEFT(Z230,12)="gads_mariage","Google Search – Mariage et privé",IF(LEFT(Z230,10)="gads_corpo","Google Search – Corporatif",IF(LEFT(Z230,5)="meta_","Meta – Leads",IF(LEFT(Z230,5)="msft_","Microsoft Ads",IF(LEFT(Z230,8)="chatgpt_","ChatGPT Ads – Test",IF(X230="gbp","Fiche Google (organique)","Autre / non payé")))))))))</f>
        <v/>
      </c>
      <c r="AR230" s="7">
        <f>IF(K230="","",IFERROR(VLOOKUP(K230,Listes!$F$3:$H$8,3,FALSE),""))</f>
        <v/>
      </c>
      <c r="AS230" s="7">
        <f>IF(O230="","",IF(AND(M230="Autre (plus de 40 km)",OR(O230="lt600",O230="600_999",O230="1000_2499")),"D",IF(OR(O230="lt600",AND(O230="600_999",K230&lt;&gt;"mariage",K230&lt;&gt;"prive")),"C",IF(OR(O230="2500_4999",O230="5000p",J230="entreprise",J230="organisme",J230="agence"),"A",IF(OR(O230="1000_2499",O230="600_999"),"B",IF(O230="inconnu",IF(OR(N230="75_149",N230="150p"),"A","B"),""))))))</f>
        <v/>
      </c>
      <c r="AT230" s="7">
        <f>IF(A230="","",IF(P230&lt;&gt;"",P230,AS230))</f>
        <v/>
      </c>
      <c r="AU230" s="7">
        <f>IF(A230="","",IF(OR(AT230="A",AT230="B"),1,0))</f>
        <v/>
      </c>
      <c r="AV230" s="7">
        <f>IF(A230="","",IF(OR(R230="Dépôt payé (gagné)",R230="Événement livré",R230="Avis obtenu"),1,0))</f>
        <v/>
      </c>
      <c r="AW230" s="7">
        <f>IF(A230="","",IF(Q230&gt;70,"Immédiat – propriétaire",IF(Q230&gt;=40,"15 min – personne de garde","Selon la route")))</f>
        <v/>
      </c>
      <c r="AX230" s="11">
        <f>IF(A230="","",IF(AT230="A",400,IF(AT230="B",150,0)))</f>
        <v/>
      </c>
      <c r="AY230" s="11">
        <f>IF(A230="","",IF(AV230=1,N(V230),IF(N(U230)&gt;0,ROUND(N(U230)*IFERROR(VLOOKUP(R230,Listes!$AE$3:$AG$12,2,FALSE),0),0),0)))</f>
        <v/>
      </c>
      <c r="AZ230" s="7">
        <f>IF(LEFT(A230,7)="EXEMPLE",1,0)</f>
        <v/>
      </c>
      <c r="BA230" s="7">
        <f>IF(AND(AV230=1,AZ230=0,AC230&lt;&gt;"",W230&lt;&gt;"",N(V230)&gt;0),COUNTIFS($AV$3:AV230,1,$AZ$3:AZ230,0,$AC$3:AC230,"&lt;&gt;",$W$3:W230,"&lt;&gt;",$V$3:V230,"&gt;0"),"")</f>
        <v/>
      </c>
    </row>
    <row r="231">
      <c r="A231" s="12" t="n"/>
      <c r="B231" s="13" t="n"/>
      <c r="C231" s="13" t="n"/>
      <c r="D231" s="7">
        <f>IF(OR(B231="",C231=""),"",ROUND((C231-B231)*1440,0))</f>
        <v/>
      </c>
      <c r="E231" s="12" t="n"/>
      <c r="F231" s="12" t="n"/>
      <c r="G231" s="12" t="n"/>
      <c r="H231" s="12" t="n"/>
      <c r="I231" s="12" t="n"/>
      <c r="J231" s="12" t="n"/>
      <c r="K231" s="12" t="n"/>
      <c r="L231" s="14" t="n"/>
      <c r="M231" s="12" t="n"/>
      <c r="N231" s="12" t="n"/>
      <c r="O231" s="12" t="n"/>
      <c r="P231" s="12" t="n"/>
      <c r="Q231" s="7">
        <f>IF(A231="","",IFERROR(VLOOKUP(O231,Listes!$R$3:$T$8,2,FALSE),0)+IFERROR(VLOOKUP(J231,Listes!$J$3:$L$6,2,FALSE),0)+IFERROR(VLOOKUP(N231,Listes!$N$3:$P$6,2,FALSE),0)+IF(OR(L231="",B231=""),0,IF(L231-INT(B231)&lt;10,8,IF(L231-INT(B231)&lt;=90,10,5)))+IFERROR(VLOOKUP(AN231,Listes!$V$3:$W$5,2,FALSE),0)+IFERROR(VLOOKUP(AO231,Listes!$Y$3:$Z$5,2,FALSE),0))</f>
        <v/>
      </c>
      <c r="R231" s="12" t="n"/>
      <c r="S231" s="12" t="n"/>
      <c r="T231" s="12" t="n"/>
      <c r="U231" s="15" t="n"/>
      <c r="V231" s="15" t="n"/>
      <c r="W231" s="13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3" t="n"/>
      <c r="AK231" s="12" t="n"/>
      <c r="AL231" s="12" t="n"/>
      <c r="AM231" s="12" t="n"/>
      <c r="AN231" s="12" t="n"/>
      <c r="AO231" s="12" t="n"/>
      <c r="AP231" s="12" t="n"/>
      <c r="AQ231" s="7">
        <f>IF(A231="","",IF(AP231&lt;&gt;"",AP231,IF(LEFT(Z231,11)="gads_marque","Google Search – Marque",IF(LEFT(Z231,12)="gads_mariage","Google Search – Mariage et privé",IF(LEFT(Z231,10)="gads_corpo","Google Search – Corporatif",IF(LEFT(Z231,5)="meta_","Meta – Leads",IF(LEFT(Z231,5)="msft_","Microsoft Ads",IF(LEFT(Z231,8)="chatgpt_","ChatGPT Ads – Test",IF(X231="gbp","Fiche Google (organique)","Autre / non payé")))))))))</f>
        <v/>
      </c>
      <c r="AR231" s="7">
        <f>IF(K231="","",IFERROR(VLOOKUP(K231,Listes!$F$3:$H$8,3,FALSE),""))</f>
        <v/>
      </c>
      <c r="AS231" s="7">
        <f>IF(O231="","",IF(AND(M231="Autre (plus de 40 km)",OR(O231="lt600",O231="600_999",O231="1000_2499")),"D",IF(OR(O231="lt600",AND(O231="600_999",K231&lt;&gt;"mariage",K231&lt;&gt;"prive")),"C",IF(OR(O231="2500_4999",O231="5000p",J231="entreprise",J231="organisme",J231="agence"),"A",IF(OR(O231="1000_2499",O231="600_999"),"B",IF(O231="inconnu",IF(OR(N231="75_149",N231="150p"),"A","B"),""))))))</f>
        <v/>
      </c>
      <c r="AT231" s="7">
        <f>IF(A231="","",IF(P231&lt;&gt;"",P231,AS231))</f>
        <v/>
      </c>
      <c r="AU231" s="7">
        <f>IF(A231="","",IF(OR(AT231="A",AT231="B"),1,0))</f>
        <v/>
      </c>
      <c r="AV231" s="7">
        <f>IF(A231="","",IF(OR(R231="Dépôt payé (gagné)",R231="Événement livré",R231="Avis obtenu"),1,0))</f>
        <v/>
      </c>
      <c r="AW231" s="7">
        <f>IF(A231="","",IF(Q231&gt;70,"Immédiat – propriétaire",IF(Q231&gt;=40,"15 min – personne de garde","Selon la route")))</f>
        <v/>
      </c>
      <c r="AX231" s="11">
        <f>IF(A231="","",IF(AT231="A",400,IF(AT231="B",150,0)))</f>
        <v/>
      </c>
      <c r="AY231" s="11">
        <f>IF(A231="","",IF(AV231=1,N(V231),IF(N(U231)&gt;0,ROUND(N(U231)*IFERROR(VLOOKUP(R231,Listes!$AE$3:$AG$12,2,FALSE),0),0),0)))</f>
        <v/>
      </c>
      <c r="AZ231" s="7">
        <f>IF(LEFT(A231,7)="EXEMPLE",1,0)</f>
        <v/>
      </c>
      <c r="BA231" s="7">
        <f>IF(AND(AV231=1,AZ231=0,AC231&lt;&gt;"",W231&lt;&gt;"",N(V231)&gt;0),COUNTIFS($AV$3:AV231,1,$AZ$3:AZ231,0,$AC$3:AC231,"&lt;&gt;",$W$3:W231,"&lt;&gt;",$V$3:V231,"&gt;0"),"")</f>
        <v/>
      </c>
    </row>
    <row r="232">
      <c r="A232" s="12" t="n"/>
      <c r="B232" s="13" t="n"/>
      <c r="C232" s="13" t="n"/>
      <c r="D232" s="7">
        <f>IF(OR(B232="",C232=""),"",ROUND((C232-B232)*1440,0))</f>
        <v/>
      </c>
      <c r="E232" s="12" t="n"/>
      <c r="F232" s="12" t="n"/>
      <c r="G232" s="12" t="n"/>
      <c r="H232" s="12" t="n"/>
      <c r="I232" s="12" t="n"/>
      <c r="J232" s="12" t="n"/>
      <c r="K232" s="12" t="n"/>
      <c r="L232" s="14" t="n"/>
      <c r="M232" s="12" t="n"/>
      <c r="N232" s="12" t="n"/>
      <c r="O232" s="12" t="n"/>
      <c r="P232" s="12" t="n"/>
      <c r="Q232" s="7">
        <f>IF(A232="","",IFERROR(VLOOKUP(O232,Listes!$R$3:$T$8,2,FALSE),0)+IFERROR(VLOOKUP(J232,Listes!$J$3:$L$6,2,FALSE),0)+IFERROR(VLOOKUP(N232,Listes!$N$3:$P$6,2,FALSE),0)+IF(OR(L232="",B232=""),0,IF(L232-INT(B232)&lt;10,8,IF(L232-INT(B232)&lt;=90,10,5)))+IFERROR(VLOOKUP(AN232,Listes!$V$3:$W$5,2,FALSE),0)+IFERROR(VLOOKUP(AO232,Listes!$Y$3:$Z$5,2,FALSE),0))</f>
        <v/>
      </c>
      <c r="R232" s="12" t="n"/>
      <c r="S232" s="12" t="n"/>
      <c r="T232" s="12" t="n"/>
      <c r="U232" s="15" t="n"/>
      <c r="V232" s="15" t="n"/>
      <c r="W232" s="13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3" t="n"/>
      <c r="AK232" s="12" t="n"/>
      <c r="AL232" s="12" t="n"/>
      <c r="AM232" s="12" t="n"/>
      <c r="AN232" s="12" t="n"/>
      <c r="AO232" s="12" t="n"/>
      <c r="AP232" s="12" t="n"/>
      <c r="AQ232" s="7">
        <f>IF(A232="","",IF(AP232&lt;&gt;"",AP232,IF(LEFT(Z232,11)="gads_marque","Google Search – Marque",IF(LEFT(Z232,12)="gads_mariage","Google Search – Mariage et privé",IF(LEFT(Z232,10)="gads_corpo","Google Search – Corporatif",IF(LEFT(Z232,5)="meta_","Meta – Leads",IF(LEFT(Z232,5)="msft_","Microsoft Ads",IF(LEFT(Z232,8)="chatgpt_","ChatGPT Ads – Test",IF(X232="gbp","Fiche Google (organique)","Autre / non payé")))))))))</f>
        <v/>
      </c>
      <c r="AR232" s="7">
        <f>IF(K232="","",IFERROR(VLOOKUP(K232,Listes!$F$3:$H$8,3,FALSE),""))</f>
        <v/>
      </c>
      <c r="AS232" s="7">
        <f>IF(O232="","",IF(AND(M232="Autre (plus de 40 km)",OR(O232="lt600",O232="600_999",O232="1000_2499")),"D",IF(OR(O232="lt600",AND(O232="600_999",K232&lt;&gt;"mariage",K232&lt;&gt;"prive")),"C",IF(OR(O232="2500_4999",O232="5000p",J232="entreprise",J232="organisme",J232="agence"),"A",IF(OR(O232="1000_2499",O232="600_999"),"B",IF(O232="inconnu",IF(OR(N232="75_149",N232="150p"),"A","B"),""))))))</f>
        <v/>
      </c>
      <c r="AT232" s="7">
        <f>IF(A232="","",IF(P232&lt;&gt;"",P232,AS232))</f>
        <v/>
      </c>
      <c r="AU232" s="7">
        <f>IF(A232="","",IF(OR(AT232="A",AT232="B"),1,0))</f>
        <v/>
      </c>
      <c r="AV232" s="7">
        <f>IF(A232="","",IF(OR(R232="Dépôt payé (gagné)",R232="Événement livré",R232="Avis obtenu"),1,0))</f>
        <v/>
      </c>
      <c r="AW232" s="7">
        <f>IF(A232="","",IF(Q232&gt;70,"Immédiat – propriétaire",IF(Q232&gt;=40,"15 min – personne de garde","Selon la route")))</f>
        <v/>
      </c>
      <c r="AX232" s="11">
        <f>IF(A232="","",IF(AT232="A",400,IF(AT232="B",150,0)))</f>
        <v/>
      </c>
      <c r="AY232" s="11">
        <f>IF(A232="","",IF(AV232=1,N(V232),IF(N(U232)&gt;0,ROUND(N(U232)*IFERROR(VLOOKUP(R232,Listes!$AE$3:$AG$12,2,FALSE),0),0),0)))</f>
        <v/>
      </c>
      <c r="AZ232" s="7">
        <f>IF(LEFT(A232,7)="EXEMPLE",1,0)</f>
        <v/>
      </c>
      <c r="BA232" s="7">
        <f>IF(AND(AV232=1,AZ232=0,AC232&lt;&gt;"",W232&lt;&gt;"",N(V232)&gt;0),COUNTIFS($AV$3:AV232,1,$AZ$3:AZ232,0,$AC$3:AC232,"&lt;&gt;",$W$3:W232,"&lt;&gt;",$V$3:V232,"&gt;0"),"")</f>
        <v/>
      </c>
    </row>
    <row r="233">
      <c r="A233" s="12" t="n"/>
      <c r="B233" s="13" t="n"/>
      <c r="C233" s="13" t="n"/>
      <c r="D233" s="7">
        <f>IF(OR(B233="",C233=""),"",ROUND((C233-B233)*1440,0))</f>
        <v/>
      </c>
      <c r="E233" s="12" t="n"/>
      <c r="F233" s="12" t="n"/>
      <c r="G233" s="12" t="n"/>
      <c r="H233" s="12" t="n"/>
      <c r="I233" s="12" t="n"/>
      <c r="J233" s="12" t="n"/>
      <c r="K233" s="12" t="n"/>
      <c r="L233" s="14" t="n"/>
      <c r="M233" s="12" t="n"/>
      <c r="N233" s="12" t="n"/>
      <c r="O233" s="12" t="n"/>
      <c r="P233" s="12" t="n"/>
      <c r="Q233" s="7">
        <f>IF(A233="","",IFERROR(VLOOKUP(O233,Listes!$R$3:$T$8,2,FALSE),0)+IFERROR(VLOOKUP(J233,Listes!$J$3:$L$6,2,FALSE),0)+IFERROR(VLOOKUP(N233,Listes!$N$3:$P$6,2,FALSE),0)+IF(OR(L233="",B233=""),0,IF(L233-INT(B233)&lt;10,8,IF(L233-INT(B233)&lt;=90,10,5)))+IFERROR(VLOOKUP(AN233,Listes!$V$3:$W$5,2,FALSE),0)+IFERROR(VLOOKUP(AO233,Listes!$Y$3:$Z$5,2,FALSE),0))</f>
        <v/>
      </c>
      <c r="R233" s="12" t="n"/>
      <c r="S233" s="12" t="n"/>
      <c r="T233" s="12" t="n"/>
      <c r="U233" s="15" t="n"/>
      <c r="V233" s="15" t="n"/>
      <c r="W233" s="13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3" t="n"/>
      <c r="AK233" s="12" t="n"/>
      <c r="AL233" s="12" t="n"/>
      <c r="AM233" s="12" t="n"/>
      <c r="AN233" s="12" t="n"/>
      <c r="AO233" s="12" t="n"/>
      <c r="AP233" s="12" t="n"/>
      <c r="AQ233" s="7">
        <f>IF(A233="","",IF(AP233&lt;&gt;"",AP233,IF(LEFT(Z233,11)="gads_marque","Google Search – Marque",IF(LEFT(Z233,12)="gads_mariage","Google Search – Mariage et privé",IF(LEFT(Z233,10)="gads_corpo","Google Search – Corporatif",IF(LEFT(Z233,5)="meta_","Meta – Leads",IF(LEFT(Z233,5)="msft_","Microsoft Ads",IF(LEFT(Z233,8)="chatgpt_","ChatGPT Ads – Test",IF(X233="gbp","Fiche Google (organique)","Autre / non payé")))))))))</f>
        <v/>
      </c>
      <c r="AR233" s="7">
        <f>IF(K233="","",IFERROR(VLOOKUP(K233,Listes!$F$3:$H$8,3,FALSE),""))</f>
        <v/>
      </c>
      <c r="AS233" s="7">
        <f>IF(O233="","",IF(AND(M233="Autre (plus de 40 km)",OR(O233="lt600",O233="600_999",O233="1000_2499")),"D",IF(OR(O233="lt600",AND(O233="600_999",K233&lt;&gt;"mariage",K233&lt;&gt;"prive")),"C",IF(OR(O233="2500_4999",O233="5000p",J233="entreprise",J233="organisme",J233="agence"),"A",IF(OR(O233="1000_2499",O233="600_999"),"B",IF(O233="inconnu",IF(OR(N233="75_149",N233="150p"),"A","B"),""))))))</f>
        <v/>
      </c>
      <c r="AT233" s="7">
        <f>IF(A233="","",IF(P233&lt;&gt;"",P233,AS233))</f>
        <v/>
      </c>
      <c r="AU233" s="7">
        <f>IF(A233="","",IF(OR(AT233="A",AT233="B"),1,0))</f>
        <v/>
      </c>
      <c r="AV233" s="7">
        <f>IF(A233="","",IF(OR(R233="Dépôt payé (gagné)",R233="Événement livré",R233="Avis obtenu"),1,0))</f>
        <v/>
      </c>
      <c r="AW233" s="7">
        <f>IF(A233="","",IF(Q233&gt;70,"Immédiat – propriétaire",IF(Q233&gt;=40,"15 min – personne de garde","Selon la route")))</f>
        <v/>
      </c>
      <c r="AX233" s="11">
        <f>IF(A233="","",IF(AT233="A",400,IF(AT233="B",150,0)))</f>
        <v/>
      </c>
      <c r="AY233" s="11">
        <f>IF(A233="","",IF(AV233=1,N(V233),IF(N(U233)&gt;0,ROUND(N(U233)*IFERROR(VLOOKUP(R233,Listes!$AE$3:$AG$12,2,FALSE),0),0),0)))</f>
        <v/>
      </c>
      <c r="AZ233" s="7">
        <f>IF(LEFT(A233,7)="EXEMPLE",1,0)</f>
        <v/>
      </c>
      <c r="BA233" s="7">
        <f>IF(AND(AV233=1,AZ233=0,AC233&lt;&gt;"",W233&lt;&gt;"",N(V233)&gt;0),COUNTIFS($AV$3:AV233,1,$AZ$3:AZ233,0,$AC$3:AC233,"&lt;&gt;",$W$3:W233,"&lt;&gt;",$V$3:V233,"&gt;0"),"")</f>
        <v/>
      </c>
    </row>
    <row r="234">
      <c r="A234" s="12" t="n"/>
      <c r="B234" s="13" t="n"/>
      <c r="C234" s="13" t="n"/>
      <c r="D234" s="7">
        <f>IF(OR(B234="",C234=""),"",ROUND((C234-B234)*1440,0))</f>
        <v/>
      </c>
      <c r="E234" s="12" t="n"/>
      <c r="F234" s="12" t="n"/>
      <c r="G234" s="12" t="n"/>
      <c r="H234" s="12" t="n"/>
      <c r="I234" s="12" t="n"/>
      <c r="J234" s="12" t="n"/>
      <c r="K234" s="12" t="n"/>
      <c r="L234" s="14" t="n"/>
      <c r="M234" s="12" t="n"/>
      <c r="N234" s="12" t="n"/>
      <c r="O234" s="12" t="n"/>
      <c r="P234" s="12" t="n"/>
      <c r="Q234" s="7">
        <f>IF(A234="","",IFERROR(VLOOKUP(O234,Listes!$R$3:$T$8,2,FALSE),0)+IFERROR(VLOOKUP(J234,Listes!$J$3:$L$6,2,FALSE),0)+IFERROR(VLOOKUP(N234,Listes!$N$3:$P$6,2,FALSE),0)+IF(OR(L234="",B234=""),0,IF(L234-INT(B234)&lt;10,8,IF(L234-INT(B234)&lt;=90,10,5)))+IFERROR(VLOOKUP(AN234,Listes!$V$3:$W$5,2,FALSE),0)+IFERROR(VLOOKUP(AO234,Listes!$Y$3:$Z$5,2,FALSE),0))</f>
        <v/>
      </c>
      <c r="R234" s="12" t="n"/>
      <c r="S234" s="12" t="n"/>
      <c r="T234" s="12" t="n"/>
      <c r="U234" s="15" t="n"/>
      <c r="V234" s="15" t="n"/>
      <c r="W234" s="13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3" t="n"/>
      <c r="AK234" s="12" t="n"/>
      <c r="AL234" s="12" t="n"/>
      <c r="AM234" s="12" t="n"/>
      <c r="AN234" s="12" t="n"/>
      <c r="AO234" s="12" t="n"/>
      <c r="AP234" s="12" t="n"/>
      <c r="AQ234" s="7">
        <f>IF(A234="","",IF(AP234&lt;&gt;"",AP234,IF(LEFT(Z234,11)="gads_marque","Google Search – Marque",IF(LEFT(Z234,12)="gads_mariage","Google Search – Mariage et privé",IF(LEFT(Z234,10)="gads_corpo","Google Search – Corporatif",IF(LEFT(Z234,5)="meta_","Meta – Leads",IF(LEFT(Z234,5)="msft_","Microsoft Ads",IF(LEFT(Z234,8)="chatgpt_","ChatGPT Ads – Test",IF(X234="gbp","Fiche Google (organique)","Autre / non payé")))))))))</f>
        <v/>
      </c>
      <c r="AR234" s="7">
        <f>IF(K234="","",IFERROR(VLOOKUP(K234,Listes!$F$3:$H$8,3,FALSE),""))</f>
        <v/>
      </c>
      <c r="AS234" s="7">
        <f>IF(O234="","",IF(AND(M234="Autre (plus de 40 km)",OR(O234="lt600",O234="600_999",O234="1000_2499")),"D",IF(OR(O234="lt600",AND(O234="600_999",K234&lt;&gt;"mariage",K234&lt;&gt;"prive")),"C",IF(OR(O234="2500_4999",O234="5000p",J234="entreprise",J234="organisme",J234="agence"),"A",IF(OR(O234="1000_2499",O234="600_999"),"B",IF(O234="inconnu",IF(OR(N234="75_149",N234="150p"),"A","B"),""))))))</f>
        <v/>
      </c>
      <c r="AT234" s="7">
        <f>IF(A234="","",IF(P234&lt;&gt;"",P234,AS234))</f>
        <v/>
      </c>
      <c r="AU234" s="7">
        <f>IF(A234="","",IF(OR(AT234="A",AT234="B"),1,0))</f>
        <v/>
      </c>
      <c r="AV234" s="7">
        <f>IF(A234="","",IF(OR(R234="Dépôt payé (gagné)",R234="Événement livré",R234="Avis obtenu"),1,0))</f>
        <v/>
      </c>
      <c r="AW234" s="7">
        <f>IF(A234="","",IF(Q234&gt;70,"Immédiat – propriétaire",IF(Q234&gt;=40,"15 min – personne de garde","Selon la route")))</f>
        <v/>
      </c>
      <c r="AX234" s="11">
        <f>IF(A234="","",IF(AT234="A",400,IF(AT234="B",150,0)))</f>
        <v/>
      </c>
      <c r="AY234" s="11">
        <f>IF(A234="","",IF(AV234=1,N(V234),IF(N(U234)&gt;0,ROUND(N(U234)*IFERROR(VLOOKUP(R234,Listes!$AE$3:$AG$12,2,FALSE),0),0),0)))</f>
        <v/>
      </c>
      <c r="AZ234" s="7">
        <f>IF(LEFT(A234,7)="EXEMPLE",1,0)</f>
        <v/>
      </c>
      <c r="BA234" s="7">
        <f>IF(AND(AV234=1,AZ234=0,AC234&lt;&gt;"",W234&lt;&gt;"",N(V234)&gt;0),COUNTIFS($AV$3:AV234,1,$AZ$3:AZ234,0,$AC$3:AC234,"&lt;&gt;",$W$3:W234,"&lt;&gt;",$V$3:V234,"&gt;0"),"")</f>
        <v/>
      </c>
    </row>
    <row r="235">
      <c r="A235" s="12" t="n"/>
      <c r="B235" s="13" t="n"/>
      <c r="C235" s="13" t="n"/>
      <c r="D235" s="7">
        <f>IF(OR(B235="",C235=""),"",ROUND((C235-B235)*1440,0))</f>
        <v/>
      </c>
      <c r="E235" s="12" t="n"/>
      <c r="F235" s="12" t="n"/>
      <c r="G235" s="12" t="n"/>
      <c r="H235" s="12" t="n"/>
      <c r="I235" s="12" t="n"/>
      <c r="J235" s="12" t="n"/>
      <c r="K235" s="12" t="n"/>
      <c r="L235" s="14" t="n"/>
      <c r="M235" s="12" t="n"/>
      <c r="N235" s="12" t="n"/>
      <c r="O235" s="12" t="n"/>
      <c r="P235" s="12" t="n"/>
      <c r="Q235" s="7">
        <f>IF(A235="","",IFERROR(VLOOKUP(O235,Listes!$R$3:$T$8,2,FALSE),0)+IFERROR(VLOOKUP(J235,Listes!$J$3:$L$6,2,FALSE),0)+IFERROR(VLOOKUP(N235,Listes!$N$3:$P$6,2,FALSE),0)+IF(OR(L235="",B235=""),0,IF(L235-INT(B235)&lt;10,8,IF(L235-INT(B235)&lt;=90,10,5)))+IFERROR(VLOOKUP(AN235,Listes!$V$3:$W$5,2,FALSE),0)+IFERROR(VLOOKUP(AO235,Listes!$Y$3:$Z$5,2,FALSE),0))</f>
        <v/>
      </c>
      <c r="R235" s="12" t="n"/>
      <c r="S235" s="12" t="n"/>
      <c r="T235" s="12" t="n"/>
      <c r="U235" s="15" t="n"/>
      <c r="V235" s="15" t="n"/>
      <c r="W235" s="13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3" t="n"/>
      <c r="AK235" s="12" t="n"/>
      <c r="AL235" s="12" t="n"/>
      <c r="AM235" s="12" t="n"/>
      <c r="AN235" s="12" t="n"/>
      <c r="AO235" s="12" t="n"/>
      <c r="AP235" s="12" t="n"/>
      <c r="AQ235" s="7">
        <f>IF(A235="","",IF(AP235&lt;&gt;"",AP235,IF(LEFT(Z235,11)="gads_marque","Google Search – Marque",IF(LEFT(Z235,12)="gads_mariage","Google Search – Mariage et privé",IF(LEFT(Z235,10)="gads_corpo","Google Search – Corporatif",IF(LEFT(Z235,5)="meta_","Meta – Leads",IF(LEFT(Z235,5)="msft_","Microsoft Ads",IF(LEFT(Z235,8)="chatgpt_","ChatGPT Ads – Test",IF(X235="gbp","Fiche Google (organique)","Autre / non payé")))))))))</f>
        <v/>
      </c>
      <c r="AR235" s="7">
        <f>IF(K235="","",IFERROR(VLOOKUP(K235,Listes!$F$3:$H$8,3,FALSE),""))</f>
        <v/>
      </c>
      <c r="AS235" s="7">
        <f>IF(O235="","",IF(AND(M235="Autre (plus de 40 km)",OR(O235="lt600",O235="600_999",O235="1000_2499")),"D",IF(OR(O235="lt600",AND(O235="600_999",K235&lt;&gt;"mariage",K235&lt;&gt;"prive")),"C",IF(OR(O235="2500_4999",O235="5000p",J235="entreprise",J235="organisme",J235="agence"),"A",IF(OR(O235="1000_2499",O235="600_999"),"B",IF(O235="inconnu",IF(OR(N235="75_149",N235="150p"),"A","B"),""))))))</f>
        <v/>
      </c>
      <c r="AT235" s="7">
        <f>IF(A235="","",IF(P235&lt;&gt;"",P235,AS235))</f>
        <v/>
      </c>
      <c r="AU235" s="7">
        <f>IF(A235="","",IF(OR(AT235="A",AT235="B"),1,0))</f>
        <v/>
      </c>
      <c r="AV235" s="7">
        <f>IF(A235="","",IF(OR(R235="Dépôt payé (gagné)",R235="Événement livré",R235="Avis obtenu"),1,0))</f>
        <v/>
      </c>
      <c r="AW235" s="7">
        <f>IF(A235="","",IF(Q235&gt;70,"Immédiat – propriétaire",IF(Q235&gt;=40,"15 min – personne de garde","Selon la route")))</f>
        <v/>
      </c>
      <c r="AX235" s="11">
        <f>IF(A235="","",IF(AT235="A",400,IF(AT235="B",150,0)))</f>
        <v/>
      </c>
      <c r="AY235" s="11">
        <f>IF(A235="","",IF(AV235=1,N(V235),IF(N(U235)&gt;0,ROUND(N(U235)*IFERROR(VLOOKUP(R235,Listes!$AE$3:$AG$12,2,FALSE),0),0),0)))</f>
        <v/>
      </c>
      <c r="AZ235" s="7">
        <f>IF(LEFT(A235,7)="EXEMPLE",1,0)</f>
        <v/>
      </c>
      <c r="BA235" s="7">
        <f>IF(AND(AV235=1,AZ235=0,AC235&lt;&gt;"",W235&lt;&gt;"",N(V235)&gt;0),COUNTIFS($AV$3:AV235,1,$AZ$3:AZ235,0,$AC$3:AC235,"&lt;&gt;",$W$3:W235,"&lt;&gt;",$V$3:V235,"&gt;0"),"")</f>
        <v/>
      </c>
    </row>
    <row r="236">
      <c r="A236" s="12" t="n"/>
      <c r="B236" s="13" t="n"/>
      <c r="C236" s="13" t="n"/>
      <c r="D236" s="7">
        <f>IF(OR(B236="",C236=""),"",ROUND((C236-B236)*1440,0))</f>
        <v/>
      </c>
      <c r="E236" s="12" t="n"/>
      <c r="F236" s="12" t="n"/>
      <c r="G236" s="12" t="n"/>
      <c r="H236" s="12" t="n"/>
      <c r="I236" s="12" t="n"/>
      <c r="J236" s="12" t="n"/>
      <c r="K236" s="12" t="n"/>
      <c r="L236" s="14" t="n"/>
      <c r="M236" s="12" t="n"/>
      <c r="N236" s="12" t="n"/>
      <c r="O236" s="12" t="n"/>
      <c r="P236" s="12" t="n"/>
      <c r="Q236" s="7">
        <f>IF(A236="","",IFERROR(VLOOKUP(O236,Listes!$R$3:$T$8,2,FALSE),0)+IFERROR(VLOOKUP(J236,Listes!$J$3:$L$6,2,FALSE),0)+IFERROR(VLOOKUP(N236,Listes!$N$3:$P$6,2,FALSE),0)+IF(OR(L236="",B236=""),0,IF(L236-INT(B236)&lt;10,8,IF(L236-INT(B236)&lt;=90,10,5)))+IFERROR(VLOOKUP(AN236,Listes!$V$3:$W$5,2,FALSE),0)+IFERROR(VLOOKUP(AO236,Listes!$Y$3:$Z$5,2,FALSE),0))</f>
        <v/>
      </c>
      <c r="R236" s="12" t="n"/>
      <c r="S236" s="12" t="n"/>
      <c r="T236" s="12" t="n"/>
      <c r="U236" s="15" t="n"/>
      <c r="V236" s="15" t="n"/>
      <c r="W236" s="13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3" t="n"/>
      <c r="AK236" s="12" t="n"/>
      <c r="AL236" s="12" t="n"/>
      <c r="AM236" s="12" t="n"/>
      <c r="AN236" s="12" t="n"/>
      <c r="AO236" s="12" t="n"/>
      <c r="AP236" s="12" t="n"/>
      <c r="AQ236" s="7">
        <f>IF(A236="","",IF(AP236&lt;&gt;"",AP236,IF(LEFT(Z236,11)="gads_marque","Google Search – Marque",IF(LEFT(Z236,12)="gads_mariage","Google Search – Mariage et privé",IF(LEFT(Z236,10)="gads_corpo","Google Search – Corporatif",IF(LEFT(Z236,5)="meta_","Meta – Leads",IF(LEFT(Z236,5)="msft_","Microsoft Ads",IF(LEFT(Z236,8)="chatgpt_","ChatGPT Ads – Test",IF(X236="gbp","Fiche Google (organique)","Autre / non payé")))))))))</f>
        <v/>
      </c>
      <c r="AR236" s="7">
        <f>IF(K236="","",IFERROR(VLOOKUP(K236,Listes!$F$3:$H$8,3,FALSE),""))</f>
        <v/>
      </c>
      <c r="AS236" s="7">
        <f>IF(O236="","",IF(AND(M236="Autre (plus de 40 km)",OR(O236="lt600",O236="600_999",O236="1000_2499")),"D",IF(OR(O236="lt600",AND(O236="600_999",K236&lt;&gt;"mariage",K236&lt;&gt;"prive")),"C",IF(OR(O236="2500_4999",O236="5000p",J236="entreprise",J236="organisme",J236="agence"),"A",IF(OR(O236="1000_2499",O236="600_999"),"B",IF(O236="inconnu",IF(OR(N236="75_149",N236="150p"),"A","B"),""))))))</f>
        <v/>
      </c>
      <c r="AT236" s="7">
        <f>IF(A236="","",IF(P236&lt;&gt;"",P236,AS236))</f>
        <v/>
      </c>
      <c r="AU236" s="7">
        <f>IF(A236="","",IF(OR(AT236="A",AT236="B"),1,0))</f>
        <v/>
      </c>
      <c r="AV236" s="7">
        <f>IF(A236="","",IF(OR(R236="Dépôt payé (gagné)",R236="Événement livré",R236="Avis obtenu"),1,0))</f>
        <v/>
      </c>
      <c r="AW236" s="7">
        <f>IF(A236="","",IF(Q236&gt;70,"Immédiat – propriétaire",IF(Q236&gt;=40,"15 min – personne de garde","Selon la route")))</f>
        <v/>
      </c>
      <c r="AX236" s="11">
        <f>IF(A236="","",IF(AT236="A",400,IF(AT236="B",150,0)))</f>
        <v/>
      </c>
      <c r="AY236" s="11">
        <f>IF(A236="","",IF(AV236=1,N(V236),IF(N(U236)&gt;0,ROUND(N(U236)*IFERROR(VLOOKUP(R236,Listes!$AE$3:$AG$12,2,FALSE),0),0),0)))</f>
        <v/>
      </c>
      <c r="AZ236" s="7">
        <f>IF(LEFT(A236,7)="EXEMPLE",1,0)</f>
        <v/>
      </c>
      <c r="BA236" s="7">
        <f>IF(AND(AV236=1,AZ236=0,AC236&lt;&gt;"",W236&lt;&gt;"",N(V236)&gt;0),COUNTIFS($AV$3:AV236,1,$AZ$3:AZ236,0,$AC$3:AC236,"&lt;&gt;",$W$3:W236,"&lt;&gt;",$V$3:V236,"&gt;0"),"")</f>
        <v/>
      </c>
    </row>
    <row r="237">
      <c r="A237" s="12" t="n"/>
      <c r="B237" s="13" t="n"/>
      <c r="C237" s="13" t="n"/>
      <c r="D237" s="7">
        <f>IF(OR(B237="",C237=""),"",ROUND((C237-B237)*1440,0))</f>
        <v/>
      </c>
      <c r="E237" s="12" t="n"/>
      <c r="F237" s="12" t="n"/>
      <c r="G237" s="12" t="n"/>
      <c r="H237" s="12" t="n"/>
      <c r="I237" s="12" t="n"/>
      <c r="J237" s="12" t="n"/>
      <c r="K237" s="12" t="n"/>
      <c r="L237" s="14" t="n"/>
      <c r="M237" s="12" t="n"/>
      <c r="N237" s="12" t="n"/>
      <c r="O237" s="12" t="n"/>
      <c r="P237" s="12" t="n"/>
      <c r="Q237" s="7">
        <f>IF(A237="","",IFERROR(VLOOKUP(O237,Listes!$R$3:$T$8,2,FALSE),0)+IFERROR(VLOOKUP(J237,Listes!$J$3:$L$6,2,FALSE),0)+IFERROR(VLOOKUP(N237,Listes!$N$3:$P$6,2,FALSE),0)+IF(OR(L237="",B237=""),0,IF(L237-INT(B237)&lt;10,8,IF(L237-INT(B237)&lt;=90,10,5)))+IFERROR(VLOOKUP(AN237,Listes!$V$3:$W$5,2,FALSE),0)+IFERROR(VLOOKUP(AO237,Listes!$Y$3:$Z$5,2,FALSE),0))</f>
        <v/>
      </c>
      <c r="R237" s="12" t="n"/>
      <c r="S237" s="12" t="n"/>
      <c r="T237" s="12" t="n"/>
      <c r="U237" s="15" t="n"/>
      <c r="V237" s="15" t="n"/>
      <c r="W237" s="13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3" t="n"/>
      <c r="AK237" s="12" t="n"/>
      <c r="AL237" s="12" t="n"/>
      <c r="AM237" s="12" t="n"/>
      <c r="AN237" s="12" t="n"/>
      <c r="AO237" s="12" t="n"/>
      <c r="AP237" s="12" t="n"/>
      <c r="AQ237" s="7">
        <f>IF(A237="","",IF(AP237&lt;&gt;"",AP237,IF(LEFT(Z237,11)="gads_marque","Google Search – Marque",IF(LEFT(Z237,12)="gads_mariage","Google Search – Mariage et privé",IF(LEFT(Z237,10)="gads_corpo","Google Search – Corporatif",IF(LEFT(Z237,5)="meta_","Meta – Leads",IF(LEFT(Z237,5)="msft_","Microsoft Ads",IF(LEFT(Z237,8)="chatgpt_","ChatGPT Ads – Test",IF(X237="gbp","Fiche Google (organique)","Autre / non payé")))))))))</f>
        <v/>
      </c>
      <c r="AR237" s="7">
        <f>IF(K237="","",IFERROR(VLOOKUP(K237,Listes!$F$3:$H$8,3,FALSE),""))</f>
        <v/>
      </c>
      <c r="AS237" s="7">
        <f>IF(O237="","",IF(AND(M237="Autre (plus de 40 km)",OR(O237="lt600",O237="600_999",O237="1000_2499")),"D",IF(OR(O237="lt600",AND(O237="600_999",K237&lt;&gt;"mariage",K237&lt;&gt;"prive")),"C",IF(OR(O237="2500_4999",O237="5000p",J237="entreprise",J237="organisme",J237="agence"),"A",IF(OR(O237="1000_2499",O237="600_999"),"B",IF(O237="inconnu",IF(OR(N237="75_149",N237="150p"),"A","B"),""))))))</f>
        <v/>
      </c>
      <c r="AT237" s="7">
        <f>IF(A237="","",IF(P237&lt;&gt;"",P237,AS237))</f>
        <v/>
      </c>
      <c r="AU237" s="7">
        <f>IF(A237="","",IF(OR(AT237="A",AT237="B"),1,0))</f>
        <v/>
      </c>
      <c r="AV237" s="7">
        <f>IF(A237="","",IF(OR(R237="Dépôt payé (gagné)",R237="Événement livré",R237="Avis obtenu"),1,0))</f>
        <v/>
      </c>
      <c r="AW237" s="7">
        <f>IF(A237="","",IF(Q237&gt;70,"Immédiat – propriétaire",IF(Q237&gt;=40,"15 min – personne de garde","Selon la route")))</f>
        <v/>
      </c>
      <c r="AX237" s="11">
        <f>IF(A237="","",IF(AT237="A",400,IF(AT237="B",150,0)))</f>
        <v/>
      </c>
      <c r="AY237" s="11">
        <f>IF(A237="","",IF(AV237=1,N(V237),IF(N(U237)&gt;0,ROUND(N(U237)*IFERROR(VLOOKUP(R237,Listes!$AE$3:$AG$12,2,FALSE),0),0),0)))</f>
        <v/>
      </c>
      <c r="AZ237" s="7">
        <f>IF(LEFT(A237,7)="EXEMPLE",1,0)</f>
        <v/>
      </c>
      <c r="BA237" s="7">
        <f>IF(AND(AV237=1,AZ237=0,AC237&lt;&gt;"",W237&lt;&gt;"",N(V237)&gt;0),COUNTIFS($AV$3:AV237,1,$AZ$3:AZ237,0,$AC$3:AC237,"&lt;&gt;",$W$3:W237,"&lt;&gt;",$V$3:V237,"&gt;0"),"")</f>
        <v/>
      </c>
    </row>
    <row r="238">
      <c r="A238" s="12" t="n"/>
      <c r="B238" s="13" t="n"/>
      <c r="C238" s="13" t="n"/>
      <c r="D238" s="7">
        <f>IF(OR(B238="",C238=""),"",ROUND((C238-B238)*1440,0))</f>
        <v/>
      </c>
      <c r="E238" s="12" t="n"/>
      <c r="F238" s="12" t="n"/>
      <c r="G238" s="12" t="n"/>
      <c r="H238" s="12" t="n"/>
      <c r="I238" s="12" t="n"/>
      <c r="J238" s="12" t="n"/>
      <c r="K238" s="12" t="n"/>
      <c r="L238" s="14" t="n"/>
      <c r="M238" s="12" t="n"/>
      <c r="N238" s="12" t="n"/>
      <c r="O238" s="12" t="n"/>
      <c r="P238" s="12" t="n"/>
      <c r="Q238" s="7">
        <f>IF(A238="","",IFERROR(VLOOKUP(O238,Listes!$R$3:$T$8,2,FALSE),0)+IFERROR(VLOOKUP(J238,Listes!$J$3:$L$6,2,FALSE),0)+IFERROR(VLOOKUP(N238,Listes!$N$3:$P$6,2,FALSE),0)+IF(OR(L238="",B238=""),0,IF(L238-INT(B238)&lt;10,8,IF(L238-INT(B238)&lt;=90,10,5)))+IFERROR(VLOOKUP(AN238,Listes!$V$3:$W$5,2,FALSE),0)+IFERROR(VLOOKUP(AO238,Listes!$Y$3:$Z$5,2,FALSE),0))</f>
        <v/>
      </c>
      <c r="R238" s="12" t="n"/>
      <c r="S238" s="12" t="n"/>
      <c r="T238" s="12" t="n"/>
      <c r="U238" s="15" t="n"/>
      <c r="V238" s="15" t="n"/>
      <c r="W238" s="13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3" t="n"/>
      <c r="AK238" s="12" t="n"/>
      <c r="AL238" s="12" t="n"/>
      <c r="AM238" s="12" t="n"/>
      <c r="AN238" s="12" t="n"/>
      <c r="AO238" s="12" t="n"/>
      <c r="AP238" s="12" t="n"/>
      <c r="AQ238" s="7">
        <f>IF(A238="","",IF(AP238&lt;&gt;"",AP238,IF(LEFT(Z238,11)="gads_marque","Google Search – Marque",IF(LEFT(Z238,12)="gads_mariage","Google Search – Mariage et privé",IF(LEFT(Z238,10)="gads_corpo","Google Search – Corporatif",IF(LEFT(Z238,5)="meta_","Meta – Leads",IF(LEFT(Z238,5)="msft_","Microsoft Ads",IF(LEFT(Z238,8)="chatgpt_","ChatGPT Ads – Test",IF(X238="gbp","Fiche Google (organique)","Autre / non payé")))))))))</f>
        <v/>
      </c>
      <c r="AR238" s="7">
        <f>IF(K238="","",IFERROR(VLOOKUP(K238,Listes!$F$3:$H$8,3,FALSE),""))</f>
        <v/>
      </c>
      <c r="AS238" s="7">
        <f>IF(O238="","",IF(AND(M238="Autre (plus de 40 km)",OR(O238="lt600",O238="600_999",O238="1000_2499")),"D",IF(OR(O238="lt600",AND(O238="600_999",K238&lt;&gt;"mariage",K238&lt;&gt;"prive")),"C",IF(OR(O238="2500_4999",O238="5000p",J238="entreprise",J238="organisme",J238="agence"),"A",IF(OR(O238="1000_2499",O238="600_999"),"B",IF(O238="inconnu",IF(OR(N238="75_149",N238="150p"),"A","B"),""))))))</f>
        <v/>
      </c>
      <c r="AT238" s="7">
        <f>IF(A238="","",IF(P238&lt;&gt;"",P238,AS238))</f>
        <v/>
      </c>
      <c r="AU238" s="7">
        <f>IF(A238="","",IF(OR(AT238="A",AT238="B"),1,0))</f>
        <v/>
      </c>
      <c r="AV238" s="7">
        <f>IF(A238="","",IF(OR(R238="Dépôt payé (gagné)",R238="Événement livré",R238="Avis obtenu"),1,0))</f>
        <v/>
      </c>
      <c r="AW238" s="7">
        <f>IF(A238="","",IF(Q238&gt;70,"Immédiat – propriétaire",IF(Q238&gt;=40,"15 min – personne de garde","Selon la route")))</f>
        <v/>
      </c>
      <c r="AX238" s="11">
        <f>IF(A238="","",IF(AT238="A",400,IF(AT238="B",150,0)))</f>
        <v/>
      </c>
      <c r="AY238" s="11">
        <f>IF(A238="","",IF(AV238=1,N(V238),IF(N(U238)&gt;0,ROUND(N(U238)*IFERROR(VLOOKUP(R238,Listes!$AE$3:$AG$12,2,FALSE),0),0),0)))</f>
        <v/>
      </c>
      <c r="AZ238" s="7">
        <f>IF(LEFT(A238,7)="EXEMPLE",1,0)</f>
        <v/>
      </c>
      <c r="BA238" s="7">
        <f>IF(AND(AV238=1,AZ238=0,AC238&lt;&gt;"",W238&lt;&gt;"",N(V238)&gt;0),COUNTIFS($AV$3:AV238,1,$AZ$3:AZ238,0,$AC$3:AC238,"&lt;&gt;",$W$3:W238,"&lt;&gt;",$V$3:V238,"&gt;0"),"")</f>
        <v/>
      </c>
    </row>
    <row r="239">
      <c r="A239" s="12" t="n"/>
      <c r="B239" s="13" t="n"/>
      <c r="C239" s="13" t="n"/>
      <c r="D239" s="7">
        <f>IF(OR(B239="",C239=""),"",ROUND((C239-B239)*1440,0))</f>
        <v/>
      </c>
      <c r="E239" s="12" t="n"/>
      <c r="F239" s="12" t="n"/>
      <c r="G239" s="12" t="n"/>
      <c r="H239" s="12" t="n"/>
      <c r="I239" s="12" t="n"/>
      <c r="J239" s="12" t="n"/>
      <c r="K239" s="12" t="n"/>
      <c r="L239" s="14" t="n"/>
      <c r="M239" s="12" t="n"/>
      <c r="N239" s="12" t="n"/>
      <c r="O239" s="12" t="n"/>
      <c r="P239" s="12" t="n"/>
      <c r="Q239" s="7">
        <f>IF(A239="","",IFERROR(VLOOKUP(O239,Listes!$R$3:$T$8,2,FALSE),0)+IFERROR(VLOOKUP(J239,Listes!$J$3:$L$6,2,FALSE),0)+IFERROR(VLOOKUP(N239,Listes!$N$3:$P$6,2,FALSE),0)+IF(OR(L239="",B239=""),0,IF(L239-INT(B239)&lt;10,8,IF(L239-INT(B239)&lt;=90,10,5)))+IFERROR(VLOOKUP(AN239,Listes!$V$3:$W$5,2,FALSE),0)+IFERROR(VLOOKUP(AO239,Listes!$Y$3:$Z$5,2,FALSE),0))</f>
        <v/>
      </c>
      <c r="R239" s="12" t="n"/>
      <c r="S239" s="12" t="n"/>
      <c r="T239" s="12" t="n"/>
      <c r="U239" s="15" t="n"/>
      <c r="V239" s="15" t="n"/>
      <c r="W239" s="13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3" t="n"/>
      <c r="AK239" s="12" t="n"/>
      <c r="AL239" s="12" t="n"/>
      <c r="AM239" s="12" t="n"/>
      <c r="AN239" s="12" t="n"/>
      <c r="AO239" s="12" t="n"/>
      <c r="AP239" s="12" t="n"/>
      <c r="AQ239" s="7">
        <f>IF(A239="","",IF(AP239&lt;&gt;"",AP239,IF(LEFT(Z239,11)="gads_marque","Google Search – Marque",IF(LEFT(Z239,12)="gads_mariage","Google Search – Mariage et privé",IF(LEFT(Z239,10)="gads_corpo","Google Search – Corporatif",IF(LEFT(Z239,5)="meta_","Meta – Leads",IF(LEFT(Z239,5)="msft_","Microsoft Ads",IF(LEFT(Z239,8)="chatgpt_","ChatGPT Ads – Test",IF(X239="gbp","Fiche Google (organique)","Autre / non payé")))))))))</f>
        <v/>
      </c>
      <c r="AR239" s="7">
        <f>IF(K239="","",IFERROR(VLOOKUP(K239,Listes!$F$3:$H$8,3,FALSE),""))</f>
        <v/>
      </c>
      <c r="AS239" s="7">
        <f>IF(O239="","",IF(AND(M239="Autre (plus de 40 km)",OR(O239="lt600",O239="600_999",O239="1000_2499")),"D",IF(OR(O239="lt600",AND(O239="600_999",K239&lt;&gt;"mariage",K239&lt;&gt;"prive")),"C",IF(OR(O239="2500_4999",O239="5000p",J239="entreprise",J239="organisme",J239="agence"),"A",IF(OR(O239="1000_2499",O239="600_999"),"B",IF(O239="inconnu",IF(OR(N239="75_149",N239="150p"),"A","B"),""))))))</f>
        <v/>
      </c>
      <c r="AT239" s="7">
        <f>IF(A239="","",IF(P239&lt;&gt;"",P239,AS239))</f>
        <v/>
      </c>
      <c r="AU239" s="7">
        <f>IF(A239="","",IF(OR(AT239="A",AT239="B"),1,0))</f>
        <v/>
      </c>
      <c r="AV239" s="7">
        <f>IF(A239="","",IF(OR(R239="Dépôt payé (gagné)",R239="Événement livré",R239="Avis obtenu"),1,0))</f>
        <v/>
      </c>
      <c r="AW239" s="7">
        <f>IF(A239="","",IF(Q239&gt;70,"Immédiat – propriétaire",IF(Q239&gt;=40,"15 min – personne de garde","Selon la route")))</f>
        <v/>
      </c>
      <c r="AX239" s="11">
        <f>IF(A239="","",IF(AT239="A",400,IF(AT239="B",150,0)))</f>
        <v/>
      </c>
      <c r="AY239" s="11">
        <f>IF(A239="","",IF(AV239=1,N(V239),IF(N(U239)&gt;0,ROUND(N(U239)*IFERROR(VLOOKUP(R239,Listes!$AE$3:$AG$12,2,FALSE),0),0),0)))</f>
        <v/>
      </c>
      <c r="AZ239" s="7">
        <f>IF(LEFT(A239,7)="EXEMPLE",1,0)</f>
        <v/>
      </c>
      <c r="BA239" s="7">
        <f>IF(AND(AV239=1,AZ239=0,AC239&lt;&gt;"",W239&lt;&gt;"",N(V239)&gt;0),COUNTIFS($AV$3:AV239,1,$AZ$3:AZ239,0,$AC$3:AC239,"&lt;&gt;",$W$3:W239,"&lt;&gt;",$V$3:V239,"&gt;0"),"")</f>
        <v/>
      </c>
    </row>
    <row r="240">
      <c r="A240" s="12" t="n"/>
      <c r="B240" s="13" t="n"/>
      <c r="C240" s="13" t="n"/>
      <c r="D240" s="7">
        <f>IF(OR(B240="",C240=""),"",ROUND((C240-B240)*1440,0))</f>
        <v/>
      </c>
      <c r="E240" s="12" t="n"/>
      <c r="F240" s="12" t="n"/>
      <c r="G240" s="12" t="n"/>
      <c r="H240" s="12" t="n"/>
      <c r="I240" s="12" t="n"/>
      <c r="J240" s="12" t="n"/>
      <c r="K240" s="12" t="n"/>
      <c r="L240" s="14" t="n"/>
      <c r="M240" s="12" t="n"/>
      <c r="N240" s="12" t="n"/>
      <c r="O240" s="12" t="n"/>
      <c r="P240" s="12" t="n"/>
      <c r="Q240" s="7">
        <f>IF(A240="","",IFERROR(VLOOKUP(O240,Listes!$R$3:$T$8,2,FALSE),0)+IFERROR(VLOOKUP(J240,Listes!$J$3:$L$6,2,FALSE),0)+IFERROR(VLOOKUP(N240,Listes!$N$3:$P$6,2,FALSE),0)+IF(OR(L240="",B240=""),0,IF(L240-INT(B240)&lt;10,8,IF(L240-INT(B240)&lt;=90,10,5)))+IFERROR(VLOOKUP(AN240,Listes!$V$3:$W$5,2,FALSE),0)+IFERROR(VLOOKUP(AO240,Listes!$Y$3:$Z$5,2,FALSE),0))</f>
        <v/>
      </c>
      <c r="R240" s="12" t="n"/>
      <c r="S240" s="12" t="n"/>
      <c r="T240" s="12" t="n"/>
      <c r="U240" s="15" t="n"/>
      <c r="V240" s="15" t="n"/>
      <c r="W240" s="13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3" t="n"/>
      <c r="AK240" s="12" t="n"/>
      <c r="AL240" s="12" t="n"/>
      <c r="AM240" s="12" t="n"/>
      <c r="AN240" s="12" t="n"/>
      <c r="AO240" s="12" t="n"/>
      <c r="AP240" s="12" t="n"/>
      <c r="AQ240" s="7">
        <f>IF(A240="","",IF(AP240&lt;&gt;"",AP240,IF(LEFT(Z240,11)="gads_marque","Google Search – Marque",IF(LEFT(Z240,12)="gads_mariage","Google Search – Mariage et privé",IF(LEFT(Z240,10)="gads_corpo","Google Search – Corporatif",IF(LEFT(Z240,5)="meta_","Meta – Leads",IF(LEFT(Z240,5)="msft_","Microsoft Ads",IF(LEFT(Z240,8)="chatgpt_","ChatGPT Ads – Test",IF(X240="gbp","Fiche Google (organique)","Autre / non payé")))))))))</f>
        <v/>
      </c>
      <c r="AR240" s="7">
        <f>IF(K240="","",IFERROR(VLOOKUP(K240,Listes!$F$3:$H$8,3,FALSE),""))</f>
        <v/>
      </c>
      <c r="AS240" s="7">
        <f>IF(O240="","",IF(AND(M240="Autre (plus de 40 km)",OR(O240="lt600",O240="600_999",O240="1000_2499")),"D",IF(OR(O240="lt600",AND(O240="600_999",K240&lt;&gt;"mariage",K240&lt;&gt;"prive")),"C",IF(OR(O240="2500_4999",O240="5000p",J240="entreprise",J240="organisme",J240="agence"),"A",IF(OR(O240="1000_2499",O240="600_999"),"B",IF(O240="inconnu",IF(OR(N240="75_149",N240="150p"),"A","B"),""))))))</f>
        <v/>
      </c>
      <c r="AT240" s="7">
        <f>IF(A240="","",IF(P240&lt;&gt;"",P240,AS240))</f>
        <v/>
      </c>
      <c r="AU240" s="7">
        <f>IF(A240="","",IF(OR(AT240="A",AT240="B"),1,0))</f>
        <v/>
      </c>
      <c r="AV240" s="7">
        <f>IF(A240="","",IF(OR(R240="Dépôt payé (gagné)",R240="Événement livré",R240="Avis obtenu"),1,0))</f>
        <v/>
      </c>
      <c r="AW240" s="7">
        <f>IF(A240="","",IF(Q240&gt;70,"Immédiat – propriétaire",IF(Q240&gt;=40,"15 min – personne de garde","Selon la route")))</f>
        <v/>
      </c>
      <c r="AX240" s="11">
        <f>IF(A240="","",IF(AT240="A",400,IF(AT240="B",150,0)))</f>
        <v/>
      </c>
      <c r="AY240" s="11">
        <f>IF(A240="","",IF(AV240=1,N(V240),IF(N(U240)&gt;0,ROUND(N(U240)*IFERROR(VLOOKUP(R240,Listes!$AE$3:$AG$12,2,FALSE),0),0),0)))</f>
        <v/>
      </c>
      <c r="AZ240" s="7">
        <f>IF(LEFT(A240,7)="EXEMPLE",1,0)</f>
        <v/>
      </c>
      <c r="BA240" s="7">
        <f>IF(AND(AV240=1,AZ240=0,AC240&lt;&gt;"",W240&lt;&gt;"",N(V240)&gt;0),COUNTIFS($AV$3:AV240,1,$AZ$3:AZ240,0,$AC$3:AC240,"&lt;&gt;",$W$3:W240,"&lt;&gt;",$V$3:V240,"&gt;0"),"")</f>
        <v/>
      </c>
    </row>
    <row r="241">
      <c r="A241" s="12" t="n"/>
      <c r="B241" s="13" t="n"/>
      <c r="C241" s="13" t="n"/>
      <c r="D241" s="7">
        <f>IF(OR(B241="",C241=""),"",ROUND((C241-B241)*1440,0))</f>
        <v/>
      </c>
      <c r="E241" s="12" t="n"/>
      <c r="F241" s="12" t="n"/>
      <c r="G241" s="12" t="n"/>
      <c r="H241" s="12" t="n"/>
      <c r="I241" s="12" t="n"/>
      <c r="J241" s="12" t="n"/>
      <c r="K241" s="12" t="n"/>
      <c r="L241" s="14" t="n"/>
      <c r="M241" s="12" t="n"/>
      <c r="N241" s="12" t="n"/>
      <c r="O241" s="12" t="n"/>
      <c r="P241" s="12" t="n"/>
      <c r="Q241" s="7">
        <f>IF(A241="","",IFERROR(VLOOKUP(O241,Listes!$R$3:$T$8,2,FALSE),0)+IFERROR(VLOOKUP(J241,Listes!$J$3:$L$6,2,FALSE),0)+IFERROR(VLOOKUP(N241,Listes!$N$3:$P$6,2,FALSE),0)+IF(OR(L241="",B241=""),0,IF(L241-INT(B241)&lt;10,8,IF(L241-INT(B241)&lt;=90,10,5)))+IFERROR(VLOOKUP(AN241,Listes!$V$3:$W$5,2,FALSE),0)+IFERROR(VLOOKUP(AO241,Listes!$Y$3:$Z$5,2,FALSE),0))</f>
        <v/>
      </c>
      <c r="R241" s="12" t="n"/>
      <c r="S241" s="12" t="n"/>
      <c r="T241" s="12" t="n"/>
      <c r="U241" s="15" t="n"/>
      <c r="V241" s="15" t="n"/>
      <c r="W241" s="13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3" t="n"/>
      <c r="AK241" s="12" t="n"/>
      <c r="AL241" s="12" t="n"/>
      <c r="AM241" s="12" t="n"/>
      <c r="AN241" s="12" t="n"/>
      <c r="AO241" s="12" t="n"/>
      <c r="AP241" s="12" t="n"/>
      <c r="AQ241" s="7">
        <f>IF(A241="","",IF(AP241&lt;&gt;"",AP241,IF(LEFT(Z241,11)="gads_marque","Google Search – Marque",IF(LEFT(Z241,12)="gads_mariage","Google Search – Mariage et privé",IF(LEFT(Z241,10)="gads_corpo","Google Search – Corporatif",IF(LEFT(Z241,5)="meta_","Meta – Leads",IF(LEFT(Z241,5)="msft_","Microsoft Ads",IF(LEFT(Z241,8)="chatgpt_","ChatGPT Ads – Test",IF(X241="gbp","Fiche Google (organique)","Autre / non payé")))))))))</f>
        <v/>
      </c>
      <c r="AR241" s="7">
        <f>IF(K241="","",IFERROR(VLOOKUP(K241,Listes!$F$3:$H$8,3,FALSE),""))</f>
        <v/>
      </c>
      <c r="AS241" s="7">
        <f>IF(O241="","",IF(AND(M241="Autre (plus de 40 km)",OR(O241="lt600",O241="600_999",O241="1000_2499")),"D",IF(OR(O241="lt600",AND(O241="600_999",K241&lt;&gt;"mariage",K241&lt;&gt;"prive")),"C",IF(OR(O241="2500_4999",O241="5000p",J241="entreprise",J241="organisme",J241="agence"),"A",IF(OR(O241="1000_2499",O241="600_999"),"B",IF(O241="inconnu",IF(OR(N241="75_149",N241="150p"),"A","B"),""))))))</f>
        <v/>
      </c>
      <c r="AT241" s="7">
        <f>IF(A241="","",IF(P241&lt;&gt;"",P241,AS241))</f>
        <v/>
      </c>
      <c r="AU241" s="7">
        <f>IF(A241="","",IF(OR(AT241="A",AT241="B"),1,0))</f>
        <v/>
      </c>
      <c r="AV241" s="7">
        <f>IF(A241="","",IF(OR(R241="Dépôt payé (gagné)",R241="Événement livré",R241="Avis obtenu"),1,0))</f>
        <v/>
      </c>
      <c r="AW241" s="7">
        <f>IF(A241="","",IF(Q241&gt;70,"Immédiat – propriétaire",IF(Q241&gt;=40,"15 min – personne de garde","Selon la route")))</f>
        <v/>
      </c>
      <c r="AX241" s="11">
        <f>IF(A241="","",IF(AT241="A",400,IF(AT241="B",150,0)))</f>
        <v/>
      </c>
      <c r="AY241" s="11">
        <f>IF(A241="","",IF(AV241=1,N(V241),IF(N(U241)&gt;0,ROUND(N(U241)*IFERROR(VLOOKUP(R241,Listes!$AE$3:$AG$12,2,FALSE),0),0),0)))</f>
        <v/>
      </c>
      <c r="AZ241" s="7">
        <f>IF(LEFT(A241,7)="EXEMPLE",1,0)</f>
        <v/>
      </c>
      <c r="BA241" s="7">
        <f>IF(AND(AV241=1,AZ241=0,AC241&lt;&gt;"",W241&lt;&gt;"",N(V241)&gt;0),COUNTIFS($AV$3:AV241,1,$AZ$3:AZ241,0,$AC$3:AC241,"&lt;&gt;",$W$3:W241,"&lt;&gt;",$V$3:V241,"&gt;0"),"")</f>
        <v/>
      </c>
    </row>
    <row r="242">
      <c r="A242" s="12" t="n"/>
      <c r="B242" s="13" t="n"/>
      <c r="C242" s="13" t="n"/>
      <c r="D242" s="7">
        <f>IF(OR(B242="",C242=""),"",ROUND((C242-B242)*1440,0))</f>
        <v/>
      </c>
      <c r="E242" s="12" t="n"/>
      <c r="F242" s="12" t="n"/>
      <c r="G242" s="12" t="n"/>
      <c r="H242" s="12" t="n"/>
      <c r="I242" s="12" t="n"/>
      <c r="J242" s="12" t="n"/>
      <c r="K242" s="12" t="n"/>
      <c r="L242" s="14" t="n"/>
      <c r="M242" s="12" t="n"/>
      <c r="N242" s="12" t="n"/>
      <c r="O242" s="12" t="n"/>
      <c r="P242" s="12" t="n"/>
      <c r="Q242" s="7">
        <f>IF(A242="","",IFERROR(VLOOKUP(O242,Listes!$R$3:$T$8,2,FALSE),0)+IFERROR(VLOOKUP(J242,Listes!$J$3:$L$6,2,FALSE),0)+IFERROR(VLOOKUP(N242,Listes!$N$3:$P$6,2,FALSE),0)+IF(OR(L242="",B242=""),0,IF(L242-INT(B242)&lt;10,8,IF(L242-INT(B242)&lt;=90,10,5)))+IFERROR(VLOOKUP(AN242,Listes!$V$3:$W$5,2,FALSE),0)+IFERROR(VLOOKUP(AO242,Listes!$Y$3:$Z$5,2,FALSE),0))</f>
        <v/>
      </c>
      <c r="R242" s="12" t="n"/>
      <c r="S242" s="12" t="n"/>
      <c r="T242" s="12" t="n"/>
      <c r="U242" s="15" t="n"/>
      <c r="V242" s="15" t="n"/>
      <c r="W242" s="13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3" t="n"/>
      <c r="AK242" s="12" t="n"/>
      <c r="AL242" s="12" t="n"/>
      <c r="AM242" s="12" t="n"/>
      <c r="AN242" s="12" t="n"/>
      <c r="AO242" s="12" t="n"/>
      <c r="AP242" s="12" t="n"/>
      <c r="AQ242" s="7">
        <f>IF(A242="","",IF(AP242&lt;&gt;"",AP242,IF(LEFT(Z242,11)="gads_marque","Google Search – Marque",IF(LEFT(Z242,12)="gads_mariage","Google Search – Mariage et privé",IF(LEFT(Z242,10)="gads_corpo","Google Search – Corporatif",IF(LEFT(Z242,5)="meta_","Meta – Leads",IF(LEFT(Z242,5)="msft_","Microsoft Ads",IF(LEFT(Z242,8)="chatgpt_","ChatGPT Ads – Test",IF(X242="gbp","Fiche Google (organique)","Autre / non payé")))))))))</f>
        <v/>
      </c>
      <c r="AR242" s="7">
        <f>IF(K242="","",IFERROR(VLOOKUP(K242,Listes!$F$3:$H$8,3,FALSE),""))</f>
        <v/>
      </c>
      <c r="AS242" s="7">
        <f>IF(O242="","",IF(AND(M242="Autre (plus de 40 km)",OR(O242="lt600",O242="600_999",O242="1000_2499")),"D",IF(OR(O242="lt600",AND(O242="600_999",K242&lt;&gt;"mariage",K242&lt;&gt;"prive")),"C",IF(OR(O242="2500_4999",O242="5000p",J242="entreprise",J242="organisme",J242="agence"),"A",IF(OR(O242="1000_2499",O242="600_999"),"B",IF(O242="inconnu",IF(OR(N242="75_149",N242="150p"),"A","B"),""))))))</f>
        <v/>
      </c>
      <c r="AT242" s="7">
        <f>IF(A242="","",IF(P242&lt;&gt;"",P242,AS242))</f>
        <v/>
      </c>
      <c r="AU242" s="7">
        <f>IF(A242="","",IF(OR(AT242="A",AT242="B"),1,0))</f>
        <v/>
      </c>
      <c r="AV242" s="7">
        <f>IF(A242="","",IF(OR(R242="Dépôt payé (gagné)",R242="Événement livré",R242="Avis obtenu"),1,0))</f>
        <v/>
      </c>
      <c r="AW242" s="7">
        <f>IF(A242="","",IF(Q242&gt;70,"Immédiat – propriétaire",IF(Q242&gt;=40,"15 min – personne de garde","Selon la route")))</f>
        <v/>
      </c>
      <c r="AX242" s="11">
        <f>IF(A242="","",IF(AT242="A",400,IF(AT242="B",150,0)))</f>
        <v/>
      </c>
      <c r="AY242" s="11">
        <f>IF(A242="","",IF(AV242=1,N(V242),IF(N(U242)&gt;0,ROUND(N(U242)*IFERROR(VLOOKUP(R242,Listes!$AE$3:$AG$12,2,FALSE),0),0),0)))</f>
        <v/>
      </c>
      <c r="AZ242" s="7">
        <f>IF(LEFT(A242,7)="EXEMPLE",1,0)</f>
        <v/>
      </c>
      <c r="BA242" s="7">
        <f>IF(AND(AV242=1,AZ242=0,AC242&lt;&gt;"",W242&lt;&gt;"",N(V242)&gt;0),COUNTIFS($AV$3:AV242,1,$AZ$3:AZ242,0,$AC$3:AC242,"&lt;&gt;",$W$3:W242,"&lt;&gt;",$V$3:V242,"&gt;0"),"")</f>
        <v/>
      </c>
    </row>
    <row r="243">
      <c r="A243" s="12" t="n"/>
      <c r="B243" s="13" t="n"/>
      <c r="C243" s="13" t="n"/>
      <c r="D243" s="7">
        <f>IF(OR(B243="",C243=""),"",ROUND((C243-B243)*1440,0))</f>
        <v/>
      </c>
      <c r="E243" s="12" t="n"/>
      <c r="F243" s="12" t="n"/>
      <c r="G243" s="12" t="n"/>
      <c r="H243" s="12" t="n"/>
      <c r="I243" s="12" t="n"/>
      <c r="J243" s="12" t="n"/>
      <c r="K243" s="12" t="n"/>
      <c r="L243" s="14" t="n"/>
      <c r="M243" s="12" t="n"/>
      <c r="N243" s="12" t="n"/>
      <c r="O243" s="12" t="n"/>
      <c r="P243" s="12" t="n"/>
      <c r="Q243" s="7">
        <f>IF(A243="","",IFERROR(VLOOKUP(O243,Listes!$R$3:$T$8,2,FALSE),0)+IFERROR(VLOOKUP(J243,Listes!$J$3:$L$6,2,FALSE),0)+IFERROR(VLOOKUP(N243,Listes!$N$3:$P$6,2,FALSE),0)+IF(OR(L243="",B243=""),0,IF(L243-INT(B243)&lt;10,8,IF(L243-INT(B243)&lt;=90,10,5)))+IFERROR(VLOOKUP(AN243,Listes!$V$3:$W$5,2,FALSE),0)+IFERROR(VLOOKUP(AO243,Listes!$Y$3:$Z$5,2,FALSE),0))</f>
        <v/>
      </c>
      <c r="R243" s="12" t="n"/>
      <c r="S243" s="12" t="n"/>
      <c r="T243" s="12" t="n"/>
      <c r="U243" s="15" t="n"/>
      <c r="V243" s="15" t="n"/>
      <c r="W243" s="13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3" t="n"/>
      <c r="AK243" s="12" t="n"/>
      <c r="AL243" s="12" t="n"/>
      <c r="AM243" s="12" t="n"/>
      <c r="AN243" s="12" t="n"/>
      <c r="AO243" s="12" t="n"/>
      <c r="AP243" s="12" t="n"/>
      <c r="AQ243" s="7">
        <f>IF(A243="","",IF(AP243&lt;&gt;"",AP243,IF(LEFT(Z243,11)="gads_marque","Google Search – Marque",IF(LEFT(Z243,12)="gads_mariage","Google Search – Mariage et privé",IF(LEFT(Z243,10)="gads_corpo","Google Search – Corporatif",IF(LEFT(Z243,5)="meta_","Meta – Leads",IF(LEFT(Z243,5)="msft_","Microsoft Ads",IF(LEFT(Z243,8)="chatgpt_","ChatGPT Ads – Test",IF(X243="gbp","Fiche Google (organique)","Autre / non payé")))))))))</f>
        <v/>
      </c>
      <c r="AR243" s="7">
        <f>IF(K243="","",IFERROR(VLOOKUP(K243,Listes!$F$3:$H$8,3,FALSE),""))</f>
        <v/>
      </c>
      <c r="AS243" s="7">
        <f>IF(O243="","",IF(AND(M243="Autre (plus de 40 km)",OR(O243="lt600",O243="600_999",O243="1000_2499")),"D",IF(OR(O243="lt600",AND(O243="600_999",K243&lt;&gt;"mariage",K243&lt;&gt;"prive")),"C",IF(OR(O243="2500_4999",O243="5000p",J243="entreprise",J243="organisme",J243="agence"),"A",IF(OR(O243="1000_2499",O243="600_999"),"B",IF(O243="inconnu",IF(OR(N243="75_149",N243="150p"),"A","B"),""))))))</f>
        <v/>
      </c>
      <c r="AT243" s="7">
        <f>IF(A243="","",IF(P243&lt;&gt;"",P243,AS243))</f>
        <v/>
      </c>
      <c r="AU243" s="7">
        <f>IF(A243="","",IF(OR(AT243="A",AT243="B"),1,0))</f>
        <v/>
      </c>
      <c r="AV243" s="7">
        <f>IF(A243="","",IF(OR(R243="Dépôt payé (gagné)",R243="Événement livré",R243="Avis obtenu"),1,0))</f>
        <v/>
      </c>
      <c r="AW243" s="7">
        <f>IF(A243="","",IF(Q243&gt;70,"Immédiat – propriétaire",IF(Q243&gt;=40,"15 min – personne de garde","Selon la route")))</f>
        <v/>
      </c>
      <c r="AX243" s="11">
        <f>IF(A243="","",IF(AT243="A",400,IF(AT243="B",150,0)))</f>
        <v/>
      </c>
      <c r="AY243" s="11">
        <f>IF(A243="","",IF(AV243=1,N(V243),IF(N(U243)&gt;0,ROUND(N(U243)*IFERROR(VLOOKUP(R243,Listes!$AE$3:$AG$12,2,FALSE),0),0),0)))</f>
        <v/>
      </c>
      <c r="AZ243" s="7">
        <f>IF(LEFT(A243,7)="EXEMPLE",1,0)</f>
        <v/>
      </c>
      <c r="BA243" s="7">
        <f>IF(AND(AV243=1,AZ243=0,AC243&lt;&gt;"",W243&lt;&gt;"",N(V243)&gt;0),COUNTIFS($AV$3:AV243,1,$AZ$3:AZ243,0,$AC$3:AC243,"&lt;&gt;",$W$3:W243,"&lt;&gt;",$V$3:V243,"&gt;0"),"")</f>
        <v/>
      </c>
    </row>
    <row r="244">
      <c r="A244" s="12" t="n"/>
      <c r="B244" s="13" t="n"/>
      <c r="C244" s="13" t="n"/>
      <c r="D244" s="7">
        <f>IF(OR(B244="",C244=""),"",ROUND((C244-B244)*1440,0))</f>
        <v/>
      </c>
      <c r="E244" s="12" t="n"/>
      <c r="F244" s="12" t="n"/>
      <c r="G244" s="12" t="n"/>
      <c r="H244" s="12" t="n"/>
      <c r="I244" s="12" t="n"/>
      <c r="J244" s="12" t="n"/>
      <c r="K244" s="12" t="n"/>
      <c r="L244" s="14" t="n"/>
      <c r="M244" s="12" t="n"/>
      <c r="N244" s="12" t="n"/>
      <c r="O244" s="12" t="n"/>
      <c r="P244" s="12" t="n"/>
      <c r="Q244" s="7">
        <f>IF(A244="","",IFERROR(VLOOKUP(O244,Listes!$R$3:$T$8,2,FALSE),0)+IFERROR(VLOOKUP(J244,Listes!$J$3:$L$6,2,FALSE),0)+IFERROR(VLOOKUP(N244,Listes!$N$3:$P$6,2,FALSE),0)+IF(OR(L244="",B244=""),0,IF(L244-INT(B244)&lt;10,8,IF(L244-INT(B244)&lt;=90,10,5)))+IFERROR(VLOOKUP(AN244,Listes!$V$3:$W$5,2,FALSE),0)+IFERROR(VLOOKUP(AO244,Listes!$Y$3:$Z$5,2,FALSE),0))</f>
        <v/>
      </c>
      <c r="R244" s="12" t="n"/>
      <c r="S244" s="12" t="n"/>
      <c r="T244" s="12" t="n"/>
      <c r="U244" s="15" t="n"/>
      <c r="V244" s="15" t="n"/>
      <c r="W244" s="13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3" t="n"/>
      <c r="AK244" s="12" t="n"/>
      <c r="AL244" s="12" t="n"/>
      <c r="AM244" s="12" t="n"/>
      <c r="AN244" s="12" t="n"/>
      <c r="AO244" s="12" t="n"/>
      <c r="AP244" s="12" t="n"/>
      <c r="AQ244" s="7">
        <f>IF(A244="","",IF(AP244&lt;&gt;"",AP244,IF(LEFT(Z244,11)="gads_marque","Google Search – Marque",IF(LEFT(Z244,12)="gads_mariage","Google Search – Mariage et privé",IF(LEFT(Z244,10)="gads_corpo","Google Search – Corporatif",IF(LEFT(Z244,5)="meta_","Meta – Leads",IF(LEFT(Z244,5)="msft_","Microsoft Ads",IF(LEFT(Z244,8)="chatgpt_","ChatGPT Ads – Test",IF(X244="gbp","Fiche Google (organique)","Autre / non payé")))))))))</f>
        <v/>
      </c>
      <c r="AR244" s="7">
        <f>IF(K244="","",IFERROR(VLOOKUP(K244,Listes!$F$3:$H$8,3,FALSE),""))</f>
        <v/>
      </c>
      <c r="AS244" s="7">
        <f>IF(O244="","",IF(AND(M244="Autre (plus de 40 km)",OR(O244="lt600",O244="600_999",O244="1000_2499")),"D",IF(OR(O244="lt600",AND(O244="600_999",K244&lt;&gt;"mariage",K244&lt;&gt;"prive")),"C",IF(OR(O244="2500_4999",O244="5000p",J244="entreprise",J244="organisme",J244="agence"),"A",IF(OR(O244="1000_2499",O244="600_999"),"B",IF(O244="inconnu",IF(OR(N244="75_149",N244="150p"),"A","B"),""))))))</f>
        <v/>
      </c>
      <c r="AT244" s="7">
        <f>IF(A244="","",IF(P244&lt;&gt;"",P244,AS244))</f>
        <v/>
      </c>
      <c r="AU244" s="7">
        <f>IF(A244="","",IF(OR(AT244="A",AT244="B"),1,0))</f>
        <v/>
      </c>
      <c r="AV244" s="7">
        <f>IF(A244="","",IF(OR(R244="Dépôt payé (gagné)",R244="Événement livré",R244="Avis obtenu"),1,0))</f>
        <v/>
      </c>
      <c r="AW244" s="7">
        <f>IF(A244="","",IF(Q244&gt;70,"Immédiat – propriétaire",IF(Q244&gt;=40,"15 min – personne de garde","Selon la route")))</f>
        <v/>
      </c>
      <c r="AX244" s="11">
        <f>IF(A244="","",IF(AT244="A",400,IF(AT244="B",150,0)))</f>
        <v/>
      </c>
      <c r="AY244" s="11">
        <f>IF(A244="","",IF(AV244=1,N(V244),IF(N(U244)&gt;0,ROUND(N(U244)*IFERROR(VLOOKUP(R244,Listes!$AE$3:$AG$12,2,FALSE),0),0),0)))</f>
        <v/>
      </c>
      <c r="AZ244" s="7">
        <f>IF(LEFT(A244,7)="EXEMPLE",1,0)</f>
        <v/>
      </c>
      <c r="BA244" s="7">
        <f>IF(AND(AV244=1,AZ244=0,AC244&lt;&gt;"",W244&lt;&gt;"",N(V244)&gt;0),COUNTIFS($AV$3:AV244,1,$AZ$3:AZ244,0,$AC$3:AC244,"&lt;&gt;",$W$3:W244,"&lt;&gt;",$V$3:V244,"&gt;0"),"")</f>
        <v/>
      </c>
    </row>
    <row r="245">
      <c r="A245" s="12" t="n"/>
      <c r="B245" s="13" t="n"/>
      <c r="C245" s="13" t="n"/>
      <c r="D245" s="7">
        <f>IF(OR(B245="",C245=""),"",ROUND((C245-B245)*1440,0))</f>
        <v/>
      </c>
      <c r="E245" s="12" t="n"/>
      <c r="F245" s="12" t="n"/>
      <c r="G245" s="12" t="n"/>
      <c r="H245" s="12" t="n"/>
      <c r="I245" s="12" t="n"/>
      <c r="J245" s="12" t="n"/>
      <c r="K245" s="12" t="n"/>
      <c r="L245" s="14" t="n"/>
      <c r="M245" s="12" t="n"/>
      <c r="N245" s="12" t="n"/>
      <c r="O245" s="12" t="n"/>
      <c r="P245" s="12" t="n"/>
      <c r="Q245" s="7">
        <f>IF(A245="","",IFERROR(VLOOKUP(O245,Listes!$R$3:$T$8,2,FALSE),0)+IFERROR(VLOOKUP(J245,Listes!$J$3:$L$6,2,FALSE),0)+IFERROR(VLOOKUP(N245,Listes!$N$3:$P$6,2,FALSE),0)+IF(OR(L245="",B245=""),0,IF(L245-INT(B245)&lt;10,8,IF(L245-INT(B245)&lt;=90,10,5)))+IFERROR(VLOOKUP(AN245,Listes!$V$3:$W$5,2,FALSE),0)+IFERROR(VLOOKUP(AO245,Listes!$Y$3:$Z$5,2,FALSE),0))</f>
        <v/>
      </c>
      <c r="R245" s="12" t="n"/>
      <c r="S245" s="12" t="n"/>
      <c r="T245" s="12" t="n"/>
      <c r="U245" s="15" t="n"/>
      <c r="V245" s="15" t="n"/>
      <c r="W245" s="13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3" t="n"/>
      <c r="AK245" s="12" t="n"/>
      <c r="AL245" s="12" t="n"/>
      <c r="AM245" s="12" t="n"/>
      <c r="AN245" s="12" t="n"/>
      <c r="AO245" s="12" t="n"/>
      <c r="AP245" s="12" t="n"/>
      <c r="AQ245" s="7">
        <f>IF(A245="","",IF(AP245&lt;&gt;"",AP245,IF(LEFT(Z245,11)="gads_marque","Google Search – Marque",IF(LEFT(Z245,12)="gads_mariage","Google Search – Mariage et privé",IF(LEFT(Z245,10)="gads_corpo","Google Search – Corporatif",IF(LEFT(Z245,5)="meta_","Meta – Leads",IF(LEFT(Z245,5)="msft_","Microsoft Ads",IF(LEFT(Z245,8)="chatgpt_","ChatGPT Ads – Test",IF(X245="gbp","Fiche Google (organique)","Autre / non payé")))))))))</f>
        <v/>
      </c>
      <c r="AR245" s="7">
        <f>IF(K245="","",IFERROR(VLOOKUP(K245,Listes!$F$3:$H$8,3,FALSE),""))</f>
        <v/>
      </c>
      <c r="AS245" s="7">
        <f>IF(O245="","",IF(AND(M245="Autre (plus de 40 km)",OR(O245="lt600",O245="600_999",O245="1000_2499")),"D",IF(OR(O245="lt600",AND(O245="600_999",K245&lt;&gt;"mariage",K245&lt;&gt;"prive")),"C",IF(OR(O245="2500_4999",O245="5000p",J245="entreprise",J245="organisme",J245="agence"),"A",IF(OR(O245="1000_2499",O245="600_999"),"B",IF(O245="inconnu",IF(OR(N245="75_149",N245="150p"),"A","B"),""))))))</f>
        <v/>
      </c>
      <c r="AT245" s="7">
        <f>IF(A245="","",IF(P245&lt;&gt;"",P245,AS245))</f>
        <v/>
      </c>
      <c r="AU245" s="7">
        <f>IF(A245="","",IF(OR(AT245="A",AT245="B"),1,0))</f>
        <v/>
      </c>
      <c r="AV245" s="7">
        <f>IF(A245="","",IF(OR(R245="Dépôt payé (gagné)",R245="Événement livré",R245="Avis obtenu"),1,0))</f>
        <v/>
      </c>
      <c r="AW245" s="7">
        <f>IF(A245="","",IF(Q245&gt;70,"Immédiat – propriétaire",IF(Q245&gt;=40,"15 min – personne de garde","Selon la route")))</f>
        <v/>
      </c>
      <c r="AX245" s="11">
        <f>IF(A245="","",IF(AT245="A",400,IF(AT245="B",150,0)))</f>
        <v/>
      </c>
      <c r="AY245" s="11">
        <f>IF(A245="","",IF(AV245=1,N(V245),IF(N(U245)&gt;0,ROUND(N(U245)*IFERROR(VLOOKUP(R245,Listes!$AE$3:$AG$12,2,FALSE),0),0),0)))</f>
        <v/>
      </c>
      <c r="AZ245" s="7">
        <f>IF(LEFT(A245,7)="EXEMPLE",1,0)</f>
        <v/>
      </c>
      <c r="BA245" s="7">
        <f>IF(AND(AV245=1,AZ245=0,AC245&lt;&gt;"",W245&lt;&gt;"",N(V245)&gt;0),COUNTIFS($AV$3:AV245,1,$AZ$3:AZ245,0,$AC$3:AC245,"&lt;&gt;",$W$3:W245,"&lt;&gt;",$V$3:V245,"&gt;0"),"")</f>
        <v/>
      </c>
    </row>
    <row r="246">
      <c r="A246" s="12" t="n"/>
      <c r="B246" s="13" t="n"/>
      <c r="C246" s="13" t="n"/>
      <c r="D246" s="7">
        <f>IF(OR(B246="",C246=""),"",ROUND((C246-B246)*1440,0))</f>
        <v/>
      </c>
      <c r="E246" s="12" t="n"/>
      <c r="F246" s="12" t="n"/>
      <c r="G246" s="12" t="n"/>
      <c r="H246" s="12" t="n"/>
      <c r="I246" s="12" t="n"/>
      <c r="J246" s="12" t="n"/>
      <c r="K246" s="12" t="n"/>
      <c r="L246" s="14" t="n"/>
      <c r="M246" s="12" t="n"/>
      <c r="N246" s="12" t="n"/>
      <c r="O246" s="12" t="n"/>
      <c r="P246" s="12" t="n"/>
      <c r="Q246" s="7">
        <f>IF(A246="","",IFERROR(VLOOKUP(O246,Listes!$R$3:$T$8,2,FALSE),0)+IFERROR(VLOOKUP(J246,Listes!$J$3:$L$6,2,FALSE),0)+IFERROR(VLOOKUP(N246,Listes!$N$3:$P$6,2,FALSE),0)+IF(OR(L246="",B246=""),0,IF(L246-INT(B246)&lt;10,8,IF(L246-INT(B246)&lt;=90,10,5)))+IFERROR(VLOOKUP(AN246,Listes!$V$3:$W$5,2,FALSE),0)+IFERROR(VLOOKUP(AO246,Listes!$Y$3:$Z$5,2,FALSE),0))</f>
        <v/>
      </c>
      <c r="R246" s="12" t="n"/>
      <c r="S246" s="12" t="n"/>
      <c r="T246" s="12" t="n"/>
      <c r="U246" s="15" t="n"/>
      <c r="V246" s="15" t="n"/>
      <c r="W246" s="13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3" t="n"/>
      <c r="AK246" s="12" t="n"/>
      <c r="AL246" s="12" t="n"/>
      <c r="AM246" s="12" t="n"/>
      <c r="AN246" s="12" t="n"/>
      <c r="AO246" s="12" t="n"/>
      <c r="AP246" s="12" t="n"/>
      <c r="AQ246" s="7">
        <f>IF(A246="","",IF(AP246&lt;&gt;"",AP246,IF(LEFT(Z246,11)="gads_marque","Google Search – Marque",IF(LEFT(Z246,12)="gads_mariage","Google Search – Mariage et privé",IF(LEFT(Z246,10)="gads_corpo","Google Search – Corporatif",IF(LEFT(Z246,5)="meta_","Meta – Leads",IF(LEFT(Z246,5)="msft_","Microsoft Ads",IF(LEFT(Z246,8)="chatgpt_","ChatGPT Ads – Test",IF(X246="gbp","Fiche Google (organique)","Autre / non payé")))))))))</f>
        <v/>
      </c>
      <c r="AR246" s="7">
        <f>IF(K246="","",IFERROR(VLOOKUP(K246,Listes!$F$3:$H$8,3,FALSE),""))</f>
        <v/>
      </c>
      <c r="AS246" s="7">
        <f>IF(O246="","",IF(AND(M246="Autre (plus de 40 km)",OR(O246="lt600",O246="600_999",O246="1000_2499")),"D",IF(OR(O246="lt600",AND(O246="600_999",K246&lt;&gt;"mariage",K246&lt;&gt;"prive")),"C",IF(OR(O246="2500_4999",O246="5000p",J246="entreprise",J246="organisme",J246="agence"),"A",IF(OR(O246="1000_2499",O246="600_999"),"B",IF(O246="inconnu",IF(OR(N246="75_149",N246="150p"),"A","B"),""))))))</f>
        <v/>
      </c>
      <c r="AT246" s="7">
        <f>IF(A246="","",IF(P246&lt;&gt;"",P246,AS246))</f>
        <v/>
      </c>
      <c r="AU246" s="7">
        <f>IF(A246="","",IF(OR(AT246="A",AT246="B"),1,0))</f>
        <v/>
      </c>
      <c r="AV246" s="7">
        <f>IF(A246="","",IF(OR(R246="Dépôt payé (gagné)",R246="Événement livré",R246="Avis obtenu"),1,0))</f>
        <v/>
      </c>
      <c r="AW246" s="7">
        <f>IF(A246="","",IF(Q246&gt;70,"Immédiat – propriétaire",IF(Q246&gt;=40,"15 min – personne de garde","Selon la route")))</f>
        <v/>
      </c>
      <c r="AX246" s="11">
        <f>IF(A246="","",IF(AT246="A",400,IF(AT246="B",150,0)))</f>
        <v/>
      </c>
      <c r="AY246" s="11">
        <f>IF(A246="","",IF(AV246=1,N(V246),IF(N(U246)&gt;0,ROUND(N(U246)*IFERROR(VLOOKUP(R246,Listes!$AE$3:$AG$12,2,FALSE),0),0),0)))</f>
        <v/>
      </c>
      <c r="AZ246" s="7">
        <f>IF(LEFT(A246,7)="EXEMPLE",1,0)</f>
        <v/>
      </c>
      <c r="BA246" s="7">
        <f>IF(AND(AV246=1,AZ246=0,AC246&lt;&gt;"",W246&lt;&gt;"",N(V246)&gt;0),COUNTIFS($AV$3:AV246,1,$AZ$3:AZ246,0,$AC$3:AC246,"&lt;&gt;",$W$3:W246,"&lt;&gt;",$V$3:V246,"&gt;0"),"")</f>
        <v/>
      </c>
    </row>
    <row r="247">
      <c r="A247" s="12" t="n"/>
      <c r="B247" s="13" t="n"/>
      <c r="C247" s="13" t="n"/>
      <c r="D247" s="7">
        <f>IF(OR(B247="",C247=""),"",ROUND((C247-B247)*1440,0))</f>
        <v/>
      </c>
      <c r="E247" s="12" t="n"/>
      <c r="F247" s="12" t="n"/>
      <c r="G247" s="12" t="n"/>
      <c r="H247" s="12" t="n"/>
      <c r="I247" s="12" t="n"/>
      <c r="J247" s="12" t="n"/>
      <c r="K247" s="12" t="n"/>
      <c r="L247" s="14" t="n"/>
      <c r="M247" s="12" t="n"/>
      <c r="N247" s="12" t="n"/>
      <c r="O247" s="12" t="n"/>
      <c r="P247" s="12" t="n"/>
      <c r="Q247" s="7">
        <f>IF(A247="","",IFERROR(VLOOKUP(O247,Listes!$R$3:$T$8,2,FALSE),0)+IFERROR(VLOOKUP(J247,Listes!$J$3:$L$6,2,FALSE),0)+IFERROR(VLOOKUP(N247,Listes!$N$3:$P$6,2,FALSE),0)+IF(OR(L247="",B247=""),0,IF(L247-INT(B247)&lt;10,8,IF(L247-INT(B247)&lt;=90,10,5)))+IFERROR(VLOOKUP(AN247,Listes!$V$3:$W$5,2,FALSE),0)+IFERROR(VLOOKUP(AO247,Listes!$Y$3:$Z$5,2,FALSE),0))</f>
        <v/>
      </c>
      <c r="R247" s="12" t="n"/>
      <c r="S247" s="12" t="n"/>
      <c r="T247" s="12" t="n"/>
      <c r="U247" s="15" t="n"/>
      <c r="V247" s="15" t="n"/>
      <c r="W247" s="13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3" t="n"/>
      <c r="AK247" s="12" t="n"/>
      <c r="AL247" s="12" t="n"/>
      <c r="AM247" s="12" t="n"/>
      <c r="AN247" s="12" t="n"/>
      <c r="AO247" s="12" t="n"/>
      <c r="AP247" s="12" t="n"/>
      <c r="AQ247" s="7">
        <f>IF(A247="","",IF(AP247&lt;&gt;"",AP247,IF(LEFT(Z247,11)="gads_marque","Google Search – Marque",IF(LEFT(Z247,12)="gads_mariage","Google Search – Mariage et privé",IF(LEFT(Z247,10)="gads_corpo","Google Search – Corporatif",IF(LEFT(Z247,5)="meta_","Meta – Leads",IF(LEFT(Z247,5)="msft_","Microsoft Ads",IF(LEFT(Z247,8)="chatgpt_","ChatGPT Ads – Test",IF(X247="gbp","Fiche Google (organique)","Autre / non payé")))))))))</f>
        <v/>
      </c>
      <c r="AR247" s="7">
        <f>IF(K247="","",IFERROR(VLOOKUP(K247,Listes!$F$3:$H$8,3,FALSE),""))</f>
        <v/>
      </c>
      <c r="AS247" s="7">
        <f>IF(O247="","",IF(AND(M247="Autre (plus de 40 km)",OR(O247="lt600",O247="600_999",O247="1000_2499")),"D",IF(OR(O247="lt600",AND(O247="600_999",K247&lt;&gt;"mariage",K247&lt;&gt;"prive")),"C",IF(OR(O247="2500_4999",O247="5000p",J247="entreprise",J247="organisme",J247="agence"),"A",IF(OR(O247="1000_2499",O247="600_999"),"B",IF(O247="inconnu",IF(OR(N247="75_149",N247="150p"),"A","B"),""))))))</f>
        <v/>
      </c>
      <c r="AT247" s="7">
        <f>IF(A247="","",IF(P247&lt;&gt;"",P247,AS247))</f>
        <v/>
      </c>
      <c r="AU247" s="7">
        <f>IF(A247="","",IF(OR(AT247="A",AT247="B"),1,0))</f>
        <v/>
      </c>
      <c r="AV247" s="7">
        <f>IF(A247="","",IF(OR(R247="Dépôt payé (gagné)",R247="Événement livré",R247="Avis obtenu"),1,0))</f>
        <v/>
      </c>
      <c r="AW247" s="7">
        <f>IF(A247="","",IF(Q247&gt;70,"Immédiat – propriétaire",IF(Q247&gt;=40,"15 min – personne de garde","Selon la route")))</f>
        <v/>
      </c>
      <c r="AX247" s="11">
        <f>IF(A247="","",IF(AT247="A",400,IF(AT247="B",150,0)))</f>
        <v/>
      </c>
      <c r="AY247" s="11">
        <f>IF(A247="","",IF(AV247=1,N(V247),IF(N(U247)&gt;0,ROUND(N(U247)*IFERROR(VLOOKUP(R247,Listes!$AE$3:$AG$12,2,FALSE),0),0),0)))</f>
        <v/>
      </c>
      <c r="AZ247" s="7">
        <f>IF(LEFT(A247,7)="EXEMPLE",1,0)</f>
        <v/>
      </c>
      <c r="BA247" s="7">
        <f>IF(AND(AV247=1,AZ247=0,AC247&lt;&gt;"",W247&lt;&gt;"",N(V247)&gt;0),COUNTIFS($AV$3:AV247,1,$AZ$3:AZ247,0,$AC$3:AC247,"&lt;&gt;",$W$3:W247,"&lt;&gt;",$V$3:V247,"&gt;0"),"")</f>
        <v/>
      </c>
    </row>
    <row r="248">
      <c r="A248" s="12" t="n"/>
      <c r="B248" s="13" t="n"/>
      <c r="C248" s="13" t="n"/>
      <c r="D248" s="7">
        <f>IF(OR(B248="",C248=""),"",ROUND((C248-B248)*1440,0))</f>
        <v/>
      </c>
      <c r="E248" s="12" t="n"/>
      <c r="F248" s="12" t="n"/>
      <c r="G248" s="12" t="n"/>
      <c r="H248" s="12" t="n"/>
      <c r="I248" s="12" t="n"/>
      <c r="J248" s="12" t="n"/>
      <c r="K248" s="12" t="n"/>
      <c r="L248" s="14" t="n"/>
      <c r="M248" s="12" t="n"/>
      <c r="N248" s="12" t="n"/>
      <c r="O248" s="12" t="n"/>
      <c r="P248" s="12" t="n"/>
      <c r="Q248" s="7">
        <f>IF(A248="","",IFERROR(VLOOKUP(O248,Listes!$R$3:$T$8,2,FALSE),0)+IFERROR(VLOOKUP(J248,Listes!$J$3:$L$6,2,FALSE),0)+IFERROR(VLOOKUP(N248,Listes!$N$3:$P$6,2,FALSE),0)+IF(OR(L248="",B248=""),0,IF(L248-INT(B248)&lt;10,8,IF(L248-INT(B248)&lt;=90,10,5)))+IFERROR(VLOOKUP(AN248,Listes!$V$3:$W$5,2,FALSE),0)+IFERROR(VLOOKUP(AO248,Listes!$Y$3:$Z$5,2,FALSE),0))</f>
        <v/>
      </c>
      <c r="R248" s="12" t="n"/>
      <c r="S248" s="12" t="n"/>
      <c r="T248" s="12" t="n"/>
      <c r="U248" s="15" t="n"/>
      <c r="V248" s="15" t="n"/>
      <c r="W248" s="13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3" t="n"/>
      <c r="AK248" s="12" t="n"/>
      <c r="AL248" s="12" t="n"/>
      <c r="AM248" s="12" t="n"/>
      <c r="AN248" s="12" t="n"/>
      <c r="AO248" s="12" t="n"/>
      <c r="AP248" s="12" t="n"/>
      <c r="AQ248" s="7">
        <f>IF(A248="","",IF(AP248&lt;&gt;"",AP248,IF(LEFT(Z248,11)="gads_marque","Google Search – Marque",IF(LEFT(Z248,12)="gads_mariage","Google Search – Mariage et privé",IF(LEFT(Z248,10)="gads_corpo","Google Search – Corporatif",IF(LEFT(Z248,5)="meta_","Meta – Leads",IF(LEFT(Z248,5)="msft_","Microsoft Ads",IF(LEFT(Z248,8)="chatgpt_","ChatGPT Ads – Test",IF(X248="gbp","Fiche Google (organique)","Autre / non payé")))))))))</f>
        <v/>
      </c>
      <c r="AR248" s="7">
        <f>IF(K248="","",IFERROR(VLOOKUP(K248,Listes!$F$3:$H$8,3,FALSE),""))</f>
        <v/>
      </c>
      <c r="AS248" s="7">
        <f>IF(O248="","",IF(AND(M248="Autre (plus de 40 km)",OR(O248="lt600",O248="600_999",O248="1000_2499")),"D",IF(OR(O248="lt600",AND(O248="600_999",K248&lt;&gt;"mariage",K248&lt;&gt;"prive")),"C",IF(OR(O248="2500_4999",O248="5000p",J248="entreprise",J248="organisme",J248="agence"),"A",IF(OR(O248="1000_2499",O248="600_999"),"B",IF(O248="inconnu",IF(OR(N248="75_149",N248="150p"),"A","B"),""))))))</f>
        <v/>
      </c>
      <c r="AT248" s="7">
        <f>IF(A248="","",IF(P248&lt;&gt;"",P248,AS248))</f>
        <v/>
      </c>
      <c r="AU248" s="7">
        <f>IF(A248="","",IF(OR(AT248="A",AT248="B"),1,0))</f>
        <v/>
      </c>
      <c r="AV248" s="7">
        <f>IF(A248="","",IF(OR(R248="Dépôt payé (gagné)",R248="Événement livré",R248="Avis obtenu"),1,0))</f>
        <v/>
      </c>
      <c r="AW248" s="7">
        <f>IF(A248="","",IF(Q248&gt;70,"Immédiat – propriétaire",IF(Q248&gt;=40,"15 min – personne de garde","Selon la route")))</f>
        <v/>
      </c>
      <c r="AX248" s="11">
        <f>IF(A248="","",IF(AT248="A",400,IF(AT248="B",150,0)))</f>
        <v/>
      </c>
      <c r="AY248" s="11">
        <f>IF(A248="","",IF(AV248=1,N(V248),IF(N(U248)&gt;0,ROUND(N(U248)*IFERROR(VLOOKUP(R248,Listes!$AE$3:$AG$12,2,FALSE),0),0),0)))</f>
        <v/>
      </c>
      <c r="AZ248" s="7">
        <f>IF(LEFT(A248,7)="EXEMPLE",1,0)</f>
        <v/>
      </c>
      <c r="BA248" s="7">
        <f>IF(AND(AV248=1,AZ248=0,AC248&lt;&gt;"",W248&lt;&gt;"",N(V248)&gt;0),COUNTIFS($AV$3:AV248,1,$AZ$3:AZ248,0,$AC$3:AC248,"&lt;&gt;",$W$3:W248,"&lt;&gt;",$V$3:V248,"&gt;0"),"")</f>
        <v/>
      </c>
    </row>
    <row r="249">
      <c r="A249" s="12" t="n"/>
      <c r="B249" s="13" t="n"/>
      <c r="C249" s="13" t="n"/>
      <c r="D249" s="7">
        <f>IF(OR(B249="",C249=""),"",ROUND((C249-B249)*1440,0))</f>
        <v/>
      </c>
      <c r="E249" s="12" t="n"/>
      <c r="F249" s="12" t="n"/>
      <c r="G249" s="12" t="n"/>
      <c r="H249" s="12" t="n"/>
      <c r="I249" s="12" t="n"/>
      <c r="J249" s="12" t="n"/>
      <c r="K249" s="12" t="n"/>
      <c r="L249" s="14" t="n"/>
      <c r="M249" s="12" t="n"/>
      <c r="N249" s="12" t="n"/>
      <c r="O249" s="12" t="n"/>
      <c r="P249" s="12" t="n"/>
      <c r="Q249" s="7">
        <f>IF(A249="","",IFERROR(VLOOKUP(O249,Listes!$R$3:$T$8,2,FALSE),0)+IFERROR(VLOOKUP(J249,Listes!$J$3:$L$6,2,FALSE),0)+IFERROR(VLOOKUP(N249,Listes!$N$3:$P$6,2,FALSE),0)+IF(OR(L249="",B249=""),0,IF(L249-INT(B249)&lt;10,8,IF(L249-INT(B249)&lt;=90,10,5)))+IFERROR(VLOOKUP(AN249,Listes!$V$3:$W$5,2,FALSE),0)+IFERROR(VLOOKUP(AO249,Listes!$Y$3:$Z$5,2,FALSE),0))</f>
        <v/>
      </c>
      <c r="R249" s="12" t="n"/>
      <c r="S249" s="12" t="n"/>
      <c r="T249" s="12" t="n"/>
      <c r="U249" s="15" t="n"/>
      <c r="V249" s="15" t="n"/>
      <c r="W249" s="13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3" t="n"/>
      <c r="AK249" s="12" t="n"/>
      <c r="AL249" s="12" t="n"/>
      <c r="AM249" s="12" t="n"/>
      <c r="AN249" s="12" t="n"/>
      <c r="AO249" s="12" t="n"/>
      <c r="AP249" s="12" t="n"/>
      <c r="AQ249" s="7">
        <f>IF(A249="","",IF(AP249&lt;&gt;"",AP249,IF(LEFT(Z249,11)="gads_marque","Google Search – Marque",IF(LEFT(Z249,12)="gads_mariage","Google Search – Mariage et privé",IF(LEFT(Z249,10)="gads_corpo","Google Search – Corporatif",IF(LEFT(Z249,5)="meta_","Meta – Leads",IF(LEFT(Z249,5)="msft_","Microsoft Ads",IF(LEFT(Z249,8)="chatgpt_","ChatGPT Ads – Test",IF(X249="gbp","Fiche Google (organique)","Autre / non payé")))))))))</f>
        <v/>
      </c>
      <c r="AR249" s="7">
        <f>IF(K249="","",IFERROR(VLOOKUP(K249,Listes!$F$3:$H$8,3,FALSE),""))</f>
        <v/>
      </c>
      <c r="AS249" s="7">
        <f>IF(O249="","",IF(AND(M249="Autre (plus de 40 km)",OR(O249="lt600",O249="600_999",O249="1000_2499")),"D",IF(OR(O249="lt600",AND(O249="600_999",K249&lt;&gt;"mariage",K249&lt;&gt;"prive")),"C",IF(OR(O249="2500_4999",O249="5000p",J249="entreprise",J249="organisme",J249="agence"),"A",IF(OR(O249="1000_2499",O249="600_999"),"B",IF(O249="inconnu",IF(OR(N249="75_149",N249="150p"),"A","B"),""))))))</f>
        <v/>
      </c>
      <c r="AT249" s="7">
        <f>IF(A249="","",IF(P249&lt;&gt;"",P249,AS249))</f>
        <v/>
      </c>
      <c r="AU249" s="7">
        <f>IF(A249="","",IF(OR(AT249="A",AT249="B"),1,0))</f>
        <v/>
      </c>
      <c r="AV249" s="7">
        <f>IF(A249="","",IF(OR(R249="Dépôt payé (gagné)",R249="Événement livré",R249="Avis obtenu"),1,0))</f>
        <v/>
      </c>
      <c r="AW249" s="7">
        <f>IF(A249="","",IF(Q249&gt;70,"Immédiat – propriétaire",IF(Q249&gt;=40,"15 min – personne de garde","Selon la route")))</f>
        <v/>
      </c>
      <c r="AX249" s="11">
        <f>IF(A249="","",IF(AT249="A",400,IF(AT249="B",150,0)))</f>
        <v/>
      </c>
      <c r="AY249" s="11">
        <f>IF(A249="","",IF(AV249=1,N(V249),IF(N(U249)&gt;0,ROUND(N(U249)*IFERROR(VLOOKUP(R249,Listes!$AE$3:$AG$12,2,FALSE),0),0),0)))</f>
        <v/>
      </c>
      <c r="AZ249" s="7">
        <f>IF(LEFT(A249,7)="EXEMPLE",1,0)</f>
        <v/>
      </c>
      <c r="BA249" s="7">
        <f>IF(AND(AV249=1,AZ249=0,AC249&lt;&gt;"",W249&lt;&gt;"",N(V249)&gt;0),COUNTIFS($AV$3:AV249,1,$AZ$3:AZ249,0,$AC$3:AC249,"&lt;&gt;",$W$3:W249,"&lt;&gt;",$V$3:V249,"&gt;0"),"")</f>
        <v/>
      </c>
    </row>
    <row r="250">
      <c r="A250" s="12" t="n"/>
      <c r="B250" s="13" t="n"/>
      <c r="C250" s="13" t="n"/>
      <c r="D250" s="7">
        <f>IF(OR(B250="",C250=""),"",ROUND((C250-B250)*1440,0))</f>
        <v/>
      </c>
      <c r="E250" s="12" t="n"/>
      <c r="F250" s="12" t="n"/>
      <c r="G250" s="12" t="n"/>
      <c r="H250" s="12" t="n"/>
      <c r="I250" s="12" t="n"/>
      <c r="J250" s="12" t="n"/>
      <c r="K250" s="12" t="n"/>
      <c r="L250" s="14" t="n"/>
      <c r="M250" s="12" t="n"/>
      <c r="N250" s="12" t="n"/>
      <c r="O250" s="12" t="n"/>
      <c r="P250" s="12" t="n"/>
      <c r="Q250" s="7">
        <f>IF(A250="","",IFERROR(VLOOKUP(O250,Listes!$R$3:$T$8,2,FALSE),0)+IFERROR(VLOOKUP(J250,Listes!$J$3:$L$6,2,FALSE),0)+IFERROR(VLOOKUP(N250,Listes!$N$3:$P$6,2,FALSE),0)+IF(OR(L250="",B250=""),0,IF(L250-INT(B250)&lt;10,8,IF(L250-INT(B250)&lt;=90,10,5)))+IFERROR(VLOOKUP(AN250,Listes!$V$3:$W$5,2,FALSE),0)+IFERROR(VLOOKUP(AO250,Listes!$Y$3:$Z$5,2,FALSE),0))</f>
        <v/>
      </c>
      <c r="R250" s="12" t="n"/>
      <c r="S250" s="12" t="n"/>
      <c r="T250" s="12" t="n"/>
      <c r="U250" s="15" t="n"/>
      <c r="V250" s="15" t="n"/>
      <c r="W250" s="13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3" t="n"/>
      <c r="AK250" s="12" t="n"/>
      <c r="AL250" s="12" t="n"/>
      <c r="AM250" s="12" t="n"/>
      <c r="AN250" s="12" t="n"/>
      <c r="AO250" s="12" t="n"/>
      <c r="AP250" s="12" t="n"/>
      <c r="AQ250" s="7">
        <f>IF(A250="","",IF(AP250&lt;&gt;"",AP250,IF(LEFT(Z250,11)="gads_marque","Google Search – Marque",IF(LEFT(Z250,12)="gads_mariage","Google Search – Mariage et privé",IF(LEFT(Z250,10)="gads_corpo","Google Search – Corporatif",IF(LEFT(Z250,5)="meta_","Meta – Leads",IF(LEFT(Z250,5)="msft_","Microsoft Ads",IF(LEFT(Z250,8)="chatgpt_","ChatGPT Ads – Test",IF(X250="gbp","Fiche Google (organique)","Autre / non payé")))))))))</f>
        <v/>
      </c>
      <c r="AR250" s="7">
        <f>IF(K250="","",IFERROR(VLOOKUP(K250,Listes!$F$3:$H$8,3,FALSE),""))</f>
        <v/>
      </c>
      <c r="AS250" s="7">
        <f>IF(O250="","",IF(AND(M250="Autre (plus de 40 km)",OR(O250="lt600",O250="600_999",O250="1000_2499")),"D",IF(OR(O250="lt600",AND(O250="600_999",K250&lt;&gt;"mariage",K250&lt;&gt;"prive")),"C",IF(OR(O250="2500_4999",O250="5000p",J250="entreprise",J250="organisme",J250="agence"),"A",IF(OR(O250="1000_2499",O250="600_999"),"B",IF(O250="inconnu",IF(OR(N250="75_149",N250="150p"),"A","B"),""))))))</f>
        <v/>
      </c>
      <c r="AT250" s="7">
        <f>IF(A250="","",IF(P250&lt;&gt;"",P250,AS250))</f>
        <v/>
      </c>
      <c r="AU250" s="7">
        <f>IF(A250="","",IF(OR(AT250="A",AT250="B"),1,0))</f>
        <v/>
      </c>
      <c r="AV250" s="7">
        <f>IF(A250="","",IF(OR(R250="Dépôt payé (gagné)",R250="Événement livré",R250="Avis obtenu"),1,0))</f>
        <v/>
      </c>
      <c r="AW250" s="7">
        <f>IF(A250="","",IF(Q250&gt;70,"Immédiat – propriétaire",IF(Q250&gt;=40,"15 min – personne de garde","Selon la route")))</f>
        <v/>
      </c>
      <c r="AX250" s="11">
        <f>IF(A250="","",IF(AT250="A",400,IF(AT250="B",150,0)))</f>
        <v/>
      </c>
      <c r="AY250" s="11">
        <f>IF(A250="","",IF(AV250=1,N(V250),IF(N(U250)&gt;0,ROUND(N(U250)*IFERROR(VLOOKUP(R250,Listes!$AE$3:$AG$12,2,FALSE),0),0),0)))</f>
        <v/>
      </c>
      <c r="AZ250" s="7">
        <f>IF(LEFT(A250,7)="EXEMPLE",1,0)</f>
        <v/>
      </c>
      <c r="BA250" s="7">
        <f>IF(AND(AV250=1,AZ250=0,AC250&lt;&gt;"",W250&lt;&gt;"",N(V250)&gt;0),COUNTIFS($AV$3:AV250,1,$AZ$3:AZ250,0,$AC$3:AC250,"&lt;&gt;",$W$3:W250,"&lt;&gt;",$V$3:V250,"&gt;0"),"")</f>
        <v/>
      </c>
    </row>
    <row r="251">
      <c r="A251" s="12" t="n"/>
      <c r="B251" s="13" t="n"/>
      <c r="C251" s="13" t="n"/>
      <c r="D251" s="7">
        <f>IF(OR(B251="",C251=""),"",ROUND((C251-B251)*1440,0))</f>
        <v/>
      </c>
      <c r="E251" s="12" t="n"/>
      <c r="F251" s="12" t="n"/>
      <c r="G251" s="12" t="n"/>
      <c r="H251" s="12" t="n"/>
      <c r="I251" s="12" t="n"/>
      <c r="J251" s="12" t="n"/>
      <c r="K251" s="12" t="n"/>
      <c r="L251" s="14" t="n"/>
      <c r="M251" s="12" t="n"/>
      <c r="N251" s="12" t="n"/>
      <c r="O251" s="12" t="n"/>
      <c r="P251" s="12" t="n"/>
      <c r="Q251" s="7">
        <f>IF(A251="","",IFERROR(VLOOKUP(O251,Listes!$R$3:$T$8,2,FALSE),0)+IFERROR(VLOOKUP(J251,Listes!$J$3:$L$6,2,FALSE),0)+IFERROR(VLOOKUP(N251,Listes!$N$3:$P$6,2,FALSE),0)+IF(OR(L251="",B251=""),0,IF(L251-INT(B251)&lt;10,8,IF(L251-INT(B251)&lt;=90,10,5)))+IFERROR(VLOOKUP(AN251,Listes!$V$3:$W$5,2,FALSE),0)+IFERROR(VLOOKUP(AO251,Listes!$Y$3:$Z$5,2,FALSE),0))</f>
        <v/>
      </c>
      <c r="R251" s="12" t="n"/>
      <c r="S251" s="12" t="n"/>
      <c r="T251" s="12" t="n"/>
      <c r="U251" s="15" t="n"/>
      <c r="V251" s="15" t="n"/>
      <c r="W251" s="13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3" t="n"/>
      <c r="AK251" s="12" t="n"/>
      <c r="AL251" s="12" t="n"/>
      <c r="AM251" s="12" t="n"/>
      <c r="AN251" s="12" t="n"/>
      <c r="AO251" s="12" t="n"/>
      <c r="AP251" s="12" t="n"/>
      <c r="AQ251" s="7">
        <f>IF(A251="","",IF(AP251&lt;&gt;"",AP251,IF(LEFT(Z251,11)="gads_marque","Google Search – Marque",IF(LEFT(Z251,12)="gads_mariage","Google Search – Mariage et privé",IF(LEFT(Z251,10)="gads_corpo","Google Search – Corporatif",IF(LEFT(Z251,5)="meta_","Meta – Leads",IF(LEFT(Z251,5)="msft_","Microsoft Ads",IF(LEFT(Z251,8)="chatgpt_","ChatGPT Ads – Test",IF(X251="gbp","Fiche Google (organique)","Autre / non payé")))))))))</f>
        <v/>
      </c>
      <c r="AR251" s="7">
        <f>IF(K251="","",IFERROR(VLOOKUP(K251,Listes!$F$3:$H$8,3,FALSE),""))</f>
        <v/>
      </c>
      <c r="AS251" s="7">
        <f>IF(O251="","",IF(AND(M251="Autre (plus de 40 km)",OR(O251="lt600",O251="600_999",O251="1000_2499")),"D",IF(OR(O251="lt600",AND(O251="600_999",K251&lt;&gt;"mariage",K251&lt;&gt;"prive")),"C",IF(OR(O251="2500_4999",O251="5000p",J251="entreprise",J251="organisme",J251="agence"),"A",IF(OR(O251="1000_2499",O251="600_999"),"B",IF(O251="inconnu",IF(OR(N251="75_149",N251="150p"),"A","B"),""))))))</f>
        <v/>
      </c>
      <c r="AT251" s="7">
        <f>IF(A251="","",IF(P251&lt;&gt;"",P251,AS251))</f>
        <v/>
      </c>
      <c r="AU251" s="7">
        <f>IF(A251="","",IF(OR(AT251="A",AT251="B"),1,0))</f>
        <v/>
      </c>
      <c r="AV251" s="7">
        <f>IF(A251="","",IF(OR(R251="Dépôt payé (gagné)",R251="Événement livré",R251="Avis obtenu"),1,0))</f>
        <v/>
      </c>
      <c r="AW251" s="7">
        <f>IF(A251="","",IF(Q251&gt;70,"Immédiat – propriétaire",IF(Q251&gt;=40,"15 min – personne de garde","Selon la route")))</f>
        <v/>
      </c>
      <c r="AX251" s="11">
        <f>IF(A251="","",IF(AT251="A",400,IF(AT251="B",150,0)))</f>
        <v/>
      </c>
      <c r="AY251" s="11">
        <f>IF(A251="","",IF(AV251=1,N(V251),IF(N(U251)&gt;0,ROUND(N(U251)*IFERROR(VLOOKUP(R251,Listes!$AE$3:$AG$12,2,FALSE),0),0),0)))</f>
        <v/>
      </c>
      <c r="AZ251" s="7">
        <f>IF(LEFT(A251,7)="EXEMPLE",1,0)</f>
        <v/>
      </c>
      <c r="BA251" s="7">
        <f>IF(AND(AV251=1,AZ251=0,AC251&lt;&gt;"",W251&lt;&gt;"",N(V251)&gt;0),COUNTIFS($AV$3:AV251,1,$AZ$3:AZ251,0,$AC$3:AC251,"&lt;&gt;",$W$3:W251,"&lt;&gt;",$V$3:V251,"&gt;0"),"")</f>
        <v/>
      </c>
    </row>
    <row r="252">
      <c r="A252" s="12" t="n"/>
      <c r="B252" s="13" t="n"/>
      <c r="C252" s="13" t="n"/>
      <c r="D252" s="7">
        <f>IF(OR(B252="",C252=""),"",ROUND((C252-B252)*1440,0))</f>
        <v/>
      </c>
      <c r="E252" s="12" t="n"/>
      <c r="F252" s="12" t="n"/>
      <c r="G252" s="12" t="n"/>
      <c r="H252" s="12" t="n"/>
      <c r="I252" s="12" t="n"/>
      <c r="J252" s="12" t="n"/>
      <c r="K252" s="12" t="n"/>
      <c r="L252" s="14" t="n"/>
      <c r="M252" s="12" t="n"/>
      <c r="N252" s="12" t="n"/>
      <c r="O252" s="12" t="n"/>
      <c r="P252" s="12" t="n"/>
      <c r="Q252" s="7">
        <f>IF(A252="","",IFERROR(VLOOKUP(O252,Listes!$R$3:$T$8,2,FALSE),0)+IFERROR(VLOOKUP(J252,Listes!$J$3:$L$6,2,FALSE),0)+IFERROR(VLOOKUP(N252,Listes!$N$3:$P$6,2,FALSE),0)+IF(OR(L252="",B252=""),0,IF(L252-INT(B252)&lt;10,8,IF(L252-INT(B252)&lt;=90,10,5)))+IFERROR(VLOOKUP(AN252,Listes!$V$3:$W$5,2,FALSE),0)+IFERROR(VLOOKUP(AO252,Listes!$Y$3:$Z$5,2,FALSE),0))</f>
        <v/>
      </c>
      <c r="R252" s="12" t="n"/>
      <c r="S252" s="12" t="n"/>
      <c r="T252" s="12" t="n"/>
      <c r="U252" s="15" t="n"/>
      <c r="V252" s="15" t="n"/>
      <c r="W252" s="13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3" t="n"/>
      <c r="AK252" s="12" t="n"/>
      <c r="AL252" s="12" t="n"/>
      <c r="AM252" s="12" t="n"/>
      <c r="AN252" s="12" t="n"/>
      <c r="AO252" s="12" t="n"/>
      <c r="AP252" s="12" t="n"/>
      <c r="AQ252" s="7">
        <f>IF(A252="","",IF(AP252&lt;&gt;"",AP252,IF(LEFT(Z252,11)="gads_marque","Google Search – Marque",IF(LEFT(Z252,12)="gads_mariage","Google Search – Mariage et privé",IF(LEFT(Z252,10)="gads_corpo","Google Search – Corporatif",IF(LEFT(Z252,5)="meta_","Meta – Leads",IF(LEFT(Z252,5)="msft_","Microsoft Ads",IF(LEFT(Z252,8)="chatgpt_","ChatGPT Ads – Test",IF(X252="gbp","Fiche Google (organique)","Autre / non payé")))))))))</f>
        <v/>
      </c>
      <c r="AR252" s="7">
        <f>IF(K252="","",IFERROR(VLOOKUP(K252,Listes!$F$3:$H$8,3,FALSE),""))</f>
        <v/>
      </c>
      <c r="AS252" s="7">
        <f>IF(O252="","",IF(AND(M252="Autre (plus de 40 km)",OR(O252="lt600",O252="600_999",O252="1000_2499")),"D",IF(OR(O252="lt600",AND(O252="600_999",K252&lt;&gt;"mariage",K252&lt;&gt;"prive")),"C",IF(OR(O252="2500_4999",O252="5000p",J252="entreprise",J252="organisme",J252="agence"),"A",IF(OR(O252="1000_2499",O252="600_999"),"B",IF(O252="inconnu",IF(OR(N252="75_149",N252="150p"),"A","B"),""))))))</f>
        <v/>
      </c>
      <c r="AT252" s="7">
        <f>IF(A252="","",IF(P252&lt;&gt;"",P252,AS252))</f>
        <v/>
      </c>
      <c r="AU252" s="7">
        <f>IF(A252="","",IF(OR(AT252="A",AT252="B"),1,0))</f>
        <v/>
      </c>
      <c r="AV252" s="7">
        <f>IF(A252="","",IF(OR(R252="Dépôt payé (gagné)",R252="Événement livré",R252="Avis obtenu"),1,0))</f>
        <v/>
      </c>
      <c r="AW252" s="7">
        <f>IF(A252="","",IF(Q252&gt;70,"Immédiat – propriétaire",IF(Q252&gt;=40,"15 min – personne de garde","Selon la route")))</f>
        <v/>
      </c>
      <c r="AX252" s="11">
        <f>IF(A252="","",IF(AT252="A",400,IF(AT252="B",150,0)))</f>
        <v/>
      </c>
      <c r="AY252" s="11">
        <f>IF(A252="","",IF(AV252=1,N(V252),IF(N(U252)&gt;0,ROUND(N(U252)*IFERROR(VLOOKUP(R252,Listes!$AE$3:$AG$12,2,FALSE),0),0),0)))</f>
        <v/>
      </c>
      <c r="AZ252" s="7">
        <f>IF(LEFT(A252,7)="EXEMPLE",1,0)</f>
        <v/>
      </c>
      <c r="BA252" s="7">
        <f>IF(AND(AV252=1,AZ252=0,AC252&lt;&gt;"",W252&lt;&gt;"",N(V252)&gt;0),COUNTIFS($AV$3:AV252,1,$AZ$3:AZ252,0,$AC$3:AC252,"&lt;&gt;",$W$3:W252,"&lt;&gt;",$V$3:V252,"&gt;0"),"")</f>
        <v/>
      </c>
    </row>
    <row r="253">
      <c r="A253" s="12" t="n"/>
      <c r="B253" s="13" t="n"/>
      <c r="C253" s="13" t="n"/>
      <c r="D253" s="7">
        <f>IF(OR(B253="",C253=""),"",ROUND((C253-B253)*1440,0))</f>
        <v/>
      </c>
      <c r="E253" s="12" t="n"/>
      <c r="F253" s="12" t="n"/>
      <c r="G253" s="12" t="n"/>
      <c r="H253" s="12" t="n"/>
      <c r="I253" s="12" t="n"/>
      <c r="J253" s="12" t="n"/>
      <c r="K253" s="12" t="n"/>
      <c r="L253" s="14" t="n"/>
      <c r="M253" s="12" t="n"/>
      <c r="N253" s="12" t="n"/>
      <c r="O253" s="12" t="n"/>
      <c r="P253" s="12" t="n"/>
      <c r="Q253" s="7">
        <f>IF(A253="","",IFERROR(VLOOKUP(O253,Listes!$R$3:$T$8,2,FALSE),0)+IFERROR(VLOOKUP(J253,Listes!$J$3:$L$6,2,FALSE),0)+IFERROR(VLOOKUP(N253,Listes!$N$3:$P$6,2,FALSE),0)+IF(OR(L253="",B253=""),0,IF(L253-INT(B253)&lt;10,8,IF(L253-INT(B253)&lt;=90,10,5)))+IFERROR(VLOOKUP(AN253,Listes!$V$3:$W$5,2,FALSE),0)+IFERROR(VLOOKUP(AO253,Listes!$Y$3:$Z$5,2,FALSE),0))</f>
        <v/>
      </c>
      <c r="R253" s="12" t="n"/>
      <c r="S253" s="12" t="n"/>
      <c r="T253" s="12" t="n"/>
      <c r="U253" s="15" t="n"/>
      <c r="V253" s="15" t="n"/>
      <c r="W253" s="13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3" t="n"/>
      <c r="AK253" s="12" t="n"/>
      <c r="AL253" s="12" t="n"/>
      <c r="AM253" s="12" t="n"/>
      <c r="AN253" s="12" t="n"/>
      <c r="AO253" s="12" t="n"/>
      <c r="AP253" s="12" t="n"/>
      <c r="AQ253" s="7">
        <f>IF(A253="","",IF(AP253&lt;&gt;"",AP253,IF(LEFT(Z253,11)="gads_marque","Google Search – Marque",IF(LEFT(Z253,12)="gads_mariage","Google Search – Mariage et privé",IF(LEFT(Z253,10)="gads_corpo","Google Search – Corporatif",IF(LEFT(Z253,5)="meta_","Meta – Leads",IF(LEFT(Z253,5)="msft_","Microsoft Ads",IF(LEFT(Z253,8)="chatgpt_","ChatGPT Ads – Test",IF(X253="gbp","Fiche Google (organique)","Autre / non payé")))))))))</f>
        <v/>
      </c>
      <c r="AR253" s="7">
        <f>IF(K253="","",IFERROR(VLOOKUP(K253,Listes!$F$3:$H$8,3,FALSE),""))</f>
        <v/>
      </c>
      <c r="AS253" s="7">
        <f>IF(O253="","",IF(AND(M253="Autre (plus de 40 km)",OR(O253="lt600",O253="600_999",O253="1000_2499")),"D",IF(OR(O253="lt600",AND(O253="600_999",K253&lt;&gt;"mariage",K253&lt;&gt;"prive")),"C",IF(OR(O253="2500_4999",O253="5000p",J253="entreprise",J253="organisme",J253="agence"),"A",IF(OR(O253="1000_2499",O253="600_999"),"B",IF(O253="inconnu",IF(OR(N253="75_149",N253="150p"),"A","B"),""))))))</f>
        <v/>
      </c>
      <c r="AT253" s="7">
        <f>IF(A253="","",IF(P253&lt;&gt;"",P253,AS253))</f>
        <v/>
      </c>
      <c r="AU253" s="7">
        <f>IF(A253="","",IF(OR(AT253="A",AT253="B"),1,0))</f>
        <v/>
      </c>
      <c r="AV253" s="7">
        <f>IF(A253="","",IF(OR(R253="Dépôt payé (gagné)",R253="Événement livré",R253="Avis obtenu"),1,0))</f>
        <v/>
      </c>
      <c r="AW253" s="7">
        <f>IF(A253="","",IF(Q253&gt;70,"Immédiat – propriétaire",IF(Q253&gt;=40,"15 min – personne de garde","Selon la route")))</f>
        <v/>
      </c>
      <c r="AX253" s="11">
        <f>IF(A253="","",IF(AT253="A",400,IF(AT253="B",150,0)))</f>
        <v/>
      </c>
      <c r="AY253" s="11">
        <f>IF(A253="","",IF(AV253=1,N(V253),IF(N(U253)&gt;0,ROUND(N(U253)*IFERROR(VLOOKUP(R253,Listes!$AE$3:$AG$12,2,FALSE),0),0),0)))</f>
        <v/>
      </c>
      <c r="AZ253" s="7">
        <f>IF(LEFT(A253,7)="EXEMPLE",1,0)</f>
        <v/>
      </c>
      <c r="BA253" s="7">
        <f>IF(AND(AV253=1,AZ253=0,AC253&lt;&gt;"",W253&lt;&gt;"",N(V253)&gt;0),COUNTIFS($AV$3:AV253,1,$AZ$3:AZ253,0,$AC$3:AC253,"&lt;&gt;",$W$3:W253,"&lt;&gt;",$V$3:V253,"&gt;0"),"")</f>
        <v/>
      </c>
    </row>
    <row r="254">
      <c r="A254" s="12" t="n"/>
      <c r="B254" s="13" t="n"/>
      <c r="C254" s="13" t="n"/>
      <c r="D254" s="7">
        <f>IF(OR(B254="",C254=""),"",ROUND((C254-B254)*1440,0))</f>
        <v/>
      </c>
      <c r="E254" s="12" t="n"/>
      <c r="F254" s="12" t="n"/>
      <c r="G254" s="12" t="n"/>
      <c r="H254" s="12" t="n"/>
      <c r="I254" s="12" t="n"/>
      <c r="J254" s="12" t="n"/>
      <c r="K254" s="12" t="n"/>
      <c r="L254" s="14" t="n"/>
      <c r="M254" s="12" t="n"/>
      <c r="N254" s="12" t="n"/>
      <c r="O254" s="12" t="n"/>
      <c r="P254" s="12" t="n"/>
      <c r="Q254" s="7">
        <f>IF(A254="","",IFERROR(VLOOKUP(O254,Listes!$R$3:$T$8,2,FALSE),0)+IFERROR(VLOOKUP(J254,Listes!$J$3:$L$6,2,FALSE),0)+IFERROR(VLOOKUP(N254,Listes!$N$3:$P$6,2,FALSE),0)+IF(OR(L254="",B254=""),0,IF(L254-INT(B254)&lt;10,8,IF(L254-INT(B254)&lt;=90,10,5)))+IFERROR(VLOOKUP(AN254,Listes!$V$3:$W$5,2,FALSE),0)+IFERROR(VLOOKUP(AO254,Listes!$Y$3:$Z$5,2,FALSE),0))</f>
        <v/>
      </c>
      <c r="R254" s="12" t="n"/>
      <c r="S254" s="12" t="n"/>
      <c r="T254" s="12" t="n"/>
      <c r="U254" s="15" t="n"/>
      <c r="V254" s="15" t="n"/>
      <c r="W254" s="13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3" t="n"/>
      <c r="AK254" s="12" t="n"/>
      <c r="AL254" s="12" t="n"/>
      <c r="AM254" s="12" t="n"/>
      <c r="AN254" s="12" t="n"/>
      <c r="AO254" s="12" t="n"/>
      <c r="AP254" s="12" t="n"/>
      <c r="AQ254" s="7">
        <f>IF(A254="","",IF(AP254&lt;&gt;"",AP254,IF(LEFT(Z254,11)="gads_marque","Google Search – Marque",IF(LEFT(Z254,12)="gads_mariage","Google Search – Mariage et privé",IF(LEFT(Z254,10)="gads_corpo","Google Search – Corporatif",IF(LEFT(Z254,5)="meta_","Meta – Leads",IF(LEFT(Z254,5)="msft_","Microsoft Ads",IF(LEFT(Z254,8)="chatgpt_","ChatGPT Ads – Test",IF(X254="gbp","Fiche Google (organique)","Autre / non payé")))))))))</f>
        <v/>
      </c>
      <c r="AR254" s="7">
        <f>IF(K254="","",IFERROR(VLOOKUP(K254,Listes!$F$3:$H$8,3,FALSE),""))</f>
        <v/>
      </c>
      <c r="AS254" s="7">
        <f>IF(O254="","",IF(AND(M254="Autre (plus de 40 km)",OR(O254="lt600",O254="600_999",O254="1000_2499")),"D",IF(OR(O254="lt600",AND(O254="600_999",K254&lt;&gt;"mariage",K254&lt;&gt;"prive")),"C",IF(OR(O254="2500_4999",O254="5000p",J254="entreprise",J254="organisme",J254="agence"),"A",IF(OR(O254="1000_2499",O254="600_999"),"B",IF(O254="inconnu",IF(OR(N254="75_149",N254="150p"),"A","B"),""))))))</f>
        <v/>
      </c>
      <c r="AT254" s="7">
        <f>IF(A254="","",IF(P254&lt;&gt;"",P254,AS254))</f>
        <v/>
      </c>
      <c r="AU254" s="7">
        <f>IF(A254="","",IF(OR(AT254="A",AT254="B"),1,0))</f>
        <v/>
      </c>
      <c r="AV254" s="7">
        <f>IF(A254="","",IF(OR(R254="Dépôt payé (gagné)",R254="Événement livré",R254="Avis obtenu"),1,0))</f>
        <v/>
      </c>
      <c r="AW254" s="7">
        <f>IF(A254="","",IF(Q254&gt;70,"Immédiat – propriétaire",IF(Q254&gt;=40,"15 min – personne de garde","Selon la route")))</f>
        <v/>
      </c>
      <c r="AX254" s="11">
        <f>IF(A254="","",IF(AT254="A",400,IF(AT254="B",150,0)))</f>
        <v/>
      </c>
      <c r="AY254" s="11">
        <f>IF(A254="","",IF(AV254=1,N(V254),IF(N(U254)&gt;0,ROUND(N(U254)*IFERROR(VLOOKUP(R254,Listes!$AE$3:$AG$12,2,FALSE),0),0),0)))</f>
        <v/>
      </c>
      <c r="AZ254" s="7">
        <f>IF(LEFT(A254,7)="EXEMPLE",1,0)</f>
        <v/>
      </c>
      <c r="BA254" s="7">
        <f>IF(AND(AV254=1,AZ254=0,AC254&lt;&gt;"",W254&lt;&gt;"",N(V254)&gt;0),COUNTIFS($AV$3:AV254,1,$AZ$3:AZ254,0,$AC$3:AC254,"&lt;&gt;",$W$3:W254,"&lt;&gt;",$V$3:V254,"&gt;0"),"")</f>
        <v/>
      </c>
    </row>
    <row r="255">
      <c r="A255" s="12" t="n"/>
      <c r="B255" s="13" t="n"/>
      <c r="C255" s="13" t="n"/>
      <c r="D255" s="7">
        <f>IF(OR(B255="",C255=""),"",ROUND((C255-B255)*1440,0))</f>
        <v/>
      </c>
      <c r="E255" s="12" t="n"/>
      <c r="F255" s="12" t="n"/>
      <c r="G255" s="12" t="n"/>
      <c r="H255" s="12" t="n"/>
      <c r="I255" s="12" t="n"/>
      <c r="J255" s="12" t="n"/>
      <c r="K255" s="12" t="n"/>
      <c r="L255" s="14" t="n"/>
      <c r="M255" s="12" t="n"/>
      <c r="N255" s="12" t="n"/>
      <c r="O255" s="12" t="n"/>
      <c r="P255" s="12" t="n"/>
      <c r="Q255" s="7">
        <f>IF(A255="","",IFERROR(VLOOKUP(O255,Listes!$R$3:$T$8,2,FALSE),0)+IFERROR(VLOOKUP(J255,Listes!$J$3:$L$6,2,FALSE),0)+IFERROR(VLOOKUP(N255,Listes!$N$3:$P$6,2,FALSE),0)+IF(OR(L255="",B255=""),0,IF(L255-INT(B255)&lt;10,8,IF(L255-INT(B255)&lt;=90,10,5)))+IFERROR(VLOOKUP(AN255,Listes!$V$3:$W$5,2,FALSE),0)+IFERROR(VLOOKUP(AO255,Listes!$Y$3:$Z$5,2,FALSE),0))</f>
        <v/>
      </c>
      <c r="R255" s="12" t="n"/>
      <c r="S255" s="12" t="n"/>
      <c r="T255" s="12" t="n"/>
      <c r="U255" s="15" t="n"/>
      <c r="V255" s="15" t="n"/>
      <c r="W255" s="13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3" t="n"/>
      <c r="AK255" s="12" t="n"/>
      <c r="AL255" s="12" t="n"/>
      <c r="AM255" s="12" t="n"/>
      <c r="AN255" s="12" t="n"/>
      <c r="AO255" s="12" t="n"/>
      <c r="AP255" s="12" t="n"/>
      <c r="AQ255" s="7">
        <f>IF(A255="","",IF(AP255&lt;&gt;"",AP255,IF(LEFT(Z255,11)="gads_marque","Google Search – Marque",IF(LEFT(Z255,12)="gads_mariage","Google Search – Mariage et privé",IF(LEFT(Z255,10)="gads_corpo","Google Search – Corporatif",IF(LEFT(Z255,5)="meta_","Meta – Leads",IF(LEFT(Z255,5)="msft_","Microsoft Ads",IF(LEFT(Z255,8)="chatgpt_","ChatGPT Ads – Test",IF(X255="gbp","Fiche Google (organique)","Autre / non payé")))))))))</f>
        <v/>
      </c>
      <c r="AR255" s="7">
        <f>IF(K255="","",IFERROR(VLOOKUP(K255,Listes!$F$3:$H$8,3,FALSE),""))</f>
        <v/>
      </c>
      <c r="AS255" s="7">
        <f>IF(O255="","",IF(AND(M255="Autre (plus de 40 km)",OR(O255="lt600",O255="600_999",O255="1000_2499")),"D",IF(OR(O255="lt600",AND(O255="600_999",K255&lt;&gt;"mariage",K255&lt;&gt;"prive")),"C",IF(OR(O255="2500_4999",O255="5000p",J255="entreprise",J255="organisme",J255="agence"),"A",IF(OR(O255="1000_2499",O255="600_999"),"B",IF(O255="inconnu",IF(OR(N255="75_149",N255="150p"),"A","B"),""))))))</f>
        <v/>
      </c>
      <c r="AT255" s="7">
        <f>IF(A255="","",IF(P255&lt;&gt;"",P255,AS255))</f>
        <v/>
      </c>
      <c r="AU255" s="7">
        <f>IF(A255="","",IF(OR(AT255="A",AT255="B"),1,0))</f>
        <v/>
      </c>
      <c r="AV255" s="7">
        <f>IF(A255="","",IF(OR(R255="Dépôt payé (gagné)",R255="Événement livré",R255="Avis obtenu"),1,0))</f>
        <v/>
      </c>
      <c r="AW255" s="7">
        <f>IF(A255="","",IF(Q255&gt;70,"Immédiat – propriétaire",IF(Q255&gt;=40,"15 min – personne de garde","Selon la route")))</f>
        <v/>
      </c>
      <c r="AX255" s="11">
        <f>IF(A255="","",IF(AT255="A",400,IF(AT255="B",150,0)))</f>
        <v/>
      </c>
      <c r="AY255" s="11">
        <f>IF(A255="","",IF(AV255=1,N(V255),IF(N(U255)&gt;0,ROUND(N(U255)*IFERROR(VLOOKUP(R255,Listes!$AE$3:$AG$12,2,FALSE),0),0),0)))</f>
        <v/>
      </c>
      <c r="AZ255" s="7">
        <f>IF(LEFT(A255,7)="EXEMPLE",1,0)</f>
        <v/>
      </c>
      <c r="BA255" s="7">
        <f>IF(AND(AV255=1,AZ255=0,AC255&lt;&gt;"",W255&lt;&gt;"",N(V255)&gt;0),COUNTIFS($AV$3:AV255,1,$AZ$3:AZ255,0,$AC$3:AC255,"&lt;&gt;",$W$3:W255,"&lt;&gt;",$V$3:V255,"&gt;0"),"")</f>
        <v/>
      </c>
    </row>
    <row r="256">
      <c r="A256" s="12" t="n"/>
      <c r="B256" s="13" t="n"/>
      <c r="C256" s="13" t="n"/>
      <c r="D256" s="7">
        <f>IF(OR(B256="",C256=""),"",ROUND((C256-B256)*1440,0))</f>
        <v/>
      </c>
      <c r="E256" s="12" t="n"/>
      <c r="F256" s="12" t="n"/>
      <c r="G256" s="12" t="n"/>
      <c r="H256" s="12" t="n"/>
      <c r="I256" s="12" t="n"/>
      <c r="J256" s="12" t="n"/>
      <c r="K256" s="12" t="n"/>
      <c r="L256" s="14" t="n"/>
      <c r="M256" s="12" t="n"/>
      <c r="N256" s="12" t="n"/>
      <c r="O256" s="12" t="n"/>
      <c r="P256" s="12" t="n"/>
      <c r="Q256" s="7">
        <f>IF(A256="","",IFERROR(VLOOKUP(O256,Listes!$R$3:$T$8,2,FALSE),0)+IFERROR(VLOOKUP(J256,Listes!$J$3:$L$6,2,FALSE),0)+IFERROR(VLOOKUP(N256,Listes!$N$3:$P$6,2,FALSE),0)+IF(OR(L256="",B256=""),0,IF(L256-INT(B256)&lt;10,8,IF(L256-INT(B256)&lt;=90,10,5)))+IFERROR(VLOOKUP(AN256,Listes!$V$3:$W$5,2,FALSE),0)+IFERROR(VLOOKUP(AO256,Listes!$Y$3:$Z$5,2,FALSE),0))</f>
        <v/>
      </c>
      <c r="R256" s="12" t="n"/>
      <c r="S256" s="12" t="n"/>
      <c r="T256" s="12" t="n"/>
      <c r="U256" s="15" t="n"/>
      <c r="V256" s="15" t="n"/>
      <c r="W256" s="13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3" t="n"/>
      <c r="AK256" s="12" t="n"/>
      <c r="AL256" s="12" t="n"/>
      <c r="AM256" s="12" t="n"/>
      <c r="AN256" s="12" t="n"/>
      <c r="AO256" s="12" t="n"/>
      <c r="AP256" s="12" t="n"/>
      <c r="AQ256" s="7">
        <f>IF(A256="","",IF(AP256&lt;&gt;"",AP256,IF(LEFT(Z256,11)="gads_marque","Google Search – Marque",IF(LEFT(Z256,12)="gads_mariage","Google Search – Mariage et privé",IF(LEFT(Z256,10)="gads_corpo","Google Search – Corporatif",IF(LEFT(Z256,5)="meta_","Meta – Leads",IF(LEFT(Z256,5)="msft_","Microsoft Ads",IF(LEFT(Z256,8)="chatgpt_","ChatGPT Ads – Test",IF(X256="gbp","Fiche Google (organique)","Autre / non payé")))))))))</f>
        <v/>
      </c>
      <c r="AR256" s="7">
        <f>IF(K256="","",IFERROR(VLOOKUP(K256,Listes!$F$3:$H$8,3,FALSE),""))</f>
        <v/>
      </c>
      <c r="AS256" s="7">
        <f>IF(O256="","",IF(AND(M256="Autre (plus de 40 km)",OR(O256="lt600",O256="600_999",O256="1000_2499")),"D",IF(OR(O256="lt600",AND(O256="600_999",K256&lt;&gt;"mariage",K256&lt;&gt;"prive")),"C",IF(OR(O256="2500_4999",O256="5000p",J256="entreprise",J256="organisme",J256="agence"),"A",IF(OR(O256="1000_2499",O256="600_999"),"B",IF(O256="inconnu",IF(OR(N256="75_149",N256="150p"),"A","B"),""))))))</f>
        <v/>
      </c>
      <c r="AT256" s="7">
        <f>IF(A256="","",IF(P256&lt;&gt;"",P256,AS256))</f>
        <v/>
      </c>
      <c r="AU256" s="7">
        <f>IF(A256="","",IF(OR(AT256="A",AT256="B"),1,0))</f>
        <v/>
      </c>
      <c r="AV256" s="7">
        <f>IF(A256="","",IF(OR(R256="Dépôt payé (gagné)",R256="Événement livré",R256="Avis obtenu"),1,0))</f>
        <v/>
      </c>
      <c r="AW256" s="7">
        <f>IF(A256="","",IF(Q256&gt;70,"Immédiat – propriétaire",IF(Q256&gt;=40,"15 min – personne de garde","Selon la route")))</f>
        <v/>
      </c>
      <c r="AX256" s="11">
        <f>IF(A256="","",IF(AT256="A",400,IF(AT256="B",150,0)))</f>
        <v/>
      </c>
      <c r="AY256" s="11">
        <f>IF(A256="","",IF(AV256=1,N(V256),IF(N(U256)&gt;0,ROUND(N(U256)*IFERROR(VLOOKUP(R256,Listes!$AE$3:$AG$12,2,FALSE),0),0),0)))</f>
        <v/>
      </c>
      <c r="AZ256" s="7">
        <f>IF(LEFT(A256,7)="EXEMPLE",1,0)</f>
        <v/>
      </c>
      <c r="BA256" s="7">
        <f>IF(AND(AV256=1,AZ256=0,AC256&lt;&gt;"",W256&lt;&gt;"",N(V256)&gt;0),COUNTIFS($AV$3:AV256,1,$AZ$3:AZ256,0,$AC$3:AC256,"&lt;&gt;",$W$3:W256,"&lt;&gt;",$V$3:V256,"&gt;0"),"")</f>
        <v/>
      </c>
    </row>
    <row r="257">
      <c r="A257" s="12" t="n"/>
      <c r="B257" s="13" t="n"/>
      <c r="C257" s="13" t="n"/>
      <c r="D257" s="7">
        <f>IF(OR(B257="",C257=""),"",ROUND((C257-B257)*1440,0))</f>
        <v/>
      </c>
      <c r="E257" s="12" t="n"/>
      <c r="F257" s="12" t="n"/>
      <c r="G257" s="12" t="n"/>
      <c r="H257" s="12" t="n"/>
      <c r="I257" s="12" t="n"/>
      <c r="J257" s="12" t="n"/>
      <c r="K257" s="12" t="n"/>
      <c r="L257" s="14" t="n"/>
      <c r="M257" s="12" t="n"/>
      <c r="N257" s="12" t="n"/>
      <c r="O257" s="12" t="n"/>
      <c r="P257" s="12" t="n"/>
      <c r="Q257" s="7">
        <f>IF(A257="","",IFERROR(VLOOKUP(O257,Listes!$R$3:$T$8,2,FALSE),0)+IFERROR(VLOOKUP(J257,Listes!$J$3:$L$6,2,FALSE),0)+IFERROR(VLOOKUP(N257,Listes!$N$3:$P$6,2,FALSE),0)+IF(OR(L257="",B257=""),0,IF(L257-INT(B257)&lt;10,8,IF(L257-INT(B257)&lt;=90,10,5)))+IFERROR(VLOOKUP(AN257,Listes!$V$3:$W$5,2,FALSE),0)+IFERROR(VLOOKUP(AO257,Listes!$Y$3:$Z$5,2,FALSE),0))</f>
        <v/>
      </c>
      <c r="R257" s="12" t="n"/>
      <c r="S257" s="12" t="n"/>
      <c r="T257" s="12" t="n"/>
      <c r="U257" s="15" t="n"/>
      <c r="V257" s="15" t="n"/>
      <c r="W257" s="13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3" t="n"/>
      <c r="AK257" s="12" t="n"/>
      <c r="AL257" s="12" t="n"/>
      <c r="AM257" s="12" t="n"/>
      <c r="AN257" s="12" t="n"/>
      <c r="AO257" s="12" t="n"/>
      <c r="AP257" s="12" t="n"/>
      <c r="AQ257" s="7">
        <f>IF(A257="","",IF(AP257&lt;&gt;"",AP257,IF(LEFT(Z257,11)="gads_marque","Google Search – Marque",IF(LEFT(Z257,12)="gads_mariage","Google Search – Mariage et privé",IF(LEFT(Z257,10)="gads_corpo","Google Search – Corporatif",IF(LEFT(Z257,5)="meta_","Meta – Leads",IF(LEFT(Z257,5)="msft_","Microsoft Ads",IF(LEFT(Z257,8)="chatgpt_","ChatGPT Ads – Test",IF(X257="gbp","Fiche Google (organique)","Autre / non payé")))))))))</f>
        <v/>
      </c>
      <c r="AR257" s="7">
        <f>IF(K257="","",IFERROR(VLOOKUP(K257,Listes!$F$3:$H$8,3,FALSE),""))</f>
        <v/>
      </c>
      <c r="AS257" s="7">
        <f>IF(O257="","",IF(AND(M257="Autre (plus de 40 km)",OR(O257="lt600",O257="600_999",O257="1000_2499")),"D",IF(OR(O257="lt600",AND(O257="600_999",K257&lt;&gt;"mariage",K257&lt;&gt;"prive")),"C",IF(OR(O257="2500_4999",O257="5000p",J257="entreprise",J257="organisme",J257="agence"),"A",IF(OR(O257="1000_2499",O257="600_999"),"B",IF(O257="inconnu",IF(OR(N257="75_149",N257="150p"),"A","B"),""))))))</f>
        <v/>
      </c>
      <c r="AT257" s="7">
        <f>IF(A257="","",IF(P257&lt;&gt;"",P257,AS257))</f>
        <v/>
      </c>
      <c r="AU257" s="7">
        <f>IF(A257="","",IF(OR(AT257="A",AT257="B"),1,0))</f>
        <v/>
      </c>
      <c r="AV257" s="7">
        <f>IF(A257="","",IF(OR(R257="Dépôt payé (gagné)",R257="Événement livré",R257="Avis obtenu"),1,0))</f>
        <v/>
      </c>
      <c r="AW257" s="7">
        <f>IF(A257="","",IF(Q257&gt;70,"Immédiat – propriétaire",IF(Q257&gt;=40,"15 min – personne de garde","Selon la route")))</f>
        <v/>
      </c>
      <c r="AX257" s="11">
        <f>IF(A257="","",IF(AT257="A",400,IF(AT257="B",150,0)))</f>
        <v/>
      </c>
      <c r="AY257" s="11">
        <f>IF(A257="","",IF(AV257=1,N(V257),IF(N(U257)&gt;0,ROUND(N(U257)*IFERROR(VLOOKUP(R257,Listes!$AE$3:$AG$12,2,FALSE),0),0),0)))</f>
        <v/>
      </c>
      <c r="AZ257" s="7">
        <f>IF(LEFT(A257,7)="EXEMPLE",1,0)</f>
        <v/>
      </c>
      <c r="BA257" s="7">
        <f>IF(AND(AV257=1,AZ257=0,AC257&lt;&gt;"",W257&lt;&gt;"",N(V257)&gt;0),COUNTIFS($AV$3:AV257,1,$AZ$3:AZ257,0,$AC$3:AC257,"&lt;&gt;",$W$3:W257,"&lt;&gt;",$V$3:V257,"&gt;0"),"")</f>
        <v/>
      </c>
    </row>
    <row r="258">
      <c r="A258" s="12" t="n"/>
      <c r="B258" s="13" t="n"/>
      <c r="C258" s="13" t="n"/>
      <c r="D258" s="7">
        <f>IF(OR(B258="",C258=""),"",ROUND((C258-B258)*1440,0))</f>
        <v/>
      </c>
      <c r="E258" s="12" t="n"/>
      <c r="F258" s="12" t="n"/>
      <c r="G258" s="12" t="n"/>
      <c r="H258" s="12" t="n"/>
      <c r="I258" s="12" t="n"/>
      <c r="J258" s="12" t="n"/>
      <c r="K258" s="12" t="n"/>
      <c r="L258" s="14" t="n"/>
      <c r="M258" s="12" t="n"/>
      <c r="N258" s="12" t="n"/>
      <c r="O258" s="12" t="n"/>
      <c r="P258" s="12" t="n"/>
      <c r="Q258" s="7">
        <f>IF(A258="","",IFERROR(VLOOKUP(O258,Listes!$R$3:$T$8,2,FALSE),0)+IFERROR(VLOOKUP(J258,Listes!$J$3:$L$6,2,FALSE),0)+IFERROR(VLOOKUP(N258,Listes!$N$3:$P$6,2,FALSE),0)+IF(OR(L258="",B258=""),0,IF(L258-INT(B258)&lt;10,8,IF(L258-INT(B258)&lt;=90,10,5)))+IFERROR(VLOOKUP(AN258,Listes!$V$3:$W$5,2,FALSE),0)+IFERROR(VLOOKUP(AO258,Listes!$Y$3:$Z$5,2,FALSE),0))</f>
        <v/>
      </c>
      <c r="R258" s="12" t="n"/>
      <c r="S258" s="12" t="n"/>
      <c r="T258" s="12" t="n"/>
      <c r="U258" s="15" t="n"/>
      <c r="V258" s="15" t="n"/>
      <c r="W258" s="13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3" t="n"/>
      <c r="AK258" s="12" t="n"/>
      <c r="AL258" s="12" t="n"/>
      <c r="AM258" s="12" t="n"/>
      <c r="AN258" s="12" t="n"/>
      <c r="AO258" s="12" t="n"/>
      <c r="AP258" s="12" t="n"/>
      <c r="AQ258" s="7">
        <f>IF(A258="","",IF(AP258&lt;&gt;"",AP258,IF(LEFT(Z258,11)="gads_marque","Google Search – Marque",IF(LEFT(Z258,12)="gads_mariage","Google Search – Mariage et privé",IF(LEFT(Z258,10)="gads_corpo","Google Search – Corporatif",IF(LEFT(Z258,5)="meta_","Meta – Leads",IF(LEFT(Z258,5)="msft_","Microsoft Ads",IF(LEFT(Z258,8)="chatgpt_","ChatGPT Ads – Test",IF(X258="gbp","Fiche Google (organique)","Autre / non payé")))))))))</f>
        <v/>
      </c>
      <c r="AR258" s="7">
        <f>IF(K258="","",IFERROR(VLOOKUP(K258,Listes!$F$3:$H$8,3,FALSE),""))</f>
        <v/>
      </c>
      <c r="AS258" s="7">
        <f>IF(O258="","",IF(AND(M258="Autre (plus de 40 km)",OR(O258="lt600",O258="600_999",O258="1000_2499")),"D",IF(OR(O258="lt600",AND(O258="600_999",K258&lt;&gt;"mariage",K258&lt;&gt;"prive")),"C",IF(OR(O258="2500_4999",O258="5000p",J258="entreprise",J258="organisme",J258="agence"),"A",IF(OR(O258="1000_2499",O258="600_999"),"B",IF(O258="inconnu",IF(OR(N258="75_149",N258="150p"),"A","B"),""))))))</f>
        <v/>
      </c>
      <c r="AT258" s="7">
        <f>IF(A258="","",IF(P258&lt;&gt;"",P258,AS258))</f>
        <v/>
      </c>
      <c r="AU258" s="7">
        <f>IF(A258="","",IF(OR(AT258="A",AT258="B"),1,0))</f>
        <v/>
      </c>
      <c r="AV258" s="7">
        <f>IF(A258="","",IF(OR(R258="Dépôt payé (gagné)",R258="Événement livré",R258="Avis obtenu"),1,0))</f>
        <v/>
      </c>
      <c r="AW258" s="7">
        <f>IF(A258="","",IF(Q258&gt;70,"Immédiat – propriétaire",IF(Q258&gt;=40,"15 min – personne de garde","Selon la route")))</f>
        <v/>
      </c>
      <c r="AX258" s="11">
        <f>IF(A258="","",IF(AT258="A",400,IF(AT258="B",150,0)))</f>
        <v/>
      </c>
      <c r="AY258" s="11">
        <f>IF(A258="","",IF(AV258=1,N(V258),IF(N(U258)&gt;0,ROUND(N(U258)*IFERROR(VLOOKUP(R258,Listes!$AE$3:$AG$12,2,FALSE),0),0),0)))</f>
        <v/>
      </c>
      <c r="AZ258" s="7">
        <f>IF(LEFT(A258,7)="EXEMPLE",1,0)</f>
        <v/>
      </c>
      <c r="BA258" s="7">
        <f>IF(AND(AV258=1,AZ258=0,AC258&lt;&gt;"",W258&lt;&gt;"",N(V258)&gt;0),COUNTIFS($AV$3:AV258,1,$AZ$3:AZ258,0,$AC$3:AC258,"&lt;&gt;",$W$3:W258,"&lt;&gt;",$V$3:V258,"&gt;0"),"")</f>
        <v/>
      </c>
    </row>
    <row r="259">
      <c r="A259" s="12" t="n"/>
      <c r="B259" s="13" t="n"/>
      <c r="C259" s="13" t="n"/>
      <c r="D259" s="7">
        <f>IF(OR(B259="",C259=""),"",ROUND((C259-B259)*1440,0))</f>
        <v/>
      </c>
      <c r="E259" s="12" t="n"/>
      <c r="F259" s="12" t="n"/>
      <c r="G259" s="12" t="n"/>
      <c r="H259" s="12" t="n"/>
      <c r="I259" s="12" t="n"/>
      <c r="J259" s="12" t="n"/>
      <c r="K259" s="12" t="n"/>
      <c r="L259" s="14" t="n"/>
      <c r="M259" s="12" t="n"/>
      <c r="N259" s="12" t="n"/>
      <c r="O259" s="12" t="n"/>
      <c r="P259" s="12" t="n"/>
      <c r="Q259" s="7">
        <f>IF(A259="","",IFERROR(VLOOKUP(O259,Listes!$R$3:$T$8,2,FALSE),0)+IFERROR(VLOOKUP(J259,Listes!$J$3:$L$6,2,FALSE),0)+IFERROR(VLOOKUP(N259,Listes!$N$3:$P$6,2,FALSE),0)+IF(OR(L259="",B259=""),0,IF(L259-INT(B259)&lt;10,8,IF(L259-INT(B259)&lt;=90,10,5)))+IFERROR(VLOOKUP(AN259,Listes!$V$3:$W$5,2,FALSE),0)+IFERROR(VLOOKUP(AO259,Listes!$Y$3:$Z$5,2,FALSE),0))</f>
        <v/>
      </c>
      <c r="R259" s="12" t="n"/>
      <c r="S259" s="12" t="n"/>
      <c r="T259" s="12" t="n"/>
      <c r="U259" s="15" t="n"/>
      <c r="V259" s="15" t="n"/>
      <c r="W259" s="13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3" t="n"/>
      <c r="AK259" s="12" t="n"/>
      <c r="AL259" s="12" t="n"/>
      <c r="AM259" s="12" t="n"/>
      <c r="AN259" s="12" t="n"/>
      <c r="AO259" s="12" t="n"/>
      <c r="AP259" s="12" t="n"/>
      <c r="AQ259" s="7">
        <f>IF(A259="","",IF(AP259&lt;&gt;"",AP259,IF(LEFT(Z259,11)="gads_marque","Google Search – Marque",IF(LEFT(Z259,12)="gads_mariage","Google Search – Mariage et privé",IF(LEFT(Z259,10)="gads_corpo","Google Search – Corporatif",IF(LEFT(Z259,5)="meta_","Meta – Leads",IF(LEFT(Z259,5)="msft_","Microsoft Ads",IF(LEFT(Z259,8)="chatgpt_","ChatGPT Ads – Test",IF(X259="gbp","Fiche Google (organique)","Autre / non payé")))))))))</f>
        <v/>
      </c>
      <c r="AR259" s="7">
        <f>IF(K259="","",IFERROR(VLOOKUP(K259,Listes!$F$3:$H$8,3,FALSE),""))</f>
        <v/>
      </c>
      <c r="AS259" s="7">
        <f>IF(O259="","",IF(AND(M259="Autre (plus de 40 km)",OR(O259="lt600",O259="600_999",O259="1000_2499")),"D",IF(OR(O259="lt600",AND(O259="600_999",K259&lt;&gt;"mariage",K259&lt;&gt;"prive")),"C",IF(OR(O259="2500_4999",O259="5000p",J259="entreprise",J259="organisme",J259="agence"),"A",IF(OR(O259="1000_2499",O259="600_999"),"B",IF(O259="inconnu",IF(OR(N259="75_149",N259="150p"),"A","B"),""))))))</f>
        <v/>
      </c>
      <c r="AT259" s="7">
        <f>IF(A259="","",IF(P259&lt;&gt;"",P259,AS259))</f>
        <v/>
      </c>
      <c r="AU259" s="7">
        <f>IF(A259="","",IF(OR(AT259="A",AT259="B"),1,0))</f>
        <v/>
      </c>
      <c r="AV259" s="7">
        <f>IF(A259="","",IF(OR(R259="Dépôt payé (gagné)",R259="Événement livré",R259="Avis obtenu"),1,0))</f>
        <v/>
      </c>
      <c r="AW259" s="7">
        <f>IF(A259="","",IF(Q259&gt;70,"Immédiat – propriétaire",IF(Q259&gt;=40,"15 min – personne de garde","Selon la route")))</f>
        <v/>
      </c>
      <c r="AX259" s="11">
        <f>IF(A259="","",IF(AT259="A",400,IF(AT259="B",150,0)))</f>
        <v/>
      </c>
      <c r="AY259" s="11">
        <f>IF(A259="","",IF(AV259=1,N(V259),IF(N(U259)&gt;0,ROUND(N(U259)*IFERROR(VLOOKUP(R259,Listes!$AE$3:$AG$12,2,FALSE),0),0),0)))</f>
        <v/>
      </c>
      <c r="AZ259" s="7">
        <f>IF(LEFT(A259,7)="EXEMPLE",1,0)</f>
        <v/>
      </c>
      <c r="BA259" s="7">
        <f>IF(AND(AV259=1,AZ259=0,AC259&lt;&gt;"",W259&lt;&gt;"",N(V259)&gt;0),COUNTIFS($AV$3:AV259,1,$AZ$3:AZ259,0,$AC$3:AC259,"&lt;&gt;",$W$3:W259,"&lt;&gt;",$V$3:V259,"&gt;0"),"")</f>
        <v/>
      </c>
    </row>
    <row r="260">
      <c r="A260" s="12" t="n"/>
      <c r="B260" s="13" t="n"/>
      <c r="C260" s="13" t="n"/>
      <c r="D260" s="7">
        <f>IF(OR(B260="",C260=""),"",ROUND((C260-B260)*1440,0))</f>
        <v/>
      </c>
      <c r="E260" s="12" t="n"/>
      <c r="F260" s="12" t="n"/>
      <c r="G260" s="12" t="n"/>
      <c r="H260" s="12" t="n"/>
      <c r="I260" s="12" t="n"/>
      <c r="J260" s="12" t="n"/>
      <c r="K260" s="12" t="n"/>
      <c r="L260" s="14" t="n"/>
      <c r="M260" s="12" t="n"/>
      <c r="N260" s="12" t="n"/>
      <c r="O260" s="12" t="n"/>
      <c r="P260" s="12" t="n"/>
      <c r="Q260" s="7">
        <f>IF(A260="","",IFERROR(VLOOKUP(O260,Listes!$R$3:$T$8,2,FALSE),0)+IFERROR(VLOOKUP(J260,Listes!$J$3:$L$6,2,FALSE),0)+IFERROR(VLOOKUP(N260,Listes!$N$3:$P$6,2,FALSE),0)+IF(OR(L260="",B260=""),0,IF(L260-INT(B260)&lt;10,8,IF(L260-INT(B260)&lt;=90,10,5)))+IFERROR(VLOOKUP(AN260,Listes!$V$3:$W$5,2,FALSE),0)+IFERROR(VLOOKUP(AO260,Listes!$Y$3:$Z$5,2,FALSE),0))</f>
        <v/>
      </c>
      <c r="R260" s="12" t="n"/>
      <c r="S260" s="12" t="n"/>
      <c r="T260" s="12" t="n"/>
      <c r="U260" s="15" t="n"/>
      <c r="V260" s="15" t="n"/>
      <c r="W260" s="13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3" t="n"/>
      <c r="AK260" s="12" t="n"/>
      <c r="AL260" s="12" t="n"/>
      <c r="AM260" s="12" t="n"/>
      <c r="AN260" s="12" t="n"/>
      <c r="AO260" s="12" t="n"/>
      <c r="AP260" s="12" t="n"/>
      <c r="AQ260" s="7">
        <f>IF(A260="","",IF(AP260&lt;&gt;"",AP260,IF(LEFT(Z260,11)="gads_marque","Google Search – Marque",IF(LEFT(Z260,12)="gads_mariage","Google Search – Mariage et privé",IF(LEFT(Z260,10)="gads_corpo","Google Search – Corporatif",IF(LEFT(Z260,5)="meta_","Meta – Leads",IF(LEFT(Z260,5)="msft_","Microsoft Ads",IF(LEFT(Z260,8)="chatgpt_","ChatGPT Ads – Test",IF(X260="gbp","Fiche Google (organique)","Autre / non payé")))))))))</f>
        <v/>
      </c>
      <c r="AR260" s="7">
        <f>IF(K260="","",IFERROR(VLOOKUP(K260,Listes!$F$3:$H$8,3,FALSE),""))</f>
        <v/>
      </c>
      <c r="AS260" s="7">
        <f>IF(O260="","",IF(AND(M260="Autre (plus de 40 km)",OR(O260="lt600",O260="600_999",O260="1000_2499")),"D",IF(OR(O260="lt600",AND(O260="600_999",K260&lt;&gt;"mariage",K260&lt;&gt;"prive")),"C",IF(OR(O260="2500_4999",O260="5000p",J260="entreprise",J260="organisme",J260="agence"),"A",IF(OR(O260="1000_2499",O260="600_999"),"B",IF(O260="inconnu",IF(OR(N260="75_149",N260="150p"),"A","B"),""))))))</f>
        <v/>
      </c>
      <c r="AT260" s="7">
        <f>IF(A260="","",IF(P260&lt;&gt;"",P260,AS260))</f>
        <v/>
      </c>
      <c r="AU260" s="7">
        <f>IF(A260="","",IF(OR(AT260="A",AT260="B"),1,0))</f>
        <v/>
      </c>
      <c r="AV260" s="7">
        <f>IF(A260="","",IF(OR(R260="Dépôt payé (gagné)",R260="Événement livré",R260="Avis obtenu"),1,0))</f>
        <v/>
      </c>
      <c r="AW260" s="7">
        <f>IF(A260="","",IF(Q260&gt;70,"Immédiat – propriétaire",IF(Q260&gt;=40,"15 min – personne de garde","Selon la route")))</f>
        <v/>
      </c>
      <c r="AX260" s="11">
        <f>IF(A260="","",IF(AT260="A",400,IF(AT260="B",150,0)))</f>
        <v/>
      </c>
      <c r="AY260" s="11">
        <f>IF(A260="","",IF(AV260=1,N(V260),IF(N(U260)&gt;0,ROUND(N(U260)*IFERROR(VLOOKUP(R260,Listes!$AE$3:$AG$12,2,FALSE),0),0),0)))</f>
        <v/>
      </c>
      <c r="AZ260" s="7">
        <f>IF(LEFT(A260,7)="EXEMPLE",1,0)</f>
        <v/>
      </c>
      <c r="BA260" s="7">
        <f>IF(AND(AV260=1,AZ260=0,AC260&lt;&gt;"",W260&lt;&gt;"",N(V260)&gt;0),COUNTIFS($AV$3:AV260,1,$AZ$3:AZ260,0,$AC$3:AC260,"&lt;&gt;",$W$3:W260,"&lt;&gt;",$V$3:V260,"&gt;0"),"")</f>
        <v/>
      </c>
    </row>
    <row r="261">
      <c r="A261" s="12" t="n"/>
      <c r="B261" s="13" t="n"/>
      <c r="C261" s="13" t="n"/>
      <c r="D261" s="7">
        <f>IF(OR(B261="",C261=""),"",ROUND((C261-B261)*1440,0))</f>
        <v/>
      </c>
      <c r="E261" s="12" t="n"/>
      <c r="F261" s="12" t="n"/>
      <c r="G261" s="12" t="n"/>
      <c r="H261" s="12" t="n"/>
      <c r="I261" s="12" t="n"/>
      <c r="J261" s="12" t="n"/>
      <c r="K261" s="12" t="n"/>
      <c r="L261" s="14" t="n"/>
      <c r="M261" s="12" t="n"/>
      <c r="N261" s="12" t="n"/>
      <c r="O261" s="12" t="n"/>
      <c r="P261" s="12" t="n"/>
      <c r="Q261" s="7">
        <f>IF(A261="","",IFERROR(VLOOKUP(O261,Listes!$R$3:$T$8,2,FALSE),0)+IFERROR(VLOOKUP(J261,Listes!$J$3:$L$6,2,FALSE),0)+IFERROR(VLOOKUP(N261,Listes!$N$3:$P$6,2,FALSE),0)+IF(OR(L261="",B261=""),0,IF(L261-INT(B261)&lt;10,8,IF(L261-INT(B261)&lt;=90,10,5)))+IFERROR(VLOOKUP(AN261,Listes!$V$3:$W$5,2,FALSE),0)+IFERROR(VLOOKUP(AO261,Listes!$Y$3:$Z$5,2,FALSE),0))</f>
        <v/>
      </c>
      <c r="R261" s="12" t="n"/>
      <c r="S261" s="12" t="n"/>
      <c r="T261" s="12" t="n"/>
      <c r="U261" s="15" t="n"/>
      <c r="V261" s="15" t="n"/>
      <c r="W261" s="13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3" t="n"/>
      <c r="AK261" s="12" t="n"/>
      <c r="AL261" s="12" t="n"/>
      <c r="AM261" s="12" t="n"/>
      <c r="AN261" s="12" t="n"/>
      <c r="AO261" s="12" t="n"/>
      <c r="AP261" s="12" t="n"/>
      <c r="AQ261" s="7">
        <f>IF(A261="","",IF(AP261&lt;&gt;"",AP261,IF(LEFT(Z261,11)="gads_marque","Google Search – Marque",IF(LEFT(Z261,12)="gads_mariage","Google Search – Mariage et privé",IF(LEFT(Z261,10)="gads_corpo","Google Search – Corporatif",IF(LEFT(Z261,5)="meta_","Meta – Leads",IF(LEFT(Z261,5)="msft_","Microsoft Ads",IF(LEFT(Z261,8)="chatgpt_","ChatGPT Ads – Test",IF(X261="gbp","Fiche Google (organique)","Autre / non payé")))))))))</f>
        <v/>
      </c>
      <c r="AR261" s="7">
        <f>IF(K261="","",IFERROR(VLOOKUP(K261,Listes!$F$3:$H$8,3,FALSE),""))</f>
        <v/>
      </c>
      <c r="AS261" s="7">
        <f>IF(O261="","",IF(AND(M261="Autre (plus de 40 km)",OR(O261="lt600",O261="600_999",O261="1000_2499")),"D",IF(OR(O261="lt600",AND(O261="600_999",K261&lt;&gt;"mariage",K261&lt;&gt;"prive")),"C",IF(OR(O261="2500_4999",O261="5000p",J261="entreprise",J261="organisme",J261="agence"),"A",IF(OR(O261="1000_2499",O261="600_999"),"B",IF(O261="inconnu",IF(OR(N261="75_149",N261="150p"),"A","B"),""))))))</f>
        <v/>
      </c>
      <c r="AT261" s="7">
        <f>IF(A261="","",IF(P261&lt;&gt;"",P261,AS261))</f>
        <v/>
      </c>
      <c r="AU261" s="7">
        <f>IF(A261="","",IF(OR(AT261="A",AT261="B"),1,0))</f>
        <v/>
      </c>
      <c r="AV261" s="7">
        <f>IF(A261="","",IF(OR(R261="Dépôt payé (gagné)",R261="Événement livré",R261="Avis obtenu"),1,0))</f>
        <v/>
      </c>
      <c r="AW261" s="7">
        <f>IF(A261="","",IF(Q261&gt;70,"Immédiat – propriétaire",IF(Q261&gt;=40,"15 min – personne de garde","Selon la route")))</f>
        <v/>
      </c>
      <c r="AX261" s="11">
        <f>IF(A261="","",IF(AT261="A",400,IF(AT261="B",150,0)))</f>
        <v/>
      </c>
      <c r="AY261" s="11">
        <f>IF(A261="","",IF(AV261=1,N(V261),IF(N(U261)&gt;0,ROUND(N(U261)*IFERROR(VLOOKUP(R261,Listes!$AE$3:$AG$12,2,FALSE),0),0),0)))</f>
        <v/>
      </c>
      <c r="AZ261" s="7">
        <f>IF(LEFT(A261,7)="EXEMPLE",1,0)</f>
        <v/>
      </c>
      <c r="BA261" s="7">
        <f>IF(AND(AV261=1,AZ261=0,AC261&lt;&gt;"",W261&lt;&gt;"",N(V261)&gt;0),COUNTIFS($AV$3:AV261,1,$AZ$3:AZ261,0,$AC$3:AC261,"&lt;&gt;",$W$3:W261,"&lt;&gt;",$V$3:V261,"&gt;0"),"")</f>
        <v/>
      </c>
    </row>
    <row r="262">
      <c r="A262" s="12" t="n"/>
      <c r="B262" s="13" t="n"/>
      <c r="C262" s="13" t="n"/>
      <c r="D262" s="7">
        <f>IF(OR(B262="",C262=""),"",ROUND((C262-B262)*1440,0))</f>
        <v/>
      </c>
      <c r="E262" s="12" t="n"/>
      <c r="F262" s="12" t="n"/>
      <c r="G262" s="12" t="n"/>
      <c r="H262" s="12" t="n"/>
      <c r="I262" s="12" t="n"/>
      <c r="J262" s="12" t="n"/>
      <c r="K262" s="12" t="n"/>
      <c r="L262" s="14" t="n"/>
      <c r="M262" s="12" t="n"/>
      <c r="N262" s="12" t="n"/>
      <c r="O262" s="12" t="n"/>
      <c r="P262" s="12" t="n"/>
      <c r="Q262" s="7">
        <f>IF(A262="","",IFERROR(VLOOKUP(O262,Listes!$R$3:$T$8,2,FALSE),0)+IFERROR(VLOOKUP(J262,Listes!$J$3:$L$6,2,FALSE),0)+IFERROR(VLOOKUP(N262,Listes!$N$3:$P$6,2,FALSE),0)+IF(OR(L262="",B262=""),0,IF(L262-INT(B262)&lt;10,8,IF(L262-INT(B262)&lt;=90,10,5)))+IFERROR(VLOOKUP(AN262,Listes!$V$3:$W$5,2,FALSE),0)+IFERROR(VLOOKUP(AO262,Listes!$Y$3:$Z$5,2,FALSE),0))</f>
        <v/>
      </c>
      <c r="R262" s="12" t="n"/>
      <c r="S262" s="12" t="n"/>
      <c r="T262" s="12" t="n"/>
      <c r="U262" s="15" t="n"/>
      <c r="V262" s="15" t="n"/>
      <c r="W262" s="13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3" t="n"/>
      <c r="AK262" s="12" t="n"/>
      <c r="AL262" s="12" t="n"/>
      <c r="AM262" s="12" t="n"/>
      <c r="AN262" s="12" t="n"/>
      <c r="AO262" s="12" t="n"/>
      <c r="AP262" s="12" t="n"/>
      <c r="AQ262" s="7">
        <f>IF(A262="","",IF(AP262&lt;&gt;"",AP262,IF(LEFT(Z262,11)="gads_marque","Google Search – Marque",IF(LEFT(Z262,12)="gads_mariage","Google Search – Mariage et privé",IF(LEFT(Z262,10)="gads_corpo","Google Search – Corporatif",IF(LEFT(Z262,5)="meta_","Meta – Leads",IF(LEFT(Z262,5)="msft_","Microsoft Ads",IF(LEFT(Z262,8)="chatgpt_","ChatGPT Ads – Test",IF(X262="gbp","Fiche Google (organique)","Autre / non payé")))))))))</f>
        <v/>
      </c>
      <c r="AR262" s="7">
        <f>IF(K262="","",IFERROR(VLOOKUP(K262,Listes!$F$3:$H$8,3,FALSE),""))</f>
        <v/>
      </c>
      <c r="AS262" s="7">
        <f>IF(O262="","",IF(AND(M262="Autre (plus de 40 km)",OR(O262="lt600",O262="600_999",O262="1000_2499")),"D",IF(OR(O262="lt600",AND(O262="600_999",K262&lt;&gt;"mariage",K262&lt;&gt;"prive")),"C",IF(OR(O262="2500_4999",O262="5000p",J262="entreprise",J262="organisme",J262="agence"),"A",IF(OR(O262="1000_2499",O262="600_999"),"B",IF(O262="inconnu",IF(OR(N262="75_149",N262="150p"),"A","B"),""))))))</f>
        <v/>
      </c>
      <c r="AT262" s="7">
        <f>IF(A262="","",IF(P262&lt;&gt;"",P262,AS262))</f>
        <v/>
      </c>
      <c r="AU262" s="7">
        <f>IF(A262="","",IF(OR(AT262="A",AT262="B"),1,0))</f>
        <v/>
      </c>
      <c r="AV262" s="7">
        <f>IF(A262="","",IF(OR(R262="Dépôt payé (gagné)",R262="Événement livré",R262="Avis obtenu"),1,0))</f>
        <v/>
      </c>
      <c r="AW262" s="7">
        <f>IF(A262="","",IF(Q262&gt;70,"Immédiat – propriétaire",IF(Q262&gt;=40,"15 min – personne de garde","Selon la route")))</f>
        <v/>
      </c>
      <c r="AX262" s="11">
        <f>IF(A262="","",IF(AT262="A",400,IF(AT262="B",150,0)))</f>
        <v/>
      </c>
      <c r="AY262" s="11">
        <f>IF(A262="","",IF(AV262=1,N(V262),IF(N(U262)&gt;0,ROUND(N(U262)*IFERROR(VLOOKUP(R262,Listes!$AE$3:$AG$12,2,FALSE),0),0),0)))</f>
        <v/>
      </c>
      <c r="AZ262" s="7">
        <f>IF(LEFT(A262,7)="EXEMPLE",1,0)</f>
        <v/>
      </c>
      <c r="BA262" s="7">
        <f>IF(AND(AV262=1,AZ262=0,AC262&lt;&gt;"",W262&lt;&gt;"",N(V262)&gt;0),COUNTIFS($AV$3:AV262,1,$AZ$3:AZ262,0,$AC$3:AC262,"&lt;&gt;",$W$3:W262,"&lt;&gt;",$V$3:V262,"&gt;0"),"")</f>
        <v/>
      </c>
    </row>
    <row r="263">
      <c r="A263" s="12" t="n"/>
      <c r="B263" s="13" t="n"/>
      <c r="C263" s="13" t="n"/>
      <c r="D263" s="7">
        <f>IF(OR(B263="",C263=""),"",ROUND((C263-B263)*1440,0))</f>
        <v/>
      </c>
      <c r="E263" s="12" t="n"/>
      <c r="F263" s="12" t="n"/>
      <c r="G263" s="12" t="n"/>
      <c r="H263" s="12" t="n"/>
      <c r="I263" s="12" t="n"/>
      <c r="J263" s="12" t="n"/>
      <c r="K263" s="12" t="n"/>
      <c r="L263" s="14" t="n"/>
      <c r="M263" s="12" t="n"/>
      <c r="N263" s="12" t="n"/>
      <c r="O263" s="12" t="n"/>
      <c r="P263" s="12" t="n"/>
      <c r="Q263" s="7">
        <f>IF(A263="","",IFERROR(VLOOKUP(O263,Listes!$R$3:$T$8,2,FALSE),0)+IFERROR(VLOOKUP(J263,Listes!$J$3:$L$6,2,FALSE),0)+IFERROR(VLOOKUP(N263,Listes!$N$3:$P$6,2,FALSE),0)+IF(OR(L263="",B263=""),0,IF(L263-INT(B263)&lt;10,8,IF(L263-INT(B263)&lt;=90,10,5)))+IFERROR(VLOOKUP(AN263,Listes!$V$3:$W$5,2,FALSE),0)+IFERROR(VLOOKUP(AO263,Listes!$Y$3:$Z$5,2,FALSE),0))</f>
        <v/>
      </c>
      <c r="R263" s="12" t="n"/>
      <c r="S263" s="12" t="n"/>
      <c r="T263" s="12" t="n"/>
      <c r="U263" s="15" t="n"/>
      <c r="V263" s="15" t="n"/>
      <c r="W263" s="13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3" t="n"/>
      <c r="AK263" s="12" t="n"/>
      <c r="AL263" s="12" t="n"/>
      <c r="AM263" s="12" t="n"/>
      <c r="AN263" s="12" t="n"/>
      <c r="AO263" s="12" t="n"/>
      <c r="AP263" s="12" t="n"/>
      <c r="AQ263" s="7">
        <f>IF(A263="","",IF(AP263&lt;&gt;"",AP263,IF(LEFT(Z263,11)="gads_marque","Google Search – Marque",IF(LEFT(Z263,12)="gads_mariage","Google Search – Mariage et privé",IF(LEFT(Z263,10)="gads_corpo","Google Search – Corporatif",IF(LEFT(Z263,5)="meta_","Meta – Leads",IF(LEFT(Z263,5)="msft_","Microsoft Ads",IF(LEFT(Z263,8)="chatgpt_","ChatGPT Ads – Test",IF(X263="gbp","Fiche Google (organique)","Autre / non payé")))))))))</f>
        <v/>
      </c>
      <c r="AR263" s="7">
        <f>IF(K263="","",IFERROR(VLOOKUP(K263,Listes!$F$3:$H$8,3,FALSE),""))</f>
        <v/>
      </c>
      <c r="AS263" s="7">
        <f>IF(O263="","",IF(AND(M263="Autre (plus de 40 km)",OR(O263="lt600",O263="600_999",O263="1000_2499")),"D",IF(OR(O263="lt600",AND(O263="600_999",K263&lt;&gt;"mariage",K263&lt;&gt;"prive")),"C",IF(OR(O263="2500_4999",O263="5000p",J263="entreprise",J263="organisme",J263="agence"),"A",IF(OR(O263="1000_2499",O263="600_999"),"B",IF(O263="inconnu",IF(OR(N263="75_149",N263="150p"),"A","B"),""))))))</f>
        <v/>
      </c>
      <c r="AT263" s="7">
        <f>IF(A263="","",IF(P263&lt;&gt;"",P263,AS263))</f>
        <v/>
      </c>
      <c r="AU263" s="7">
        <f>IF(A263="","",IF(OR(AT263="A",AT263="B"),1,0))</f>
        <v/>
      </c>
      <c r="AV263" s="7">
        <f>IF(A263="","",IF(OR(R263="Dépôt payé (gagné)",R263="Événement livré",R263="Avis obtenu"),1,0))</f>
        <v/>
      </c>
      <c r="AW263" s="7">
        <f>IF(A263="","",IF(Q263&gt;70,"Immédiat – propriétaire",IF(Q263&gt;=40,"15 min – personne de garde","Selon la route")))</f>
        <v/>
      </c>
      <c r="AX263" s="11">
        <f>IF(A263="","",IF(AT263="A",400,IF(AT263="B",150,0)))</f>
        <v/>
      </c>
      <c r="AY263" s="11">
        <f>IF(A263="","",IF(AV263=1,N(V263),IF(N(U263)&gt;0,ROUND(N(U263)*IFERROR(VLOOKUP(R263,Listes!$AE$3:$AG$12,2,FALSE),0),0),0)))</f>
        <v/>
      </c>
      <c r="AZ263" s="7">
        <f>IF(LEFT(A263,7)="EXEMPLE",1,0)</f>
        <v/>
      </c>
      <c r="BA263" s="7">
        <f>IF(AND(AV263=1,AZ263=0,AC263&lt;&gt;"",W263&lt;&gt;"",N(V263)&gt;0),COUNTIFS($AV$3:AV263,1,$AZ$3:AZ263,0,$AC$3:AC263,"&lt;&gt;",$W$3:W263,"&lt;&gt;",$V$3:V263,"&gt;0"),"")</f>
        <v/>
      </c>
    </row>
    <row r="264">
      <c r="A264" s="12" t="n"/>
      <c r="B264" s="13" t="n"/>
      <c r="C264" s="13" t="n"/>
      <c r="D264" s="7">
        <f>IF(OR(B264="",C264=""),"",ROUND((C264-B264)*1440,0))</f>
        <v/>
      </c>
      <c r="E264" s="12" t="n"/>
      <c r="F264" s="12" t="n"/>
      <c r="G264" s="12" t="n"/>
      <c r="H264" s="12" t="n"/>
      <c r="I264" s="12" t="n"/>
      <c r="J264" s="12" t="n"/>
      <c r="K264" s="12" t="n"/>
      <c r="L264" s="14" t="n"/>
      <c r="M264" s="12" t="n"/>
      <c r="N264" s="12" t="n"/>
      <c r="O264" s="12" t="n"/>
      <c r="P264" s="12" t="n"/>
      <c r="Q264" s="7">
        <f>IF(A264="","",IFERROR(VLOOKUP(O264,Listes!$R$3:$T$8,2,FALSE),0)+IFERROR(VLOOKUP(J264,Listes!$J$3:$L$6,2,FALSE),0)+IFERROR(VLOOKUP(N264,Listes!$N$3:$P$6,2,FALSE),0)+IF(OR(L264="",B264=""),0,IF(L264-INT(B264)&lt;10,8,IF(L264-INT(B264)&lt;=90,10,5)))+IFERROR(VLOOKUP(AN264,Listes!$V$3:$W$5,2,FALSE),0)+IFERROR(VLOOKUP(AO264,Listes!$Y$3:$Z$5,2,FALSE),0))</f>
        <v/>
      </c>
      <c r="R264" s="12" t="n"/>
      <c r="S264" s="12" t="n"/>
      <c r="T264" s="12" t="n"/>
      <c r="U264" s="15" t="n"/>
      <c r="V264" s="15" t="n"/>
      <c r="W264" s="13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3" t="n"/>
      <c r="AK264" s="12" t="n"/>
      <c r="AL264" s="12" t="n"/>
      <c r="AM264" s="12" t="n"/>
      <c r="AN264" s="12" t="n"/>
      <c r="AO264" s="12" t="n"/>
      <c r="AP264" s="12" t="n"/>
      <c r="AQ264" s="7">
        <f>IF(A264="","",IF(AP264&lt;&gt;"",AP264,IF(LEFT(Z264,11)="gads_marque","Google Search – Marque",IF(LEFT(Z264,12)="gads_mariage","Google Search – Mariage et privé",IF(LEFT(Z264,10)="gads_corpo","Google Search – Corporatif",IF(LEFT(Z264,5)="meta_","Meta – Leads",IF(LEFT(Z264,5)="msft_","Microsoft Ads",IF(LEFT(Z264,8)="chatgpt_","ChatGPT Ads – Test",IF(X264="gbp","Fiche Google (organique)","Autre / non payé")))))))))</f>
        <v/>
      </c>
      <c r="AR264" s="7">
        <f>IF(K264="","",IFERROR(VLOOKUP(K264,Listes!$F$3:$H$8,3,FALSE),""))</f>
        <v/>
      </c>
      <c r="AS264" s="7">
        <f>IF(O264="","",IF(AND(M264="Autre (plus de 40 km)",OR(O264="lt600",O264="600_999",O264="1000_2499")),"D",IF(OR(O264="lt600",AND(O264="600_999",K264&lt;&gt;"mariage",K264&lt;&gt;"prive")),"C",IF(OR(O264="2500_4999",O264="5000p",J264="entreprise",J264="organisme",J264="agence"),"A",IF(OR(O264="1000_2499",O264="600_999"),"B",IF(O264="inconnu",IF(OR(N264="75_149",N264="150p"),"A","B"),""))))))</f>
        <v/>
      </c>
      <c r="AT264" s="7">
        <f>IF(A264="","",IF(P264&lt;&gt;"",P264,AS264))</f>
        <v/>
      </c>
      <c r="AU264" s="7">
        <f>IF(A264="","",IF(OR(AT264="A",AT264="B"),1,0))</f>
        <v/>
      </c>
      <c r="AV264" s="7">
        <f>IF(A264="","",IF(OR(R264="Dépôt payé (gagné)",R264="Événement livré",R264="Avis obtenu"),1,0))</f>
        <v/>
      </c>
      <c r="AW264" s="7">
        <f>IF(A264="","",IF(Q264&gt;70,"Immédiat – propriétaire",IF(Q264&gt;=40,"15 min – personne de garde","Selon la route")))</f>
        <v/>
      </c>
      <c r="AX264" s="11">
        <f>IF(A264="","",IF(AT264="A",400,IF(AT264="B",150,0)))</f>
        <v/>
      </c>
      <c r="AY264" s="11">
        <f>IF(A264="","",IF(AV264=1,N(V264),IF(N(U264)&gt;0,ROUND(N(U264)*IFERROR(VLOOKUP(R264,Listes!$AE$3:$AG$12,2,FALSE),0),0),0)))</f>
        <v/>
      </c>
      <c r="AZ264" s="7">
        <f>IF(LEFT(A264,7)="EXEMPLE",1,0)</f>
        <v/>
      </c>
      <c r="BA264" s="7">
        <f>IF(AND(AV264=1,AZ264=0,AC264&lt;&gt;"",W264&lt;&gt;"",N(V264)&gt;0),COUNTIFS($AV$3:AV264,1,$AZ$3:AZ264,0,$AC$3:AC264,"&lt;&gt;",$W$3:W264,"&lt;&gt;",$V$3:V264,"&gt;0"),"")</f>
        <v/>
      </c>
    </row>
    <row r="265">
      <c r="A265" s="12" t="n"/>
      <c r="B265" s="13" t="n"/>
      <c r="C265" s="13" t="n"/>
      <c r="D265" s="7">
        <f>IF(OR(B265="",C265=""),"",ROUND((C265-B265)*1440,0))</f>
        <v/>
      </c>
      <c r="E265" s="12" t="n"/>
      <c r="F265" s="12" t="n"/>
      <c r="G265" s="12" t="n"/>
      <c r="H265" s="12" t="n"/>
      <c r="I265" s="12" t="n"/>
      <c r="J265" s="12" t="n"/>
      <c r="K265" s="12" t="n"/>
      <c r="L265" s="14" t="n"/>
      <c r="M265" s="12" t="n"/>
      <c r="N265" s="12" t="n"/>
      <c r="O265" s="12" t="n"/>
      <c r="P265" s="12" t="n"/>
      <c r="Q265" s="7">
        <f>IF(A265="","",IFERROR(VLOOKUP(O265,Listes!$R$3:$T$8,2,FALSE),0)+IFERROR(VLOOKUP(J265,Listes!$J$3:$L$6,2,FALSE),0)+IFERROR(VLOOKUP(N265,Listes!$N$3:$P$6,2,FALSE),0)+IF(OR(L265="",B265=""),0,IF(L265-INT(B265)&lt;10,8,IF(L265-INT(B265)&lt;=90,10,5)))+IFERROR(VLOOKUP(AN265,Listes!$V$3:$W$5,2,FALSE),0)+IFERROR(VLOOKUP(AO265,Listes!$Y$3:$Z$5,2,FALSE),0))</f>
        <v/>
      </c>
      <c r="R265" s="12" t="n"/>
      <c r="S265" s="12" t="n"/>
      <c r="T265" s="12" t="n"/>
      <c r="U265" s="15" t="n"/>
      <c r="V265" s="15" t="n"/>
      <c r="W265" s="13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3" t="n"/>
      <c r="AK265" s="12" t="n"/>
      <c r="AL265" s="12" t="n"/>
      <c r="AM265" s="12" t="n"/>
      <c r="AN265" s="12" t="n"/>
      <c r="AO265" s="12" t="n"/>
      <c r="AP265" s="12" t="n"/>
      <c r="AQ265" s="7">
        <f>IF(A265="","",IF(AP265&lt;&gt;"",AP265,IF(LEFT(Z265,11)="gads_marque","Google Search – Marque",IF(LEFT(Z265,12)="gads_mariage","Google Search – Mariage et privé",IF(LEFT(Z265,10)="gads_corpo","Google Search – Corporatif",IF(LEFT(Z265,5)="meta_","Meta – Leads",IF(LEFT(Z265,5)="msft_","Microsoft Ads",IF(LEFT(Z265,8)="chatgpt_","ChatGPT Ads – Test",IF(X265="gbp","Fiche Google (organique)","Autre / non payé")))))))))</f>
        <v/>
      </c>
      <c r="AR265" s="7">
        <f>IF(K265="","",IFERROR(VLOOKUP(K265,Listes!$F$3:$H$8,3,FALSE),""))</f>
        <v/>
      </c>
      <c r="AS265" s="7">
        <f>IF(O265="","",IF(AND(M265="Autre (plus de 40 km)",OR(O265="lt600",O265="600_999",O265="1000_2499")),"D",IF(OR(O265="lt600",AND(O265="600_999",K265&lt;&gt;"mariage",K265&lt;&gt;"prive")),"C",IF(OR(O265="2500_4999",O265="5000p",J265="entreprise",J265="organisme",J265="agence"),"A",IF(OR(O265="1000_2499",O265="600_999"),"B",IF(O265="inconnu",IF(OR(N265="75_149",N265="150p"),"A","B"),""))))))</f>
        <v/>
      </c>
      <c r="AT265" s="7">
        <f>IF(A265="","",IF(P265&lt;&gt;"",P265,AS265))</f>
        <v/>
      </c>
      <c r="AU265" s="7">
        <f>IF(A265="","",IF(OR(AT265="A",AT265="B"),1,0))</f>
        <v/>
      </c>
      <c r="AV265" s="7">
        <f>IF(A265="","",IF(OR(R265="Dépôt payé (gagné)",R265="Événement livré",R265="Avis obtenu"),1,0))</f>
        <v/>
      </c>
      <c r="AW265" s="7">
        <f>IF(A265="","",IF(Q265&gt;70,"Immédiat – propriétaire",IF(Q265&gt;=40,"15 min – personne de garde","Selon la route")))</f>
        <v/>
      </c>
      <c r="AX265" s="11">
        <f>IF(A265="","",IF(AT265="A",400,IF(AT265="B",150,0)))</f>
        <v/>
      </c>
      <c r="AY265" s="11">
        <f>IF(A265="","",IF(AV265=1,N(V265),IF(N(U265)&gt;0,ROUND(N(U265)*IFERROR(VLOOKUP(R265,Listes!$AE$3:$AG$12,2,FALSE),0),0),0)))</f>
        <v/>
      </c>
      <c r="AZ265" s="7">
        <f>IF(LEFT(A265,7)="EXEMPLE",1,0)</f>
        <v/>
      </c>
      <c r="BA265" s="7">
        <f>IF(AND(AV265=1,AZ265=0,AC265&lt;&gt;"",W265&lt;&gt;"",N(V265)&gt;0),COUNTIFS($AV$3:AV265,1,$AZ$3:AZ265,0,$AC$3:AC265,"&lt;&gt;",$W$3:W265,"&lt;&gt;",$V$3:V265,"&gt;0"),"")</f>
        <v/>
      </c>
    </row>
    <row r="266">
      <c r="A266" s="12" t="n"/>
      <c r="B266" s="13" t="n"/>
      <c r="C266" s="13" t="n"/>
      <c r="D266" s="7">
        <f>IF(OR(B266="",C266=""),"",ROUND((C266-B266)*1440,0))</f>
        <v/>
      </c>
      <c r="E266" s="12" t="n"/>
      <c r="F266" s="12" t="n"/>
      <c r="G266" s="12" t="n"/>
      <c r="H266" s="12" t="n"/>
      <c r="I266" s="12" t="n"/>
      <c r="J266" s="12" t="n"/>
      <c r="K266" s="12" t="n"/>
      <c r="L266" s="14" t="n"/>
      <c r="M266" s="12" t="n"/>
      <c r="N266" s="12" t="n"/>
      <c r="O266" s="12" t="n"/>
      <c r="P266" s="12" t="n"/>
      <c r="Q266" s="7">
        <f>IF(A266="","",IFERROR(VLOOKUP(O266,Listes!$R$3:$T$8,2,FALSE),0)+IFERROR(VLOOKUP(J266,Listes!$J$3:$L$6,2,FALSE),0)+IFERROR(VLOOKUP(N266,Listes!$N$3:$P$6,2,FALSE),0)+IF(OR(L266="",B266=""),0,IF(L266-INT(B266)&lt;10,8,IF(L266-INT(B266)&lt;=90,10,5)))+IFERROR(VLOOKUP(AN266,Listes!$V$3:$W$5,2,FALSE),0)+IFERROR(VLOOKUP(AO266,Listes!$Y$3:$Z$5,2,FALSE),0))</f>
        <v/>
      </c>
      <c r="R266" s="12" t="n"/>
      <c r="S266" s="12" t="n"/>
      <c r="T266" s="12" t="n"/>
      <c r="U266" s="15" t="n"/>
      <c r="V266" s="15" t="n"/>
      <c r="W266" s="13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3" t="n"/>
      <c r="AK266" s="12" t="n"/>
      <c r="AL266" s="12" t="n"/>
      <c r="AM266" s="12" t="n"/>
      <c r="AN266" s="12" t="n"/>
      <c r="AO266" s="12" t="n"/>
      <c r="AP266" s="12" t="n"/>
      <c r="AQ266" s="7">
        <f>IF(A266="","",IF(AP266&lt;&gt;"",AP266,IF(LEFT(Z266,11)="gads_marque","Google Search – Marque",IF(LEFT(Z266,12)="gads_mariage","Google Search – Mariage et privé",IF(LEFT(Z266,10)="gads_corpo","Google Search – Corporatif",IF(LEFT(Z266,5)="meta_","Meta – Leads",IF(LEFT(Z266,5)="msft_","Microsoft Ads",IF(LEFT(Z266,8)="chatgpt_","ChatGPT Ads – Test",IF(X266="gbp","Fiche Google (organique)","Autre / non payé")))))))))</f>
        <v/>
      </c>
      <c r="AR266" s="7">
        <f>IF(K266="","",IFERROR(VLOOKUP(K266,Listes!$F$3:$H$8,3,FALSE),""))</f>
        <v/>
      </c>
      <c r="AS266" s="7">
        <f>IF(O266="","",IF(AND(M266="Autre (plus de 40 km)",OR(O266="lt600",O266="600_999",O266="1000_2499")),"D",IF(OR(O266="lt600",AND(O266="600_999",K266&lt;&gt;"mariage",K266&lt;&gt;"prive")),"C",IF(OR(O266="2500_4999",O266="5000p",J266="entreprise",J266="organisme",J266="agence"),"A",IF(OR(O266="1000_2499",O266="600_999"),"B",IF(O266="inconnu",IF(OR(N266="75_149",N266="150p"),"A","B"),""))))))</f>
        <v/>
      </c>
      <c r="AT266" s="7">
        <f>IF(A266="","",IF(P266&lt;&gt;"",P266,AS266))</f>
        <v/>
      </c>
      <c r="AU266" s="7">
        <f>IF(A266="","",IF(OR(AT266="A",AT266="B"),1,0))</f>
        <v/>
      </c>
      <c r="AV266" s="7">
        <f>IF(A266="","",IF(OR(R266="Dépôt payé (gagné)",R266="Événement livré",R266="Avis obtenu"),1,0))</f>
        <v/>
      </c>
      <c r="AW266" s="7">
        <f>IF(A266="","",IF(Q266&gt;70,"Immédiat – propriétaire",IF(Q266&gt;=40,"15 min – personne de garde","Selon la route")))</f>
        <v/>
      </c>
      <c r="AX266" s="11">
        <f>IF(A266="","",IF(AT266="A",400,IF(AT266="B",150,0)))</f>
        <v/>
      </c>
      <c r="AY266" s="11">
        <f>IF(A266="","",IF(AV266=1,N(V266),IF(N(U266)&gt;0,ROUND(N(U266)*IFERROR(VLOOKUP(R266,Listes!$AE$3:$AG$12,2,FALSE),0),0),0)))</f>
        <v/>
      </c>
      <c r="AZ266" s="7">
        <f>IF(LEFT(A266,7)="EXEMPLE",1,0)</f>
        <v/>
      </c>
      <c r="BA266" s="7">
        <f>IF(AND(AV266=1,AZ266=0,AC266&lt;&gt;"",W266&lt;&gt;"",N(V266)&gt;0),COUNTIFS($AV$3:AV266,1,$AZ$3:AZ266,0,$AC$3:AC266,"&lt;&gt;",$W$3:W266,"&lt;&gt;",$V$3:V266,"&gt;0"),"")</f>
        <v/>
      </c>
    </row>
    <row r="267">
      <c r="A267" s="12" t="n"/>
      <c r="B267" s="13" t="n"/>
      <c r="C267" s="13" t="n"/>
      <c r="D267" s="7">
        <f>IF(OR(B267="",C267=""),"",ROUND((C267-B267)*1440,0))</f>
        <v/>
      </c>
      <c r="E267" s="12" t="n"/>
      <c r="F267" s="12" t="n"/>
      <c r="G267" s="12" t="n"/>
      <c r="H267" s="12" t="n"/>
      <c r="I267" s="12" t="n"/>
      <c r="J267" s="12" t="n"/>
      <c r="K267" s="12" t="n"/>
      <c r="L267" s="14" t="n"/>
      <c r="M267" s="12" t="n"/>
      <c r="N267" s="12" t="n"/>
      <c r="O267" s="12" t="n"/>
      <c r="P267" s="12" t="n"/>
      <c r="Q267" s="7">
        <f>IF(A267="","",IFERROR(VLOOKUP(O267,Listes!$R$3:$T$8,2,FALSE),0)+IFERROR(VLOOKUP(J267,Listes!$J$3:$L$6,2,FALSE),0)+IFERROR(VLOOKUP(N267,Listes!$N$3:$P$6,2,FALSE),0)+IF(OR(L267="",B267=""),0,IF(L267-INT(B267)&lt;10,8,IF(L267-INT(B267)&lt;=90,10,5)))+IFERROR(VLOOKUP(AN267,Listes!$V$3:$W$5,2,FALSE),0)+IFERROR(VLOOKUP(AO267,Listes!$Y$3:$Z$5,2,FALSE),0))</f>
        <v/>
      </c>
      <c r="R267" s="12" t="n"/>
      <c r="S267" s="12" t="n"/>
      <c r="T267" s="12" t="n"/>
      <c r="U267" s="15" t="n"/>
      <c r="V267" s="15" t="n"/>
      <c r="W267" s="13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3" t="n"/>
      <c r="AK267" s="12" t="n"/>
      <c r="AL267" s="12" t="n"/>
      <c r="AM267" s="12" t="n"/>
      <c r="AN267" s="12" t="n"/>
      <c r="AO267" s="12" t="n"/>
      <c r="AP267" s="12" t="n"/>
      <c r="AQ267" s="7">
        <f>IF(A267="","",IF(AP267&lt;&gt;"",AP267,IF(LEFT(Z267,11)="gads_marque","Google Search – Marque",IF(LEFT(Z267,12)="gads_mariage","Google Search – Mariage et privé",IF(LEFT(Z267,10)="gads_corpo","Google Search – Corporatif",IF(LEFT(Z267,5)="meta_","Meta – Leads",IF(LEFT(Z267,5)="msft_","Microsoft Ads",IF(LEFT(Z267,8)="chatgpt_","ChatGPT Ads – Test",IF(X267="gbp","Fiche Google (organique)","Autre / non payé")))))))))</f>
        <v/>
      </c>
      <c r="AR267" s="7">
        <f>IF(K267="","",IFERROR(VLOOKUP(K267,Listes!$F$3:$H$8,3,FALSE),""))</f>
        <v/>
      </c>
      <c r="AS267" s="7">
        <f>IF(O267="","",IF(AND(M267="Autre (plus de 40 km)",OR(O267="lt600",O267="600_999",O267="1000_2499")),"D",IF(OR(O267="lt600",AND(O267="600_999",K267&lt;&gt;"mariage",K267&lt;&gt;"prive")),"C",IF(OR(O267="2500_4999",O267="5000p",J267="entreprise",J267="organisme",J267="agence"),"A",IF(OR(O267="1000_2499",O267="600_999"),"B",IF(O267="inconnu",IF(OR(N267="75_149",N267="150p"),"A","B"),""))))))</f>
        <v/>
      </c>
      <c r="AT267" s="7">
        <f>IF(A267="","",IF(P267&lt;&gt;"",P267,AS267))</f>
        <v/>
      </c>
      <c r="AU267" s="7">
        <f>IF(A267="","",IF(OR(AT267="A",AT267="B"),1,0))</f>
        <v/>
      </c>
      <c r="AV267" s="7">
        <f>IF(A267="","",IF(OR(R267="Dépôt payé (gagné)",R267="Événement livré",R267="Avis obtenu"),1,0))</f>
        <v/>
      </c>
      <c r="AW267" s="7">
        <f>IF(A267="","",IF(Q267&gt;70,"Immédiat – propriétaire",IF(Q267&gt;=40,"15 min – personne de garde","Selon la route")))</f>
        <v/>
      </c>
      <c r="AX267" s="11">
        <f>IF(A267="","",IF(AT267="A",400,IF(AT267="B",150,0)))</f>
        <v/>
      </c>
      <c r="AY267" s="11">
        <f>IF(A267="","",IF(AV267=1,N(V267),IF(N(U267)&gt;0,ROUND(N(U267)*IFERROR(VLOOKUP(R267,Listes!$AE$3:$AG$12,2,FALSE),0),0),0)))</f>
        <v/>
      </c>
      <c r="AZ267" s="7">
        <f>IF(LEFT(A267,7)="EXEMPLE",1,0)</f>
        <v/>
      </c>
      <c r="BA267" s="7">
        <f>IF(AND(AV267=1,AZ267=0,AC267&lt;&gt;"",W267&lt;&gt;"",N(V267)&gt;0),COUNTIFS($AV$3:AV267,1,$AZ$3:AZ267,0,$AC$3:AC267,"&lt;&gt;",$W$3:W267,"&lt;&gt;",$V$3:V267,"&gt;0"),"")</f>
        <v/>
      </c>
    </row>
    <row r="268">
      <c r="A268" s="12" t="n"/>
      <c r="B268" s="13" t="n"/>
      <c r="C268" s="13" t="n"/>
      <c r="D268" s="7">
        <f>IF(OR(B268="",C268=""),"",ROUND((C268-B268)*1440,0))</f>
        <v/>
      </c>
      <c r="E268" s="12" t="n"/>
      <c r="F268" s="12" t="n"/>
      <c r="G268" s="12" t="n"/>
      <c r="H268" s="12" t="n"/>
      <c r="I268" s="12" t="n"/>
      <c r="J268" s="12" t="n"/>
      <c r="K268" s="12" t="n"/>
      <c r="L268" s="14" t="n"/>
      <c r="M268" s="12" t="n"/>
      <c r="N268" s="12" t="n"/>
      <c r="O268" s="12" t="n"/>
      <c r="P268" s="12" t="n"/>
      <c r="Q268" s="7">
        <f>IF(A268="","",IFERROR(VLOOKUP(O268,Listes!$R$3:$T$8,2,FALSE),0)+IFERROR(VLOOKUP(J268,Listes!$J$3:$L$6,2,FALSE),0)+IFERROR(VLOOKUP(N268,Listes!$N$3:$P$6,2,FALSE),0)+IF(OR(L268="",B268=""),0,IF(L268-INT(B268)&lt;10,8,IF(L268-INT(B268)&lt;=90,10,5)))+IFERROR(VLOOKUP(AN268,Listes!$V$3:$W$5,2,FALSE),0)+IFERROR(VLOOKUP(AO268,Listes!$Y$3:$Z$5,2,FALSE),0))</f>
        <v/>
      </c>
      <c r="R268" s="12" t="n"/>
      <c r="S268" s="12" t="n"/>
      <c r="T268" s="12" t="n"/>
      <c r="U268" s="15" t="n"/>
      <c r="V268" s="15" t="n"/>
      <c r="W268" s="13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3" t="n"/>
      <c r="AK268" s="12" t="n"/>
      <c r="AL268" s="12" t="n"/>
      <c r="AM268" s="12" t="n"/>
      <c r="AN268" s="12" t="n"/>
      <c r="AO268" s="12" t="n"/>
      <c r="AP268" s="12" t="n"/>
      <c r="AQ268" s="7">
        <f>IF(A268="","",IF(AP268&lt;&gt;"",AP268,IF(LEFT(Z268,11)="gads_marque","Google Search – Marque",IF(LEFT(Z268,12)="gads_mariage","Google Search – Mariage et privé",IF(LEFT(Z268,10)="gads_corpo","Google Search – Corporatif",IF(LEFT(Z268,5)="meta_","Meta – Leads",IF(LEFT(Z268,5)="msft_","Microsoft Ads",IF(LEFT(Z268,8)="chatgpt_","ChatGPT Ads – Test",IF(X268="gbp","Fiche Google (organique)","Autre / non payé")))))))))</f>
        <v/>
      </c>
      <c r="AR268" s="7">
        <f>IF(K268="","",IFERROR(VLOOKUP(K268,Listes!$F$3:$H$8,3,FALSE),""))</f>
        <v/>
      </c>
      <c r="AS268" s="7">
        <f>IF(O268="","",IF(AND(M268="Autre (plus de 40 km)",OR(O268="lt600",O268="600_999",O268="1000_2499")),"D",IF(OR(O268="lt600",AND(O268="600_999",K268&lt;&gt;"mariage",K268&lt;&gt;"prive")),"C",IF(OR(O268="2500_4999",O268="5000p",J268="entreprise",J268="organisme",J268="agence"),"A",IF(OR(O268="1000_2499",O268="600_999"),"B",IF(O268="inconnu",IF(OR(N268="75_149",N268="150p"),"A","B"),""))))))</f>
        <v/>
      </c>
      <c r="AT268" s="7">
        <f>IF(A268="","",IF(P268&lt;&gt;"",P268,AS268))</f>
        <v/>
      </c>
      <c r="AU268" s="7">
        <f>IF(A268="","",IF(OR(AT268="A",AT268="B"),1,0))</f>
        <v/>
      </c>
      <c r="AV268" s="7">
        <f>IF(A268="","",IF(OR(R268="Dépôt payé (gagné)",R268="Événement livré",R268="Avis obtenu"),1,0))</f>
        <v/>
      </c>
      <c r="AW268" s="7">
        <f>IF(A268="","",IF(Q268&gt;70,"Immédiat – propriétaire",IF(Q268&gt;=40,"15 min – personne de garde","Selon la route")))</f>
        <v/>
      </c>
      <c r="AX268" s="11">
        <f>IF(A268="","",IF(AT268="A",400,IF(AT268="B",150,0)))</f>
        <v/>
      </c>
      <c r="AY268" s="11">
        <f>IF(A268="","",IF(AV268=1,N(V268),IF(N(U268)&gt;0,ROUND(N(U268)*IFERROR(VLOOKUP(R268,Listes!$AE$3:$AG$12,2,FALSE),0),0),0)))</f>
        <v/>
      </c>
      <c r="AZ268" s="7">
        <f>IF(LEFT(A268,7)="EXEMPLE",1,0)</f>
        <v/>
      </c>
      <c r="BA268" s="7">
        <f>IF(AND(AV268=1,AZ268=0,AC268&lt;&gt;"",W268&lt;&gt;"",N(V268)&gt;0),COUNTIFS($AV$3:AV268,1,$AZ$3:AZ268,0,$AC$3:AC268,"&lt;&gt;",$W$3:W268,"&lt;&gt;",$V$3:V268,"&gt;0"),"")</f>
        <v/>
      </c>
    </row>
    <row r="269">
      <c r="A269" s="12" t="n"/>
      <c r="B269" s="13" t="n"/>
      <c r="C269" s="13" t="n"/>
      <c r="D269" s="7">
        <f>IF(OR(B269="",C269=""),"",ROUND((C269-B269)*1440,0))</f>
        <v/>
      </c>
      <c r="E269" s="12" t="n"/>
      <c r="F269" s="12" t="n"/>
      <c r="G269" s="12" t="n"/>
      <c r="H269" s="12" t="n"/>
      <c r="I269" s="12" t="n"/>
      <c r="J269" s="12" t="n"/>
      <c r="K269" s="12" t="n"/>
      <c r="L269" s="14" t="n"/>
      <c r="M269" s="12" t="n"/>
      <c r="N269" s="12" t="n"/>
      <c r="O269" s="12" t="n"/>
      <c r="P269" s="12" t="n"/>
      <c r="Q269" s="7">
        <f>IF(A269="","",IFERROR(VLOOKUP(O269,Listes!$R$3:$T$8,2,FALSE),0)+IFERROR(VLOOKUP(J269,Listes!$J$3:$L$6,2,FALSE),0)+IFERROR(VLOOKUP(N269,Listes!$N$3:$P$6,2,FALSE),0)+IF(OR(L269="",B269=""),0,IF(L269-INT(B269)&lt;10,8,IF(L269-INT(B269)&lt;=90,10,5)))+IFERROR(VLOOKUP(AN269,Listes!$V$3:$W$5,2,FALSE),0)+IFERROR(VLOOKUP(AO269,Listes!$Y$3:$Z$5,2,FALSE),0))</f>
        <v/>
      </c>
      <c r="R269" s="12" t="n"/>
      <c r="S269" s="12" t="n"/>
      <c r="T269" s="12" t="n"/>
      <c r="U269" s="15" t="n"/>
      <c r="V269" s="15" t="n"/>
      <c r="W269" s="13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3" t="n"/>
      <c r="AK269" s="12" t="n"/>
      <c r="AL269" s="12" t="n"/>
      <c r="AM269" s="12" t="n"/>
      <c r="AN269" s="12" t="n"/>
      <c r="AO269" s="12" t="n"/>
      <c r="AP269" s="12" t="n"/>
      <c r="AQ269" s="7">
        <f>IF(A269="","",IF(AP269&lt;&gt;"",AP269,IF(LEFT(Z269,11)="gads_marque","Google Search – Marque",IF(LEFT(Z269,12)="gads_mariage","Google Search – Mariage et privé",IF(LEFT(Z269,10)="gads_corpo","Google Search – Corporatif",IF(LEFT(Z269,5)="meta_","Meta – Leads",IF(LEFT(Z269,5)="msft_","Microsoft Ads",IF(LEFT(Z269,8)="chatgpt_","ChatGPT Ads – Test",IF(X269="gbp","Fiche Google (organique)","Autre / non payé")))))))))</f>
        <v/>
      </c>
      <c r="AR269" s="7">
        <f>IF(K269="","",IFERROR(VLOOKUP(K269,Listes!$F$3:$H$8,3,FALSE),""))</f>
        <v/>
      </c>
      <c r="AS269" s="7">
        <f>IF(O269="","",IF(AND(M269="Autre (plus de 40 km)",OR(O269="lt600",O269="600_999",O269="1000_2499")),"D",IF(OR(O269="lt600",AND(O269="600_999",K269&lt;&gt;"mariage",K269&lt;&gt;"prive")),"C",IF(OR(O269="2500_4999",O269="5000p",J269="entreprise",J269="organisme",J269="agence"),"A",IF(OR(O269="1000_2499",O269="600_999"),"B",IF(O269="inconnu",IF(OR(N269="75_149",N269="150p"),"A","B"),""))))))</f>
        <v/>
      </c>
      <c r="AT269" s="7">
        <f>IF(A269="","",IF(P269&lt;&gt;"",P269,AS269))</f>
        <v/>
      </c>
      <c r="AU269" s="7">
        <f>IF(A269="","",IF(OR(AT269="A",AT269="B"),1,0))</f>
        <v/>
      </c>
      <c r="AV269" s="7">
        <f>IF(A269="","",IF(OR(R269="Dépôt payé (gagné)",R269="Événement livré",R269="Avis obtenu"),1,0))</f>
        <v/>
      </c>
      <c r="AW269" s="7">
        <f>IF(A269="","",IF(Q269&gt;70,"Immédiat – propriétaire",IF(Q269&gt;=40,"15 min – personne de garde","Selon la route")))</f>
        <v/>
      </c>
      <c r="AX269" s="11">
        <f>IF(A269="","",IF(AT269="A",400,IF(AT269="B",150,0)))</f>
        <v/>
      </c>
      <c r="AY269" s="11">
        <f>IF(A269="","",IF(AV269=1,N(V269),IF(N(U269)&gt;0,ROUND(N(U269)*IFERROR(VLOOKUP(R269,Listes!$AE$3:$AG$12,2,FALSE),0),0),0)))</f>
        <v/>
      </c>
      <c r="AZ269" s="7">
        <f>IF(LEFT(A269,7)="EXEMPLE",1,0)</f>
        <v/>
      </c>
      <c r="BA269" s="7">
        <f>IF(AND(AV269=1,AZ269=0,AC269&lt;&gt;"",W269&lt;&gt;"",N(V269)&gt;0),COUNTIFS($AV$3:AV269,1,$AZ$3:AZ269,0,$AC$3:AC269,"&lt;&gt;",$W$3:W269,"&lt;&gt;",$V$3:V269,"&gt;0"),"")</f>
        <v/>
      </c>
    </row>
    <row r="270">
      <c r="A270" s="12" t="n"/>
      <c r="B270" s="13" t="n"/>
      <c r="C270" s="13" t="n"/>
      <c r="D270" s="7">
        <f>IF(OR(B270="",C270=""),"",ROUND((C270-B270)*1440,0))</f>
        <v/>
      </c>
      <c r="E270" s="12" t="n"/>
      <c r="F270" s="12" t="n"/>
      <c r="G270" s="12" t="n"/>
      <c r="H270" s="12" t="n"/>
      <c r="I270" s="12" t="n"/>
      <c r="J270" s="12" t="n"/>
      <c r="K270" s="12" t="n"/>
      <c r="L270" s="14" t="n"/>
      <c r="M270" s="12" t="n"/>
      <c r="N270" s="12" t="n"/>
      <c r="O270" s="12" t="n"/>
      <c r="P270" s="12" t="n"/>
      <c r="Q270" s="7">
        <f>IF(A270="","",IFERROR(VLOOKUP(O270,Listes!$R$3:$T$8,2,FALSE),0)+IFERROR(VLOOKUP(J270,Listes!$J$3:$L$6,2,FALSE),0)+IFERROR(VLOOKUP(N270,Listes!$N$3:$P$6,2,FALSE),0)+IF(OR(L270="",B270=""),0,IF(L270-INT(B270)&lt;10,8,IF(L270-INT(B270)&lt;=90,10,5)))+IFERROR(VLOOKUP(AN270,Listes!$V$3:$W$5,2,FALSE),0)+IFERROR(VLOOKUP(AO270,Listes!$Y$3:$Z$5,2,FALSE),0))</f>
        <v/>
      </c>
      <c r="R270" s="12" t="n"/>
      <c r="S270" s="12" t="n"/>
      <c r="T270" s="12" t="n"/>
      <c r="U270" s="15" t="n"/>
      <c r="V270" s="15" t="n"/>
      <c r="W270" s="13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3" t="n"/>
      <c r="AK270" s="12" t="n"/>
      <c r="AL270" s="12" t="n"/>
      <c r="AM270" s="12" t="n"/>
      <c r="AN270" s="12" t="n"/>
      <c r="AO270" s="12" t="n"/>
      <c r="AP270" s="12" t="n"/>
      <c r="AQ270" s="7">
        <f>IF(A270="","",IF(AP270&lt;&gt;"",AP270,IF(LEFT(Z270,11)="gads_marque","Google Search – Marque",IF(LEFT(Z270,12)="gads_mariage","Google Search – Mariage et privé",IF(LEFT(Z270,10)="gads_corpo","Google Search – Corporatif",IF(LEFT(Z270,5)="meta_","Meta – Leads",IF(LEFT(Z270,5)="msft_","Microsoft Ads",IF(LEFT(Z270,8)="chatgpt_","ChatGPT Ads – Test",IF(X270="gbp","Fiche Google (organique)","Autre / non payé")))))))))</f>
        <v/>
      </c>
      <c r="AR270" s="7">
        <f>IF(K270="","",IFERROR(VLOOKUP(K270,Listes!$F$3:$H$8,3,FALSE),""))</f>
        <v/>
      </c>
      <c r="AS270" s="7">
        <f>IF(O270="","",IF(AND(M270="Autre (plus de 40 km)",OR(O270="lt600",O270="600_999",O270="1000_2499")),"D",IF(OR(O270="lt600",AND(O270="600_999",K270&lt;&gt;"mariage",K270&lt;&gt;"prive")),"C",IF(OR(O270="2500_4999",O270="5000p",J270="entreprise",J270="organisme",J270="agence"),"A",IF(OR(O270="1000_2499",O270="600_999"),"B",IF(O270="inconnu",IF(OR(N270="75_149",N270="150p"),"A","B"),""))))))</f>
        <v/>
      </c>
      <c r="AT270" s="7">
        <f>IF(A270="","",IF(P270&lt;&gt;"",P270,AS270))</f>
        <v/>
      </c>
      <c r="AU270" s="7">
        <f>IF(A270="","",IF(OR(AT270="A",AT270="B"),1,0))</f>
        <v/>
      </c>
      <c r="AV270" s="7">
        <f>IF(A270="","",IF(OR(R270="Dépôt payé (gagné)",R270="Événement livré",R270="Avis obtenu"),1,0))</f>
        <v/>
      </c>
      <c r="AW270" s="7">
        <f>IF(A270="","",IF(Q270&gt;70,"Immédiat – propriétaire",IF(Q270&gt;=40,"15 min – personne de garde","Selon la route")))</f>
        <v/>
      </c>
      <c r="AX270" s="11">
        <f>IF(A270="","",IF(AT270="A",400,IF(AT270="B",150,0)))</f>
        <v/>
      </c>
      <c r="AY270" s="11">
        <f>IF(A270="","",IF(AV270=1,N(V270),IF(N(U270)&gt;0,ROUND(N(U270)*IFERROR(VLOOKUP(R270,Listes!$AE$3:$AG$12,2,FALSE),0),0),0)))</f>
        <v/>
      </c>
      <c r="AZ270" s="7">
        <f>IF(LEFT(A270,7)="EXEMPLE",1,0)</f>
        <v/>
      </c>
      <c r="BA270" s="7">
        <f>IF(AND(AV270=1,AZ270=0,AC270&lt;&gt;"",W270&lt;&gt;"",N(V270)&gt;0),COUNTIFS($AV$3:AV270,1,$AZ$3:AZ270,0,$AC$3:AC270,"&lt;&gt;",$W$3:W270,"&lt;&gt;",$V$3:V270,"&gt;0"),"")</f>
        <v/>
      </c>
    </row>
    <row r="271">
      <c r="A271" s="12" t="n"/>
      <c r="B271" s="13" t="n"/>
      <c r="C271" s="13" t="n"/>
      <c r="D271" s="7">
        <f>IF(OR(B271="",C271=""),"",ROUND((C271-B271)*1440,0))</f>
        <v/>
      </c>
      <c r="E271" s="12" t="n"/>
      <c r="F271" s="12" t="n"/>
      <c r="G271" s="12" t="n"/>
      <c r="H271" s="12" t="n"/>
      <c r="I271" s="12" t="n"/>
      <c r="J271" s="12" t="n"/>
      <c r="K271" s="12" t="n"/>
      <c r="L271" s="14" t="n"/>
      <c r="M271" s="12" t="n"/>
      <c r="N271" s="12" t="n"/>
      <c r="O271" s="12" t="n"/>
      <c r="P271" s="12" t="n"/>
      <c r="Q271" s="7">
        <f>IF(A271="","",IFERROR(VLOOKUP(O271,Listes!$R$3:$T$8,2,FALSE),0)+IFERROR(VLOOKUP(J271,Listes!$J$3:$L$6,2,FALSE),0)+IFERROR(VLOOKUP(N271,Listes!$N$3:$P$6,2,FALSE),0)+IF(OR(L271="",B271=""),0,IF(L271-INT(B271)&lt;10,8,IF(L271-INT(B271)&lt;=90,10,5)))+IFERROR(VLOOKUP(AN271,Listes!$V$3:$W$5,2,FALSE),0)+IFERROR(VLOOKUP(AO271,Listes!$Y$3:$Z$5,2,FALSE),0))</f>
        <v/>
      </c>
      <c r="R271" s="12" t="n"/>
      <c r="S271" s="12" t="n"/>
      <c r="T271" s="12" t="n"/>
      <c r="U271" s="15" t="n"/>
      <c r="V271" s="15" t="n"/>
      <c r="W271" s="13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3" t="n"/>
      <c r="AK271" s="12" t="n"/>
      <c r="AL271" s="12" t="n"/>
      <c r="AM271" s="12" t="n"/>
      <c r="AN271" s="12" t="n"/>
      <c r="AO271" s="12" t="n"/>
      <c r="AP271" s="12" t="n"/>
      <c r="AQ271" s="7">
        <f>IF(A271="","",IF(AP271&lt;&gt;"",AP271,IF(LEFT(Z271,11)="gads_marque","Google Search – Marque",IF(LEFT(Z271,12)="gads_mariage","Google Search – Mariage et privé",IF(LEFT(Z271,10)="gads_corpo","Google Search – Corporatif",IF(LEFT(Z271,5)="meta_","Meta – Leads",IF(LEFT(Z271,5)="msft_","Microsoft Ads",IF(LEFT(Z271,8)="chatgpt_","ChatGPT Ads – Test",IF(X271="gbp","Fiche Google (organique)","Autre / non payé")))))))))</f>
        <v/>
      </c>
      <c r="AR271" s="7">
        <f>IF(K271="","",IFERROR(VLOOKUP(K271,Listes!$F$3:$H$8,3,FALSE),""))</f>
        <v/>
      </c>
      <c r="AS271" s="7">
        <f>IF(O271="","",IF(AND(M271="Autre (plus de 40 km)",OR(O271="lt600",O271="600_999",O271="1000_2499")),"D",IF(OR(O271="lt600",AND(O271="600_999",K271&lt;&gt;"mariage",K271&lt;&gt;"prive")),"C",IF(OR(O271="2500_4999",O271="5000p",J271="entreprise",J271="organisme",J271="agence"),"A",IF(OR(O271="1000_2499",O271="600_999"),"B",IF(O271="inconnu",IF(OR(N271="75_149",N271="150p"),"A","B"),""))))))</f>
        <v/>
      </c>
      <c r="AT271" s="7">
        <f>IF(A271="","",IF(P271&lt;&gt;"",P271,AS271))</f>
        <v/>
      </c>
      <c r="AU271" s="7">
        <f>IF(A271="","",IF(OR(AT271="A",AT271="B"),1,0))</f>
        <v/>
      </c>
      <c r="AV271" s="7">
        <f>IF(A271="","",IF(OR(R271="Dépôt payé (gagné)",R271="Événement livré",R271="Avis obtenu"),1,0))</f>
        <v/>
      </c>
      <c r="AW271" s="7">
        <f>IF(A271="","",IF(Q271&gt;70,"Immédiat – propriétaire",IF(Q271&gt;=40,"15 min – personne de garde","Selon la route")))</f>
        <v/>
      </c>
      <c r="AX271" s="11">
        <f>IF(A271="","",IF(AT271="A",400,IF(AT271="B",150,0)))</f>
        <v/>
      </c>
      <c r="AY271" s="11">
        <f>IF(A271="","",IF(AV271=1,N(V271),IF(N(U271)&gt;0,ROUND(N(U271)*IFERROR(VLOOKUP(R271,Listes!$AE$3:$AG$12,2,FALSE),0),0),0)))</f>
        <v/>
      </c>
      <c r="AZ271" s="7">
        <f>IF(LEFT(A271,7)="EXEMPLE",1,0)</f>
        <v/>
      </c>
      <c r="BA271" s="7">
        <f>IF(AND(AV271=1,AZ271=0,AC271&lt;&gt;"",W271&lt;&gt;"",N(V271)&gt;0),COUNTIFS($AV$3:AV271,1,$AZ$3:AZ271,0,$AC$3:AC271,"&lt;&gt;",$W$3:W271,"&lt;&gt;",$V$3:V271,"&gt;0"),"")</f>
        <v/>
      </c>
    </row>
    <row r="272">
      <c r="A272" s="12" t="n"/>
      <c r="B272" s="13" t="n"/>
      <c r="C272" s="13" t="n"/>
      <c r="D272" s="7">
        <f>IF(OR(B272="",C272=""),"",ROUND((C272-B272)*1440,0))</f>
        <v/>
      </c>
      <c r="E272" s="12" t="n"/>
      <c r="F272" s="12" t="n"/>
      <c r="G272" s="12" t="n"/>
      <c r="H272" s="12" t="n"/>
      <c r="I272" s="12" t="n"/>
      <c r="J272" s="12" t="n"/>
      <c r="K272" s="12" t="n"/>
      <c r="L272" s="14" t="n"/>
      <c r="M272" s="12" t="n"/>
      <c r="N272" s="12" t="n"/>
      <c r="O272" s="12" t="n"/>
      <c r="P272" s="12" t="n"/>
      <c r="Q272" s="7">
        <f>IF(A272="","",IFERROR(VLOOKUP(O272,Listes!$R$3:$T$8,2,FALSE),0)+IFERROR(VLOOKUP(J272,Listes!$J$3:$L$6,2,FALSE),0)+IFERROR(VLOOKUP(N272,Listes!$N$3:$P$6,2,FALSE),0)+IF(OR(L272="",B272=""),0,IF(L272-INT(B272)&lt;10,8,IF(L272-INT(B272)&lt;=90,10,5)))+IFERROR(VLOOKUP(AN272,Listes!$V$3:$W$5,2,FALSE),0)+IFERROR(VLOOKUP(AO272,Listes!$Y$3:$Z$5,2,FALSE),0))</f>
        <v/>
      </c>
      <c r="R272" s="12" t="n"/>
      <c r="S272" s="12" t="n"/>
      <c r="T272" s="12" t="n"/>
      <c r="U272" s="15" t="n"/>
      <c r="V272" s="15" t="n"/>
      <c r="W272" s="13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3" t="n"/>
      <c r="AK272" s="12" t="n"/>
      <c r="AL272" s="12" t="n"/>
      <c r="AM272" s="12" t="n"/>
      <c r="AN272" s="12" t="n"/>
      <c r="AO272" s="12" t="n"/>
      <c r="AP272" s="12" t="n"/>
      <c r="AQ272" s="7">
        <f>IF(A272="","",IF(AP272&lt;&gt;"",AP272,IF(LEFT(Z272,11)="gads_marque","Google Search – Marque",IF(LEFT(Z272,12)="gads_mariage","Google Search – Mariage et privé",IF(LEFT(Z272,10)="gads_corpo","Google Search – Corporatif",IF(LEFT(Z272,5)="meta_","Meta – Leads",IF(LEFT(Z272,5)="msft_","Microsoft Ads",IF(LEFT(Z272,8)="chatgpt_","ChatGPT Ads – Test",IF(X272="gbp","Fiche Google (organique)","Autre / non payé")))))))))</f>
        <v/>
      </c>
      <c r="AR272" s="7">
        <f>IF(K272="","",IFERROR(VLOOKUP(K272,Listes!$F$3:$H$8,3,FALSE),""))</f>
        <v/>
      </c>
      <c r="AS272" s="7">
        <f>IF(O272="","",IF(AND(M272="Autre (plus de 40 km)",OR(O272="lt600",O272="600_999",O272="1000_2499")),"D",IF(OR(O272="lt600",AND(O272="600_999",K272&lt;&gt;"mariage",K272&lt;&gt;"prive")),"C",IF(OR(O272="2500_4999",O272="5000p",J272="entreprise",J272="organisme",J272="agence"),"A",IF(OR(O272="1000_2499",O272="600_999"),"B",IF(O272="inconnu",IF(OR(N272="75_149",N272="150p"),"A","B"),""))))))</f>
        <v/>
      </c>
      <c r="AT272" s="7">
        <f>IF(A272="","",IF(P272&lt;&gt;"",P272,AS272))</f>
        <v/>
      </c>
      <c r="AU272" s="7">
        <f>IF(A272="","",IF(OR(AT272="A",AT272="B"),1,0))</f>
        <v/>
      </c>
      <c r="AV272" s="7">
        <f>IF(A272="","",IF(OR(R272="Dépôt payé (gagné)",R272="Événement livré",R272="Avis obtenu"),1,0))</f>
        <v/>
      </c>
      <c r="AW272" s="7">
        <f>IF(A272="","",IF(Q272&gt;70,"Immédiat – propriétaire",IF(Q272&gt;=40,"15 min – personne de garde","Selon la route")))</f>
        <v/>
      </c>
      <c r="AX272" s="11">
        <f>IF(A272="","",IF(AT272="A",400,IF(AT272="B",150,0)))</f>
        <v/>
      </c>
      <c r="AY272" s="11">
        <f>IF(A272="","",IF(AV272=1,N(V272),IF(N(U272)&gt;0,ROUND(N(U272)*IFERROR(VLOOKUP(R272,Listes!$AE$3:$AG$12,2,FALSE),0),0),0)))</f>
        <v/>
      </c>
      <c r="AZ272" s="7">
        <f>IF(LEFT(A272,7)="EXEMPLE",1,0)</f>
        <v/>
      </c>
      <c r="BA272" s="7">
        <f>IF(AND(AV272=1,AZ272=0,AC272&lt;&gt;"",W272&lt;&gt;"",N(V272)&gt;0),COUNTIFS($AV$3:AV272,1,$AZ$3:AZ272,0,$AC$3:AC272,"&lt;&gt;",$W$3:W272,"&lt;&gt;",$V$3:V272,"&gt;0"),"")</f>
        <v/>
      </c>
    </row>
    <row r="273">
      <c r="A273" s="12" t="n"/>
      <c r="B273" s="13" t="n"/>
      <c r="C273" s="13" t="n"/>
      <c r="D273" s="7">
        <f>IF(OR(B273="",C273=""),"",ROUND((C273-B273)*1440,0))</f>
        <v/>
      </c>
      <c r="E273" s="12" t="n"/>
      <c r="F273" s="12" t="n"/>
      <c r="G273" s="12" t="n"/>
      <c r="H273" s="12" t="n"/>
      <c r="I273" s="12" t="n"/>
      <c r="J273" s="12" t="n"/>
      <c r="K273" s="12" t="n"/>
      <c r="L273" s="14" t="n"/>
      <c r="M273" s="12" t="n"/>
      <c r="N273" s="12" t="n"/>
      <c r="O273" s="12" t="n"/>
      <c r="P273" s="12" t="n"/>
      <c r="Q273" s="7">
        <f>IF(A273="","",IFERROR(VLOOKUP(O273,Listes!$R$3:$T$8,2,FALSE),0)+IFERROR(VLOOKUP(J273,Listes!$J$3:$L$6,2,FALSE),0)+IFERROR(VLOOKUP(N273,Listes!$N$3:$P$6,2,FALSE),0)+IF(OR(L273="",B273=""),0,IF(L273-INT(B273)&lt;10,8,IF(L273-INT(B273)&lt;=90,10,5)))+IFERROR(VLOOKUP(AN273,Listes!$V$3:$W$5,2,FALSE),0)+IFERROR(VLOOKUP(AO273,Listes!$Y$3:$Z$5,2,FALSE),0))</f>
        <v/>
      </c>
      <c r="R273" s="12" t="n"/>
      <c r="S273" s="12" t="n"/>
      <c r="T273" s="12" t="n"/>
      <c r="U273" s="15" t="n"/>
      <c r="V273" s="15" t="n"/>
      <c r="W273" s="13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3" t="n"/>
      <c r="AK273" s="12" t="n"/>
      <c r="AL273" s="12" t="n"/>
      <c r="AM273" s="12" t="n"/>
      <c r="AN273" s="12" t="n"/>
      <c r="AO273" s="12" t="n"/>
      <c r="AP273" s="12" t="n"/>
      <c r="AQ273" s="7">
        <f>IF(A273="","",IF(AP273&lt;&gt;"",AP273,IF(LEFT(Z273,11)="gads_marque","Google Search – Marque",IF(LEFT(Z273,12)="gads_mariage","Google Search – Mariage et privé",IF(LEFT(Z273,10)="gads_corpo","Google Search – Corporatif",IF(LEFT(Z273,5)="meta_","Meta – Leads",IF(LEFT(Z273,5)="msft_","Microsoft Ads",IF(LEFT(Z273,8)="chatgpt_","ChatGPT Ads – Test",IF(X273="gbp","Fiche Google (organique)","Autre / non payé")))))))))</f>
        <v/>
      </c>
      <c r="AR273" s="7">
        <f>IF(K273="","",IFERROR(VLOOKUP(K273,Listes!$F$3:$H$8,3,FALSE),""))</f>
        <v/>
      </c>
      <c r="AS273" s="7">
        <f>IF(O273="","",IF(AND(M273="Autre (plus de 40 km)",OR(O273="lt600",O273="600_999",O273="1000_2499")),"D",IF(OR(O273="lt600",AND(O273="600_999",K273&lt;&gt;"mariage",K273&lt;&gt;"prive")),"C",IF(OR(O273="2500_4999",O273="5000p",J273="entreprise",J273="organisme",J273="agence"),"A",IF(OR(O273="1000_2499",O273="600_999"),"B",IF(O273="inconnu",IF(OR(N273="75_149",N273="150p"),"A","B"),""))))))</f>
        <v/>
      </c>
      <c r="AT273" s="7">
        <f>IF(A273="","",IF(P273&lt;&gt;"",P273,AS273))</f>
        <v/>
      </c>
      <c r="AU273" s="7">
        <f>IF(A273="","",IF(OR(AT273="A",AT273="B"),1,0))</f>
        <v/>
      </c>
      <c r="AV273" s="7">
        <f>IF(A273="","",IF(OR(R273="Dépôt payé (gagné)",R273="Événement livré",R273="Avis obtenu"),1,0))</f>
        <v/>
      </c>
      <c r="AW273" s="7">
        <f>IF(A273="","",IF(Q273&gt;70,"Immédiat – propriétaire",IF(Q273&gt;=40,"15 min – personne de garde","Selon la route")))</f>
        <v/>
      </c>
      <c r="AX273" s="11">
        <f>IF(A273="","",IF(AT273="A",400,IF(AT273="B",150,0)))</f>
        <v/>
      </c>
      <c r="AY273" s="11">
        <f>IF(A273="","",IF(AV273=1,N(V273),IF(N(U273)&gt;0,ROUND(N(U273)*IFERROR(VLOOKUP(R273,Listes!$AE$3:$AG$12,2,FALSE),0),0),0)))</f>
        <v/>
      </c>
      <c r="AZ273" s="7">
        <f>IF(LEFT(A273,7)="EXEMPLE",1,0)</f>
        <v/>
      </c>
      <c r="BA273" s="7">
        <f>IF(AND(AV273=1,AZ273=0,AC273&lt;&gt;"",W273&lt;&gt;"",N(V273)&gt;0),COUNTIFS($AV$3:AV273,1,$AZ$3:AZ273,0,$AC$3:AC273,"&lt;&gt;",$W$3:W273,"&lt;&gt;",$V$3:V273,"&gt;0"),"")</f>
        <v/>
      </c>
    </row>
    <row r="274">
      <c r="A274" s="12" t="n"/>
      <c r="B274" s="13" t="n"/>
      <c r="C274" s="13" t="n"/>
      <c r="D274" s="7">
        <f>IF(OR(B274="",C274=""),"",ROUND((C274-B274)*1440,0))</f>
        <v/>
      </c>
      <c r="E274" s="12" t="n"/>
      <c r="F274" s="12" t="n"/>
      <c r="G274" s="12" t="n"/>
      <c r="H274" s="12" t="n"/>
      <c r="I274" s="12" t="n"/>
      <c r="J274" s="12" t="n"/>
      <c r="K274" s="12" t="n"/>
      <c r="L274" s="14" t="n"/>
      <c r="M274" s="12" t="n"/>
      <c r="N274" s="12" t="n"/>
      <c r="O274" s="12" t="n"/>
      <c r="P274" s="12" t="n"/>
      <c r="Q274" s="7">
        <f>IF(A274="","",IFERROR(VLOOKUP(O274,Listes!$R$3:$T$8,2,FALSE),0)+IFERROR(VLOOKUP(J274,Listes!$J$3:$L$6,2,FALSE),0)+IFERROR(VLOOKUP(N274,Listes!$N$3:$P$6,2,FALSE),0)+IF(OR(L274="",B274=""),0,IF(L274-INT(B274)&lt;10,8,IF(L274-INT(B274)&lt;=90,10,5)))+IFERROR(VLOOKUP(AN274,Listes!$V$3:$W$5,2,FALSE),0)+IFERROR(VLOOKUP(AO274,Listes!$Y$3:$Z$5,2,FALSE),0))</f>
        <v/>
      </c>
      <c r="R274" s="12" t="n"/>
      <c r="S274" s="12" t="n"/>
      <c r="T274" s="12" t="n"/>
      <c r="U274" s="15" t="n"/>
      <c r="V274" s="15" t="n"/>
      <c r="W274" s="13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3" t="n"/>
      <c r="AK274" s="12" t="n"/>
      <c r="AL274" s="12" t="n"/>
      <c r="AM274" s="12" t="n"/>
      <c r="AN274" s="12" t="n"/>
      <c r="AO274" s="12" t="n"/>
      <c r="AP274" s="12" t="n"/>
      <c r="AQ274" s="7">
        <f>IF(A274="","",IF(AP274&lt;&gt;"",AP274,IF(LEFT(Z274,11)="gads_marque","Google Search – Marque",IF(LEFT(Z274,12)="gads_mariage","Google Search – Mariage et privé",IF(LEFT(Z274,10)="gads_corpo","Google Search – Corporatif",IF(LEFT(Z274,5)="meta_","Meta – Leads",IF(LEFT(Z274,5)="msft_","Microsoft Ads",IF(LEFT(Z274,8)="chatgpt_","ChatGPT Ads – Test",IF(X274="gbp","Fiche Google (organique)","Autre / non payé")))))))))</f>
        <v/>
      </c>
      <c r="AR274" s="7">
        <f>IF(K274="","",IFERROR(VLOOKUP(K274,Listes!$F$3:$H$8,3,FALSE),""))</f>
        <v/>
      </c>
      <c r="AS274" s="7">
        <f>IF(O274="","",IF(AND(M274="Autre (plus de 40 km)",OR(O274="lt600",O274="600_999",O274="1000_2499")),"D",IF(OR(O274="lt600",AND(O274="600_999",K274&lt;&gt;"mariage",K274&lt;&gt;"prive")),"C",IF(OR(O274="2500_4999",O274="5000p",J274="entreprise",J274="organisme",J274="agence"),"A",IF(OR(O274="1000_2499",O274="600_999"),"B",IF(O274="inconnu",IF(OR(N274="75_149",N274="150p"),"A","B"),""))))))</f>
        <v/>
      </c>
      <c r="AT274" s="7">
        <f>IF(A274="","",IF(P274&lt;&gt;"",P274,AS274))</f>
        <v/>
      </c>
      <c r="AU274" s="7">
        <f>IF(A274="","",IF(OR(AT274="A",AT274="B"),1,0))</f>
        <v/>
      </c>
      <c r="AV274" s="7">
        <f>IF(A274="","",IF(OR(R274="Dépôt payé (gagné)",R274="Événement livré",R274="Avis obtenu"),1,0))</f>
        <v/>
      </c>
      <c r="AW274" s="7">
        <f>IF(A274="","",IF(Q274&gt;70,"Immédiat – propriétaire",IF(Q274&gt;=40,"15 min – personne de garde","Selon la route")))</f>
        <v/>
      </c>
      <c r="AX274" s="11">
        <f>IF(A274="","",IF(AT274="A",400,IF(AT274="B",150,0)))</f>
        <v/>
      </c>
      <c r="AY274" s="11">
        <f>IF(A274="","",IF(AV274=1,N(V274),IF(N(U274)&gt;0,ROUND(N(U274)*IFERROR(VLOOKUP(R274,Listes!$AE$3:$AG$12,2,FALSE),0),0),0)))</f>
        <v/>
      </c>
      <c r="AZ274" s="7">
        <f>IF(LEFT(A274,7)="EXEMPLE",1,0)</f>
        <v/>
      </c>
      <c r="BA274" s="7">
        <f>IF(AND(AV274=1,AZ274=0,AC274&lt;&gt;"",W274&lt;&gt;"",N(V274)&gt;0),COUNTIFS($AV$3:AV274,1,$AZ$3:AZ274,0,$AC$3:AC274,"&lt;&gt;",$W$3:W274,"&lt;&gt;",$V$3:V274,"&gt;0"),"")</f>
        <v/>
      </c>
    </row>
    <row r="275">
      <c r="A275" s="12" t="n"/>
      <c r="B275" s="13" t="n"/>
      <c r="C275" s="13" t="n"/>
      <c r="D275" s="7">
        <f>IF(OR(B275="",C275=""),"",ROUND((C275-B275)*1440,0))</f>
        <v/>
      </c>
      <c r="E275" s="12" t="n"/>
      <c r="F275" s="12" t="n"/>
      <c r="G275" s="12" t="n"/>
      <c r="H275" s="12" t="n"/>
      <c r="I275" s="12" t="n"/>
      <c r="J275" s="12" t="n"/>
      <c r="K275" s="12" t="n"/>
      <c r="L275" s="14" t="n"/>
      <c r="M275" s="12" t="n"/>
      <c r="N275" s="12" t="n"/>
      <c r="O275" s="12" t="n"/>
      <c r="P275" s="12" t="n"/>
      <c r="Q275" s="7">
        <f>IF(A275="","",IFERROR(VLOOKUP(O275,Listes!$R$3:$T$8,2,FALSE),0)+IFERROR(VLOOKUP(J275,Listes!$J$3:$L$6,2,FALSE),0)+IFERROR(VLOOKUP(N275,Listes!$N$3:$P$6,2,FALSE),0)+IF(OR(L275="",B275=""),0,IF(L275-INT(B275)&lt;10,8,IF(L275-INT(B275)&lt;=90,10,5)))+IFERROR(VLOOKUP(AN275,Listes!$V$3:$W$5,2,FALSE),0)+IFERROR(VLOOKUP(AO275,Listes!$Y$3:$Z$5,2,FALSE),0))</f>
        <v/>
      </c>
      <c r="R275" s="12" t="n"/>
      <c r="S275" s="12" t="n"/>
      <c r="T275" s="12" t="n"/>
      <c r="U275" s="15" t="n"/>
      <c r="V275" s="15" t="n"/>
      <c r="W275" s="13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3" t="n"/>
      <c r="AK275" s="12" t="n"/>
      <c r="AL275" s="12" t="n"/>
      <c r="AM275" s="12" t="n"/>
      <c r="AN275" s="12" t="n"/>
      <c r="AO275" s="12" t="n"/>
      <c r="AP275" s="12" t="n"/>
      <c r="AQ275" s="7">
        <f>IF(A275="","",IF(AP275&lt;&gt;"",AP275,IF(LEFT(Z275,11)="gads_marque","Google Search – Marque",IF(LEFT(Z275,12)="gads_mariage","Google Search – Mariage et privé",IF(LEFT(Z275,10)="gads_corpo","Google Search – Corporatif",IF(LEFT(Z275,5)="meta_","Meta – Leads",IF(LEFT(Z275,5)="msft_","Microsoft Ads",IF(LEFT(Z275,8)="chatgpt_","ChatGPT Ads – Test",IF(X275="gbp","Fiche Google (organique)","Autre / non payé")))))))))</f>
        <v/>
      </c>
      <c r="AR275" s="7">
        <f>IF(K275="","",IFERROR(VLOOKUP(K275,Listes!$F$3:$H$8,3,FALSE),""))</f>
        <v/>
      </c>
      <c r="AS275" s="7">
        <f>IF(O275="","",IF(AND(M275="Autre (plus de 40 km)",OR(O275="lt600",O275="600_999",O275="1000_2499")),"D",IF(OR(O275="lt600",AND(O275="600_999",K275&lt;&gt;"mariage",K275&lt;&gt;"prive")),"C",IF(OR(O275="2500_4999",O275="5000p",J275="entreprise",J275="organisme",J275="agence"),"A",IF(OR(O275="1000_2499",O275="600_999"),"B",IF(O275="inconnu",IF(OR(N275="75_149",N275="150p"),"A","B"),""))))))</f>
        <v/>
      </c>
      <c r="AT275" s="7">
        <f>IF(A275="","",IF(P275&lt;&gt;"",P275,AS275))</f>
        <v/>
      </c>
      <c r="AU275" s="7">
        <f>IF(A275="","",IF(OR(AT275="A",AT275="B"),1,0))</f>
        <v/>
      </c>
      <c r="AV275" s="7">
        <f>IF(A275="","",IF(OR(R275="Dépôt payé (gagné)",R275="Événement livré",R275="Avis obtenu"),1,0))</f>
        <v/>
      </c>
      <c r="AW275" s="7">
        <f>IF(A275="","",IF(Q275&gt;70,"Immédiat – propriétaire",IF(Q275&gt;=40,"15 min – personne de garde","Selon la route")))</f>
        <v/>
      </c>
      <c r="AX275" s="11">
        <f>IF(A275="","",IF(AT275="A",400,IF(AT275="B",150,0)))</f>
        <v/>
      </c>
      <c r="AY275" s="11">
        <f>IF(A275="","",IF(AV275=1,N(V275),IF(N(U275)&gt;0,ROUND(N(U275)*IFERROR(VLOOKUP(R275,Listes!$AE$3:$AG$12,2,FALSE),0),0),0)))</f>
        <v/>
      </c>
      <c r="AZ275" s="7">
        <f>IF(LEFT(A275,7)="EXEMPLE",1,0)</f>
        <v/>
      </c>
      <c r="BA275" s="7">
        <f>IF(AND(AV275=1,AZ275=0,AC275&lt;&gt;"",W275&lt;&gt;"",N(V275)&gt;0),COUNTIFS($AV$3:AV275,1,$AZ$3:AZ275,0,$AC$3:AC275,"&lt;&gt;",$W$3:W275,"&lt;&gt;",$V$3:V275,"&gt;0"),"")</f>
        <v/>
      </c>
    </row>
    <row r="276">
      <c r="A276" s="12" t="n"/>
      <c r="B276" s="13" t="n"/>
      <c r="C276" s="13" t="n"/>
      <c r="D276" s="7">
        <f>IF(OR(B276="",C276=""),"",ROUND((C276-B276)*1440,0))</f>
        <v/>
      </c>
      <c r="E276" s="12" t="n"/>
      <c r="F276" s="12" t="n"/>
      <c r="G276" s="12" t="n"/>
      <c r="H276" s="12" t="n"/>
      <c r="I276" s="12" t="n"/>
      <c r="J276" s="12" t="n"/>
      <c r="K276" s="12" t="n"/>
      <c r="L276" s="14" t="n"/>
      <c r="M276" s="12" t="n"/>
      <c r="N276" s="12" t="n"/>
      <c r="O276" s="12" t="n"/>
      <c r="P276" s="12" t="n"/>
      <c r="Q276" s="7">
        <f>IF(A276="","",IFERROR(VLOOKUP(O276,Listes!$R$3:$T$8,2,FALSE),0)+IFERROR(VLOOKUP(J276,Listes!$J$3:$L$6,2,FALSE),0)+IFERROR(VLOOKUP(N276,Listes!$N$3:$P$6,2,FALSE),0)+IF(OR(L276="",B276=""),0,IF(L276-INT(B276)&lt;10,8,IF(L276-INT(B276)&lt;=90,10,5)))+IFERROR(VLOOKUP(AN276,Listes!$V$3:$W$5,2,FALSE),0)+IFERROR(VLOOKUP(AO276,Listes!$Y$3:$Z$5,2,FALSE),0))</f>
        <v/>
      </c>
      <c r="R276" s="12" t="n"/>
      <c r="S276" s="12" t="n"/>
      <c r="T276" s="12" t="n"/>
      <c r="U276" s="15" t="n"/>
      <c r="V276" s="15" t="n"/>
      <c r="W276" s="13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3" t="n"/>
      <c r="AK276" s="12" t="n"/>
      <c r="AL276" s="12" t="n"/>
      <c r="AM276" s="12" t="n"/>
      <c r="AN276" s="12" t="n"/>
      <c r="AO276" s="12" t="n"/>
      <c r="AP276" s="12" t="n"/>
      <c r="AQ276" s="7">
        <f>IF(A276="","",IF(AP276&lt;&gt;"",AP276,IF(LEFT(Z276,11)="gads_marque","Google Search – Marque",IF(LEFT(Z276,12)="gads_mariage","Google Search – Mariage et privé",IF(LEFT(Z276,10)="gads_corpo","Google Search – Corporatif",IF(LEFT(Z276,5)="meta_","Meta – Leads",IF(LEFT(Z276,5)="msft_","Microsoft Ads",IF(LEFT(Z276,8)="chatgpt_","ChatGPT Ads – Test",IF(X276="gbp","Fiche Google (organique)","Autre / non payé")))))))))</f>
        <v/>
      </c>
      <c r="AR276" s="7">
        <f>IF(K276="","",IFERROR(VLOOKUP(K276,Listes!$F$3:$H$8,3,FALSE),""))</f>
        <v/>
      </c>
      <c r="AS276" s="7">
        <f>IF(O276="","",IF(AND(M276="Autre (plus de 40 km)",OR(O276="lt600",O276="600_999",O276="1000_2499")),"D",IF(OR(O276="lt600",AND(O276="600_999",K276&lt;&gt;"mariage",K276&lt;&gt;"prive")),"C",IF(OR(O276="2500_4999",O276="5000p",J276="entreprise",J276="organisme",J276="agence"),"A",IF(OR(O276="1000_2499",O276="600_999"),"B",IF(O276="inconnu",IF(OR(N276="75_149",N276="150p"),"A","B"),""))))))</f>
        <v/>
      </c>
      <c r="AT276" s="7">
        <f>IF(A276="","",IF(P276&lt;&gt;"",P276,AS276))</f>
        <v/>
      </c>
      <c r="AU276" s="7">
        <f>IF(A276="","",IF(OR(AT276="A",AT276="B"),1,0))</f>
        <v/>
      </c>
      <c r="AV276" s="7">
        <f>IF(A276="","",IF(OR(R276="Dépôt payé (gagné)",R276="Événement livré",R276="Avis obtenu"),1,0))</f>
        <v/>
      </c>
      <c r="AW276" s="7">
        <f>IF(A276="","",IF(Q276&gt;70,"Immédiat – propriétaire",IF(Q276&gt;=40,"15 min – personne de garde","Selon la route")))</f>
        <v/>
      </c>
      <c r="AX276" s="11">
        <f>IF(A276="","",IF(AT276="A",400,IF(AT276="B",150,0)))</f>
        <v/>
      </c>
      <c r="AY276" s="11">
        <f>IF(A276="","",IF(AV276=1,N(V276),IF(N(U276)&gt;0,ROUND(N(U276)*IFERROR(VLOOKUP(R276,Listes!$AE$3:$AG$12,2,FALSE),0),0),0)))</f>
        <v/>
      </c>
      <c r="AZ276" s="7">
        <f>IF(LEFT(A276,7)="EXEMPLE",1,0)</f>
        <v/>
      </c>
      <c r="BA276" s="7">
        <f>IF(AND(AV276=1,AZ276=0,AC276&lt;&gt;"",W276&lt;&gt;"",N(V276)&gt;0),COUNTIFS($AV$3:AV276,1,$AZ$3:AZ276,0,$AC$3:AC276,"&lt;&gt;",$W$3:W276,"&lt;&gt;",$V$3:V276,"&gt;0"),"")</f>
        <v/>
      </c>
    </row>
    <row r="277">
      <c r="A277" s="12" t="n"/>
      <c r="B277" s="13" t="n"/>
      <c r="C277" s="13" t="n"/>
      <c r="D277" s="7">
        <f>IF(OR(B277="",C277=""),"",ROUND((C277-B277)*1440,0))</f>
        <v/>
      </c>
      <c r="E277" s="12" t="n"/>
      <c r="F277" s="12" t="n"/>
      <c r="G277" s="12" t="n"/>
      <c r="H277" s="12" t="n"/>
      <c r="I277" s="12" t="n"/>
      <c r="J277" s="12" t="n"/>
      <c r="K277" s="12" t="n"/>
      <c r="L277" s="14" t="n"/>
      <c r="M277" s="12" t="n"/>
      <c r="N277" s="12" t="n"/>
      <c r="O277" s="12" t="n"/>
      <c r="P277" s="12" t="n"/>
      <c r="Q277" s="7">
        <f>IF(A277="","",IFERROR(VLOOKUP(O277,Listes!$R$3:$T$8,2,FALSE),0)+IFERROR(VLOOKUP(J277,Listes!$J$3:$L$6,2,FALSE),0)+IFERROR(VLOOKUP(N277,Listes!$N$3:$P$6,2,FALSE),0)+IF(OR(L277="",B277=""),0,IF(L277-INT(B277)&lt;10,8,IF(L277-INT(B277)&lt;=90,10,5)))+IFERROR(VLOOKUP(AN277,Listes!$V$3:$W$5,2,FALSE),0)+IFERROR(VLOOKUP(AO277,Listes!$Y$3:$Z$5,2,FALSE),0))</f>
        <v/>
      </c>
      <c r="R277" s="12" t="n"/>
      <c r="S277" s="12" t="n"/>
      <c r="T277" s="12" t="n"/>
      <c r="U277" s="15" t="n"/>
      <c r="V277" s="15" t="n"/>
      <c r="W277" s="13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3" t="n"/>
      <c r="AK277" s="12" t="n"/>
      <c r="AL277" s="12" t="n"/>
      <c r="AM277" s="12" t="n"/>
      <c r="AN277" s="12" t="n"/>
      <c r="AO277" s="12" t="n"/>
      <c r="AP277" s="12" t="n"/>
      <c r="AQ277" s="7">
        <f>IF(A277="","",IF(AP277&lt;&gt;"",AP277,IF(LEFT(Z277,11)="gads_marque","Google Search – Marque",IF(LEFT(Z277,12)="gads_mariage","Google Search – Mariage et privé",IF(LEFT(Z277,10)="gads_corpo","Google Search – Corporatif",IF(LEFT(Z277,5)="meta_","Meta – Leads",IF(LEFT(Z277,5)="msft_","Microsoft Ads",IF(LEFT(Z277,8)="chatgpt_","ChatGPT Ads – Test",IF(X277="gbp","Fiche Google (organique)","Autre / non payé")))))))))</f>
        <v/>
      </c>
      <c r="AR277" s="7">
        <f>IF(K277="","",IFERROR(VLOOKUP(K277,Listes!$F$3:$H$8,3,FALSE),""))</f>
        <v/>
      </c>
      <c r="AS277" s="7">
        <f>IF(O277="","",IF(AND(M277="Autre (plus de 40 km)",OR(O277="lt600",O277="600_999",O277="1000_2499")),"D",IF(OR(O277="lt600",AND(O277="600_999",K277&lt;&gt;"mariage",K277&lt;&gt;"prive")),"C",IF(OR(O277="2500_4999",O277="5000p",J277="entreprise",J277="organisme",J277="agence"),"A",IF(OR(O277="1000_2499",O277="600_999"),"B",IF(O277="inconnu",IF(OR(N277="75_149",N277="150p"),"A","B"),""))))))</f>
        <v/>
      </c>
      <c r="AT277" s="7">
        <f>IF(A277="","",IF(P277&lt;&gt;"",P277,AS277))</f>
        <v/>
      </c>
      <c r="AU277" s="7">
        <f>IF(A277="","",IF(OR(AT277="A",AT277="B"),1,0))</f>
        <v/>
      </c>
      <c r="AV277" s="7">
        <f>IF(A277="","",IF(OR(R277="Dépôt payé (gagné)",R277="Événement livré",R277="Avis obtenu"),1,0))</f>
        <v/>
      </c>
      <c r="AW277" s="7">
        <f>IF(A277="","",IF(Q277&gt;70,"Immédiat – propriétaire",IF(Q277&gt;=40,"15 min – personne de garde","Selon la route")))</f>
        <v/>
      </c>
      <c r="AX277" s="11">
        <f>IF(A277="","",IF(AT277="A",400,IF(AT277="B",150,0)))</f>
        <v/>
      </c>
      <c r="AY277" s="11">
        <f>IF(A277="","",IF(AV277=1,N(V277),IF(N(U277)&gt;0,ROUND(N(U277)*IFERROR(VLOOKUP(R277,Listes!$AE$3:$AG$12,2,FALSE),0),0),0)))</f>
        <v/>
      </c>
      <c r="AZ277" s="7">
        <f>IF(LEFT(A277,7)="EXEMPLE",1,0)</f>
        <v/>
      </c>
      <c r="BA277" s="7">
        <f>IF(AND(AV277=1,AZ277=0,AC277&lt;&gt;"",W277&lt;&gt;"",N(V277)&gt;0),COUNTIFS($AV$3:AV277,1,$AZ$3:AZ277,0,$AC$3:AC277,"&lt;&gt;",$W$3:W277,"&lt;&gt;",$V$3:V277,"&gt;0"),"")</f>
        <v/>
      </c>
    </row>
    <row r="278">
      <c r="A278" s="12" t="n"/>
      <c r="B278" s="13" t="n"/>
      <c r="C278" s="13" t="n"/>
      <c r="D278" s="7">
        <f>IF(OR(B278="",C278=""),"",ROUND((C278-B278)*1440,0))</f>
        <v/>
      </c>
      <c r="E278" s="12" t="n"/>
      <c r="F278" s="12" t="n"/>
      <c r="G278" s="12" t="n"/>
      <c r="H278" s="12" t="n"/>
      <c r="I278" s="12" t="n"/>
      <c r="J278" s="12" t="n"/>
      <c r="K278" s="12" t="n"/>
      <c r="L278" s="14" t="n"/>
      <c r="M278" s="12" t="n"/>
      <c r="N278" s="12" t="n"/>
      <c r="O278" s="12" t="n"/>
      <c r="P278" s="12" t="n"/>
      <c r="Q278" s="7">
        <f>IF(A278="","",IFERROR(VLOOKUP(O278,Listes!$R$3:$T$8,2,FALSE),0)+IFERROR(VLOOKUP(J278,Listes!$J$3:$L$6,2,FALSE),0)+IFERROR(VLOOKUP(N278,Listes!$N$3:$P$6,2,FALSE),0)+IF(OR(L278="",B278=""),0,IF(L278-INT(B278)&lt;10,8,IF(L278-INT(B278)&lt;=90,10,5)))+IFERROR(VLOOKUP(AN278,Listes!$V$3:$W$5,2,FALSE),0)+IFERROR(VLOOKUP(AO278,Listes!$Y$3:$Z$5,2,FALSE),0))</f>
        <v/>
      </c>
      <c r="R278" s="12" t="n"/>
      <c r="S278" s="12" t="n"/>
      <c r="T278" s="12" t="n"/>
      <c r="U278" s="15" t="n"/>
      <c r="V278" s="15" t="n"/>
      <c r="W278" s="13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3" t="n"/>
      <c r="AK278" s="12" t="n"/>
      <c r="AL278" s="12" t="n"/>
      <c r="AM278" s="12" t="n"/>
      <c r="AN278" s="12" t="n"/>
      <c r="AO278" s="12" t="n"/>
      <c r="AP278" s="12" t="n"/>
      <c r="AQ278" s="7">
        <f>IF(A278="","",IF(AP278&lt;&gt;"",AP278,IF(LEFT(Z278,11)="gads_marque","Google Search – Marque",IF(LEFT(Z278,12)="gads_mariage","Google Search – Mariage et privé",IF(LEFT(Z278,10)="gads_corpo","Google Search – Corporatif",IF(LEFT(Z278,5)="meta_","Meta – Leads",IF(LEFT(Z278,5)="msft_","Microsoft Ads",IF(LEFT(Z278,8)="chatgpt_","ChatGPT Ads – Test",IF(X278="gbp","Fiche Google (organique)","Autre / non payé")))))))))</f>
        <v/>
      </c>
      <c r="AR278" s="7">
        <f>IF(K278="","",IFERROR(VLOOKUP(K278,Listes!$F$3:$H$8,3,FALSE),""))</f>
        <v/>
      </c>
      <c r="AS278" s="7">
        <f>IF(O278="","",IF(AND(M278="Autre (plus de 40 km)",OR(O278="lt600",O278="600_999",O278="1000_2499")),"D",IF(OR(O278="lt600",AND(O278="600_999",K278&lt;&gt;"mariage",K278&lt;&gt;"prive")),"C",IF(OR(O278="2500_4999",O278="5000p",J278="entreprise",J278="organisme",J278="agence"),"A",IF(OR(O278="1000_2499",O278="600_999"),"B",IF(O278="inconnu",IF(OR(N278="75_149",N278="150p"),"A","B"),""))))))</f>
        <v/>
      </c>
      <c r="AT278" s="7">
        <f>IF(A278="","",IF(P278&lt;&gt;"",P278,AS278))</f>
        <v/>
      </c>
      <c r="AU278" s="7">
        <f>IF(A278="","",IF(OR(AT278="A",AT278="B"),1,0))</f>
        <v/>
      </c>
      <c r="AV278" s="7">
        <f>IF(A278="","",IF(OR(R278="Dépôt payé (gagné)",R278="Événement livré",R278="Avis obtenu"),1,0))</f>
        <v/>
      </c>
      <c r="AW278" s="7">
        <f>IF(A278="","",IF(Q278&gt;70,"Immédiat – propriétaire",IF(Q278&gt;=40,"15 min – personne de garde","Selon la route")))</f>
        <v/>
      </c>
      <c r="AX278" s="11">
        <f>IF(A278="","",IF(AT278="A",400,IF(AT278="B",150,0)))</f>
        <v/>
      </c>
      <c r="AY278" s="11">
        <f>IF(A278="","",IF(AV278=1,N(V278),IF(N(U278)&gt;0,ROUND(N(U278)*IFERROR(VLOOKUP(R278,Listes!$AE$3:$AG$12,2,FALSE),0),0),0)))</f>
        <v/>
      </c>
      <c r="AZ278" s="7">
        <f>IF(LEFT(A278,7)="EXEMPLE",1,0)</f>
        <v/>
      </c>
      <c r="BA278" s="7">
        <f>IF(AND(AV278=1,AZ278=0,AC278&lt;&gt;"",W278&lt;&gt;"",N(V278)&gt;0),COUNTIFS($AV$3:AV278,1,$AZ$3:AZ278,0,$AC$3:AC278,"&lt;&gt;",$W$3:W278,"&lt;&gt;",$V$3:V278,"&gt;0"),"")</f>
        <v/>
      </c>
    </row>
    <row r="279">
      <c r="A279" s="12" t="n"/>
      <c r="B279" s="13" t="n"/>
      <c r="C279" s="13" t="n"/>
      <c r="D279" s="7">
        <f>IF(OR(B279="",C279=""),"",ROUND((C279-B279)*1440,0))</f>
        <v/>
      </c>
      <c r="E279" s="12" t="n"/>
      <c r="F279" s="12" t="n"/>
      <c r="G279" s="12" t="n"/>
      <c r="H279" s="12" t="n"/>
      <c r="I279" s="12" t="n"/>
      <c r="J279" s="12" t="n"/>
      <c r="K279" s="12" t="n"/>
      <c r="L279" s="14" t="n"/>
      <c r="M279" s="12" t="n"/>
      <c r="N279" s="12" t="n"/>
      <c r="O279" s="12" t="n"/>
      <c r="P279" s="12" t="n"/>
      <c r="Q279" s="7">
        <f>IF(A279="","",IFERROR(VLOOKUP(O279,Listes!$R$3:$T$8,2,FALSE),0)+IFERROR(VLOOKUP(J279,Listes!$J$3:$L$6,2,FALSE),0)+IFERROR(VLOOKUP(N279,Listes!$N$3:$P$6,2,FALSE),0)+IF(OR(L279="",B279=""),0,IF(L279-INT(B279)&lt;10,8,IF(L279-INT(B279)&lt;=90,10,5)))+IFERROR(VLOOKUP(AN279,Listes!$V$3:$W$5,2,FALSE),0)+IFERROR(VLOOKUP(AO279,Listes!$Y$3:$Z$5,2,FALSE),0))</f>
        <v/>
      </c>
      <c r="R279" s="12" t="n"/>
      <c r="S279" s="12" t="n"/>
      <c r="T279" s="12" t="n"/>
      <c r="U279" s="15" t="n"/>
      <c r="V279" s="15" t="n"/>
      <c r="W279" s="13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3" t="n"/>
      <c r="AK279" s="12" t="n"/>
      <c r="AL279" s="12" t="n"/>
      <c r="AM279" s="12" t="n"/>
      <c r="AN279" s="12" t="n"/>
      <c r="AO279" s="12" t="n"/>
      <c r="AP279" s="12" t="n"/>
      <c r="AQ279" s="7">
        <f>IF(A279="","",IF(AP279&lt;&gt;"",AP279,IF(LEFT(Z279,11)="gads_marque","Google Search – Marque",IF(LEFT(Z279,12)="gads_mariage","Google Search – Mariage et privé",IF(LEFT(Z279,10)="gads_corpo","Google Search – Corporatif",IF(LEFT(Z279,5)="meta_","Meta – Leads",IF(LEFT(Z279,5)="msft_","Microsoft Ads",IF(LEFT(Z279,8)="chatgpt_","ChatGPT Ads – Test",IF(X279="gbp","Fiche Google (organique)","Autre / non payé")))))))))</f>
        <v/>
      </c>
      <c r="AR279" s="7">
        <f>IF(K279="","",IFERROR(VLOOKUP(K279,Listes!$F$3:$H$8,3,FALSE),""))</f>
        <v/>
      </c>
      <c r="AS279" s="7">
        <f>IF(O279="","",IF(AND(M279="Autre (plus de 40 km)",OR(O279="lt600",O279="600_999",O279="1000_2499")),"D",IF(OR(O279="lt600",AND(O279="600_999",K279&lt;&gt;"mariage",K279&lt;&gt;"prive")),"C",IF(OR(O279="2500_4999",O279="5000p",J279="entreprise",J279="organisme",J279="agence"),"A",IF(OR(O279="1000_2499",O279="600_999"),"B",IF(O279="inconnu",IF(OR(N279="75_149",N279="150p"),"A","B"),""))))))</f>
        <v/>
      </c>
      <c r="AT279" s="7">
        <f>IF(A279="","",IF(P279&lt;&gt;"",P279,AS279))</f>
        <v/>
      </c>
      <c r="AU279" s="7">
        <f>IF(A279="","",IF(OR(AT279="A",AT279="B"),1,0))</f>
        <v/>
      </c>
      <c r="AV279" s="7">
        <f>IF(A279="","",IF(OR(R279="Dépôt payé (gagné)",R279="Événement livré",R279="Avis obtenu"),1,0))</f>
        <v/>
      </c>
      <c r="AW279" s="7">
        <f>IF(A279="","",IF(Q279&gt;70,"Immédiat – propriétaire",IF(Q279&gt;=40,"15 min – personne de garde","Selon la route")))</f>
        <v/>
      </c>
      <c r="AX279" s="11">
        <f>IF(A279="","",IF(AT279="A",400,IF(AT279="B",150,0)))</f>
        <v/>
      </c>
      <c r="AY279" s="11">
        <f>IF(A279="","",IF(AV279=1,N(V279),IF(N(U279)&gt;0,ROUND(N(U279)*IFERROR(VLOOKUP(R279,Listes!$AE$3:$AG$12,2,FALSE),0),0),0)))</f>
        <v/>
      </c>
      <c r="AZ279" s="7">
        <f>IF(LEFT(A279,7)="EXEMPLE",1,0)</f>
        <v/>
      </c>
      <c r="BA279" s="7">
        <f>IF(AND(AV279=1,AZ279=0,AC279&lt;&gt;"",W279&lt;&gt;"",N(V279)&gt;0),COUNTIFS($AV$3:AV279,1,$AZ$3:AZ279,0,$AC$3:AC279,"&lt;&gt;",$W$3:W279,"&lt;&gt;",$V$3:V279,"&gt;0"),"")</f>
        <v/>
      </c>
    </row>
    <row r="280">
      <c r="A280" s="12" t="n"/>
      <c r="B280" s="13" t="n"/>
      <c r="C280" s="13" t="n"/>
      <c r="D280" s="7">
        <f>IF(OR(B280="",C280=""),"",ROUND((C280-B280)*1440,0))</f>
        <v/>
      </c>
      <c r="E280" s="12" t="n"/>
      <c r="F280" s="12" t="n"/>
      <c r="G280" s="12" t="n"/>
      <c r="H280" s="12" t="n"/>
      <c r="I280" s="12" t="n"/>
      <c r="J280" s="12" t="n"/>
      <c r="K280" s="12" t="n"/>
      <c r="L280" s="14" t="n"/>
      <c r="M280" s="12" t="n"/>
      <c r="N280" s="12" t="n"/>
      <c r="O280" s="12" t="n"/>
      <c r="P280" s="12" t="n"/>
      <c r="Q280" s="7">
        <f>IF(A280="","",IFERROR(VLOOKUP(O280,Listes!$R$3:$T$8,2,FALSE),0)+IFERROR(VLOOKUP(J280,Listes!$J$3:$L$6,2,FALSE),0)+IFERROR(VLOOKUP(N280,Listes!$N$3:$P$6,2,FALSE),0)+IF(OR(L280="",B280=""),0,IF(L280-INT(B280)&lt;10,8,IF(L280-INT(B280)&lt;=90,10,5)))+IFERROR(VLOOKUP(AN280,Listes!$V$3:$W$5,2,FALSE),0)+IFERROR(VLOOKUP(AO280,Listes!$Y$3:$Z$5,2,FALSE),0))</f>
        <v/>
      </c>
      <c r="R280" s="12" t="n"/>
      <c r="S280" s="12" t="n"/>
      <c r="T280" s="12" t="n"/>
      <c r="U280" s="15" t="n"/>
      <c r="V280" s="15" t="n"/>
      <c r="W280" s="13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3" t="n"/>
      <c r="AK280" s="12" t="n"/>
      <c r="AL280" s="12" t="n"/>
      <c r="AM280" s="12" t="n"/>
      <c r="AN280" s="12" t="n"/>
      <c r="AO280" s="12" t="n"/>
      <c r="AP280" s="12" t="n"/>
      <c r="AQ280" s="7">
        <f>IF(A280="","",IF(AP280&lt;&gt;"",AP280,IF(LEFT(Z280,11)="gads_marque","Google Search – Marque",IF(LEFT(Z280,12)="gads_mariage","Google Search – Mariage et privé",IF(LEFT(Z280,10)="gads_corpo","Google Search – Corporatif",IF(LEFT(Z280,5)="meta_","Meta – Leads",IF(LEFT(Z280,5)="msft_","Microsoft Ads",IF(LEFT(Z280,8)="chatgpt_","ChatGPT Ads – Test",IF(X280="gbp","Fiche Google (organique)","Autre / non payé")))))))))</f>
        <v/>
      </c>
      <c r="AR280" s="7">
        <f>IF(K280="","",IFERROR(VLOOKUP(K280,Listes!$F$3:$H$8,3,FALSE),""))</f>
        <v/>
      </c>
      <c r="AS280" s="7">
        <f>IF(O280="","",IF(AND(M280="Autre (plus de 40 km)",OR(O280="lt600",O280="600_999",O280="1000_2499")),"D",IF(OR(O280="lt600",AND(O280="600_999",K280&lt;&gt;"mariage",K280&lt;&gt;"prive")),"C",IF(OR(O280="2500_4999",O280="5000p",J280="entreprise",J280="organisme",J280="agence"),"A",IF(OR(O280="1000_2499",O280="600_999"),"B",IF(O280="inconnu",IF(OR(N280="75_149",N280="150p"),"A","B"),""))))))</f>
        <v/>
      </c>
      <c r="AT280" s="7">
        <f>IF(A280="","",IF(P280&lt;&gt;"",P280,AS280))</f>
        <v/>
      </c>
      <c r="AU280" s="7">
        <f>IF(A280="","",IF(OR(AT280="A",AT280="B"),1,0))</f>
        <v/>
      </c>
      <c r="AV280" s="7">
        <f>IF(A280="","",IF(OR(R280="Dépôt payé (gagné)",R280="Événement livré",R280="Avis obtenu"),1,0))</f>
        <v/>
      </c>
      <c r="AW280" s="7">
        <f>IF(A280="","",IF(Q280&gt;70,"Immédiat – propriétaire",IF(Q280&gt;=40,"15 min – personne de garde","Selon la route")))</f>
        <v/>
      </c>
      <c r="AX280" s="11">
        <f>IF(A280="","",IF(AT280="A",400,IF(AT280="B",150,0)))</f>
        <v/>
      </c>
      <c r="AY280" s="11">
        <f>IF(A280="","",IF(AV280=1,N(V280),IF(N(U280)&gt;0,ROUND(N(U280)*IFERROR(VLOOKUP(R280,Listes!$AE$3:$AG$12,2,FALSE),0),0),0)))</f>
        <v/>
      </c>
      <c r="AZ280" s="7">
        <f>IF(LEFT(A280,7)="EXEMPLE",1,0)</f>
        <v/>
      </c>
      <c r="BA280" s="7">
        <f>IF(AND(AV280=1,AZ280=0,AC280&lt;&gt;"",W280&lt;&gt;"",N(V280)&gt;0),COUNTIFS($AV$3:AV280,1,$AZ$3:AZ280,0,$AC$3:AC280,"&lt;&gt;",$W$3:W280,"&lt;&gt;",$V$3:V280,"&gt;0"),"")</f>
        <v/>
      </c>
    </row>
    <row r="281">
      <c r="A281" s="12" t="n"/>
      <c r="B281" s="13" t="n"/>
      <c r="C281" s="13" t="n"/>
      <c r="D281" s="7">
        <f>IF(OR(B281="",C281=""),"",ROUND((C281-B281)*1440,0))</f>
        <v/>
      </c>
      <c r="E281" s="12" t="n"/>
      <c r="F281" s="12" t="n"/>
      <c r="G281" s="12" t="n"/>
      <c r="H281" s="12" t="n"/>
      <c r="I281" s="12" t="n"/>
      <c r="J281" s="12" t="n"/>
      <c r="K281" s="12" t="n"/>
      <c r="L281" s="14" t="n"/>
      <c r="M281" s="12" t="n"/>
      <c r="N281" s="12" t="n"/>
      <c r="O281" s="12" t="n"/>
      <c r="P281" s="12" t="n"/>
      <c r="Q281" s="7">
        <f>IF(A281="","",IFERROR(VLOOKUP(O281,Listes!$R$3:$T$8,2,FALSE),0)+IFERROR(VLOOKUP(J281,Listes!$J$3:$L$6,2,FALSE),0)+IFERROR(VLOOKUP(N281,Listes!$N$3:$P$6,2,FALSE),0)+IF(OR(L281="",B281=""),0,IF(L281-INT(B281)&lt;10,8,IF(L281-INT(B281)&lt;=90,10,5)))+IFERROR(VLOOKUP(AN281,Listes!$V$3:$W$5,2,FALSE),0)+IFERROR(VLOOKUP(AO281,Listes!$Y$3:$Z$5,2,FALSE),0))</f>
        <v/>
      </c>
      <c r="R281" s="12" t="n"/>
      <c r="S281" s="12" t="n"/>
      <c r="T281" s="12" t="n"/>
      <c r="U281" s="15" t="n"/>
      <c r="V281" s="15" t="n"/>
      <c r="W281" s="13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3" t="n"/>
      <c r="AK281" s="12" t="n"/>
      <c r="AL281" s="12" t="n"/>
      <c r="AM281" s="12" t="n"/>
      <c r="AN281" s="12" t="n"/>
      <c r="AO281" s="12" t="n"/>
      <c r="AP281" s="12" t="n"/>
      <c r="AQ281" s="7">
        <f>IF(A281="","",IF(AP281&lt;&gt;"",AP281,IF(LEFT(Z281,11)="gads_marque","Google Search – Marque",IF(LEFT(Z281,12)="gads_mariage","Google Search – Mariage et privé",IF(LEFT(Z281,10)="gads_corpo","Google Search – Corporatif",IF(LEFT(Z281,5)="meta_","Meta – Leads",IF(LEFT(Z281,5)="msft_","Microsoft Ads",IF(LEFT(Z281,8)="chatgpt_","ChatGPT Ads – Test",IF(X281="gbp","Fiche Google (organique)","Autre / non payé")))))))))</f>
        <v/>
      </c>
      <c r="AR281" s="7">
        <f>IF(K281="","",IFERROR(VLOOKUP(K281,Listes!$F$3:$H$8,3,FALSE),""))</f>
        <v/>
      </c>
      <c r="AS281" s="7">
        <f>IF(O281="","",IF(AND(M281="Autre (plus de 40 km)",OR(O281="lt600",O281="600_999",O281="1000_2499")),"D",IF(OR(O281="lt600",AND(O281="600_999",K281&lt;&gt;"mariage",K281&lt;&gt;"prive")),"C",IF(OR(O281="2500_4999",O281="5000p",J281="entreprise",J281="organisme",J281="agence"),"A",IF(OR(O281="1000_2499",O281="600_999"),"B",IF(O281="inconnu",IF(OR(N281="75_149",N281="150p"),"A","B"),""))))))</f>
        <v/>
      </c>
      <c r="AT281" s="7">
        <f>IF(A281="","",IF(P281&lt;&gt;"",P281,AS281))</f>
        <v/>
      </c>
      <c r="AU281" s="7">
        <f>IF(A281="","",IF(OR(AT281="A",AT281="B"),1,0))</f>
        <v/>
      </c>
      <c r="AV281" s="7">
        <f>IF(A281="","",IF(OR(R281="Dépôt payé (gagné)",R281="Événement livré",R281="Avis obtenu"),1,0))</f>
        <v/>
      </c>
      <c r="AW281" s="7">
        <f>IF(A281="","",IF(Q281&gt;70,"Immédiat – propriétaire",IF(Q281&gt;=40,"15 min – personne de garde","Selon la route")))</f>
        <v/>
      </c>
      <c r="AX281" s="11">
        <f>IF(A281="","",IF(AT281="A",400,IF(AT281="B",150,0)))</f>
        <v/>
      </c>
      <c r="AY281" s="11">
        <f>IF(A281="","",IF(AV281=1,N(V281),IF(N(U281)&gt;0,ROUND(N(U281)*IFERROR(VLOOKUP(R281,Listes!$AE$3:$AG$12,2,FALSE),0),0),0)))</f>
        <v/>
      </c>
      <c r="AZ281" s="7">
        <f>IF(LEFT(A281,7)="EXEMPLE",1,0)</f>
        <v/>
      </c>
      <c r="BA281" s="7">
        <f>IF(AND(AV281=1,AZ281=0,AC281&lt;&gt;"",W281&lt;&gt;"",N(V281)&gt;0),COUNTIFS($AV$3:AV281,1,$AZ$3:AZ281,0,$AC$3:AC281,"&lt;&gt;",$W$3:W281,"&lt;&gt;",$V$3:V281,"&gt;0"),"")</f>
        <v/>
      </c>
    </row>
    <row r="282">
      <c r="A282" s="12" t="n"/>
      <c r="B282" s="13" t="n"/>
      <c r="C282" s="13" t="n"/>
      <c r="D282" s="7">
        <f>IF(OR(B282="",C282=""),"",ROUND((C282-B282)*1440,0))</f>
        <v/>
      </c>
      <c r="E282" s="12" t="n"/>
      <c r="F282" s="12" t="n"/>
      <c r="G282" s="12" t="n"/>
      <c r="H282" s="12" t="n"/>
      <c r="I282" s="12" t="n"/>
      <c r="J282" s="12" t="n"/>
      <c r="K282" s="12" t="n"/>
      <c r="L282" s="14" t="n"/>
      <c r="M282" s="12" t="n"/>
      <c r="N282" s="12" t="n"/>
      <c r="O282" s="12" t="n"/>
      <c r="P282" s="12" t="n"/>
      <c r="Q282" s="7">
        <f>IF(A282="","",IFERROR(VLOOKUP(O282,Listes!$R$3:$T$8,2,FALSE),0)+IFERROR(VLOOKUP(J282,Listes!$J$3:$L$6,2,FALSE),0)+IFERROR(VLOOKUP(N282,Listes!$N$3:$P$6,2,FALSE),0)+IF(OR(L282="",B282=""),0,IF(L282-INT(B282)&lt;10,8,IF(L282-INT(B282)&lt;=90,10,5)))+IFERROR(VLOOKUP(AN282,Listes!$V$3:$W$5,2,FALSE),0)+IFERROR(VLOOKUP(AO282,Listes!$Y$3:$Z$5,2,FALSE),0))</f>
        <v/>
      </c>
      <c r="R282" s="12" t="n"/>
      <c r="S282" s="12" t="n"/>
      <c r="T282" s="12" t="n"/>
      <c r="U282" s="15" t="n"/>
      <c r="V282" s="15" t="n"/>
      <c r="W282" s="13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3" t="n"/>
      <c r="AK282" s="12" t="n"/>
      <c r="AL282" s="12" t="n"/>
      <c r="AM282" s="12" t="n"/>
      <c r="AN282" s="12" t="n"/>
      <c r="AO282" s="12" t="n"/>
      <c r="AP282" s="12" t="n"/>
      <c r="AQ282" s="7">
        <f>IF(A282="","",IF(AP282&lt;&gt;"",AP282,IF(LEFT(Z282,11)="gads_marque","Google Search – Marque",IF(LEFT(Z282,12)="gads_mariage","Google Search – Mariage et privé",IF(LEFT(Z282,10)="gads_corpo","Google Search – Corporatif",IF(LEFT(Z282,5)="meta_","Meta – Leads",IF(LEFT(Z282,5)="msft_","Microsoft Ads",IF(LEFT(Z282,8)="chatgpt_","ChatGPT Ads – Test",IF(X282="gbp","Fiche Google (organique)","Autre / non payé")))))))))</f>
        <v/>
      </c>
      <c r="AR282" s="7">
        <f>IF(K282="","",IFERROR(VLOOKUP(K282,Listes!$F$3:$H$8,3,FALSE),""))</f>
        <v/>
      </c>
      <c r="AS282" s="7">
        <f>IF(O282="","",IF(AND(M282="Autre (plus de 40 km)",OR(O282="lt600",O282="600_999",O282="1000_2499")),"D",IF(OR(O282="lt600",AND(O282="600_999",K282&lt;&gt;"mariage",K282&lt;&gt;"prive")),"C",IF(OR(O282="2500_4999",O282="5000p",J282="entreprise",J282="organisme",J282="agence"),"A",IF(OR(O282="1000_2499",O282="600_999"),"B",IF(O282="inconnu",IF(OR(N282="75_149",N282="150p"),"A","B"),""))))))</f>
        <v/>
      </c>
      <c r="AT282" s="7">
        <f>IF(A282="","",IF(P282&lt;&gt;"",P282,AS282))</f>
        <v/>
      </c>
      <c r="AU282" s="7">
        <f>IF(A282="","",IF(OR(AT282="A",AT282="B"),1,0))</f>
        <v/>
      </c>
      <c r="AV282" s="7">
        <f>IF(A282="","",IF(OR(R282="Dépôt payé (gagné)",R282="Événement livré",R282="Avis obtenu"),1,0))</f>
        <v/>
      </c>
      <c r="AW282" s="7">
        <f>IF(A282="","",IF(Q282&gt;70,"Immédiat – propriétaire",IF(Q282&gt;=40,"15 min – personne de garde","Selon la route")))</f>
        <v/>
      </c>
      <c r="AX282" s="11">
        <f>IF(A282="","",IF(AT282="A",400,IF(AT282="B",150,0)))</f>
        <v/>
      </c>
      <c r="AY282" s="11">
        <f>IF(A282="","",IF(AV282=1,N(V282),IF(N(U282)&gt;0,ROUND(N(U282)*IFERROR(VLOOKUP(R282,Listes!$AE$3:$AG$12,2,FALSE),0),0),0)))</f>
        <v/>
      </c>
      <c r="AZ282" s="7">
        <f>IF(LEFT(A282,7)="EXEMPLE",1,0)</f>
        <v/>
      </c>
      <c r="BA282" s="7">
        <f>IF(AND(AV282=1,AZ282=0,AC282&lt;&gt;"",W282&lt;&gt;"",N(V282)&gt;0),COUNTIFS($AV$3:AV282,1,$AZ$3:AZ282,0,$AC$3:AC282,"&lt;&gt;",$W$3:W282,"&lt;&gt;",$V$3:V282,"&gt;0"),"")</f>
        <v/>
      </c>
    </row>
    <row r="283">
      <c r="A283" s="12" t="n"/>
      <c r="B283" s="13" t="n"/>
      <c r="C283" s="13" t="n"/>
      <c r="D283" s="7">
        <f>IF(OR(B283="",C283=""),"",ROUND((C283-B283)*1440,0))</f>
        <v/>
      </c>
      <c r="E283" s="12" t="n"/>
      <c r="F283" s="12" t="n"/>
      <c r="G283" s="12" t="n"/>
      <c r="H283" s="12" t="n"/>
      <c r="I283" s="12" t="n"/>
      <c r="J283" s="12" t="n"/>
      <c r="K283" s="12" t="n"/>
      <c r="L283" s="14" t="n"/>
      <c r="M283" s="12" t="n"/>
      <c r="N283" s="12" t="n"/>
      <c r="O283" s="12" t="n"/>
      <c r="P283" s="12" t="n"/>
      <c r="Q283" s="7">
        <f>IF(A283="","",IFERROR(VLOOKUP(O283,Listes!$R$3:$T$8,2,FALSE),0)+IFERROR(VLOOKUP(J283,Listes!$J$3:$L$6,2,FALSE),0)+IFERROR(VLOOKUP(N283,Listes!$N$3:$P$6,2,FALSE),0)+IF(OR(L283="",B283=""),0,IF(L283-INT(B283)&lt;10,8,IF(L283-INT(B283)&lt;=90,10,5)))+IFERROR(VLOOKUP(AN283,Listes!$V$3:$W$5,2,FALSE),0)+IFERROR(VLOOKUP(AO283,Listes!$Y$3:$Z$5,2,FALSE),0))</f>
        <v/>
      </c>
      <c r="R283" s="12" t="n"/>
      <c r="S283" s="12" t="n"/>
      <c r="T283" s="12" t="n"/>
      <c r="U283" s="15" t="n"/>
      <c r="V283" s="15" t="n"/>
      <c r="W283" s="13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3" t="n"/>
      <c r="AK283" s="12" t="n"/>
      <c r="AL283" s="12" t="n"/>
      <c r="AM283" s="12" t="n"/>
      <c r="AN283" s="12" t="n"/>
      <c r="AO283" s="12" t="n"/>
      <c r="AP283" s="12" t="n"/>
      <c r="AQ283" s="7">
        <f>IF(A283="","",IF(AP283&lt;&gt;"",AP283,IF(LEFT(Z283,11)="gads_marque","Google Search – Marque",IF(LEFT(Z283,12)="gads_mariage","Google Search – Mariage et privé",IF(LEFT(Z283,10)="gads_corpo","Google Search – Corporatif",IF(LEFT(Z283,5)="meta_","Meta – Leads",IF(LEFT(Z283,5)="msft_","Microsoft Ads",IF(LEFT(Z283,8)="chatgpt_","ChatGPT Ads – Test",IF(X283="gbp","Fiche Google (organique)","Autre / non payé")))))))))</f>
        <v/>
      </c>
      <c r="AR283" s="7">
        <f>IF(K283="","",IFERROR(VLOOKUP(K283,Listes!$F$3:$H$8,3,FALSE),""))</f>
        <v/>
      </c>
      <c r="AS283" s="7">
        <f>IF(O283="","",IF(AND(M283="Autre (plus de 40 km)",OR(O283="lt600",O283="600_999",O283="1000_2499")),"D",IF(OR(O283="lt600",AND(O283="600_999",K283&lt;&gt;"mariage",K283&lt;&gt;"prive")),"C",IF(OR(O283="2500_4999",O283="5000p",J283="entreprise",J283="organisme",J283="agence"),"A",IF(OR(O283="1000_2499",O283="600_999"),"B",IF(O283="inconnu",IF(OR(N283="75_149",N283="150p"),"A","B"),""))))))</f>
        <v/>
      </c>
      <c r="AT283" s="7">
        <f>IF(A283="","",IF(P283&lt;&gt;"",P283,AS283))</f>
        <v/>
      </c>
      <c r="AU283" s="7">
        <f>IF(A283="","",IF(OR(AT283="A",AT283="B"),1,0))</f>
        <v/>
      </c>
      <c r="AV283" s="7">
        <f>IF(A283="","",IF(OR(R283="Dépôt payé (gagné)",R283="Événement livré",R283="Avis obtenu"),1,0))</f>
        <v/>
      </c>
      <c r="AW283" s="7">
        <f>IF(A283="","",IF(Q283&gt;70,"Immédiat – propriétaire",IF(Q283&gt;=40,"15 min – personne de garde","Selon la route")))</f>
        <v/>
      </c>
      <c r="AX283" s="11">
        <f>IF(A283="","",IF(AT283="A",400,IF(AT283="B",150,0)))</f>
        <v/>
      </c>
      <c r="AY283" s="11">
        <f>IF(A283="","",IF(AV283=1,N(V283),IF(N(U283)&gt;0,ROUND(N(U283)*IFERROR(VLOOKUP(R283,Listes!$AE$3:$AG$12,2,FALSE),0),0),0)))</f>
        <v/>
      </c>
      <c r="AZ283" s="7">
        <f>IF(LEFT(A283,7)="EXEMPLE",1,0)</f>
        <v/>
      </c>
      <c r="BA283" s="7">
        <f>IF(AND(AV283=1,AZ283=0,AC283&lt;&gt;"",W283&lt;&gt;"",N(V283)&gt;0),COUNTIFS($AV$3:AV283,1,$AZ$3:AZ283,0,$AC$3:AC283,"&lt;&gt;",$W$3:W283,"&lt;&gt;",$V$3:V283,"&gt;0"),"")</f>
        <v/>
      </c>
    </row>
    <row r="284">
      <c r="A284" s="12" t="n"/>
      <c r="B284" s="13" t="n"/>
      <c r="C284" s="13" t="n"/>
      <c r="D284" s="7">
        <f>IF(OR(B284="",C284=""),"",ROUND((C284-B284)*1440,0))</f>
        <v/>
      </c>
      <c r="E284" s="12" t="n"/>
      <c r="F284" s="12" t="n"/>
      <c r="G284" s="12" t="n"/>
      <c r="H284" s="12" t="n"/>
      <c r="I284" s="12" t="n"/>
      <c r="J284" s="12" t="n"/>
      <c r="K284" s="12" t="n"/>
      <c r="L284" s="14" t="n"/>
      <c r="M284" s="12" t="n"/>
      <c r="N284" s="12" t="n"/>
      <c r="O284" s="12" t="n"/>
      <c r="P284" s="12" t="n"/>
      <c r="Q284" s="7">
        <f>IF(A284="","",IFERROR(VLOOKUP(O284,Listes!$R$3:$T$8,2,FALSE),0)+IFERROR(VLOOKUP(J284,Listes!$J$3:$L$6,2,FALSE),0)+IFERROR(VLOOKUP(N284,Listes!$N$3:$P$6,2,FALSE),0)+IF(OR(L284="",B284=""),0,IF(L284-INT(B284)&lt;10,8,IF(L284-INT(B284)&lt;=90,10,5)))+IFERROR(VLOOKUP(AN284,Listes!$V$3:$W$5,2,FALSE),0)+IFERROR(VLOOKUP(AO284,Listes!$Y$3:$Z$5,2,FALSE),0))</f>
        <v/>
      </c>
      <c r="R284" s="12" t="n"/>
      <c r="S284" s="12" t="n"/>
      <c r="T284" s="12" t="n"/>
      <c r="U284" s="15" t="n"/>
      <c r="V284" s="15" t="n"/>
      <c r="W284" s="13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3" t="n"/>
      <c r="AK284" s="12" t="n"/>
      <c r="AL284" s="12" t="n"/>
      <c r="AM284" s="12" t="n"/>
      <c r="AN284" s="12" t="n"/>
      <c r="AO284" s="12" t="n"/>
      <c r="AP284" s="12" t="n"/>
      <c r="AQ284" s="7">
        <f>IF(A284="","",IF(AP284&lt;&gt;"",AP284,IF(LEFT(Z284,11)="gads_marque","Google Search – Marque",IF(LEFT(Z284,12)="gads_mariage","Google Search – Mariage et privé",IF(LEFT(Z284,10)="gads_corpo","Google Search – Corporatif",IF(LEFT(Z284,5)="meta_","Meta – Leads",IF(LEFT(Z284,5)="msft_","Microsoft Ads",IF(LEFT(Z284,8)="chatgpt_","ChatGPT Ads – Test",IF(X284="gbp","Fiche Google (organique)","Autre / non payé")))))))))</f>
        <v/>
      </c>
      <c r="AR284" s="7">
        <f>IF(K284="","",IFERROR(VLOOKUP(K284,Listes!$F$3:$H$8,3,FALSE),""))</f>
        <v/>
      </c>
      <c r="AS284" s="7">
        <f>IF(O284="","",IF(AND(M284="Autre (plus de 40 km)",OR(O284="lt600",O284="600_999",O284="1000_2499")),"D",IF(OR(O284="lt600",AND(O284="600_999",K284&lt;&gt;"mariage",K284&lt;&gt;"prive")),"C",IF(OR(O284="2500_4999",O284="5000p",J284="entreprise",J284="organisme",J284="agence"),"A",IF(OR(O284="1000_2499",O284="600_999"),"B",IF(O284="inconnu",IF(OR(N284="75_149",N284="150p"),"A","B"),""))))))</f>
        <v/>
      </c>
      <c r="AT284" s="7">
        <f>IF(A284="","",IF(P284&lt;&gt;"",P284,AS284))</f>
        <v/>
      </c>
      <c r="AU284" s="7">
        <f>IF(A284="","",IF(OR(AT284="A",AT284="B"),1,0))</f>
        <v/>
      </c>
      <c r="AV284" s="7">
        <f>IF(A284="","",IF(OR(R284="Dépôt payé (gagné)",R284="Événement livré",R284="Avis obtenu"),1,0))</f>
        <v/>
      </c>
      <c r="AW284" s="7">
        <f>IF(A284="","",IF(Q284&gt;70,"Immédiat – propriétaire",IF(Q284&gt;=40,"15 min – personne de garde","Selon la route")))</f>
        <v/>
      </c>
      <c r="AX284" s="11">
        <f>IF(A284="","",IF(AT284="A",400,IF(AT284="B",150,0)))</f>
        <v/>
      </c>
      <c r="AY284" s="11">
        <f>IF(A284="","",IF(AV284=1,N(V284),IF(N(U284)&gt;0,ROUND(N(U284)*IFERROR(VLOOKUP(R284,Listes!$AE$3:$AG$12,2,FALSE),0),0),0)))</f>
        <v/>
      </c>
      <c r="AZ284" s="7">
        <f>IF(LEFT(A284,7)="EXEMPLE",1,0)</f>
        <v/>
      </c>
      <c r="BA284" s="7">
        <f>IF(AND(AV284=1,AZ284=0,AC284&lt;&gt;"",W284&lt;&gt;"",N(V284)&gt;0),COUNTIFS($AV$3:AV284,1,$AZ$3:AZ284,0,$AC$3:AC284,"&lt;&gt;",$W$3:W284,"&lt;&gt;",$V$3:V284,"&gt;0"),"")</f>
        <v/>
      </c>
    </row>
    <row r="285">
      <c r="A285" s="12" t="n"/>
      <c r="B285" s="13" t="n"/>
      <c r="C285" s="13" t="n"/>
      <c r="D285" s="7">
        <f>IF(OR(B285="",C285=""),"",ROUND((C285-B285)*1440,0))</f>
        <v/>
      </c>
      <c r="E285" s="12" t="n"/>
      <c r="F285" s="12" t="n"/>
      <c r="G285" s="12" t="n"/>
      <c r="H285" s="12" t="n"/>
      <c r="I285" s="12" t="n"/>
      <c r="J285" s="12" t="n"/>
      <c r="K285" s="12" t="n"/>
      <c r="L285" s="14" t="n"/>
      <c r="M285" s="12" t="n"/>
      <c r="N285" s="12" t="n"/>
      <c r="O285" s="12" t="n"/>
      <c r="P285" s="12" t="n"/>
      <c r="Q285" s="7">
        <f>IF(A285="","",IFERROR(VLOOKUP(O285,Listes!$R$3:$T$8,2,FALSE),0)+IFERROR(VLOOKUP(J285,Listes!$J$3:$L$6,2,FALSE),0)+IFERROR(VLOOKUP(N285,Listes!$N$3:$P$6,2,FALSE),0)+IF(OR(L285="",B285=""),0,IF(L285-INT(B285)&lt;10,8,IF(L285-INT(B285)&lt;=90,10,5)))+IFERROR(VLOOKUP(AN285,Listes!$V$3:$W$5,2,FALSE),0)+IFERROR(VLOOKUP(AO285,Listes!$Y$3:$Z$5,2,FALSE),0))</f>
        <v/>
      </c>
      <c r="R285" s="12" t="n"/>
      <c r="S285" s="12" t="n"/>
      <c r="T285" s="12" t="n"/>
      <c r="U285" s="15" t="n"/>
      <c r="V285" s="15" t="n"/>
      <c r="W285" s="13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3" t="n"/>
      <c r="AK285" s="12" t="n"/>
      <c r="AL285" s="12" t="n"/>
      <c r="AM285" s="12" t="n"/>
      <c r="AN285" s="12" t="n"/>
      <c r="AO285" s="12" t="n"/>
      <c r="AP285" s="12" t="n"/>
      <c r="AQ285" s="7">
        <f>IF(A285="","",IF(AP285&lt;&gt;"",AP285,IF(LEFT(Z285,11)="gads_marque","Google Search – Marque",IF(LEFT(Z285,12)="gads_mariage","Google Search – Mariage et privé",IF(LEFT(Z285,10)="gads_corpo","Google Search – Corporatif",IF(LEFT(Z285,5)="meta_","Meta – Leads",IF(LEFT(Z285,5)="msft_","Microsoft Ads",IF(LEFT(Z285,8)="chatgpt_","ChatGPT Ads – Test",IF(X285="gbp","Fiche Google (organique)","Autre / non payé")))))))))</f>
        <v/>
      </c>
      <c r="AR285" s="7">
        <f>IF(K285="","",IFERROR(VLOOKUP(K285,Listes!$F$3:$H$8,3,FALSE),""))</f>
        <v/>
      </c>
      <c r="AS285" s="7">
        <f>IF(O285="","",IF(AND(M285="Autre (plus de 40 km)",OR(O285="lt600",O285="600_999",O285="1000_2499")),"D",IF(OR(O285="lt600",AND(O285="600_999",K285&lt;&gt;"mariage",K285&lt;&gt;"prive")),"C",IF(OR(O285="2500_4999",O285="5000p",J285="entreprise",J285="organisme",J285="agence"),"A",IF(OR(O285="1000_2499",O285="600_999"),"B",IF(O285="inconnu",IF(OR(N285="75_149",N285="150p"),"A","B"),""))))))</f>
        <v/>
      </c>
      <c r="AT285" s="7">
        <f>IF(A285="","",IF(P285&lt;&gt;"",P285,AS285))</f>
        <v/>
      </c>
      <c r="AU285" s="7">
        <f>IF(A285="","",IF(OR(AT285="A",AT285="B"),1,0))</f>
        <v/>
      </c>
      <c r="AV285" s="7">
        <f>IF(A285="","",IF(OR(R285="Dépôt payé (gagné)",R285="Événement livré",R285="Avis obtenu"),1,0))</f>
        <v/>
      </c>
      <c r="AW285" s="7">
        <f>IF(A285="","",IF(Q285&gt;70,"Immédiat – propriétaire",IF(Q285&gt;=40,"15 min – personne de garde","Selon la route")))</f>
        <v/>
      </c>
      <c r="AX285" s="11">
        <f>IF(A285="","",IF(AT285="A",400,IF(AT285="B",150,0)))</f>
        <v/>
      </c>
      <c r="AY285" s="11">
        <f>IF(A285="","",IF(AV285=1,N(V285),IF(N(U285)&gt;0,ROUND(N(U285)*IFERROR(VLOOKUP(R285,Listes!$AE$3:$AG$12,2,FALSE),0),0),0)))</f>
        <v/>
      </c>
      <c r="AZ285" s="7">
        <f>IF(LEFT(A285,7)="EXEMPLE",1,0)</f>
        <v/>
      </c>
      <c r="BA285" s="7">
        <f>IF(AND(AV285=1,AZ285=0,AC285&lt;&gt;"",W285&lt;&gt;"",N(V285)&gt;0),COUNTIFS($AV$3:AV285,1,$AZ$3:AZ285,0,$AC$3:AC285,"&lt;&gt;",$W$3:W285,"&lt;&gt;",$V$3:V285,"&gt;0"),"")</f>
        <v/>
      </c>
    </row>
    <row r="286">
      <c r="A286" s="12" t="n"/>
      <c r="B286" s="13" t="n"/>
      <c r="C286" s="13" t="n"/>
      <c r="D286" s="7">
        <f>IF(OR(B286="",C286=""),"",ROUND((C286-B286)*1440,0))</f>
        <v/>
      </c>
      <c r="E286" s="12" t="n"/>
      <c r="F286" s="12" t="n"/>
      <c r="G286" s="12" t="n"/>
      <c r="H286" s="12" t="n"/>
      <c r="I286" s="12" t="n"/>
      <c r="J286" s="12" t="n"/>
      <c r="K286" s="12" t="n"/>
      <c r="L286" s="14" t="n"/>
      <c r="M286" s="12" t="n"/>
      <c r="N286" s="12" t="n"/>
      <c r="O286" s="12" t="n"/>
      <c r="P286" s="12" t="n"/>
      <c r="Q286" s="7">
        <f>IF(A286="","",IFERROR(VLOOKUP(O286,Listes!$R$3:$T$8,2,FALSE),0)+IFERROR(VLOOKUP(J286,Listes!$J$3:$L$6,2,FALSE),0)+IFERROR(VLOOKUP(N286,Listes!$N$3:$P$6,2,FALSE),0)+IF(OR(L286="",B286=""),0,IF(L286-INT(B286)&lt;10,8,IF(L286-INT(B286)&lt;=90,10,5)))+IFERROR(VLOOKUP(AN286,Listes!$V$3:$W$5,2,FALSE),0)+IFERROR(VLOOKUP(AO286,Listes!$Y$3:$Z$5,2,FALSE),0))</f>
        <v/>
      </c>
      <c r="R286" s="12" t="n"/>
      <c r="S286" s="12" t="n"/>
      <c r="T286" s="12" t="n"/>
      <c r="U286" s="15" t="n"/>
      <c r="V286" s="15" t="n"/>
      <c r="W286" s="13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3" t="n"/>
      <c r="AK286" s="12" t="n"/>
      <c r="AL286" s="12" t="n"/>
      <c r="AM286" s="12" t="n"/>
      <c r="AN286" s="12" t="n"/>
      <c r="AO286" s="12" t="n"/>
      <c r="AP286" s="12" t="n"/>
      <c r="AQ286" s="7">
        <f>IF(A286="","",IF(AP286&lt;&gt;"",AP286,IF(LEFT(Z286,11)="gads_marque","Google Search – Marque",IF(LEFT(Z286,12)="gads_mariage","Google Search – Mariage et privé",IF(LEFT(Z286,10)="gads_corpo","Google Search – Corporatif",IF(LEFT(Z286,5)="meta_","Meta – Leads",IF(LEFT(Z286,5)="msft_","Microsoft Ads",IF(LEFT(Z286,8)="chatgpt_","ChatGPT Ads – Test",IF(X286="gbp","Fiche Google (organique)","Autre / non payé")))))))))</f>
        <v/>
      </c>
      <c r="AR286" s="7">
        <f>IF(K286="","",IFERROR(VLOOKUP(K286,Listes!$F$3:$H$8,3,FALSE),""))</f>
        <v/>
      </c>
      <c r="AS286" s="7">
        <f>IF(O286="","",IF(AND(M286="Autre (plus de 40 km)",OR(O286="lt600",O286="600_999",O286="1000_2499")),"D",IF(OR(O286="lt600",AND(O286="600_999",K286&lt;&gt;"mariage",K286&lt;&gt;"prive")),"C",IF(OR(O286="2500_4999",O286="5000p",J286="entreprise",J286="organisme",J286="agence"),"A",IF(OR(O286="1000_2499",O286="600_999"),"B",IF(O286="inconnu",IF(OR(N286="75_149",N286="150p"),"A","B"),""))))))</f>
        <v/>
      </c>
      <c r="AT286" s="7">
        <f>IF(A286="","",IF(P286&lt;&gt;"",P286,AS286))</f>
        <v/>
      </c>
      <c r="AU286" s="7">
        <f>IF(A286="","",IF(OR(AT286="A",AT286="B"),1,0))</f>
        <v/>
      </c>
      <c r="AV286" s="7">
        <f>IF(A286="","",IF(OR(R286="Dépôt payé (gagné)",R286="Événement livré",R286="Avis obtenu"),1,0))</f>
        <v/>
      </c>
      <c r="AW286" s="7">
        <f>IF(A286="","",IF(Q286&gt;70,"Immédiat – propriétaire",IF(Q286&gt;=40,"15 min – personne de garde","Selon la route")))</f>
        <v/>
      </c>
      <c r="AX286" s="11">
        <f>IF(A286="","",IF(AT286="A",400,IF(AT286="B",150,0)))</f>
        <v/>
      </c>
      <c r="AY286" s="11">
        <f>IF(A286="","",IF(AV286=1,N(V286),IF(N(U286)&gt;0,ROUND(N(U286)*IFERROR(VLOOKUP(R286,Listes!$AE$3:$AG$12,2,FALSE),0),0),0)))</f>
        <v/>
      </c>
      <c r="AZ286" s="7">
        <f>IF(LEFT(A286,7)="EXEMPLE",1,0)</f>
        <v/>
      </c>
      <c r="BA286" s="7">
        <f>IF(AND(AV286=1,AZ286=0,AC286&lt;&gt;"",W286&lt;&gt;"",N(V286)&gt;0),COUNTIFS($AV$3:AV286,1,$AZ$3:AZ286,0,$AC$3:AC286,"&lt;&gt;",$W$3:W286,"&lt;&gt;",$V$3:V286,"&gt;0"),"")</f>
        <v/>
      </c>
    </row>
    <row r="287">
      <c r="A287" s="12" t="n"/>
      <c r="B287" s="13" t="n"/>
      <c r="C287" s="13" t="n"/>
      <c r="D287" s="7">
        <f>IF(OR(B287="",C287=""),"",ROUND((C287-B287)*1440,0))</f>
        <v/>
      </c>
      <c r="E287" s="12" t="n"/>
      <c r="F287" s="12" t="n"/>
      <c r="G287" s="12" t="n"/>
      <c r="H287" s="12" t="n"/>
      <c r="I287" s="12" t="n"/>
      <c r="J287" s="12" t="n"/>
      <c r="K287" s="12" t="n"/>
      <c r="L287" s="14" t="n"/>
      <c r="M287" s="12" t="n"/>
      <c r="N287" s="12" t="n"/>
      <c r="O287" s="12" t="n"/>
      <c r="P287" s="12" t="n"/>
      <c r="Q287" s="7">
        <f>IF(A287="","",IFERROR(VLOOKUP(O287,Listes!$R$3:$T$8,2,FALSE),0)+IFERROR(VLOOKUP(J287,Listes!$J$3:$L$6,2,FALSE),0)+IFERROR(VLOOKUP(N287,Listes!$N$3:$P$6,2,FALSE),0)+IF(OR(L287="",B287=""),0,IF(L287-INT(B287)&lt;10,8,IF(L287-INT(B287)&lt;=90,10,5)))+IFERROR(VLOOKUP(AN287,Listes!$V$3:$W$5,2,FALSE),0)+IFERROR(VLOOKUP(AO287,Listes!$Y$3:$Z$5,2,FALSE),0))</f>
        <v/>
      </c>
      <c r="R287" s="12" t="n"/>
      <c r="S287" s="12" t="n"/>
      <c r="T287" s="12" t="n"/>
      <c r="U287" s="15" t="n"/>
      <c r="V287" s="15" t="n"/>
      <c r="W287" s="13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3" t="n"/>
      <c r="AK287" s="12" t="n"/>
      <c r="AL287" s="12" t="n"/>
      <c r="AM287" s="12" t="n"/>
      <c r="AN287" s="12" t="n"/>
      <c r="AO287" s="12" t="n"/>
      <c r="AP287" s="12" t="n"/>
      <c r="AQ287" s="7">
        <f>IF(A287="","",IF(AP287&lt;&gt;"",AP287,IF(LEFT(Z287,11)="gads_marque","Google Search – Marque",IF(LEFT(Z287,12)="gads_mariage","Google Search – Mariage et privé",IF(LEFT(Z287,10)="gads_corpo","Google Search – Corporatif",IF(LEFT(Z287,5)="meta_","Meta – Leads",IF(LEFT(Z287,5)="msft_","Microsoft Ads",IF(LEFT(Z287,8)="chatgpt_","ChatGPT Ads – Test",IF(X287="gbp","Fiche Google (organique)","Autre / non payé")))))))))</f>
        <v/>
      </c>
      <c r="AR287" s="7">
        <f>IF(K287="","",IFERROR(VLOOKUP(K287,Listes!$F$3:$H$8,3,FALSE),""))</f>
        <v/>
      </c>
      <c r="AS287" s="7">
        <f>IF(O287="","",IF(AND(M287="Autre (plus de 40 km)",OR(O287="lt600",O287="600_999",O287="1000_2499")),"D",IF(OR(O287="lt600",AND(O287="600_999",K287&lt;&gt;"mariage",K287&lt;&gt;"prive")),"C",IF(OR(O287="2500_4999",O287="5000p",J287="entreprise",J287="organisme",J287="agence"),"A",IF(OR(O287="1000_2499",O287="600_999"),"B",IF(O287="inconnu",IF(OR(N287="75_149",N287="150p"),"A","B"),""))))))</f>
        <v/>
      </c>
      <c r="AT287" s="7">
        <f>IF(A287="","",IF(P287&lt;&gt;"",P287,AS287))</f>
        <v/>
      </c>
      <c r="AU287" s="7">
        <f>IF(A287="","",IF(OR(AT287="A",AT287="B"),1,0))</f>
        <v/>
      </c>
      <c r="AV287" s="7">
        <f>IF(A287="","",IF(OR(R287="Dépôt payé (gagné)",R287="Événement livré",R287="Avis obtenu"),1,0))</f>
        <v/>
      </c>
      <c r="AW287" s="7">
        <f>IF(A287="","",IF(Q287&gt;70,"Immédiat – propriétaire",IF(Q287&gt;=40,"15 min – personne de garde","Selon la route")))</f>
        <v/>
      </c>
      <c r="AX287" s="11">
        <f>IF(A287="","",IF(AT287="A",400,IF(AT287="B",150,0)))</f>
        <v/>
      </c>
      <c r="AY287" s="11">
        <f>IF(A287="","",IF(AV287=1,N(V287),IF(N(U287)&gt;0,ROUND(N(U287)*IFERROR(VLOOKUP(R287,Listes!$AE$3:$AG$12,2,FALSE),0),0),0)))</f>
        <v/>
      </c>
      <c r="AZ287" s="7">
        <f>IF(LEFT(A287,7)="EXEMPLE",1,0)</f>
        <v/>
      </c>
      <c r="BA287" s="7">
        <f>IF(AND(AV287=1,AZ287=0,AC287&lt;&gt;"",W287&lt;&gt;"",N(V287)&gt;0),COUNTIFS($AV$3:AV287,1,$AZ$3:AZ287,0,$AC$3:AC287,"&lt;&gt;",$W$3:W287,"&lt;&gt;",$V$3:V287,"&gt;0"),"")</f>
        <v/>
      </c>
    </row>
    <row r="288">
      <c r="A288" s="12" t="n"/>
      <c r="B288" s="13" t="n"/>
      <c r="C288" s="13" t="n"/>
      <c r="D288" s="7">
        <f>IF(OR(B288="",C288=""),"",ROUND((C288-B288)*1440,0))</f>
        <v/>
      </c>
      <c r="E288" s="12" t="n"/>
      <c r="F288" s="12" t="n"/>
      <c r="G288" s="12" t="n"/>
      <c r="H288" s="12" t="n"/>
      <c r="I288" s="12" t="n"/>
      <c r="J288" s="12" t="n"/>
      <c r="K288" s="12" t="n"/>
      <c r="L288" s="14" t="n"/>
      <c r="M288" s="12" t="n"/>
      <c r="N288" s="12" t="n"/>
      <c r="O288" s="12" t="n"/>
      <c r="P288" s="12" t="n"/>
      <c r="Q288" s="7">
        <f>IF(A288="","",IFERROR(VLOOKUP(O288,Listes!$R$3:$T$8,2,FALSE),0)+IFERROR(VLOOKUP(J288,Listes!$J$3:$L$6,2,FALSE),0)+IFERROR(VLOOKUP(N288,Listes!$N$3:$P$6,2,FALSE),0)+IF(OR(L288="",B288=""),0,IF(L288-INT(B288)&lt;10,8,IF(L288-INT(B288)&lt;=90,10,5)))+IFERROR(VLOOKUP(AN288,Listes!$V$3:$W$5,2,FALSE),0)+IFERROR(VLOOKUP(AO288,Listes!$Y$3:$Z$5,2,FALSE),0))</f>
        <v/>
      </c>
      <c r="R288" s="12" t="n"/>
      <c r="S288" s="12" t="n"/>
      <c r="T288" s="12" t="n"/>
      <c r="U288" s="15" t="n"/>
      <c r="V288" s="15" t="n"/>
      <c r="W288" s="13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3" t="n"/>
      <c r="AK288" s="12" t="n"/>
      <c r="AL288" s="12" t="n"/>
      <c r="AM288" s="12" t="n"/>
      <c r="AN288" s="12" t="n"/>
      <c r="AO288" s="12" t="n"/>
      <c r="AP288" s="12" t="n"/>
      <c r="AQ288" s="7">
        <f>IF(A288="","",IF(AP288&lt;&gt;"",AP288,IF(LEFT(Z288,11)="gads_marque","Google Search – Marque",IF(LEFT(Z288,12)="gads_mariage","Google Search – Mariage et privé",IF(LEFT(Z288,10)="gads_corpo","Google Search – Corporatif",IF(LEFT(Z288,5)="meta_","Meta – Leads",IF(LEFT(Z288,5)="msft_","Microsoft Ads",IF(LEFT(Z288,8)="chatgpt_","ChatGPT Ads – Test",IF(X288="gbp","Fiche Google (organique)","Autre / non payé")))))))))</f>
        <v/>
      </c>
      <c r="AR288" s="7">
        <f>IF(K288="","",IFERROR(VLOOKUP(K288,Listes!$F$3:$H$8,3,FALSE),""))</f>
        <v/>
      </c>
      <c r="AS288" s="7">
        <f>IF(O288="","",IF(AND(M288="Autre (plus de 40 km)",OR(O288="lt600",O288="600_999",O288="1000_2499")),"D",IF(OR(O288="lt600",AND(O288="600_999",K288&lt;&gt;"mariage",K288&lt;&gt;"prive")),"C",IF(OR(O288="2500_4999",O288="5000p",J288="entreprise",J288="organisme",J288="agence"),"A",IF(OR(O288="1000_2499",O288="600_999"),"B",IF(O288="inconnu",IF(OR(N288="75_149",N288="150p"),"A","B"),""))))))</f>
        <v/>
      </c>
      <c r="AT288" s="7">
        <f>IF(A288="","",IF(P288&lt;&gt;"",P288,AS288))</f>
        <v/>
      </c>
      <c r="AU288" s="7">
        <f>IF(A288="","",IF(OR(AT288="A",AT288="B"),1,0))</f>
        <v/>
      </c>
      <c r="AV288" s="7">
        <f>IF(A288="","",IF(OR(R288="Dépôt payé (gagné)",R288="Événement livré",R288="Avis obtenu"),1,0))</f>
        <v/>
      </c>
      <c r="AW288" s="7">
        <f>IF(A288="","",IF(Q288&gt;70,"Immédiat – propriétaire",IF(Q288&gt;=40,"15 min – personne de garde","Selon la route")))</f>
        <v/>
      </c>
      <c r="AX288" s="11">
        <f>IF(A288="","",IF(AT288="A",400,IF(AT288="B",150,0)))</f>
        <v/>
      </c>
      <c r="AY288" s="11">
        <f>IF(A288="","",IF(AV288=1,N(V288),IF(N(U288)&gt;0,ROUND(N(U288)*IFERROR(VLOOKUP(R288,Listes!$AE$3:$AG$12,2,FALSE),0),0),0)))</f>
        <v/>
      </c>
      <c r="AZ288" s="7">
        <f>IF(LEFT(A288,7)="EXEMPLE",1,0)</f>
        <v/>
      </c>
      <c r="BA288" s="7">
        <f>IF(AND(AV288=1,AZ288=0,AC288&lt;&gt;"",W288&lt;&gt;"",N(V288)&gt;0),COUNTIFS($AV$3:AV288,1,$AZ$3:AZ288,0,$AC$3:AC288,"&lt;&gt;",$W$3:W288,"&lt;&gt;",$V$3:V288,"&gt;0"),"")</f>
        <v/>
      </c>
    </row>
    <row r="289">
      <c r="A289" s="12" t="n"/>
      <c r="B289" s="13" t="n"/>
      <c r="C289" s="13" t="n"/>
      <c r="D289" s="7">
        <f>IF(OR(B289="",C289=""),"",ROUND((C289-B289)*1440,0))</f>
        <v/>
      </c>
      <c r="E289" s="12" t="n"/>
      <c r="F289" s="12" t="n"/>
      <c r="G289" s="12" t="n"/>
      <c r="H289" s="12" t="n"/>
      <c r="I289" s="12" t="n"/>
      <c r="J289" s="12" t="n"/>
      <c r="K289" s="12" t="n"/>
      <c r="L289" s="14" t="n"/>
      <c r="M289" s="12" t="n"/>
      <c r="N289" s="12" t="n"/>
      <c r="O289" s="12" t="n"/>
      <c r="P289" s="12" t="n"/>
      <c r="Q289" s="7">
        <f>IF(A289="","",IFERROR(VLOOKUP(O289,Listes!$R$3:$T$8,2,FALSE),0)+IFERROR(VLOOKUP(J289,Listes!$J$3:$L$6,2,FALSE),0)+IFERROR(VLOOKUP(N289,Listes!$N$3:$P$6,2,FALSE),0)+IF(OR(L289="",B289=""),0,IF(L289-INT(B289)&lt;10,8,IF(L289-INT(B289)&lt;=90,10,5)))+IFERROR(VLOOKUP(AN289,Listes!$V$3:$W$5,2,FALSE),0)+IFERROR(VLOOKUP(AO289,Listes!$Y$3:$Z$5,2,FALSE),0))</f>
        <v/>
      </c>
      <c r="R289" s="12" t="n"/>
      <c r="S289" s="12" t="n"/>
      <c r="T289" s="12" t="n"/>
      <c r="U289" s="15" t="n"/>
      <c r="V289" s="15" t="n"/>
      <c r="W289" s="13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3" t="n"/>
      <c r="AK289" s="12" t="n"/>
      <c r="AL289" s="12" t="n"/>
      <c r="AM289" s="12" t="n"/>
      <c r="AN289" s="12" t="n"/>
      <c r="AO289" s="12" t="n"/>
      <c r="AP289" s="12" t="n"/>
      <c r="AQ289" s="7">
        <f>IF(A289="","",IF(AP289&lt;&gt;"",AP289,IF(LEFT(Z289,11)="gads_marque","Google Search – Marque",IF(LEFT(Z289,12)="gads_mariage","Google Search – Mariage et privé",IF(LEFT(Z289,10)="gads_corpo","Google Search – Corporatif",IF(LEFT(Z289,5)="meta_","Meta – Leads",IF(LEFT(Z289,5)="msft_","Microsoft Ads",IF(LEFT(Z289,8)="chatgpt_","ChatGPT Ads – Test",IF(X289="gbp","Fiche Google (organique)","Autre / non payé")))))))))</f>
        <v/>
      </c>
      <c r="AR289" s="7">
        <f>IF(K289="","",IFERROR(VLOOKUP(K289,Listes!$F$3:$H$8,3,FALSE),""))</f>
        <v/>
      </c>
      <c r="AS289" s="7">
        <f>IF(O289="","",IF(AND(M289="Autre (plus de 40 km)",OR(O289="lt600",O289="600_999",O289="1000_2499")),"D",IF(OR(O289="lt600",AND(O289="600_999",K289&lt;&gt;"mariage",K289&lt;&gt;"prive")),"C",IF(OR(O289="2500_4999",O289="5000p",J289="entreprise",J289="organisme",J289="agence"),"A",IF(OR(O289="1000_2499",O289="600_999"),"B",IF(O289="inconnu",IF(OR(N289="75_149",N289="150p"),"A","B"),""))))))</f>
        <v/>
      </c>
      <c r="AT289" s="7">
        <f>IF(A289="","",IF(P289&lt;&gt;"",P289,AS289))</f>
        <v/>
      </c>
      <c r="AU289" s="7">
        <f>IF(A289="","",IF(OR(AT289="A",AT289="B"),1,0))</f>
        <v/>
      </c>
      <c r="AV289" s="7">
        <f>IF(A289="","",IF(OR(R289="Dépôt payé (gagné)",R289="Événement livré",R289="Avis obtenu"),1,0))</f>
        <v/>
      </c>
      <c r="AW289" s="7">
        <f>IF(A289="","",IF(Q289&gt;70,"Immédiat – propriétaire",IF(Q289&gt;=40,"15 min – personne de garde","Selon la route")))</f>
        <v/>
      </c>
      <c r="AX289" s="11">
        <f>IF(A289="","",IF(AT289="A",400,IF(AT289="B",150,0)))</f>
        <v/>
      </c>
      <c r="AY289" s="11">
        <f>IF(A289="","",IF(AV289=1,N(V289),IF(N(U289)&gt;0,ROUND(N(U289)*IFERROR(VLOOKUP(R289,Listes!$AE$3:$AG$12,2,FALSE),0),0),0)))</f>
        <v/>
      </c>
      <c r="AZ289" s="7">
        <f>IF(LEFT(A289,7)="EXEMPLE",1,0)</f>
        <v/>
      </c>
      <c r="BA289" s="7">
        <f>IF(AND(AV289=1,AZ289=0,AC289&lt;&gt;"",W289&lt;&gt;"",N(V289)&gt;0),COUNTIFS($AV$3:AV289,1,$AZ$3:AZ289,0,$AC$3:AC289,"&lt;&gt;",$W$3:W289,"&lt;&gt;",$V$3:V289,"&gt;0"),"")</f>
        <v/>
      </c>
    </row>
    <row r="290">
      <c r="A290" s="12" t="n"/>
      <c r="B290" s="13" t="n"/>
      <c r="C290" s="13" t="n"/>
      <c r="D290" s="7">
        <f>IF(OR(B290="",C290=""),"",ROUND((C290-B290)*1440,0))</f>
        <v/>
      </c>
      <c r="E290" s="12" t="n"/>
      <c r="F290" s="12" t="n"/>
      <c r="G290" s="12" t="n"/>
      <c r="H290" s="12" t="n"/>
      <c r="I290" s="12" t="n"/>
      <c r="J290" s="12" t="n"/>
      <c r="K290" s="12" t="n"/>
      <c r="L290" s="14" t="n"/>
      <c r="M290" s="12" t="n"/>
      <c r="N290" s="12" t="n"/>
      <c r="O290" s="12" t="n"/>
      <c r="P290" s="12" t="n"/>
      <c r="Q290" s="7">
        <f>IF(A290="","",IFERROR(VLOOKUP(O290,Listes!$R$3:$T$8,2,FALSE),0)+IFERROR(VLOOKUP(J290,Listes!$J$3:$L$6,2,FALSE),0)+IFERROR(VLOOKUP(N290,Listes!$N$3:$P$6,2,FALSE),0)+IF(OR(L290="",B290=""),0,IF(L290-INT(B290)&lt;10,8,IF(L290-INT(B290)&lt;=90,10,5)))+IFERROR(VLOOKUP(AN290,Listes!$V$3:$W$5,2,FALSE),0)+IFERROR(VLOOKUP(AO290,Listes!$Y$3:$Z$5,2,FALSE),0))</f>
        <v/>
      </c>
      <c r="R290" s="12" t="n"/>
      <c r="S290" s="12" t="n"/>
      <c r="T290" s="12" t="n"/>
      <c r="U290" s="15" t="n"/>
      <c r="V290" s="15" t="n"/>
      <c r="W290" s="13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3" t="n"/>
      <c r="AK290" s="12" t="n"/>
      <c r="AL290" s="12" t="n"/>
      <c r="AM290" s="12" t="n"/>
      <c r="AN290" s="12" t="n"/>
      <c r="AO290" s="12" t="n"/>
      <c r="AP290" s="12" t="n"/>
      <c r="AQ290" s="7">
        <f>IF(A290="","",IF(AP290&lt;&gt;"",AP290,IF(LEFT(Z290,11)="gads_marque","Google Search – Marque",IF(LEFT(Z290,12)="gads_mariage","Google Search – Mariage et privé",IF(LEFT(Z290,10)="gads_corpo","Google Search – Corporatif",IF(LEFT(Z290,5)="meta_","Meta – Leads",IF(LEFT(Z290,5)="msft_","Microsoft Ads",IF(LEFT(Z290,8)="chatgpt_","ChatGPT Ads – Test",IF(X290="gbp","Fiche Google (organique)","Autre / non payé")))))))))</f>
        <v/>
      </c>
      <c r="AR290" s="7">
        <f>IF(K290="","",IFERROR(VLOOKUP(K290,Listes!$F$3:$H$8,3,FALSE),""))</f>
        <v/>
      </c>
      <c r="AS290" s="7">
        <f>IF(O290="","",IF(AND(M290="Autre (plus de 40 km)",OR(O290="lt600",O290="600_999",O290="1000_2499")),"D",IF(OR(O290="lt600",AND(O290="600_999",K290&lt;&gt;"mariage",K290&lt;&gt;"prive")),"C",IF(OR(O290="2500_4999",O290="5000p",J290="entreprise",J290="organisme",J290="agence"),"A",IF(OR(O290="1000_2499",O290="600_999"),"B",IF(O290="inconnu",IF(OR(N290="75_149",N290="150p"),"A","B"),""))))))</f>
        <v/>
      </c>
      <c r="AT290" s="7">
        <f>IF(A290="","",IF(P290&lt;&gt;"",P290,AS290))</f>
        <v/>
      </c>
      <c r="AU290" s="7">
        <f>IF(A290="","",IF(OR(AT290="A",AT290="B"),1,0))</f>
        <v/>
      </c>
      <c r="AV290" s="7">
        <f>IF(A290="","",IF(OR(R290="Dépôt payé (gagné)",R290="Événement livré",R290="Avis obtenu"),1,0))</f>
        <v/>
      </c>
      <c r="AW290" s="7">
        <f>IF(A290="","",IF(Q290&gt;70,"Immédiat – propriétaire",IF(Q290&gt;=40,"15 min – personne de garde","Selon la route")))</f>
        <v/>
      </c>
      <c r="AX290" s="11">
        <f>IF(A290="","",IF(AT290="A",400,IF(AT290="B",150,0)))</f>
        <v/>
      </c>
      <c r="AY290" s="11">
        <f>IF(A290="","",IF(AV290=1,N(V290),IF(N(U290)&gt;0,ROUND(N(U290)*IFERROR(VLOOKUP(R290,Listes!$AE$3:$AG$12,2,FALSE),0),0),0)))</f>
        <v/>
      </c>
      <c r="AZ290" s="7">
        <f>IF(LEFT(A290,7)="EXEMPLE",1,0)</f>
        <v/>
      </c>
      <c r="BA290" s="7">
        <f>IF(AND(AV290=1,AZ290=0,AC290&lt;&gt;"",W290&lt;&gt;"",N(V290)&gt;0),COUNTIFS($AV$3:AV290,1,$AZ$3:AZ290,0,$AC$3:AC290,"&lt;&gt;",$W$3:W290,"&lt;&gt;",$V$3:V290,"&gt;0"),"")</f>
        <v/>
      </c>
    </row>
    <row r="291">
      <c r="A291" s="12" t="n"/>
      <c r="B291" s="13" t="n"/>
      <c r="C291" s="13" t="n"/>
      <c r="D291" s="7">
        <f>IF(OR(B291="",C291=""),"",ROUND((C291-B291)*1440,0))</f>
        <v/>
      </c>
      <c r="E291" s="12" t="n"/>
      <c r="F291" s="12" t="n"/>
      <c r="G291" s="12" t="n"/>
      <c r="H291" s="12" t="n"/>
      <c r="I291" s="12" t="n"/>
      <c r="J291" s="12" t="n"/>
      <c r="K291" s="12" t="n"/>
      <c r="L291" s="14" t="n"/>
      <c r="M291" s="12" t="n"/>
      <c r="N291" s="12" t="n"/>
      <c r="O291" s="12" t="n"/>
      <c r="P291" s="12" t="n"/>
      <c r="Q291" s="7">
        <f>IF(A291="","",IFERROR(VLOOKUP(O291,Listes!$R$3:$T$8,2,FALSE),0)+IFERROR(VLOOKUP(J291,Listes!$J$3:$L$6,2,FALSE),0)+IFERROR(VLOOKUP(N291,Listes!$N$3:$P$6,2,FALSE),0)+IF(OR(L291="",B291=""),0,IF(L291-INT(B291)&lt;10,8,IF(L291-INT(B291)&lt;=90,10,5)))+IFERROR(VLOOKUP(AN291,Listes!$V$3:$W$5,2,FALSE),0)+IFERROR(VLOOKUP(AO291,Listes!$Y$3:$Z$5,2,FALSE),0))</f>
        <v/>
      </c>
      <c r="R291" s="12" t="n"/>
      <c r="S291" s="12" t="n"/>
      <c r="T291" s="12" t="n"/>
      <c r="U291" s="15" t="n"/>
      <c r="V291" s="15" t="n"/>
      <c r="W291" s="13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3" t="n"/>
      <c r="AK291" s="12" t="n"/>
      <c r="AL291" s="12" t="n"/>
      <c r="AM291" s="12" t="n"/>
      <c r="AN291" s="12" t="n"/>
      <c r="AO291" s="12" t="n"/>
      <c r="AP291" s="12" t="n"/>
      <c r="AQ291" s="7">
        <f>IF(A291="","",IF(AP291&lt;&gt;"",AP291,IF(LEFT(Z291,11)="gads_marque","Google Search – Marque",IF(LEFT(Z291,12)="gads_mariage","Google Search – Mariage et privé",IF(LEFT(Z291,10)="gads_corpo","Google Search – Corporatif",IF(LEFT(Z291,5)="meta_","Meta – Leads",IF(LEFT(Z291,5)="msft_","Microsoft Ads",IF(LEFT(Z291,8)="chatgpt_","ChatGPT Ads – Test",IF(X291="gbp","Fiche Google (organique)","Autre / non payé")))))))))</f>
        <v/>
      </c>
      <c r="AR291" s="7">
        <f>IF(K291="","",IFERROR(VLOOKUP(K291,Listes!$F$3:$H$8,3,FALSE),""))</f>
        <v/>
      </c>
      <c r="AS291" s="7">
        <f>IF(O291="","",IF(AND(M291="Autre (plus de 40 km)",OR(O291="lt600",O291="600_999",O291="1000_2499")),"D",IF(OR(O291="lt600",AND(O291="600_999",K291&lt;&gt;"mariage",K291&lt;&gt;"prive")),"C",IF(OR(O291="2500_4999",O291="5000p",J291="entreprise",J291="organisme",J291="agence"),"A",IF(OR(O291="1000_2499",O291="600_999"),"B",IF(O291="inconnu",IF(OR(N291="75_149",N291="150p"),"A","B"),""))))))</f>
        <v/>
      </c>
      <c r="AT291" s="7">
        <f>IF(A291="","",IF(P291&lt;&gt;"",P291,AS291))</f>
        <v/>
      </c>
      <c r="AU291" s="7">
        <f>IF(A291="","",IF(OR(AT291="A",AT291="B"),1,0))</f>
        <v/>
      </c>
      <c r="AV291" s="7">
        <f>IF(A291="","",IF(OR(R291="Dépôt payé (gagné)",R291="Événement livré",R291="Avis obtenu"),1,0))</f>
        <v/>
      </c>
      <c r="AW291" s="7">
        <f>IF(A291="","",IF(Q291&gt;70,"Immédiat – propriétaire",IF(Q291&gt;=40,"15 min – personne de garde","Selon la route")))</f>
        <v/>
      </c>
      <c r="AX291" s="11">
        <f>IF(A291="","",IF(AT291="A",400,IF(AT291="B",150,0)))</f>
        <v/>
      </c>
      <c r="AY291" s="11">
        <f>IF(A291="","",IF(AV291=1,N(V291),IF(N(U291)&gt;0,ROUND(N(U291)*IFERROR(VLOOKUP(R291,Listes!$AE$3:$AG$12,2,FALSE),0),0),0)))</f>
        <v/>
      </c>
      <c r="AZ291" s="7">
        <f>IF(LEFT(A291,7)="EXEMPLE",1,0)</f>
        <v/>
      </c>
      <c r="BA291" s="7">
        <f>IF(AND(AV291=1,AZ291=0,AC291&lt;&gt;"",W291&lt;&gt;"",N(V291)&gt;0),COUNTIFS($AV$3:AV291,1,$AZ$3:AZ291,0,$AC$3:AC291,"&lt;&gt;",$W$3:W291,"&lt;&gt;",$V$3:V291,"&gt;0"),"")</f>
        <v/>
      </c>
    </row>
    <row r="292">
      <c r="A292" s="12" t="n"/>
      <c r="B292" s="13" t="n"/>
      <c r="C292" s="13" t="n"/>
      <c r="D292" s="7">
        <f>IF(OR(B292="",C292=""),"",ROUND((C292-B292)*1440,0))</f>
        <v/>
      </c>
      <c r="E292" s="12" t="n"/>
      <c r="F292" s="12" t="n"/>
      <c r="G292" s="12" t="n"/>
      <c r="H292" s="12" t="n"/>
      <c r="I292" s="12" t="n"/>
      <c r="J292" s="12" t="n"/>
      <c r="K292" s="12" t="n"/>
      <c r="L292" s="14" t="n"/>
      <c r="M292" s="12" t="n"/>
      <c r="N292" s="12" t="n"/>
      <c r="O292" s="12" t="n"/>
      <c r="P292" s="12" t="n"/>
      <c r="Q292" s="7">
        <f>IF(A292="","",IFERROR(VLOOKUP(O292,Listes!$R$3:$T$8,2,FALSE),0)+IFERROR(VLOOKUP(J292,Listes!$J$3:$L$6,2,FALSE),0)+IFERROR(VLOOKUP(N292,Listes!$N$3:$P$6,2,FALSE),0)+IF(OR(L292="",B292=""),0,IF(L292-INT(B292)&lt;10,8,IF(L292-INT(B292)&lt;=90,10,5)))+IFERROR(VLOOKUP(AN292,Listes!$V$3:$W$5,2,FALSE),0)+IFERROR(VLOOKUP(AO292,Listes!$Y$3:$Z$5,2,FALSE),0))</f>
        <v/>
      </c>
      <c r="R292" s="12" t="n"/>
      <c r="S292" s="12" t="n"/>
      <c r="T292" s="12" t="n"/>
      <c r="U292" s="15" t="n"/>
      <c r="V292" s="15" t="n"/>
      <c r="W292" s="13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3" t="n"/>
      <c r="AK292" s="12" t="n"/>
      <c r="AL292" s="12" t="n"/>
      <c r="AM292" s="12" t="n"/>
      <c r="AN292" s="12" t="n"/>
      <c r="AO292" s="12" t="n"/>
      <c r="AP292" s="12" t="n"/>
      <c r="AQ292" s="7">
        <f>IF(A292="","",IF(AP292&lt;&gt;"",AP292,IF(LEFT(Z292,11)="gads_marque","Google Search – Marque",IF(LEFT(Z292,12)="gads_mariage","Google Search – Mariage et privé",IF(LEFT(Z292,10)="gads_corpo","Google Search – Corporatif",IF(LEFT(Z292,5)="meta_","Meta – Leads",IF(LEFT(Z292,5)="msft_","Microsoft Ads",IF(LEFT(Z292,8)="chatgpt_","ChatGPT Ads – Test",IF(X292="gbp","Fiche Google (organique)","Autre / non payé")))))))))</f>
        <v/>
      </c>
      <c r="AR292" s="7">
        <f>IF(K292="","",IFERROR(VLOOKUP(K292,Listes!$F$3:$H$8,3,FALSE),""))</f>
        <v/>
      </c>
      <c r="AS292" s="7">
        <f>IF(O292="","",IF(AND(M292="Autre (plus de 40 km)",OR(O292="lt600",O292="600_999",O292="1000_2499")),"D",IF(OR(O292="lt600",AND(O292="600_999",K292&lt;&gt;"mariage",K292&lt;&gt;"prive")),"C",IF(OR(O292="2500_4999",O292="5000p",J292="entreprise",J292="organisme",J292="agence"),"A",IF(OR(O292="1000_2499",O292="600_999"),"B",IF(O292="inconnu",IF(OR(N292="75_149",N292="150p"),"A","B"),""))))))</f>
        <v/>
      </c>
      <c r="AT292" s="7">
        <f>IF(A292="","",IF(P292&lt;&gt;"",P292,AS292))</f>
        <v/>
      </c>
      <c r="AU292" s="7">
        <f>IF(A292="","",IF(OR(AT292="A",AT292="B"),1,0))</f>
        <v/>
      </c>
      <c r="AV292" s="7">
        <f>IF(A292="","",IF(OR(R292="Dépôt payé (gagné)",R292="Événement livré",R292="Avis obtenu"),1,0))</f>
        <v/>
      </c>
      <c r="AW292" s="7">
        <f>IF(A292="","",IF(Q292&gt;70,"Immédiat – propriétaire",IF(Q292&gt;=40,"15 min – personne de garde","Selon la route")))</f>
        <v/>
      </c>
      <c r="AX292" s="11">
        <f>IF(A292="","",IF(AT292="A",400,IF(AT292="B",150,0)))</f>
        <v/>
      </c>
      <c r="AY292" s="11">
        <f>IF(A292="","",IF(AV292=1,N(V292),IF(N(U292)&gt;0,ROUND(N(U292)*IFERROR(VLOOKUP(R292,Listes!$AE$3:$AG$12,2,FALSE),0),0),0)))</f>
        <v/>
      </c>
      <c r="AZ292" s="7">
        <f>IF(LEFT(A292,7)="EXEMPLE",1,0)</f>
        <v/>
      </c>
      <c r="BA292" s="7">
        <f>IF(AND(AV292=1,AZ292=0,AC292&lt;&gt;"",W292&lt;&gt;"",N(V292)&gt;0),COUNTIFS($AV$3:AV292,1,$AZ$3:AZ292,0,$AC$3:AC292,"&lt;&gt;",$W$3:W292,"&lt;&gt;",$V$3:V292,"&gt;0"),"")</f>
        <v/>
      </c>
    </row>
    <row r="293">
      <c r="A293" s="12" t="n"/>
      <c r="B293" s="13" t="n"/>
      <c r="C293" s="13" t="n"/>
      <c r="D293" s="7">
        <f>IF(OR(B293="",C293=""),"",ROUND((C293-B293)*1440,0))</f>
        <v/>
      </c>
      <c r="E293" s="12" t="n"/>
      <c r="F293" s="12" t="n"/>
      <c r="G293" s="12" t="n"/>
      <c r="H293" s="12" t="n"/>
      <c r="I293" s="12" t="n"/>
      <c r="J293" s="12" t="n"/>
      <c r="K293" s="12" t="n"/>
      <c r="L293" s="14" t="n"/>
      <c r="M293" s="12" t="n"/>
      <c r="N293" s="12" t="n"/>
      <c r="O293" s="12" t="n"/>
      <c r="P293" s="12" t="n"/>
      <c r="Q293" s="7">
        <f>IF(A293="","",IFERROR(VLOOKUP(O293,Listes!$R$3:$T$8,2,FALSE),0)+IFERROR(VLOOKUP(J293,Listes!$J$3:$L$6,2,FALSE),0)+IFERROR(VLOOKUP(N293,Listes!$N$3:$P$6,2,FALSE),0)+IF(OR(L293="",B293=""),0,IF(L293-INT(B293)&lt;10,8,IF(L293-INT(B293)&lt;=90,10,5)))+IFERROR(VLOOKUP(AN293,Listes!$V$3:$W$5,2,FALSE),0)+IFERROR(VLOOKUP(AO293,Listes!$Y$3:$Z$5,2,FALSE),0))</f>
        <v/>
      </c>
      <c r="R293" s="12" t="n"/>
      <c r="S293" s="12" t="n"/>
      <c r="T293" s="12" t="n"/>
      <c r="U293" s="15" t="n"/>
      <c r="V293" s="15" t="n"/>
      <c r="W293" s="13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3" t="n"/>
      <c r="AK293" s="12" t="n"/>
      <c r="AL293" s="12" t="n"/>
      <c r="AM293" s="12" t="n"/>
      <c r="AN293" s="12" t="n"/>
      <c r="AO293" s="12" t="n"/>
      <c r="AP293" s="12" t="n"/>
      <c r="AQ293" s="7">
        <f>IF(A293="","",IF(AP293&lt;&gt;"",AP293,IF(LEFT(Z293,11)="gads_marque","Google Search – Marque",IF(LEFT(Z293,12)="gads_mariage","Google Search – Mariage et privé",IF(LEFT(Z293,10)="gads_corpo","Google Search – Corporatif",IF(LEFT(Z293,5)="meta_","Meta – Leads",IF(LEFT(Z293,5)="msft_","Microsoft Ads",IF(LEFT(Z293,8)="chatgpt_","ChatGPT Ads – Test",IF(X293="gbp","Fiche Google (organique)","Autre / non payé")))))))))</f>
        <v/>
      </c>
      <c r="AR293" s="7">
        <f>IF(K293="","",IFERROR(VLOOKUP(K293,Listes!$F$3:$H$8,3,FALSE),""))</f>
        <v/>
      </c>
      <c r="AS293" s="7">
        <f>IF(O293="","",IF(AND(M293="Autre (plus de 40 km)",OR(O293="lt600",O293="600_999",O293="1000_2499")),"D",IF(OR(O293="lt600",AND(O293="600_999",K293&lt;&gt;"mariage",K293&lt;&gt;"prive")),"C",IF(OR(O293="2500_4999",O293="5000p",J293="entreprise",J293="organisme",J293="agence"),"A",IF(OR(O293="1000_2499",O293="600_999"),"B",IF(O293="inconnu",IF(OR(N293="75_149",N293="150p"),"A","B"),""))))))</f>
        <v/>
      </c>
      <c r="AT293" s="7">
        <f>IF(A293="","",IF(P293&lt;&gt;"",P293,AS293))</f>
        <v/>
      </c>
      <c r="AU293" s="7">
        <f>IF(A293="","",IF(OR(AT293="A",AT293="B"),1,0))</f>
        <v/>
      </c>
      <c r="AV293" s="7">
        <f>IF(A293="","",IF(OR(R293="Dépôt payé (gagné)",R293="Événement livré",R293="Avis obtenu"),1,0))</f>
        <v/>
      </c>
      <c r="AW293" s="7">
        <f>IF(A293="","",IF(Q293&gt;70,"Immédiat – propriétaire",IF(Q293&gt;=40,"15 min – personne de garde","Selon la route")))</f>
        <v/>
      </c>
      <c r="AX293" s="11">
        <f>IF(A293="","",IF(AT293="A",400,IF(AT293="B",150,0)))</f>
        <v/>
      </c>
      <c r="AY293" s="11">
        <f>IF(A293="","",IF(AV293=1,N(V293),IF(N(U293)&gt;0,ROUND(N(U293)*IFERROR(VLOOKUP(R293,Listes!$AE$3:$AG$12,2,FALSE),0),0),0)))</f>
        <v/>
      </c>
      <c r="AZ293" s="7">
        <f>IF(LEFT(A293,7)="EXEMPLE",1,0)</f>
        <v/>
      </c>
      <c r="BA293" s="7">
        <f>IF(AND(AV293=1,AZ293=0,AC293&lt;&gt;"",W293&lt;&gt;"",N(V293)&gt;0),COUNTIFS($AV$3:AV293,1,$AZ$3:AZ293,0,$AC$3:AC293,"&lt;&gt;",$W$3:W293,"&lt;&gt;",$V$3:V293,"&gt;0"),"")</f>
        <v/>
      </c>
    </row>
    <row r="294">
      <c r="A294" s="12" t="n"/>
      <c r="B294" s="13" t="n"/>
      <c r="C294" s="13" t="n"/>
      <c r="D294" s="7">
        <f>IF(OR(B294="",C294=""),"",ROUND((C294-B294)*1440,0))</f>
        <v/>
      </c>
      <c r="E294" s="12" t="n"/>
      <c r="F294" s="12" t="n"/>
      <c r="G294" s="12" t="n"/>
      <c r="H294" s="12" t="n"/>
      <c r="I294" s="12" t="n"/>
      <c r="J294" s="12" t="n"/>
      <c r="K294" s="12" t="n"/>
      <c r="L294" s="14" t="n"/>
      <c r="M294" s="12" t="n"/>
      <c r="N294" s="12" t="n"/>
      <c r="O294" s="12" t="n"/>
      <c r="P294" s="12" t="n"/>
      <c r="Q294" s="7">
        <f>IF(A294="","",IFERROR(VLOOKUP(O294,Listes!$R$3:$T$8,2,FALSE),0)+IFERROR(VLOOKUP(J294,Listes!$J$3:$L$6,2,FALSE),0)+IFERROR(VLOOKUP(N294,Listes!$N$3:$P$6,2,FALSE),0)+IF(OR(L294="",B294=""),0,IF(L294-INT(B294)&lt;10,8,IF(L294-INT(B294)&lt;=90,10,5)))+IFERROR(VLOOKUP(AN294,Listes!$V$3:$W$5,2,FALSE),0)+IFERROR(VLOOKUP(AO294,Listes!$Y$3:$Z$5,2,FALSE),0))</f>
        <v/>
      </c>
      <c r="R294" s="12" t="n"/>
      <c r="S294" s="12" t="n"/>
      <c r="T294" s="12" t="n"/>
      <c r="U294" s="15" t="n"/>
      <c r="V294" s="15" t="n"/>
      <c r="W294" s="13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3" t="n"/>
      <c r="AK294" s="12" t="n"/>
      <c r="AL294" s="12" t="n"/>
      <c r="AM294" s="12" t="n"/>
      <c r="AN294" s="12" t="n"/>
      <c r="AO294" s="12" t="n"/>
      <c r="AP294" s="12" t="n"/>
      <c r="AQ294" s="7">
        <f>IF(A294="","",IF(AP294&lt;&gt;"",AP294,IF(LEFT(Z294,11)="gads_marque","Google Search – Marque",IF(LEFT(Z294,12)="gads_mariage","Google Search – Mariage et privé",IF(LEFT(Z294,10)="gads_corpo","Google Search – Corporatif",IF(LEFT(Z294,5)="meta_","Meta – Leads",IF(LEFT(Z294,5)="msft_","Microsoft Ads",IF(LEFT(Z294,8)="chatgpt_","ChatGPT Ads – Test",IF(X294="gbp","Fiche Google (organique)","Autre / non payé")))))))))</f>
        <v/>
      </c>
      <c r="AR294" s="7">
        <f>IF(K294="","",IFERROR(VLOOKUP(K294,Listes!$F$3:$H$8,3,FALSE),""))</f>
        <v/>
      </c>
      <c r="AS294" s="7">
        <f>IF(O294="","",IF(AND(M294="Autre (plus de 40 km)",OR(O294="lt600",O294="600_999",O294="1000_2499")),"D",IF(OR(O294="lt600",AND(O294="600_999",K294&lt;&gt;"mariage",K294&lt;&gt;"prive")),"C",IF(OR(O294="2500_4999",O294="5000p",J294="entreprise",J294="organisme",J294="agence"),"A",IF(OR(O294="1000_2499",O294="600_999"),"B",IF(O294="inconnu",IF(OR(N294="75_149",N294="150p"),"A","B"),""))))))</f>
        <v/>
      </c>
      <c r="AT294" s="7">
        <f>IF(A294="","",IF(P294&lt;&gt;"",P294,AS294))</f>
        <v/>
      </c>
      <c r="AU294" s="7">
        <f>IF(A294="","",IF(OR(AT294="A",AT294="B"),1,0))</f>
        <v/>
      </c>
      <c r="AV294" s="7">
        <f>IF(A294="","",IF(OR(R294="Dépôt payé (gagné)",R294="Événement livré",R294="Avis obtenu"),1,0))</f>
        <v/>
      </c>
      <c r="AW294" s="7">
        <f>IF(A294="","",IF(Q294&gt;70,"Immédiat – propriétaire",IF(Q294&gt;=40,"15 min – personne de garde","Selon la route")))</f>
        <v/>
      </c>
      <c r="AX294" s="11">
        <f>IF(A294="","",IF(AT294="A",400,IF(AT294="B",150,0)))</f>
        <v/>
      </c>
      <c r="AY294" s="11">
        <f>IF(A294="","",IF(AV294=1,N(V294),IF(N(U294)&gt;0,ROUND(N(U294)*IFERROR(VLOOKUP(R294,Listes!$AE$3:$AG$12,2,FALSE),0),0),0)))</f>
        <v/>
      </c>
      <c r="AZ294" s="7">
        <f>IF(LEFT(A294,7)="EXEMPLE",1,0)</f>
        <v/>
      </c>
      <c r="BA294" s="7">
        <f>IF(AND(AV294=1,AZ294=0,AC294&lt;&gt;"",W294&lt;&gt;"",N(V294)&gt;0),COUNTIFS($AV$3:AV294,1,$AZ$3:AZ294,0,$AC$3:AC294,"&lt;&gt;",$W$3:W294,"&lt;&gt;",$V$3:V294,"&gt;0"),"")</f>
        <v/>
      </c>
    </row>
    <row r="295">
      <c r="A295" s="12" t="n"/>
      <c r="B295" s="13" t="n"/>
      <c r="C295" s="13" t="n"/>
      <c r="D295" s="7">
        <f>IF(OR(B295="",C295=""),"",ROUND((C295-B295)*1440,0))</f>
        <v/>
      </c>
      <c r="E295" s="12" t="n"/>
      <c r="F295" s="12" t="n"/>
      <c r="G295" s="12" t="n"/>
      <c r="H295" s="12" t="n"/>
      <c r="I295" s="12" t="n"/>
      <c r="J295" s="12" t="n"/>
      <c r="K295" s="12" t="n"/>
      <c r="L295" s="14" t="n"/>
      <c r="M295" s="12" t="n"/>
      <c r="N295" s="12" t="n"/>
      <c r="O295" s="12" t="n"/>
      <c r="P295" s="12" t="n"/>
      <c r="Q295" s="7">
        <f>IF(A295="","",IFERROR(VLOOKUP(O295,Listes!$R$3:$T$8,2,FALSE),0)+IFERROR(VLOOKUP(J295,Listes!$J$3:$L$6,2,FALSE),0)+IFERROR(VLOOKUP(N295,Listes!$N$3:$P$6,2,FALSE),0)+IF(OR(L295="",B295=""),0,IF(L295-INT(B295)&lt;10,8,IF(L295-INT(B295)&lt;=90,10,5)))+IFERROR(VLOOKUP(AN295,Listes!$V$3:$W$5,2,FALSE),0)+IFERROR(VLOOKUP(AO295,Listes!$Y$3:$Z$5,2,FALSE),0))</f>
        <v/>
      </c>
      <c r="R295" s="12" t="n"/>
      <c r="S295" s="12" t="n"/>
      <c r="T295" s="12" t="n"/>
      <c r="U295" s="15" t="n"/>
      <c r="V295" s="15" t="n"/>
      <c r="W295" s="13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3" t="n"/>
      <c r="AK295" s="12" t="n"/>
      <c r="AL295" s="12" t="n"/>
      <c r="AM295" s="12" t="n"/>
      <c r="AN295" s="12" t="n"/>
      <c r="AO295" s="12" t="n"/>
      <c r="AP295" s="12" t="n"/>
      <c r="AQ295" s="7">
        <f>IF(A295="","",IF(AP295&lt;&gt;"",AP295,IF(LEFT(Z295,11)="gads_marque","Google Search – Marque",IF(LEFT(Z295,12)="gads_mariage","Google Search – Mariage et privé",IF(LEFT(Z295,10)="gads_corpo","Google Search – Corporatif",IF(LEFT(Z295,5)="meta_","Meta – Leads",IF(LEFT(Z295,5)="msft_","Microsoft Ads",IF(LEFT(Z295,8)="chatgpt_","ChatGPT Ads – Test",IF(X295="gbp","Fiche Google (organique)","Autre / non payé")))))))))</f>
        <v/>
      </c>
      <c r="AR295" s="7">
        <f>IF(K295="","",IFERROR(VLOOKUP(K295,Listes!$F$3:$H$8,3,FALSE),""))</f>
        <v/>
      </c>
      <c r="AS295" s="7">
        <f>IF(O295="","",IF(AND(M295="Autre (plus de 40 km)",OR(O295="lt600",O295="600_999",O295="1000_2499")),"D",IF(OR(O295="lt600",AND(O295="600_999",K295&lt;&gt;"mariage",K295&lt;&gt;"prive")),"C",IF(OR(O295="2500_4999",O295="5000p",J295="entreprise",J295="organisme",J295="agence"),"A",IF(OR(O295="1000_2499",O295="600_999"),"B",IF(O295="inconnu",IF(OR(N295="75_149",N295="150p"),"A","B"),""))))))</f>
        <v/>
      </c>
      <c r="AT295" s="7">
        <f>IF(A295="","",IF(P295&lt;&gt;"",P295,AS295))</f>
        <v/>
      </c>
      <c r="AU295" s="7">
        <f>IF(A295="","",IF(OR(AT295="A",AT295="B"),1,0))</f>
        <v/>
      </c>
      <c r="AV295" s="7">
        <f>IF(A295="","",IF(OR(R295="Dépôt payé (gagné)",R295="Événement livré",R295="Avis obtenu"),1,0))</f>
        <v/>
      </c>
      <c r="AW295" s="7">
        <f>IF(A295="","",IF(Q295&gt;70,"Immédiat – propriétaire",IF(Q295&gt;=40,"15 min – personne de garde","Selon la route")))</f>
        <v/>
      </c>
      <c r="AX295" s="11">
        <f>IF(A295="","",IF(AT295="A",400,IF(AT295="B",150,0)))</f>
        <v/>
      </c>
      <c r="AY295" s="11">
        <f>IF(A295="","",IF(AV295=1,N(V295),IF(N(U295)&gt;0,ROUND(N(U295)*IFERROR(VLOOKUP(R295,Listes!$AE$3:$AG$12,2,FALSE),0),0),0)))</f>
        <v/>
      </c>
      <c r="AZ295" s="7">
        <f>IF(LEFT(A295,7)="EXEMPLE",1,0)</f>
        <v/>
      </c>
      <c r="BA295" s="7">
        <f>IF(AND(AV295=1,AZ295=0,AC295&lt;&gt;"",W295&lt;&gt;"",N(V295)&gt;0),COUNTIFS($AV$3:AV295,1,$AZ$3:AZ295,0,$AC$3:AC295,"&lt;&gt;",$W$3:W295,"&lt;&gt;",$V$3:V295,"&gt;0"),"")</f>
        <v/>
      </c>
    </row>
    <row r="296">
      <c r="A296" s="12" t="n"/>
      <c r="B296" s="13" t="n"/>
      <c r="C296" s="13" t="n"/>
      <c r="D296" s="7">
        <f>IF(OR(B296="",C296=""),"",ROUND((C296-B296)*1440,0))</f>
        <v/>
      </c>
      <c r="E296" s="12" t="n"/>
      <c r="F296" s="12" t="n"/>
      <c r="G296" s="12" t="n"/>
      <c r="H296" s="12" t="n"/>
      <c r="I296" s="12" t="n"/>
      <c r="J296" s="12" t="n"/>
      <c r="K296" s="12" t="n"/>
      <c r="L296" s="14" t="n"/>
      <c r="M296" s="12" t="n"/>
      <c r="N296" s="12" t="n"/>
      <c r="O296" s="12" t="n"/>
      <c r="P296" s="12" t="n"/>
      <c r="Q296" s="7">
        <f>IF(A296="","",IFERROR(VLOOKUP(O296,Listes!$R$3:$T$8,2,FALSE),0)+IFERROR(VLOOKUP(J296,Listes!$J$3:$L$6,2,FALSE),0)+IFERROR(VLOOKUP(N296,Listes!$N$3:$P$6,2,FALSE),0)+IF(OR(L296="",B296=""),0,IF(L296-INT(B296)&lt;10,8,IF(L296-INT(B296)&lt;=90,10,5)))+IFERROR(VLOOKUP(AN296,Listes!$V$3:$W$5,2,FALSE),0)+IFERROR(VLOOKUP(AO296,Listes!$Y$3:$Z$5,2,FALSE),0))</f>
        <v/>
      </c>
      <c r="R296" s="12" t="n"/>
      <c r="S296" s="12" t="n"/>
      <c r="T296" s="12" t="n"/>
      <c r="U296" s="15" t="n"/>
      <c r="V296" s="15" t="n"/>
      <c r="W296" s="13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3" t="n"/>
      <c r="AK296" s="12" t="n"/>
      <c r="AL296" s="12" t="n"/>
      <c r="AM296" s="12" t="n"/>
      <c r="AN296" s="12" t="n"/>
      <c r="AO296" s="12" t="n"/>
      <c r="AP296" s="12" t="n"/>
      <c r="AQ296" s="7">
        <f>IF(A296="","",IF(AP296&lt;&gt;"",AP296,IF(LEFT(Z296,11)="gads_marque","Google Search – Marque",IF(LEFT(Z296,12)="gads_mariage","Google Search – Mariage et privé",IF(LEFT(Z296,10)="gads_corpo","Google Search – Corporatif",IF(LEFT(Z296,5)="meta_","Meta – Leads",IF(LEFT(Z296,5)="msft_","Microsoft Ads",IF(LEFT(Z296,8)="chatgpt_","ChatGPT Ads – Test",IF(X296="gbp","Fiche Google (organique)","Autre / non payé")))))))))</f>
        <v/>
      </c>
      <c r="AR296" s="7">
        <f>IF(K296="","",IFERROR(VLOOKUP(K296,Listes!$F$3:$H$8,3,FALSE),""))</f>
        <v/>
      </c>
      <c r="AS296" s="7">
        <f>IF(O296="","",IF(AND(M296="Autre (plus de 40 km)",OR(O296="lt600",O296="600_999",O296="1000_2499")),"D",IF(OR(O296="lt600",AND(O296="600_999",K296&lt;&gt;"mariage",K296&lt;&gt;"prive")),"C",IF(OR(O296="2500_4999",O296="5000p",J296="entreprise",J296="organisme",J296="agence"),"A",IF(OR(O296="1000_2499",O296="600_999"),"B",IF(O296="inconnu",IF(OR(N296="75_149",N296="150p"),"A","B"),""))))))</f>
        <v/>
      </c>
      <c r="AT296" s="7">
        <f>IF(A296="","",IF(P296&lt;&gt;"",P296,AS296))</f>
        <v/>
      </c>
      <c r="AU296" s="7">
        <f>IF(A296="","",IF(OR(AT296="A",AT296="B"),1,0))</f>
        <v/>
      </c>
      <c r="AV296" s="7">
        <f>IF(A296="","",IF(OR(R296="Dépôt payé (gagné)",R296="Événement livré",R296="Avis obtenu"),1,0))</f>
        <v/>
      </c>
      <c r="AW296" s="7">
        <f>IF(A296="","",IF(Q296&gt;70,"Immédiat – propriétaire",IF(Q296&gt;=40,"15 min – personne de garde","Selon la route")))</f>
        <v/>
      </c>
      <c r="AX296" s="11">
        <f>IF(A296="","",IF(AT296="A",400,IF(AT296="B",150,0)))</f>
        <v/>
      </c>
      <c r="AY296" s="11">
        <f>IF(A296="","",IF(AV296=1,N(V296),IF(N(U296)&gt;0,ROUND(N(U296)*IFERROR(VLOOKUP(R296,Listes!$AE$3:$AG$12,2,FALSE),0),0),0)))</f>
        <v/>
      </c>
      <c r="AZ296" s="7">
        <f>IF(LEFT(A296,7)="EXEMPLE",1,0)</f>
        <v/>
      </c>
      <c r="BA296" s="7">
        <f>IF(AND(AV296=1,AZ296=0,AC296&lt;&gt;"",W296&lt;&gt;"",N(V296)&gt;0),COUNTIFS($AV$3:AV296,1,$AZ$3:AZ296,0,$AC$3:AC296,"&lt;&gt;",$W$3:W296,"&lt;&gt;",$V$3:V296,"&gt;0"),"")</f>
        <v/>
      </c>
    </row>
    <row r="297">
      <c r="A297" s="12" t="n"/>
      <c r="B297" s="13" t="n"/>
      <c r="C297" s="13" t="n"/>
      <c r="D297" s="7">
        <f>IF(OR(B297="",C297=""),"",ROUND((C297-B297)*1440,0))</f>
        <v/>
      </c>
      <c r="E297" s="12" t="n"/>
      <c r="F297" s="12" t="n"/>
      <c r="G297" s="12" t="n"/>
      <c r="H297" s="12" t="n"/>
      <c r="I297" s="12" t="n"/>
      <c r="J297" s="12" t="n"/>
      <c r="K297" s="12" t="n"/>
      <c r="L297" s="14" t="n"/>
      <c r="M297" s="12" t="n"/>
      <c r="N297" s="12" t="n"/>
      <c r="O297" s="12" t="n"/>
      <c r="P297" s="12" t="n"/>
      <c r="Q297" s="7">
        <f>IF(A297="","",IFERROR(VLOOKUP(O297,Listes!$R$3:$T$8,2,FALSE),0)+IFERROR(VLOOKUP(J297,Listes!$J$3:$L$6,2,FALSE),0)+IFERROR(VLOOKUP(N297,Listes!$N$3:$P$6,2,FALSE),0)+IF(OR(L297="",B297=""),0,IF(L297-INT(B297)&lt;10,8,IF(L297-INT(B297)&lt;=90,10,5)))+IFERROR(VLOOKUP(AN297,Listes!$V$3:$W$5,2,FALSE),0)+IFERROR(VLOOKUP(AO297,Listes!$Y$3:$Z$5,2,FALSE),0))</f>
        <v/>
      </c>
      <c r="R297" s="12" t="n"/>
      <c r="S297" s="12" t="n"/>
      <c r="T297" s="12" t="n"/>
      <c r="U297" s="15" t="n"/>
      <c r="V297" s="15" t="n"/>
      <c r="W297" s="13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3" t="n"/>
      <c r="AK297" s="12" t="n"/>
      <c r="AL297" s="12" t="n"/>
      <c r="AM297" s="12" t="n"/>
      <c r="AN297" s="12" t="n"/>
      <c r="AO297" s="12" t="n"/>
      <c r="AP297" s="12" t="n"/>
      <c r="AQ297" s="7">
        <f>IF(A297="","",IF(AP297&lt;&gt;"",AP297,IF(LEFT(Z297,11)="gads_marque","Google Search – Marque",IF(LEFT(Z297,12)="gads_mariage","Google Search – Mariage et privé",IF(LEFT(Z297,10)="gads_corpo","Google Search – Corporatif",IF(LEFT(Z297,5)="meta_","Meta – Leads",IF(LEFT(Z297,5)="msft_","Microsoft Ads",IF(LEFT(Z297,8)="chatgpt_","ChatGPT Ads – Test",IF(X297="gbp","Fiche Google (organique)","Autre / non payé")))))))))</f>
        <v/>
      </c>
      <c r="AR297" s="7">
        <f>IF(K297="","",IFERROR(VLOOKUP(K297,Listes!$F$3:$H$8,3,FALSE),""))</f>
        <v/>
      </c>
      <c r="AS297" s="7">
        <f>IF(O297="","",IF(AND(M297="Autre (plus de 40 km)",OR(O297="lt600",O297="600_999",O297="1000_2499")),"D",IF(OR(O297="lt600",AND(O297="600_999",K297&lt;&gt;"mariage",K297&lt;&gt;"prive")),"C",IF(OR(O297="2500_4999",O297="5000p",J297="entreprise",J297="organisme",J297="agence"),"A",IF(OR(O297="1000_2499",O297="600_999"),"B",IF(O297="inconnu",IF(OR(N297="75_149",N297="150p"),"A","B"),""))))))</f>
        <v/>
      </c>
      <c r="AT297" s="7">
        <f>IF(A297="","",IF(P297&lt;&gt;"",P297,AS297))</f>
        <v/>
      </c>
      <c r="AU297" s="7">
        <f>IF(A297="","",IF(OR(AT297="A",AT297="B"),1,0))</f>
        <v/>
      </c>
      <c r="AV297" s="7">
        <f>IF(A297="","",IF(OR(R297="Dépôt payé (gagné)",R297="Événement livré",R297="Avis obtenu"),1,0))</f>
        <v/>
      </c>
      <c r="AW297" s="7">
        <f>IF(A297="","",IF(Q297&gt;70,"Immédiat – propriétaire",IF(Q297&gt;=40,"15 min – personne de garde","Selon la route")))</f>
        <v/>
      </c>
      <c r="AX297" s="11">
        <f>IF(A297="","",IF(AT297="A",400,IF(AT297="B",150,0)))</f>
        <v/>
      </c>
      <c r="AY297" s="11">
        <f>IF(A297="","",IF(AV297=1,N(V297),IF(N(U297)&gt;0,ROUND(N(U297)*IFERROR(VLOOKUP(R297,Listes!$AE$3:$AG$12,2,FALSE),0),0),0)))</f>
        <v/>
      </c>
      <c r="AZ297" s="7">
        <f>IF(LEFT(A297,7)="EXEMPLE",1,0)</f>
        <v/>
      </c>
      <c r="BA297" s="7">
        <f>IF(AND(AV297=1,AZ297=0,AC297&lt;&gt;"",W297&lt;&gt;"",N(V297)&gt;0),COUNTIFS($AV$3:AV297,1,$AZ$3:AZ297,0,$AC$3:AC297,"&lt;&gt;",$W$3:W297,"&lt;&gt;",$V$3:V297,"&gt;0"),"")</f>
        <v/>
      </c>
    </row>
    <row r="298">
      <c r="A298" s="12" t="n"/>
      <c r="B298" s="13" t="n"/>
      <c r="C298" s="13" t="n"/>
      <c r="D298" s="7">
        <f>IF(OR(B298="",C298=""),"",ROUND((C298-B298)*1440,0))</f>
        <v/>
      </c>
      <c r="E298" s="12" t="n"/>
      <c r="F298" s="12" t="n"/>
      <c r="G298" s="12" t="n"/>
      <c r="H298" s="12" t="n"/>
      <c r="I298" s="12" t="n"/>
      <c r="J298" s="12" t="n"/>
      <c r="K298" s="12" t="n"/>
      <c r="L298" s="14" t="n"/>
      <c r="M298" s="12" t="n"/>
      <c r="N298" s="12" t="n"/>
      <c r="O298" s="12" t="n"/>
      <c r="P298" s="12" t="n"/>
      <c r="Q298" s="7">
        <f>IF(A298="","",IFERROR(VLOOKUP(O298,Listes!$R$3:$T$8,2,FALSE),0)+IFERROR(VLOOKUP(J298,Listes!$J$3:$L$6,2,FALSE),0)+IFERROR(VLOOKUP(N298,Listes!$N$3:$P$6,2,FALSE),0)+IF(OR(L298="",B298=""),0,IF(L298-INT(B298)&lt;10,8,IF(L298-INT(B298)&lt;=90,10,5)))+IFERROR(VLOOKUP(AN298,Listes!$V$3:$W$5,2,FALSE),0)+IFERROR(VLOOKUP(AO298,Listes!$Y$3:$Z$5,2,FALSE),0))</f>
        <v/>
      </c>
      <c r="R298" s="12" t="n"/>
      <c r="S298" s="12" t="n"/>
      <c r="T298" s="12" t="n"/>
      <c r="U298" s="15" t="n"/>
      <c r="V298" s="15" t="n"/>
      <c r="W298" s="13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3" t="n"/>
      <c r="AK298" s="12" t="n"/>
      <c r="AL298" s="12" t="n"/>
      <c r="AM298" s="12" t="n"/>
      <c r="AN298" s="12" t="n"/>
      <c r="AO298" s="12" t="n"/>
      <c r="AP298" s="12" t="n"/>
      <c r="AQ298" s="7">
        <f>IF(A298="","",IF(AP298&lt;&gt;"",AP298,IF(LEFT(Z298,11)="gads_marque","Google Search – Marque",IF(LEFT(Z298,12)="gads_mariage","Google Search – Mariage et privé",IF(LEFT(Z298,10)="gads_corpo","Google Search – Corporatif",IF(LEFT(Z298,5)="meta_","Meta – Leads",IF(LEFT(Z298,5)="msft_","Microsoft Ads",IF(LEFT(Z298,8)="chatgpt_","ChatGPT Ads – Test",IF(X298="gbp","Fiche Google (organique)","Autre / non payé")))))))))</f>
        <v/>
      </c>
      <c r="AR298" s="7">
        <f>IF(K298="","",IFERROR(VLOOKUP(K298,Listes!$F$3:$H$8,3,FALSE),""))</f>
        <v/>
      </c>
      <c r="AS298" s="7">
        <f>IF(O298="","",IF(AND(M298="Autre (plus de 40 km)",OR(O298="lt600",O298="600_999",O298="1000_2499")),"D",IF(OR(O298="lt600",AND(O298="600_999",K298&lt;&gt;"mariage",K298&lt;&gt;"prive")),"C",IF(OR(O298="2500_4999",O298="5000p",J298="entreprise",J298="organisme",J298="agence"),"A",IF(OR(O298="1000_2499",O298="600_999"),"B",IF(O298="inconnu",IF(OR(N298="75_149",N298="150p"),"A","B"),""))))))</f>
        <v/>
      </c>
      <c r="AT298" s="7">
        <f>IF(A298="","",IF(P298&lt;&gt;"",P298,AS298))</f>
        <v/>
      </c>
      <c r="AU298" s="7">
        <f>IF(A298="","",IF(OR(AT298="A",AT298="B"),1,0))</f>
        <v/>
      </c>
      <c r="AV298" s="7">
        <f>IF(A298="","",IF(OR(R298="Dépôt payé (gagné)",R298="Événement livré",R298="Avis obtenu"),1,0))</f>
        <v/>
      </c>
      <c r="AW298" s="7">
        <f>IF(A298="","",IF(Q298&gt;70,"Immédiat – propriétaire",IF(Q298&gt;=40,"15 min – personne de garde","Selon la route")))</f>
        <v/>
      </c>
      <c r="AX298" s="11">
        <f>IF(A298="","",IF(AT298="A",400,IF(AT298="B",150,0)))</f>
        <v/>
      </c>
      <c r="AY298" s="11">
        <f>IF(A298="","",IF(AV298=1,N(V298),IF(N(U298)&gt;0,ROUND(N(U298)*IFERROR(VLOOKUP(R298,Listes!$AE$3:$AG$12,2,FALSE),0),0),0)))</f>
        <v/>
      </c>
      <c r="AZ298" s="7">
        <f>IF(LEFT(A298,7)="EXEMPLE",1,0)</f>
        <v/>
      </c>
      <c r="BA298" s="7">
        <f>IF(AND(AV298=1,AZ298=0,AC298&lt;&gt;"",W298&lt;&gt;"",N(V298)&gt;0),COUNTIFS($AV$3:AV298,1,$AZ$3:AZ298,0,$AC$3:AC298,"&lt;&gt;",$W$3:W298,"&lt;&gt;",$V$3:V298,"&gt;0"),"")</f>
        <v/>
      </c>
    </row>
    <row r="299">
      <c r="A299" s="12" t="n"/>
      <c r="B299" s="13" t="n"/>
      <c r="C299" s="13" t="n"/>
      <c r="D299" s="7">
        <f>IF(OR(B299="",C299=""),"",ROUND((C299-B299)*1440,0))</f>
        <v/>
      </c>
      <c r="E299" s="12" t="n"/>
      <c r="F299" s="12" t="n"/>
      <c r="G299" s="12" t="n"/>
      <c r="H299" s="12" t="n"/>
      <c r="I299" s="12" t="n"/>
      <c r="J299" s="12" t="n"/>
      <c r="K299" s="12" t="n"/>
      <c r="L299" s="14" t="n"/>
      <c r="M299" s="12" t="n"/>
      <c r="N299" s="12" t="n"/>
      <c r="O299" s="12" t="n"/>
      <c r="P299" s="12" t="n"/>
      <c r="Q299" s="7">
        <f>IF(A299="","",IFERROR(VLOOKUP(O299,Listes!$R$3:$T$8,2,FALSE),0)+IFERROR(VLOOKUP(J299,Listes!$J$3:$L$6,2,FALSE),0)+IFERROR(VLOOKUP(N299,Listes!$N$3:$P$6,2,FALSE),0)+IF(OR(L299="",B299=""),0,IF(L299-INT(B299)&lt;10,8,IF(L299-INT(B299)&lt;=90,10,5)))+IFERROR(VLOOKUP(AN299,Listes!$V$3:$W$5,2,FALSE),0)+IFERROR(VLOOKUP(AO299,Listes!$Y$3:$Z$5,2,FALSE),0))</f>
        <v/>
      </c>
      <c r="R299" s="12" t="n"/>
      <c r="S299" s="12" t="n"/>
      <c r="T299" s="12" t="n"/>
      <c r="U299" s="15" t="n"/>
      <c r="V299" s="15" t="n"/>
      <c r="W299" s="13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3" t="n"/>
      <c r="AK299" s="12" t="n"/>
      <c r="AL299" s="12" t="n"/>
      <c r="AM299" s="12" t="n"/>
      <c r="AN299" s="12" t="n"/>
      <c r="AO299" s="12" t="n"/>
      <c r="AP299" s="12" t="n"/>
      <c r="AQ299" s="7">
        <f>IF(A299="","",IF(AP299&lt;&gt;"",AP299,IF(LEFT(Z299,11)="gads_marque","Google Search – Marque",IF(LEFT(Z299,12)="gads_mariage","Google Search – Mariage et privé",IF(LEFT(Z299,10)="gads_corpo","Google Search – Corporatif",IF(LEFT(Z299,5)="meta_","Meta – Leads",IF(LEFT(Z299,5)="msft_","Microsoft Ads",IF(LEFT(Z299,8)="chatgpt_","ChatGPT Ads – Test",IF(X299="gbp","Fiche Google (organique)","Autre / non payé")))))))))</f>
        <v/>
      </c>
      <c r="AR299" s="7">
        <f>IF(K299="","",IFERROR(VLOOKUP(K299,Listes!$F$3:$H$8,3,FALSE),""))</f>
        <v/>
      </c>
      <c r="AS299" s="7">
        <f>IF(O299="","",IF(AND(M299="Autre (plus de 40 km)",OR(O299="lt600",O299="600_999",O299="1000_2499")),"D",IF(OR(O299="lt600",AND(O299="600_999",K299&lt;&gt;"mariage",K299&lt;&gt;"prive")),"C",IF(OR(O299="2500_4999",O299="5000p",J299="entreprise",J299="organisme",J299="agence"),"A",IF(OR(O299="1000_2499",O299="600_999"),"B",IF(O299="inconnu",IF(OR(N299="75_149",N299="150p"),"A","B"),""))))))</f>
        <v/>
      </c>
      <c r="AT299" s="7">
        <f>IF(A299="","",IF(P299&lt;&gt;"",P299,AS299))</f>
        <v/>
      </c>
      <c r="AU299" s="7">
        <f>IF(A299="","",IF(OR(AT299="A",AT299="B"),1,0))</f>
        <v/>
      </c>
      <c r="AV299" s="7">
        <f>IF(A299="","",IF(OR(R299="Dépôt payé (gagné)",R299="Événement livré",R299="Avis obtenu"),1,0))</f>
        <v/>
      </c>
      <c r="AW299" s="7">
        <f>IF(A299="","",IF(Q299&gt;70,"Immédiat – propriétaire",IF(Q299&gt;=40,"15 min – personne de garde","Selon la route")))</f>
        <v/>
      </c>
      <c r="AX299" s="11">
        <f>IF(A299="","",IF(AT299="A",400,IF(AT299="B",150,0)))</f>
        <v/>
      </c>
      <c r="AY299" s="11">
        <f>IF(A299="","",IF(AV299=1,N(V299),IF(N(U299)&gt;0,ROUND(N(U299)*IFERROR(VLOOKUP(R299,Listes!$AE$3:$AG$12,2,FALSE),0),0),0)))</f>
        <v/>
      </c>
      <c r="AZ299" s="7">
        <f>IF(LEFT(A299,7)="EXEMPLE",1,0)</f>
        <v/>
      </c>
      <c r="BA299" s="7">
        <f>IF(AND(AV299=1,AZ299=0,AC299&lt;&gt;"",W299&lt;&gt;"",N(V299)&gt;0),COUNTIFS($AV$3:AV299,1,$AZ$3:AZ299,0,$AC$3:AC299,"&lt;&gt;",$W$3:W299,"&lt;&gt;",$V$3:V299,"&gt;0"),"")</f>
        <v/>
      </c>
    </row>
    <row r="300">
      <c r="A300" s="12" t="n"/>
      <c r="B300" s="13" t="n"/>
      <c r="C300" s="13" t="n"/>
      <c r="D300" s="7">
        <f>IF(OR(B300="",C300=""),"",ROUND((C300-B300)*1440,0))</f>
        <v/>
      </c>
      <c r="E300" s="12" t="n"/>
      <c r="F300" s="12" t="n"/>
      <c r="G300" s="12" t="n"/>
      <c r="H300" s="12" t="n"/>
      <c r="I300" s="12" t="n"/>
      <c r="J300" s="12" t="n"/>
      <c r="K300" s="12" t="n"/>
      <c r="L300" s="14" t="n"/>
      <c r="M300" s="12" t="n"/>
      <c r="N300" s="12" t="n"/>
      <c r="O300" s="12" t="n"/>
      <c r="P300" s="12" t="n"/>
      <c r="Q300" s="7">
        <f>IF(A300="","",IFERROR(VLOOKUP(O300,Listes!$R$3:$T$8,2,FALSE),0)+IFERROR(VLOOKUP(J300,Listes!$J$3:$L$6,2,FALSE),0)+IFERROR(VLOOKUP(N300,Listes!$N$3:$P$6,2,FALSE),0)+IF(OR(L300="",B300=""),0,IF(L300-INT(B300)&lt;10,8,IF(L300-INT(B300)&lt;=90,10,5)))+IFERROR(VLOOKUP(AN300,Listes!$V$3:$W$5,2,FALSE),0)+IFERROR(VLOOKUP(AO300,Listes!$Y$3:$Z$5,2,FALSE),0))</f>
        <v/>
      </c>
      <c r="R300" s="12" t="n"/>
      <c r="S300" s="12" t="n"/>
      <c r="T300" s="12" t="n"/>
      <c r="U300" s="15" t="n"/>
      <c r="V300" s="15" t="n"/>
      <c r="W300" s="13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3" t="n"/>
      <c r="AK300" s="12" t="n"/>
      <c r="AL300" s="12" t="n"/>
      <c r="AM300" s="12" t="n"/>
      <c r="AN300" s="12" t="n"/>
      <c r="AO300" s="12" t="n"/>
      <c r="AP300" s="12" t="n"/>
      <c r="AQ300" s="7">
        <f>IF(A300="","",IF(AP300&lt;&gt;"",AP300,IF(LEFT(Z300,11)="gads_marque","Google Search – Marque",IF(LEFT(Z300,12)="gads_mariage","Google Search – Mariage et privé",IF(LEFT(Z300,10)="gads_corpo","Google Search – Corporatif",IF(LEFT(Z300,5)="meta_","Meta – Leads",IF(LEFT(Z300,5)="msft_","Microsoft Ads",IF(LEFT(Z300,8)="chatgpt_","ChatGPT Ads – Test",IF(X300="gbp","Fiche Google (organique)","Autre / non payé")))))))))</f>
        <v/>
      </c>
      <c r="AR300" s="7">
        <f>IF(K300="","",IFERROR(VLOOKUP(K300,Listes!$F$3:$H$8,3,FALSE),""))</f>
        <v/>
      </c>
      <c r="AS300" s="7">
        <f>IF(O300="","",IF(AND(M300="Autre (plus de 40 km)",OR(O300="lt600",O300="600_999",O300="1000_2499")),"D",IF(OR(O300="lt600",AND(O300="600_999",K300&lt;&gt;"mariage",K300&lt;&gt;"prive")),"C",IF(OR(O300="2500_4999",O300="5000p",J300="entreprise",J300="organisme",J300="agence"),"A",IF(OR(O300="1000_2499",O300="600_999"),"B",IF(O300="inconnu",IF(OR(N300="75_149",N300="150p"),"A","B"),""))))))</f>
        <v/>
      </c>
      <c r="AT300" s="7">
        <f>IF(A300="","",IF(P300&lt;&gt;"",P300,AS300))</f>
        <v/>
      </c>
      <c r="AU300" s="7">
        <f>IF(A300="","",IF(OR(AT300="A",AT300="B"),1,0))</f>
        <v/>
      </c>
      <c r="AV300" s="7">
        <f>IF(A300="","",IF(OR(R300="Dépôt payé (gagné)",R300="Événement livré",R300="Avis obtenu"),1,0))</f>
        <v/>
      </c>
      <c r="AW300" s="7">
        <f>IF(A300="","",IF(Q300&gt;70,"Immédiat – propriétaire",IF(Q300&gt;=40,"15 min – personne de garde","Selon la route")))</f>
        <v/>
      </c>
      <c r="AX300" s="11">
        <f>IF(A300="","",IF(AT300="A",400,IF(AT300="B",150,0)))</f>
        <v/>
      </c>
      <c r="AY300" s="11">
        <f>IF(A300="","",IF(AV300=1,N(V300),IF(N(U300)&gt;0,ROUND(N(U300)*IFERROR(VLOOKUP(R300,Listes!$AE$3:$AG$12,2,FALSE),0),0),0)))</f>
        <v/>
      </c>
      <c r="AZ300" s="7">
        <f>IF(LEFT(A300,7)="EXEMPLE",1,0)</f>
        <v/>
      </c>
      <c r="BA300" s="7">
        <f>IF(AND(AV300=1,AZ300=0,AC300&lt;&gt;"",W300&lt;&gt;"",N(V300)&gt;0),COUNTIFS($AV$3:AV300,1,$AZ$3:AZ300,0,$AC$3:AC300,"&lt;&gt;",$W$3:W300,"&lt;&gt;",$V$3:V300,"&gt;0"),"")</f>
        <v/>
      </c>
    </row>
    <row r="301">
      <c r="A301" s="12" t="n"/>
      <c r="B301" s="13" t="n"/>
      <c r="C301" s="13" t="n"/>
      <c r="D301" s="7">
        <f>IF(OR(B301="",C301=""),"",ROUND((C301-B301)*1440,0))</f>
        <v/>
      </c>
      <c r="E301" s="12" t="n"/>
      <c r="F301" s="12" t="n"/>
      <c r="G301" s="12" t="n"/>
      <c r="H301" s="12" t="n"/>
      <c r="I301" s="12" t="n"/>
      <c r="J301" s="12" t="n"/>
      <c r="K301" s="12" t="n"/>
      <c r="L301" s="14" t="n"/>
      <c r="M301" s="12" t="n"/>
      <c r="N301" s="12" t="n"/>
      <c r="O301" s="12" t="n"/>
      <c r="P301" s="12" t="n"/>
      <c r="Q301" s="7">
        <f>IF(A301="","",IFERROR(VLOOKUP(O301,Listes!$R$3:$T$8,2,FALSE),0)+IFERROR(VLOOKUP(J301,Listes!$J$3:$L$6,2,FALSE),0)+IFERROR(VLOOKUP(N301,Listes!$N$3:$P$6,2,FALSE),0)+IF(OR(L301="",B301=""),0,IF(L301-INT(B301)&lt;10,8,IF(L301-INT(B301)&lt;=90,10,5)))+IFERROR(VLOOKUP(AN301,Listes!$V$3:$W$5,2,FALSE),0)+IFERROR(VLOOKUP(AO301,Listes!$Y$3:$Z$5,2,FALSE),0))</f>
        <v/>
      </c>
      <c r="R301" s="12" t="n"/>
      <c r="S301" s="12" t="n"/>
      <c r="T301" s="12" t="n"/>
      <c r="U301" s="15" t="n"/>
      <c r="V301" s="15" t="n"/>
      <c r="W301" s="13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3" t="n"/>
      <c r="AK301" s="12" t="n"/>
      <c r="AL301" s="12" t="n"/>
      <c r="AM301" s="12" t="n"/>
      <c r="AN301" s="12" t="n"/>
      <c r="AO301" s="12" t="n"/>
      <c r="AP301" s="12" t="n"/>
      <c r="AQ301" s="7">
        <f>IF(A301="","",IF(AP301&lt;&gt;"",AP301,IF(LEFT(Z301,11)="gads_marque","Google Search – Marque",IF(LEFT(Z301,12)="gads_mariage","Google Search – Mariage et privé",IF(LEFT(Z301,10)="gads_corpo","Google Search – Corporatif",IF(LEFT(Z301,5)="meta_","Meta – Leads",IF(LEFT(Z301,5)="msft_","Microsoft Ads",IF(LEFT(Z301,8)="chatgpt_","ChatGPT Ads – Test",IF(X301="gbp","Fiche Google (organique)","Autre / non payé")))))))))</f>
        <v/>
      </c>
      <c r="AR301" s="7">
        <f>IF(K301="","",IFERROR(VLOOKUP(K301,Listes!$F$3:$H$8,3,FALSE),""))</f>
        <v/>
      </c>
      <c r="AS301" s="7">
        <f>IF(O301="","",IF(AND(M301="Autre (plus de 40 km)",OR(O301="lt600",O301="600_999",O301="1000_2499")),"D",IF(OR(O301="lt600",AND(O301="600_999",K301&lt;&gt;"mariage",K301&lt;&gt;"prive")),"C",IF(OR(O301="2500_4999",O301="5000p",J301="entreprise",J301="organisme",J301="agence"),"A",IF(OR(O301="1000_2499",O301="600_999"),"B",IF(O301="inconnu",IF(OR(N301="75_149",N301="150p"),"A","B"),""))))))</f>
        <v/>
      </c>
      <c r="AT301" s="7">
        <f>IF(A301="","",IF(P301&lt;&gt;"",P301,AS301))</f>
        <v/>
      </c>
      <c r="AU301" s="7">
        <f>IF(A301="","",IF(OR(AT301="A",AT301="B"),1,0))</f>
        <v/>
      </c>
      <c r="AV301" s="7">
        <f>IF(A301="","",IF(OR(R301="Dépôt payé (gagné)",R301="Événement livré",R301="Avis obtenu"),1,0))</f>
        <v/>
      </c>
      <c r="AW301" s="7">
        <f>IF(A301="","",IF(Q301&gt;70,"Immédiat – propriétaire",IF(Q301&gt;=40,"15 min – personne de garde","Selon la route")))</f>
        <v/>
      </c>
      <c r="AX301" s="11">
        <f>IF(A301="","",IF(AT301="A",400,IF(AT301="B",150,0)))</f>
        <v/>
      </c>
      <c r="AY301" s="11">
        <f>IF(A301="","",IF(AV301=1,N(V301),IF(N(U301)&gt;0,ROUND(N(U301)*IFERROR(VLOOKUP(R301,Listes!$AE$3:$AG$12,2,FALSE),0),0),0)))</f>
        <v/>
      </c>
      <c r="AZ301" s="7">
        <f>IF(LEFT(A301,7)="EXEMPLE",1,0)</f>
        <v/>
      </c>
      <c r="BA301" s="7">
        <f>IF(AND(AV301=1,AZ301=0,AC301&lt;&gt;"",W301&lt;&gt;"",N(V301)&gt;0),COUNTIFS($AV$3:AV301,1,$AZ$3:AZ301,0,$AC$3:AC301,"&lt;&gt;",$W$3:W301,"&lt;&gt;",$V$3:V301,"&gt;0"),"")</f>
        <v/>
      </c>
    </row>
    <row r="302">
      <c r="A302" s="12" t="n"/>
      <c r="B302" s="13" t="n"/>
      <c r="C302" s="13" t="n"/>
      <c r="D302" s="7">
        <f>IF(OR(B302="",C302=""),"",ROUND((C302-B302)*1440,0))</f>
        <v/>
      </c>
      <c r="E302" s="12" t="n"/>
      <c r="F302" s="12" t="n"/>
      <c r="G302" s="12" t="n"/>
      <c r="H302" s="12" t="n"/>
      <c r="I302" s="12" t="n"/>
      <c r="J302" s="12" t="n"/>
      <c r="K302" s="12" t="n"/>
      <c r="L302" s="14" t="n"/>
      <c r="M302" s="12" t="n"/>
      <c r="N302" s="12" t="n"/>
      <c r="O302" s="12" t="n"/>
      <c r="P302" s="12" t="n"/>
      <c r="Q302" s="7">
        <f>IF(A302="","",IFERROR(VLOOKUP(O302,Listes!$R$3:$T$8,2,FALSE),0)+IFERROR(VLOOKUP(J302,Listes!$J$3:$L$6,2,FALSE),0)+IFERROR(VLOOKUP(N302,Listes!$N$3:$P$6,2,FALSE),0)+IF(OR(L302="",B302=""),0,IF(L302-INT(B302)&lt;10,8,IF(L302-INT(B302)&lt;=90,10,5)))+IFERROR(VLOOKUP(AN302,Listes!$V$3:$W$5,2,FALSE),0)+IFERROR(VLOOKUP(AO302,Listes!$Y$3:$Z$5,2,FALSE),0))</f>
        <v/>
      </c>
      <c r="R302" s="12" t="n"/>
      <c r="S302" s="12" t="n"/>
      <c r="T302" s="12" t="n"/>
      <c r="U302" s="15" t="n"/>
      <c r="V302" s="15" t="n"/>
      <c r="W302" s="13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3" t="n"/>
      <c r="AK302" s="12" t="n"/>
      <c r="AL302" s="12" t="n"/>
      <c r="AM302" s="12" t="n"/>
      <c r="AN302" s="12" t="n"/>
      <c r="AO302" s="12" t="n"/>
      <c r="AP302" s="12" t="n"/>
      <c r="AQ302" s="7">
        <f>IF(A302="","",IF(AP302&lt;&gt;"",AP302,IF(LEFT(Z302,11)="gads_marque","Google Search – Marque",IF(LEFT(Z302,12)="gads_mariage","Google Search – Mariage et privé",IF(LEFT(Z302,10)="gads_corpo","Google Search – Corporatif",IF(LEFT(Z302,5)="meta_","Meta – Leads",IF(LEFT(Z302,5)="msft_","Microsoft Ads",IF(LEFT(Z302,8)="chatgpt_","ChatGPT Ads – Test",IF(X302="gbp","Fiche Google (organique)","Autre / non payé")))))))))</f>
        <v/>
      </c>
      <c r="AR302" s="7">
        <f>IF(K302="","",IFERROR(VLOOKUP(K302,Listes!$F$3:$H$8,3,FALSE),""))</f>
        <v/>
      </c>
      <c r="AS302" s="7">
        <f>IF(O302="","",IF(AND(M302="Autre (plus de 40 km)",OR(O302="lt600",O302="600_999",O302="1000_2499")),"D",IF(OR(O302="lt600",AND(O302="600_999",K302&lt;&gt;"mariage",K302&lt;&gt;"prive")),"C",IF(OR(O302="2500_4999",O302="5000p",J302="entreprise",J302="organisme",J302="agence"),"A",IF(OR(O302="1000_2499",O302="600_999"),"B",IF(O302="inconnu",IF(OR(N302="75_149",N302="150p"),"A","B"),""))))))</f>
        <v/>
      </c>
      <c r="AT302" s="7">
        <f>IF(A302="","",IF(P302&lt;&gt;"",P302,AS302))</f>
        <v/>
      </c>
      <c r="AU302" s="7">
        <f>IF(A302="","",IF(OR(AT302="A",AT302="B"),1,0))</f>
        <v/>
      </c>
      <c r="AV302" s="7">
        <f>IF(A302="","",IF(OR(R302="Dépôt payé (gagné)",R302="Événement livré",R302="Avis obtenu"),1,0))</f>
        <v/>
      </c>
      <c r="AW302" s="7">
        <f>IF(A302="","",IF(Q302&gt;70,"Immédiat – propriétaire",IF(Q302&gt;=40,"15 min – personne de garde","Selon la route")))</f>
        <v/>
      </c>
      <c r="AX302" s="11">
        <f>IF(A302="","",IF(AT302="A",400,IF(AT302="B",150,0)))</f>
        <v/>
      </c>
      <c r="AY302" s="11">
        <f>IF(A302="","",IF(AV302=1,N(V302),IF(N(U302)&gt;0,ROUND(N(U302)*IFERROR(VLOOKUP(R302,Listes!$AE$3:$AG$12,2,FALSE),0),0),0)))</f>
        <v/>
      </c>
      <c r="AZ302" s="7">
        <f>IF(LEFT(A302,7)="EXEMPLE",1,0)</f>
        <v/>
      </c>
      <c r="BA302" s="7">
        <f>IF(AND(AV302=1,AZ302=0,AC302&lt;&gt;"",W302&lt;&gt;"",N(V302)&gt;0),COUNTIFS($AV$3:AV302,1,$AZ$3:AZ302,0,$AC$3:AC302,"&lt;&gt;",$W$3:W302,"&lt;&gt;",$V$3:V302,"&gt;0"),"")</f>
        <v/>
      </c>
    </row>
    <row r="303">
      <c r="A303" s="12" t="n"/>
      <c r="B303" s="13" t="n"/>
      <c r="C303" s="13" t="n"/>
      <c r="D303" s="7">
        <f>IF(OR(B303="",C303=""),"",ROUND((C303-B303)*1440,0))</f>
        <v/>
      </c>
      <c r="E303" s="12" t="n"/>
      <c r="F303" s="12" t="n"/>
      <c r="G303" s="12" t="n"/>
      <c r="H303" s="12" t="n"/>
      <c r="I303" s="12" t="n"/>
      <c r="J303" s="12" t="n"/>
      <c r="K303" s="12" t="n"/>
      <c r="L303" s="14" t="n"/>
      <c r="M303" s="12" t="n"/>
      <c r="N303" s="12" t="n"/>
      <c r="O303" s="12" t="n"/>
      <c r="P303" s="12" t="n"/>
      <c r="Q303" s="7">
        <f>IF(A303="","",IFERROR(VLOOKUP(O303,Listes!$R$3:$T$8,2,FALSE),0)+IFERROR(VLOOKUP(J303,Listes!$J$3:$L$6,2,FALSE),0)+IFERROR(VLOOKUP(N303,Listes!$N$3:$P$6,2,FALSE),0)+IF(OR(L303="",B303=""),0,IF(L303-INT(B303)&lt;10,8,IF(L303-INT(B303)&lt;=90,10,5)))+IFERROR(VLOOKUP(AN303,Listes!$V$3:$W$5,2,FALSE),0)+IFERROR(VLOOKUP(AO303,Listes!$Y$3:$Z$5,2,FALSE),0))</f>
        <v/>
      </c>
      <c r="R303" s="12" t="n"/>
      <c r="S303" s="12" t="n"/>
      <c r="T303" s="12" t="n"/>
      <c r="U303" s="15" t="n"/>
      <c r="V303" s="15" t="n"/>
      <c r="W303" s="13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3" t="n"/>
      <c r="AK303" s="12" t="n"/>
      <c r="AL303" s="12" t="n"/>
      <c r="AM303" s="12" t="n"/>
      <c r="AN303" s="12" t="n"/>
      <c r="AO303" s="12" t="n"/>
      <c r="AP303" s="12" t="n"/>
      <c r="AQ303" s="7">
        <f>IF(A303="","",IF(AP303&lt;&gt;"",AP303,IF(LEFT(Z303,11)="gads_marque","Google Search – Marque",IF(LEFT(Z303,12)="gads_mariage","Google Search – Mariage et privé",IF(LEFT(Z303,10)="gads_corpo","Google Search – Corporatif",IF(LEFT(Z303,5)="meta_","Meta – Leads",IF(LEFT(Z303,5)="msft_","Microsoft Ads",IF(LEFT(Z303,8)="chatgpt_","ChatGPT Ads – Test",IF(X303="gbp","Fiche Google (organique)","Autre / non payé")))))))))</f>
        <v/>
      </c>
      <c r="AR303" s="7">
        <f>IF(K303="","",IFERROR(VLOOKUP(K303,Listes!$F$3:$H$8,3,FALSE),""))</f>
        <v/>
      </c>
      <c r="AS303" s="7">
        <f>IF(O303="","",IF(AND(M303="Autre (plus de 40 km)",OR(O303="lt600",O303="600_999",O303="1000_2499")),"D",IF(OR(O303="lt600",AND(O303="600_999",K303&lt;&gt;"mariage",K303&lt;&gt;"prive")),"C",IF(OR(O303="2500_4999",O303="5000p",J303="entreprise",J303="organisme",J303="agence"),"A",IF(OR(O303="1000_2499",O303="600_999"),"B",IF(O303="inconnu",IF(OR(N303="75_149",N303="150p"),"A","B"),""))))))</f>
        <v/>
      </c>
      <c r="AT303" s="7">
        <f>IF(A303="","",IF(P303&lt;&gt;"",P303,AS303))</f>
        <v/>
      </c>
      <c r="AU303" s="7">
        <f>IF(A303="","",IF(OR(AT303="A",AT303="B"),1,0))</f>
        <v/>
      </c>
      <c r="AV303" s="7">
        <f>IF(A303="","",IF(OR(R303="Dépôt payé (gagné)",R303="Événement livré",R303="Avis obtenu"),1,0))</f>
        <v/>
      </c>
      <c r="AW303" s="7">
        <f>IF(A303="","",IF(Q303&gt;70,"Immédiat – propriétaire",IF(Q303&gt;=40,"15 min – personne de garde","Selon la route")))</f>
        <v/>
      </c>
      <c r="AX303" s="11">
        <f>IF(A303="","",IF(AT303="A",400,IF(AT303="B",150,0)))</f>
        <v/>
      </c>
      <c r="AY303" s="11">
        <f>IF(A303="","",IF(AV303=1,N(V303),IF(N(U303)&gt;0,ROUND(N(U303)*IFERROR(VLOOKUP(R303,Listes!$AE$3:$AG$12,2,FALSE),0),0),0)))</f>
        <v/>
      </c>
      <c r="AZ303" s="7">
        <f>IF(LEFT(A303,7)="EXEMPLE",1,0)</f>
        <v/>
      </c>
      <c r="BA303" s="7">
        <f>IF(AND(AV303=1,AZ303=0,AC303&lt;&gt;"",W303&lt;&gt;"",N(V303)&gt;0),COUNTIFS($AV$3:AV303,1,$AZ$3:AZ303,0,$AC$3:AC303,"&lt;&gt;",$W$3:W303,"&lt;&gt;",$V$3:V303,"&gt;0"),"")</f>
        <v/>
      </c>
    </row>
    <row r="304">
      <c r="A304" s="12" t="n"/>
      <c r="B304" s="13" t="n"/>
      <c r="C304" s="13" t="n"/>
      <c r="D304" s="7">
        <f>IF(OR(B304="",C304=""),"",ROUND((C304-B304)*1440,0))</f>
        <v/>
      </c>
      <c r="E304" s="12" t="n"/>
      <c r="F304" s="12" t="n"/>
      <c r="G304" s="12" t="n"/>
      <c r="H304" s="12" t="n"/>
      <c r="I304" s="12" t="n"/>
      <c r="J304" s="12" t="n"/>
      <c r="K304" s="12" t="n"/>
      <c r="L304" s="14" t="n"/>
      <c r="M304" s="12" t="n"/>
      <c r="N304" s="12" t="n"/>
      <c r="O304" s="12" t="n"/>
      <c r="P304" s="12" t="n"/>
      <c r="Q304" s="7">
        <f>IF(A304="","",IFERROR(VLOOKUP(O304,Listes!$R$3:$T$8,2,FALSE),0)+IFERROR(VLOOKUP(J304,Listes!$J$3:$L$6,2,FALSE),0)+IFERROR(VLOOKUP(N304,Listes!$N$3:$P$6,2,FALSE),0)+IF(OR(L304="",B304=""),0,IF(L304-INT(B304)&lt;10,8,IF(L304-INT(B304)&lt;=90,10,5)))+IFERROR(VLOOKUP(AN304,Listes!$V$3:$W$5,2,FALSE),0)+IFERROR(VLOOKUP(AO304,Listes!$Y$3:$Z$5,2,FALSE),0))</f>
        <v/>
      </c>
      <c r="R304" s="12" t="n"/>
      <c r="S304" s="12" t="n"/>
      <c r="T304" s="12" t="n"/>
      <c r="U304" s="15" t="n"/>
      <c r="V304" s="15" t="n"/>
      <c r="W304" s="13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3" t="n"/>
      <c r="AK304" s="12" t="n"/>
      <c r="AL304" s="12" t="n"/>
      <c r="AM304" s="12" t="n"/>
      <c r="AN304" s="12" t="n"/>
      <c r="AO304" s="12" t="n"/>
      <c r="AP304" s="12" t="n"/>
      <c r="AQ304" s="7">
        <f>IF(A304="","",IF(AP304&lt;&gt;"",AP304,IF(LEFT(Z304,11)="gads_marque","Google Search – Marque",IF(LEFT(Z304,12)="gads_mariage","Google Search – Mariage et privé",IF(LEFT(Z304,10)="gads_corpo","Google Search – Corporatif",IF(LEFT(Z304,5)="meta_","Meta – Leads",IF(LEFT(Z304,5)="msft_","Microsoft Ads",IF(LEFT(Z304,8)="chatgpt_","ChatGPT Ads – Test",IF(X304="gbp","Fiche Google (organique)","Autre / non payé")))))))))</f>
        <v/>
      </c>
      <c r="AR304" s="7">
        <f>IF(K304="","",IFERROR(VLOOKUP(K304,Listes!$F$3:$H$8,3,FALSE),""))</f>
        <v/>
      </c>
      <c r="AS304" s="7">
        <f>IF(O304="","",IF(AND(M304="Autre (plus de 40 km)",OR(O304="lt600",O304="600_999",O304="1000_2499")),"D",IF(OR(O304="lt600",AND(O304="600_999",K304&lt;&gt;"mariage",K304&lt;&gt;"prive")),"C",IF(OR(O304="2500_4999",O304="5000p",J304="entreprise",J304="organisme",J304="agence"),"A",IF(OR(O304="1000_2499",O304="600_999"),"B",IF(O304="inconnu",IF(OR(N304="75_149",N304="150p"),"A","B"),""))))))</f>
        <v/>
      </c>
      <c r="AT304" s="7">
        <f>IF(A304="","",IF(P304&lt;&gt;"",P304,AS304))</f>
        <v/>
      </c>
      <c r="AU304" s="7">
        <f>IF(A304="","",IF(OR(AT304="A",AT304="B"),1,0))</f>
        <v/>
      </c>
      <c r="AV304" s="7">
        <f>IF(A304="","",IF(OR(R304="Dépôt payé (gagné)",R304="Événement livré",R304="Avis obtenu"),1,0))</f>
        <v/>
      </c>
      <c r="AW304" s="7">
        <f>IF(A304="","",IF(Q304&gt;70,"Immédiat – propriétaire",IF(Q304&gt;=40,"15 min – personne de garde","Selon la route")))</f>
        <v/>
      </c>
      <c r="AX304" s="11">
        <f>IF(A304="","",IF(AT304="A",400,IF(AT304="B",150,0)))</f>
        <v/>
      </c>
      <c r="AY304" s="11">
        <f>IF(A304="","",IF(AV304=1,N(V304),IF(N(U304)&gt;0,ROUND(N(U304)*IFERROR(VLOOKUP(R304,Listes!$AE$3:$AG$12,2,FALSE),0),0),0)))</f>
        <v/>
      </c>
      <c r="AZ304" s="7">
        <f>IF(LEFT(A304,7)="EXEMPLE",1,0)</f>
        <v/>
      </c>
      <c r="BA304" s="7">
        <f>IF(AND(AV304=1,AZ304=0,AC304&lt;&gt;"",W304&lt;&gt;"",N(V304)&gt;0),COUNTIFS($AV$3:AV304,1,$AZ$3:AZ304,0,$AC$3:AC304,"&lt;&gt;",$W$3:W304,"&lt;&gt;",$V$3:V304,"&gt;0"),"")</f>
        <v/>
      </c>
    </row>
    <row r="305">
      <c r="A305" s="12" t="n"/>
      <c r="B305" s="13" t="n"/>
      <c r="C305" s="13" t="n"/>
      <c r="D305" s="7">
        <f>IF(OR(B305="",C305=""),"",ROUND((C305-B305)*1440,0))</f>
        <v/>
      </c>
      <c r="E305" s="12" t="n"/>
      <c r="F305" s="12" t="n"/>
      <c r="G305" s="12" t="n"/>
      <c r="H305" s="12" t="n"/>
      <c r="I305" s="12" t="n"/>
      <c r="J305" s="12" t="n"/>
      <c r="K305" s="12" t="n"/>
      <c r="L305" s="14" t="n"/>
      <c r="M305" s="12" t="n"/>
      <c r="N305" s="12" t="n"/>
      <c r="O305" s="12" t="n"/>
      <c r="P305" s="12" t="n"/>
      <c r="Q305" s="7">
        <f>IF(A305="","",IFERROR(VLOOKUP(O305,Listes!$R$3:$T$8,2,FALSE),0)+IFERROR(VLOOKUP(J305,Listes!$J$3:$L$6,2,FALSE),0)+IFERROR(VLOOKUP(N305,Listes!$N$3:$P$6,2,FALSE),0)+IF(OR(L305="",B305=""),0,IF(L305-INT(B305)&lt;10,8,IF(L305-INT(B305)&lt;=90,10,5)))+IFERROR(VLOOKUP(AN305,Listes!$V$3:$W$5,2,FALSE),0)+IFERROR(VLOOKUP(AO305,Listes!$Y$3:$Z$5,2,FALSE),0))</f>
        <v/>
      </c>
      <c r="R305" s="12" t="n"/>
      <c r="S305" s="12" t="n"/>
      <c r="T305" s="12" t="n"/>
      <c r="U305" s="15" t="n"/>
      <c r="V305" s="15" t="n"/>
      <c r="W305" s="13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3" t="n"/>
      <c r="AK305" s="12" t="n"/>
      <c r="AL305" s="12" t="n"/>
      <c r="AM305" s="12" t="n"/>
      <c r="AN305" s="12" t="n"/>
      <c r="AO305" s="12" t="n"/>
      <c r="AP305" s="12" t="n"/>
      <c r="AQ305" s="7">
        <f>IF(A305="","",IF(AP305&lt;&gt;"",AP305,IF(LEFT(Z305,11)="gads_marque","Google Search – Marque",IF(LEFT(Z305,12)="gads_mariage","Google Search – Mariage et privé",IF(LEFT(Z305,10)="gads_corpo","Google Search – Corporatif",IF(LEFT(Z305,5)="meta_","Meta – Leads",IF(LEFT(Z305,5)="msft_","Microsoft Ads",IF(LEFT(Z305,8)="chatgpt_","ChatGPT Ads – Test",IF(X305="gbp","Fiche Google (organique)","Autre / non payé")))))))))</f>
        <v/>
      </c>
      <c r="AR305" s="7">
        <f>IF(K305="","",IFERROR(VLOOKUP(K305,Listes!$F$3:$H$8,3,FALSE),""))</f>
        <v/>
      </c>
      <c r="AS305" s="7">
        <f>IF(O305="","",IF(AND(M305="Autre (plus de 40 km)",OR(O305="lt600",O305="600_999",O305="1000_2499")),"D",IF(OR(O305="lt600",AND(O305="600_999",K305&lt;&gt;"mariage",K305&lt;&gt;"prive")),"C",IF(OR(O305="2500_4999",O305="5000p",J305="entreprise",J305="organisme",J305="agence"),"A",IF(OR(O305="1000_2499",O305="600_999"),"B",IF(O305="inconnu",IF(OR(N305="75_149",N305="150p"),"A","B"),""))))))</f>
        <v/>
      </c>
      <c r="AT305" s="7">
        <f>IF(A305="","",IF(P305&lt;&gt;"",P305,AS305))</f>
        <v/>
      </c>
      <c r="AU305" s="7">
        <f>IF(A305="","",IF(OR(AT305="A",AT305="B"),1,0))</f>
        <v/>
      </c>
      <c r="AV305" s="7">
        <f>IF(A305="","",IF(OR(R305="Dépôt payé (gagné)",R305="Événement livré",R305="Avis obtenu"),1,0))</f>
        <v/>
      </c>
      <c r="AW305" s="7">
        <f>IF(A305="","",IF(Q305&gt;70,"Immédiat – propriétaire",IF(Q305&gt;=40,"15 min – personne de garde","Selon la route")))</f>
        <v/>
      </c>
      <c r="AX305" s="11">
        <f>IF(A305="","",IF(AT305="A",400,IF(AT305="B",150,0)))</f>
        <v/>
      </c>
      <c r="AY305" s="11">
        <f>IF(A305="","",IF(AV305=1,N(V305),IF(N(U305)&gt;0,ROUND(N(U305)*IFERROR(VLOOKUP(R305,Listes!$AE$3:$AG$12,2,FALSE),0),0),0)))</f>
        <v/>
      </c>
      <c r="AZ305" s="7">
        <f>IF(LEFT(A305,7)="EXEMPLE",1,0)</f>
        <v/>
      </c>
      <c r="BA305" s="7">
        <f>IF(AND(AV305=1,AZ305=0,AC305&lt;&gt;"",W305&lt;&gt;"",N(V305)&gt;0),COUNTIFS($AV$3:AV305,1,$AZ$3:AZ305,0,$AC$3:AC305,"&lt;&gt;",$W$3:W305,"&lt;&gt;",$V$3:V305,"&gt;0"),"")</f>
        <v/>
      </c>
    </row>
    <row r="306">
      <c r="A306" s="12" t="n"/>
      <c r="B306" s="13" t="n"/>
      <c r="C306" s="13" t="n"/>
      <c r="D306" s="7">
        <f>IF(OR(B306="",C306=""),"",ROUND((C306-B306)*1440,0))</f>
        <v/>
      </c>
      <c r="E306" s="12" t="n"/>
      <c r="F306" s="12" t="n"/>
      <c r="G306" s="12" t="n"/>
      <c r="H306" s="12" t="n"/>
      <c r="I306" s="12" t="n"/>
      <c r="J306" s="12" t="n"/>
      <c r="K306" s="12" t="n"/>
      <c r="L306" s="14" t="n"/>
      <c r="M306" s="12" t="n"/>
      <c r="N306" s="12" t="n"/>
      <c r="O306" s="12" t="n"/>
      <c r="P306" s="12" t="n"/>
      <c r="Q306" s="7">
        <f>IF(A306="","",IFERROR(VLOOKUP(O306,Listes!$R$3:$T$8,2,FALSE),0)+IFERROR(VLOOKUP(J306,Listes!$J$3:$L$6,2,FALSE),0)+IFERROR(VLOOKUP(N306,Listes!$N$3:$P$6,2,FALSE),0)+IF(OR(L306="",B306=""),0,IF(L306-INT(B306)&lt;10,8,IF(L306-INT(B306)&lt;=90,10,5)))+IFERROR(VLOOKUP(AN306,Listes!$V$3:$W$5,2,FALSE),0)+IFERROR(VLOOKUP(AO306,Listes!$Y$3:$Z$5,2,FALSE),0))</f>
        <v/>
      </c>
      <c r="R306" s="12" t="n"/>
      <c r="S306" s="12" t="n"/>
      <c r="T306" s="12" t="n"/>
      <c r="U306" s="15" t="n"/>
      <c r="V306" s="15" t="n"/>
      <c r="W306" s="13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3" t="n"/>
      <c r="AK306" s="12" t="n"/>
      <c r="AL306" s="12" t="n"/>
      <c r="AM306" s="12" t="n"/>
      <c r="AN306" s="12" t="n"/>
      <c r="AO306" s="12" t="n"/>
      <c r="AP306" s="12" t="n"/>
      <c r="AQ306" s="7">
        <f>IF(A306="","",IF(AP306&lt;&gt;"",AP306,IF(LEFT(Z306,11)="gads_marque","Google Search – Marque",IF(LEFT(Z306,12)="gads_mariage","Google Search – Mariage et privé",IF(LEFT(Z306,10)="gads_corpo","Google Search – Corporatif",IF(LEFT(Z306,5)="meta_","Meta – Leads",IF(LEFT(Z306,5)="msft_","Microsoft Ads",IF(LEFT(Z306,8)="chatgpt_","ChatGPT Ads – Test",IF(X306="gbp","Fiche Google (organique)","Autre / non payé")))))))))</f>
        <v/>
      </c>
      <c r="AR306" s="7">
        <f>IF(K306="","",IFERROR(VLOOKUP(K306,Listes!$F$3:$H$8,3,FALSE),""))</f>
        <v/>
      </c>
      <c r="AS306" s="7">
        <f>IF(O306="","",IF(AND(M306="Autre (plus de 40 km)",OR(O306="lt600",O306="600_999",O306="1000_2499")),"D",IF(OR(O306="lt600",AND(O306="600_999",K306&lt;&gt;"mariage",K306&lt;&gt;"prive")),"C",IF(OR(O306="2500_4999",O306="5000p",J306="entreprise",J306="organisme",J306="agence"),"A",IF(OR(O306="1000_2499",O306="600_999"),"B",IF(O306="inconnu",IF(OR(N306="75_149",N306="150p"),"A","B"),""))))))</f>
        <v/>
      </c>
      <c r="AT306" s="7">
        <f>IF(A306="","",IF(P306&lt;&gt;"",P306,AS306))</f>
        <v/>
      </c>
      <c r="AU306" s="7">
        <f>IF(A306="","",IF(OR(AT306="A",AT306="B"),1,0))</f>
        <v/>
      </c>
      <c r="AV306" s="7">
        <f>IF(A306="","",IF(OR(R306="Dépôt payé (gagné)",R306="Événement livré",R306="Avis obtenu"),1,0))</f>
        <v/>
      </c>
      <c r="AW306" s="7">
        <f>IF(A306="","",IF(Q306&gt;70,"Immédiat – propriétaire",IF(Q306&gt;=40,"15 min – personne de garde","Selon la route")))</f>
        <v/>
      </c>
      <c r="AX306" s="11">
        <f>IF(A306="","",IF(AT306="A",400,IF(AT306="B",150,0)))</f>
        <v/>
      </c>
      <c r="AY306" s="11">
        <f>IF(A306="","",IF(AV306=1,N(V306),IF(N(U306)&gt;0,ROUND(N(U306)*IFERROR(VLOOKUP(R306,Listes!$AE$3:$AG$12,2,FALSE),0),0),0)))</f>
        <v/>
      </c>
      <c r="AZ306" s="7">
        <f>IF(LEFT(A306,7)="EXEMPLE",1,0)</f>
        <v/>
      </c>
      <c r="BA306" s="7">
        <f>IF(AND(AV306=1,AZ306=0,AC306&lt;&gt;"",W306&lt;&gt;"",N(V306)&gt;0),COUNTIFS($AV$3:AV306,1,$AZ$3:AZ306,0,$AC$3:AC306,"&lt;&gt;",$W$3:W306,"&lt;&gt;",$V$3:V306,"&gt;0"),"")</f>
        <v/>
      </c>
    </row>
    <row r="307">
      <c r="A307" s="12" t="n"/>
      <c r="B307" s="13" t="n"/>
      <c r="C307" s="13" t="n"/>
      <c r="D307" s="7">
        <f>IF(OR(B307="",C307=""),"",ROUND((C307-B307)*1440,0))</f>
        <v/>
      </c>
      <c r="E307" s="12" t="n"/>
      <c r="F307" s="12" t="n"/>
      <c r="G307" s="12" t="n"/>
      <c r="H307" s="12" t="n"/>
      <c r="I307" s="12" t="n"/>
      <c r="J307" s="12" t="n"/>
      <c r="K307" s="12" t="n"/>
      <c r="L307" s="14" t="n"/>
      <c r="M307" s="12" t="n"/>
      <c r="N307" s="12" t="n"/>
      <c r="O307" s="12" t="n"/>
      <c r="P307" s="12" t="n"/>
      <c r="Q307" s="7">
        <f>IF(A307="","",IFERROR(VLOOKUP(O307,Listes!$R$3:$T$8,2,FALSE),0)+IFERROR(VLOOKUP(J307,Listes!$J$3:$L$6,2,FALSE),0)+IFERROR(VLOOKUP(N307,Listes!$N$3:$P$6,2,FALSE),0)+IF(OR(L307="",B307=""),0,IF(L307-INT(B307)&lt;10,8,IF(L307-INT(B307)&lt;=90,10,5)))+IFERROR(VLOOKUP(AN307,Listes!$V$3:$W$5,2,FALSE),0)+IFERROR(VLOOKUP(AO307,Listes!$Y$3:$Z$5,2,FALSE),0))</f>
        <v/>
      </c>
      <c r="R307" s="12" t="n"/>
      <c r="S307" s="12" t="n"/>
      <c r="T307" s="12" t="n"/>
      <c r="U307" s="15" t="n"/>
      <c r="V307" s="15" t="n"/>
      <c r="W307" s="13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3" t="n"/>
      <c r="AK307" s="12" t="n"/>
      <c r="AL307" s="12" t="n"/>
      <c r="AM307" s="12" t="n"/>
      <c r="AN307" s="12" t="n"/>
      <c r="AO307" s="12" t="n"/>
      <c r="AP307" s="12" t="n"/>
      <c r="AQ307" s="7">
        <f>IF(A307="","",IF(AP307&lt;&gt;"",AP307,IF(LEFT(Z307,11)="gads_marque","Google Search – Marque",IF(LEFT(Z307,12)="gads_mariage","Google Search – Mariage et privé",IF(LEFT(Z307,10)="gads_corpo","Google Search – Corporatif",IF(LEFT(Z307,5)="meta_","Meta – Leads",IF(LEFT(Z307,5)="msft_","Microsoft Ads",IF(LEFT(Z307,8)="chatgpt_","ChatGPT Ads – Test",IF(X307="gbp","Fiche Google (organique)","Autre / non payé")))))))))</f>
        <v/>
      </c>
      <c r="AR307" s="7">
        <f>IF(K307="","",IFERROR(VLOOKUP(K307,Listes!$F$3:$H$8,3,FALSE),""))</f>
        <v/>
      </c>
      <c r="AS307" s="7">
        <f>IF(O307="","",IF(AND(M307="Autre (plus de 40 km)",OR(O307="lt600",O307="600_999",O307="1000_2499")),"D",IF(OR(O307="lt600",AND(O307="600_999",K307&lt;&gt;"mariage",K307&lt;&gt;"prive")),"C",IF(OR(O307="2500_4999",O307="5000p",J307="entreprise",J307="organisme",J307="agence"),"A",IF(OR(O307="1000_2499",O307="600_999"),"B",IF(O307="inconnu",IF(OR(N307="75_149",N307="150p"),"A","B"),""))))))</f>
        <v/>
      </c>
      <c r="AT307" s="7">
        <f>IF(A307="","",IF(P307&lt;&gt;"",P307,AS307))</f>
        <v/>
      </c>
      <c r="AU307" s="7">
        <f>IF(A307="","",IF(OR(AT307="A",AT307="B"),1,0))</f>
        <v/>
      </c>
      <c r="AV307" s="7">
        <f>IF(A307="","",IF(OR(R307="Dépôt payé (gagné)",R307="Événement livré",R307="Avis obtenu"),1,0))</f>
        <v/>
      </c>
      <c r="AW307" s="7">
        <f>IF(A307="","",IF(Q307&gt;70,"Immédiat – propriétaire",IF(Q307&gt;=40,"15 min – personne de garde","Selon la route")))</f>
        <v/>
      </c>
      <c r="AX307" s="11">
        <f>IF(A307="","",IF(AT307="A",400,IF(AT307="B",150,0)))</f>
        <v/>
      </c>
      <c r="AY307" s="11">
        <f>IF(A307="","",IF(AV307=1,N(V307),IF(N(U307)&gt;0,ROUND(N(U307)*IFERROR(VLOOKUP(R307,Listes!$AE$3:$AG$12,2,FALSE),0),0),0)))</f>
        <v/>
      </c>
      <c r="AZ307" s="7">
        <f>IF(LEFT(A307,7)="EXEMPLE",1,0)</f>
        <v/>
      </c>
      <c r="BA307" s="7">
        <f>IF(AND(AV307=1,AZ307=0,AC307&lt;&gt;"",W307&lt;&gt;"",N(V307)&gt;0),COUNTIFS($AV$3:AV307,1,$AZ$3:AZ307,0,$AC$3:AC307,"&lt;&gt;",$W$3:W307,"&lt;&gt;",$V$3:V307,"&gt;0"),"")</f>
        <v/>
      </c>
    </row>
    <row r="308">
      <c r="A308" s="12" t="n"/>
      <c r="B308" s="13" t="n"/>
      <c r="C308" s="13" t="n"/>
      <c r="D308" s="7">
        <f>IF(OR(B308="",C308=""),"",ROUND((C308-B308)*1440,0))</f>
        <v/>
      </c>
      <c r="E308" s="12" t="n"/>
      <c r="F308" s="12" t="n"/>
      <c r="G308" s="12" t="n"/>
      <c r="H308" s="12" t="n"/>
      <c r="I308" s="12" t="n"/>
      <c r="J308" s="12" t="n"/>
      <c r="K308" s="12" t="n"/>
      <c r="L308" s="14" t="n"/>
      <c r="M308" s="12" t="n"/>
      <c r="N308" s="12" t="n"/>
      <c r="O308" s="12" t="n"/>
      <c r="P308" s="12" t="n"/>
      <c r="Q308" s="7">
        <f>IF(A308="","",IFERROR(VLOOKUP(O308,Listes!$R$3:$T$8,2,FALSE),0)+IFERROR(VLOOKUP(J308,Listes!$J$3:$L$6,2,FALSE),0)+IFERROR(VLOOKUP(N308,Listes!$N$3:$P$6,2,FALSE),0)+IF(OR(L308="",B308=""),0,IF(L308-INT(B308)&lt;10,8,IF(L308-INT(B308)&lt;=90,10,5)))+IFERROR(VLOOKUP(AN308,Listes!$V$3:$W$5,2,FALSE),0)+IFERROR(VLOOKUP(AO308,Listes!$Y$3:$Z$5,2,FALSE),0))</f>
        <v/>
      </c>
      <c r="R308" s="12" t="n"/>
      <c r="S308" s="12" t="n"/>
      <c r="T308" s="12" t="n"/>
      <c r="U308" s="15" t="n"/>
      <c r="V308" s="15" t="n"/>
      <c r="W308" s="13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3" t="n"/>
      <c r="AK308" s="12" t="n"/>
      <c r="AL308" s="12" t="n"/>
      <c r="AM308" s="12" t="n"/>
      <c r="AN308" s="12" t="n"/>
      <c r="AO308" s="12" t="n"/>
      <c r="AP308" s="12" t="n"/>
      <c r="AQ308" s="7">
        <f>IF(A308="","",IF(AP308&lt;&gt;"",AP308,IF(LEFT(Z308,11)="gads_marque","Google Search – Marque",IF(LEFT(Z308,12)="gads_mariage","Google Search – Mariage et privé",IF(LEFT(Z308,10)="gads_corpo","Google Search – Corporatif",IF(LEFT(Z308,5)="meta_","Meta – Leads",IF(LEFT(Z308,5)="msft_","Microsoft Ads",IF(LEFT(Z308,8)="chatgpt_","ChatGPT Ads – Test",IF(X308="gbp","Fiche Google (organique)","Autre / non payé")))))))))</f>
        <v/>
      </c>
      <c r="AR308" s="7">
        <f>IF(K308="","",IFERROR(VLOOKUP(K308,Listes!$F$3:$H$8,3,FALSE),""))</f>
        <v/>
      </c>
      <c r="AS308" s="7">
        <f>IF(O308="","",IF(AND(M308="Autre (plus de 40 km)",OR(O308="lt600",O308="600_999",O308="1000_2499")),"D",IF(OR(O308="lt600",AND(O308="600_999",K308&lt;&gt;"mariage",K308&lt;&gt;"prive")),"C",IF(OR(O308="2500_4999",O308="5000p",J308="entreprise",J308="organisme",J308="agence"),"A",IF(OR(O308="1000_2499",O308="600_999"),"B",IF(O308="inconnu",IF(OR(N308="75_149",N308="150p"),"A","B"),""))))))</f>
        <v/>
      </c>
      <c r="AT308" s="7">
        <f>IF(A308="","",IF(P308&lt;&gt;"",P308,AS308))</f>
        <v/>
      </c>
      <c r="AU308" s="7">
        <f>IF(A308="","",IF(OR(AT308="A",AT308="B"),1,0))</f>
        <v/>
      </c>
      <c r="AV308" s="7">
        <f>IF(A308="","",IF(OR(R308="Dépôt payé (gagné)",R308="Événement livré",R308="Avis obtenu"),1,0))</f>
        <v/>
      </c>
      <c r="AW308" s="7">
        <f>IF(A308="","",IF(Q308&gt;70,"Immédiat – propriétaire",IF(Q308&gt;=40,"15 min – personne de garde","Selon la route")))</f>
        <v/>
      </c>
      <c r="AX308" s="11">
        <f>IF(A308="","",IF(AT308="A",400,IF(AT308="B",150,0)))</f>
        <v/>
      </c>
      <c r="AY308" s="11">
        <f>IF(A308="","",IF(AV308=1,N(V308),IF(N(U308)&gt;0,ROUND(N(U308)*IFERROR(VLOOKUP(R308,Listes!$AE$3:$AG$12,2,FALSE),0),0),0)))</f>
        <v/>
      </c>
      <c r="AZ308" s="7">
        <f>IF(LEFT(A308,7)="EXEMPLE",1,0)</f>
        <v/>
      </c>
      <c r="BA308" s="7">
        <f>IF(AND(AV308=1,AZ308=0,AC308&lt;&gt;"",W308&lt;&gt;"",N(V308)&gt;0),COUNTIFS($AV$3:AV308,1,$AZ$3:AZ308,0,$AC$3:AC308,"&lt;&gt;",$W$3:W308,"&lt;&gt;",$V$3:V308,"&gt;0"),"")</f>
        <v/>
      </c>
    </row>
    <row r="309">
      <c r="A309" s="12" t="n"/>
      <c r="B309" s="13" t="n"/>
      <c r="C309" s="13" t="n"/>
      <c r="D309" s="7">
        <f>IF(OR(B309="",C309=""),"",ROUND((C309-B309)*1440,0))</f>
        <v/>
      </c>
      <c r="E309" s="12" t="n"/>
      <c r="F309" s="12" t="n"/>
      <c r="G309" s="12" t="n"/>
      <c r="H309" s="12" t="n"/>
      <c r="I309" s="12" t="n"/>
      <c r="J309" s="12" t="n"/>
      <c r="K309" s="12" t="n"/>
      <c r="L309" s="14" t="n"/>
      <c r="M309" s="12" t="n"/>
      <c r="N309" s="12" t="n"/>
      <c r="O309" s="12" t="n"/>
      <c r="P309" s="12" t="n"/>
      <c r="Q309" s="7">
        <f>IF(A309="","",IFERROR(VLOOKUP(O309,Listes!$R$3:$T$8,2,FALSE),0)+IFERROR(VLOOKUP(J309,Listes!$J$3:$L$6,2,FALSE),0)+IFERROR(VLOOKUP(N309,Listes!$N$3:$P$6,2,FALSE),0)+IF(OR(L309="",B309=""),0,IF(L309-INT(B309)&lt;10,8,IF(L309-INT(B309)&lt;=90,10,5)))+IFERROR(VLOOKUP(AN309,Listes!$V$3:$W$5,2,FALSE),0)+IFERROR(VLOOKUP(AO309,Listes!$Y$3:$Z$5,2,FALSE),0))</f>
        <v/>
      </c>
      <c r="R309" s="12" t="n"/>
      <c r="S309" s="12" t="n"/>
      <c r="T309" s="12" t="n"/>
      <c r="U309" s="15" t="n"/>
      <c r="V309" s="15" t="n"/>
      <c r="W309" s="13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3" t="n"/>
      <c r="AK309" s="12" t="n"/>
      <c r="AL309" s="12" t="n"/>
      <c r="AM309" s="12" t="n"/>
      <c r="AN309" s="12" t="n"/>
      <c r="AO309" s="12" t="n"/>
      <c r="AP309" s="12" t="n"/>
      <c r="AQ309" s="7">
        <f>IF(A309="","",IF(AP309&lt;&gt;"",AP309,IF(LEFT(Z309,11)="gads_marque","Google Search – Marque",IF(LEFT(Z309,12)="gads_mariage","Google Search – Mariage et privé",IF(LEFT(Z309,10)="gads_corpo","Google Search – Corporatif",IF(LEFT(Z309,5)="meta_","Meta – Leads",IF(LEFT(Z309,5)="msft_","Microsoft Ads",IF(LEFT(Z309,8)="chatgpt_","ChatGPT Ads – Test",IF(X309="gbp","Fiche Google (organique)","Autre / non payé")))))))))</f>
        <v/>
      </c>
      <c r="AR309" s="7">
        <f>IF(K309="","",IFERROR(VLOOKUP(K309,Listes!$F$3:$H$8,3,FALSE),""))</f>
        <v/>
      </c>
      <c r="AS309" s="7">
        <f>IF(O309="","",IF(AND(M309="Autre (plus de 40 km)",OR(O309="lt600",O309="600_999",O309="1000_2499")),"D",IF(OR(O309="lt600",AND(O309="600_999",K309&lt;&gt;"mariage",K309&lt;&gt;"prive")),"C",IF(OR(O309="2500_4999",O309="5000p",J309="entreprise",J309="organisme",J309="agence"),"A",IF(OR(O309="1000_2499",O309="600_999"),"B",IF(O309="inconnu",IF(OR(N309="75_149",N309="150p"),"A","B"),""))))))</f>
        <v/>
      </c>
      <c r="AT309" s="7">
        <f>IF(A309="","",IF(P309&lt;&gt;"",P309,AS309))</f>
        <v/>
      </c>
      <c r="AU309" s="7">
        <f>IF(A309="","",IF(OR(AT309="A",AT309="B"),1,0))</f>
        <v/>
      </c>
      <c r="AV309" s="7">
        <f>IF(A309="","",IF(OR(R309="Dépôt payé (gagné)",R309="Événement livré",R309="Avis obtenu"),1,0))</f>
        <v/>
      </c>
      <c r="AW309" s="7">
        <f>IF(A309="","",IF(Q309&gt;70,"Immédiat – propriétaire",IF(Q309&gt;=40,"15 min – personne de garde","Selon la route")))</f>
        <v/>
      </c>
      <c r="AX309" s="11">
        <f>IF(A309="","",IF(AT309="A",400,IF(AT309="B",150,0)))</f>
        <v/>
      </c>
      <c r="AY309" s="11">
        <f>IF(A309="","",IF(AV309=1,N(V309),IF(N(U309)&gt;0,ROUND(N(U309)*IFERROR(VLOOKUP(R309,Listes!$AE$3:$AG$12,2,FALSE),0),0),0)))</f>
        <v/>
      </c>
      <c r="AZ309" s="7">
        <f>IF(LEFT(A309,7)="EXEMPLE",1,0)</f>
        <v/>
      </c>
      <c r="BA309" s="7">
        <f>IF(AND(AV309=1,AZ309=0,AC309&lt;&gt;"",W309&lt;&gt;"",N(V309)&gt;0),COUNTIFS($AV$3:AV309,1,$AZ$3:AZ309,0,$AC$3:AC309,"&lt;&gt;",$W$3:W309,"&lt;&gt;",$V$3:V309,"&gt;0"),"")</f>
        <v/>
      </c>
    </row>
    <row r="310">
      <c r="A310" s="12" t="n"/>
      <c r="B310" s="13" t="n"/>
      <c r="C310" s="13" t="n"/>
      <c r="D310" s="7">
        <f>IF(OR(B310="",C310=""),"",ROUND((C310-B310)*1440,0))</f>
        <v/>
      </c>
      <c r="E310" s="12" t="n"/>
      <c r="F310" s="12" t="n"/>
      <c r="G310" s="12" t="n"/>
      <c r="H310" s="12" t="n"/>
      <c r="I310" s="12" t="n"/>
      <c r="J310" s="12" t="n"/>
      <c r="K310" s="12" t="n"/>
      <c r="L310" s="14" t="n"/>
      <c r="M310" s="12" t="n"/>
      <c r="N310" s="12" t="n"/>
      <c r="O310" s="12" t="n"/>
      <c r="P310" s="12" t="n"/>
      <c r="Q310" s="7">
        <f>IF(A310="","",IFERROR(VLOOKUP(O310,Listes!$R$3:$T$8,2,FALSE),0)+IFERROR(VLOOKUP(J310,Listes!$J$3:$L$6,2,FALSE),0)+IFERROR(VLOOKUP(N310,Listes!$N$3:$P$6,2,FALSE),0)+IF(OR(L310="",B310=""),0,IF(L310-INT(B310)&lt;10,8,IF(L310-INT(B310)&lt;=90,10,5)))+IFERROR(VLOOKUP(AN310,Listes!$V$3:$W$5,2,FALSE),0)+IFERROR(VLOOKUP(AO310,Listes!$Y$3:$Z$5,2,FALSE),0))</f>
        <v/>
      </c>
      <c r="R310" s="12" t="n"/>
      <c r="S310" s="12" t="n"/>
      <c r="T310" s="12" t="n"/>
      <c r="U310" s="15" t="n"/>
      <c r="V310" s="15" t="n"/>
      <c r="W310" s="13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3" t="n"/>
      <c r="AK310" s="12" t="n"/>
      <c r="AL310" s="12" t="n"/>
      <c r="AM310" s="12" t="n"/>
      <c r="AN310" s="12" t="n"/>
      <c r="AO310" s="12" t="n"/>
      <c r="AP310" s="12" t="n"/>
      <c r="AQ310" s="7">
        <f>IF(A310="","",IF(AP310&lt;&gt;"",AP310,IF(LEFT(Z310,11)="gads_marque","Google Search – Marque",IF(LEFT(Z310,12)="gads_mariage","Google Search – Mariage et privé",IF(LEFT(Z310,10)="gads_corpo","Google Search – Corporatif",IF(LEFT(Z310,5)="meta_","Meta – Leads",IF(LEFT(Z310,5)="msft_","Microsoft Ads",IF(LEFT(Z310,8)="chatgpt_","ChatGPT Ads – Test",IF(X310="gbp","Fiche Google (organique)","Autre / non payé")))))))))</f>
        <v/>
      </c>
      <c r="AR310" s="7">
        <f>IF(K310="","",IFERROR(VLOOKUP(K310,Listes!$F$3:$H$8,3,FALSE),""))</f>
        <v/>
      </c>
      <c r="AS310" s="7">
        <f>IF(O310="","",IF(AND(M310="Autre (plus de 40 km)",OR(O310="lt600",O310="600_999",O310="1000_2499")),"D",IF(OR(O310="lt600",AND(O310="600_999",K310&lt;&gt;"mariage",K310&lt;&gt;"prive")),"C",IF(OR(O310="2500_4999",O310="5000p",J310="entreprise",J310="organisme",J310="agence"),"A",IF(OR(O310="1000_2499",O310="600_999"),"B",IF(O310="inconnu",IF(OR(N310="75_149",N310="150p"),"A","B"),""))))))</f>
        <v/>
      </c>
      <c r="AT310" s="7">
        <f>IF(A310="","",IF(P310&lt;&gt;"",P310,AS310))</f>
        <v/>
      </c>
      <c r="AU310" s="7">
        <f>IF(A310="","",IF(OR(AT310="A",AT310="B"),1,0))</f>
        <v/>
      </c>
      <c r="AV310" s="7">
        <f>IF(A310="","",IF(OR(R310="Dépôt payé (gagné)",R310="Événement livré",R310="Avis obtenu"),1,0))</f>
        <v/>
      </c>
      <c r="AW310" s="7">
        <f>IF(A310="","",IF(Q310&gt;70,"Immédiat – propriétaire",IF(Q310&gt;=40,"15 min – personne de garde","Selon la route")))</f>
        <v/>
      </c>
      <c r="AX310" s="11">
        <f>IF(A310="","",IF(AT310="A",400,IF(AT310="B",150,0)))</f>
        <v/>
      </c>
      <c r="AY310" s="11">
        <f>IF(A310="","",IF(AV310=1,N(V310),IF(N(U310)&gt;0,ROUND(N(U310)*IFERROR(VLOOKUP(R310,Listes!$AE$3:$AG$12,2,FALSE),0),0),0)))</f>
        <v/>
      </c>
      <c r="AZ310" s="7">
        <f>IF(LEFT(A310,7)="EXEMPLE",1,0)</f>
        <v/>
      </c>
      <c r="BA310" s="7">
        <f>IF(AND(AV310=1,AZ310=0,AC310&lt;&gt;"",W310&lt;&gt;"",N(V310)&gt;0),COUNTIFS($AV$3:AV310,1,$AZ$3:AZ310,0,$AC$3:AC310,"&lt;&gt;",$W$3:W310,"&lt;&gt;",$V$3:V310,"&gt;0"),"")</f>
        <v/>
      </c>
    </row>
    <row r="311">
      <c r="A311" s="12" t="n"/>
      <c r="B311" s="13" t="n"/>
      <c r="C311" s="13" t="n"/>
      <c r="D311" s="7">
        <f>IF(OR(B311="",C311=""),"",ROUND((C311-B311)*1440,0))</f>
        <v/>
      </c>
      <c r="E311" s="12" t="n"/>
      <c r="F311" s="12" t="n"/>
      <c r="G311" s="12" t="n"/>
      <c r="H311" s="12" t="n"/>
      <c r="I311" s="12" t="n"/>
      <c r="J311" s="12" t="n"/>
      <c r="K311" s="12" t="n"/>
      <c r="L311" s="14" t="n"/>
      <c r="M311" s="12" t="n"/>
      <c r="N311" s="12" t="n"/>
      <c r="O311" s="12" t="n"/>
      <c r="P311" s="12" t="n"/>
      <c r="Q311" s="7">
        <f>IF(A311="","",IFERROR(VLOOKUP(O311,Listes!$R$3:$T$8,2,FALSE),0)+IFERROR(VLOOKUP(J311,Listes!$J$3:$L$6,2,FALSE),0)+IFERROR(VLOOKUP(N311,Listes!$N$3:$P$6,2,FALSE),0)+IF(OR(L311="",B311=""),0,IF(L311-INT(B311)&lt;10,8,IF(L311-INT(B311)&lt;=90,10,5)))+IFERROR(VLOOKUP(AN311,Listes!$V$3:$W$5,2,FALSE),0)+IFERROR(VLOOKUP(AO311,Listes!$Y$3:$Z$5,2,FALSE),0))</f>
        <v/>
      </c>
      <c r="R311" s="12" t="n"/>
      <c r="S311" s="12" t="n"/>
      <c r="T311" s="12" t="n"/>
      <c r="U311" s="15" t="n"/>
      <c r="V311" s="15" t="n"/>
      <c r="W311" s="13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3" t="n"/>
      <c r="AK311" s="12" t="n"/>
      <c r="AL311" s="12" t="n"/>
      <c r="AM311" s="12" t="n"/>
      <c r="AN311" s="12" t="n"/>
      <c r="AO311" s="12" t="n"/>
      <c r="AP311" s="12" t="n"/>
      <c r="AQ311" s="7">
        <f>IF(A311="","",IF(AP311&lt;&gt;"",AP311,IF(LEFT(Z311,11)="gads_marque","Google Search – Marque",IF(LEFT(Z311,12)="gads_mariage","Google Search – Mariage et privé",IF(LEFT(Z311,10)="gads_corpo","Google Search – Corporatif",IF(LEFT(Z311,5)="meta_","Meta – Leads",IF(LEFT(Z311,5)="msft_","Microsoft Ads",IF(LEFT(Z311,8)="chatgpt_","ChatGPT Ads – Test",IF(X311="gbp","Fiche Google (organique)","Autre / non payé")))))))))</f>
        <v/>
      </c>
      <c r="AR311" s="7">
        <f>IF(K311="","",IFERROR(VLOOKUP(K311,Listes!$F$3:$H$8,3,FALSE),""))</f>
        <v/>
      </c>
      <c r="AS311" s="7">
        <f>IF(O311="","",IF(AND(M311="Autre (plus de 40 km)",OR(O311="lt600",O311="600_999",O311="1000_2499")),"D",IF(OR(O311="lt600",AND(O311="600_999",K311&lt;&gt;"mariage",K311&lt;&gt;"prive")),"C",IF(OR(O311="2500_4999",O311="5000p",J311="entreprise",J311="organisme",J311="agence"),"A",IF(OR(O311="1000_2499",O311="600_999"),"B",IF(O311="inconnu",IF(OR(N311="75_149",N311="150p"),"A","B"),""))))))</f>
        <v/>
      </c>
      <c r="AT311" s="7">
        <f>IF(A311="","",IF(P311&lt;&gt;"",P311,AS311))</f>
        <v/>
      </c>
      <c r="AU311" s="7">
        <f>IF(A311="","",IF(OR(AT311="A",AT311="B"),1,0))</f>
        <v/>
      </c>
      <c r="AV311" s="7">
        <f>IF(A311="","",IF(OR(R311="Dépôt payé (gagné)",R311="Événement livré",R311="Avis obtenu"),1,0))</f>
        <v/>
      </c>
      <c r="AW311" s="7">
        <f>IF(A311="","",IF(Q311&gt;70,"Immédiat – propriétaire",IF(Q311&gt;=40,"15 min – personne de garde","Selon la route")))</f>
        <v/>
      </c>
      <c r="AX311" s="11">
        <f>IF(A311="","",IF(AT311="A",400,IF(AT311="B",150,0)))</f>
        <v/>
      </c>
      <c r="AY311" s="11">
        <f>IF(A311="","",IF(AV311=1,N(V311),IF(N(U311)&gt;0,ROUND(N(U311)*IFERROR(VLOOKUP(R311,Listes!$AE$3:$AG$12,2,FALSE),0),0),0)))</f>
        <v/>
      </c>
      <c r="AZ311" s="7">
        <f>IF(LEFT(A311,7)="EXEMPLE",1,0)</f>
        <v/>
      </c>
      <c r="BA311" s="7">
        <f>IF(AND(AV311=1,AZ311=0,AC311&lt;&gt;"",W311&lt;&gt;"",N(V311)&gt;0),COUNTIFS($AV$3:AV311,1,$AZ$3:AZ311,0,$AC$3:AC311,"&lt;&gt;",$W$3:W311,"&lt;&gt;",$V$3:V311,"&gt;0"),"")</f>
        <v/>
      </c>
    </row>
    <row r="312">
      <c r="A312" s="12" t="n"/>
      <c r="B312" s="13" t="n"/>
      <c r="C312" s="13" t="n"/>
      <c r="D312" s="7">
        <f>IF(OR(B312="",C312=""),"",ROUND((C312-B312)*1440,0))</f>
        <v/>
      </c>
      <c r="E312" s="12" t="n"/>
      <c r="F312" s="12" t="n"/>
      <c r="G312" s="12" t="n"/>
      <c r="H312" s="12" t="n"/>
      <c r="I312" s="12" t="n"/>
      <c r="J312" s="12" t="n"/>
      <c r="K312" s="12" t="n"/>
      <c r="L312" s="14" t="n"/>
      <c r="M312" s="12" t="n"/>
      <c r="N312" s="12" t="n"/>
      <c r="O312" s="12" t="n"/>
      <c r="P312" s="12" t="n"/>
      <c r="Q312" s="7">
        <f>IF(A312="","",IFERROR(VLOOKUP(O312,Listes!$R$3:$T$8,2,FALSE),0)+IFERROR(VLOOKUP(J312,Listes!$J$3:$L$6,2,FALSE),0)+IFERROR(VLOOKUP(N312,Listes!$N$3:$P$6,2,FALSE),0)+IF(OR(L312="",B312=""),0,IF(L312-INT(B312)&lt;10,8,IF(L312-INT(B312)&lt;=90,10,5)))+IFERROR(VLOOKUP(AN312,Listes!$V$3:$W$5,2,FALSE),0)+IFERROR(VLOOKUP(AO312,Listes!$Y$3:$Z$5,2,FALSE),0))</f>
        <v/>
      </c>
      <c r="R312" s="12" t="n"/>
      <c r="S312" s="12" t="n"/>
      <c r="T312" s="12" t="n"/>
      <c r="U312" s="15" t="n"/>
      <c r="V312" s="15" t="n"/>
      <c r="W312" s="13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3" t="n"/>
      <c r="AK312" s="12" t="n"/>
      <c r="AL312" s="12" t="n"/>
      <c r="AM312" s="12" t="n"/>
      <c r="AN312" s="12" t="n"/>
      <c r="AO312" s="12" t="n"/>
      <c r="AP312" s="12" t="n"/>
      <c r="AQ312" s="7">
        <f>IF(A312="","",IF(AP312&lt;&gt;"",AP312,IF(LEFT(Z312,11)="gads_marque","Google Search – Marque",IF(LEFT(Z312,12)="gads_mariage","Google Search – Mariage et privé",IF(LEFT(Z312,10)="gads_corpo","Google Search – Corporatif",IF(LEFT(Z312,5)="meta_","Meta – Leads",IF(LEFT(Z312,5)="msft_","Microsoft Ads",IF(LEFT(Z312,8)="chatgpt_","ChatGPT Ads – Test",IF(X312="gbp","Fiche Google (organique)","Autre / non payé")))))))))</f>
        <v/>
      </c>
      <c r="AR312" s="7">
        <f>IF(K312="","",IFERROR(VLOOKUP(K312,Listes!$F$3:$H$8,3,FALSE),""))</f>
        <v/>
      </c>
      <c r="AS312" s="7">
        <f>IF(O312="","",IF(AND(M312="Autre (plus de 40 km)",OR(O312="lt600",O312="600_999",O312="1000_2499")),"D",IF(OR(O312="lt600",AND(O312="600_999",K312&lt;&gt;"mariage",K312&lt;&gt;"prive")),"C",IF(OR(O312="2500_4999",O312="5000p",J312="entreprise",J312="organisme",J312="agence"),"A",IF(OR(O312="1000_2499",O312="600_999"),"B",IF(O312="inconnu",IF(OR(N312="75_149",N312="150p"),"A","B"),""))))))</f>
        <v/>
      </c>
      <c r="AT312" s="7">
        <f>IF(A312="","",IF(P312&lt;&gt;"",P312,AS312))</f>
        <v/>
      </c>
      <c r="AU312" s="7">
        <f>IF(A312="","",IF(OR(AT312="A",AT312="B"),1,0))</f>
        <v/>
      </c>
      <c r="AV312" s="7">
        <f>IF(A312="","",IF(OR(R312="Dépôt payé (gagné)",R312="Événement livré",R312="Avis obtenu"),1,0))</f>
        <v/>
      </c>
      <c r="AW312" s="7">
        <f>IF(A312="","",IF(Q312&gt;70,"Immédiat – propriétaire",IF(Q312&gt;=40,"15 min – personne de garde","Selon la route")))</f>
        <v/>
      </c>
      <c r="AX312" s="11">
        <f>IF(A312="","",IF(AT312="A",400,IF(AT312="B",150,0)))</f>
        <v/>
      </c>
      <c r="AY312" s="11">
        <f>IF(A312="","",IF(AV312=1,N(V312),IF(N(U312)&gt;0,ROUND(N(U312)*IFERROR(VLOOKUP(R312,Listes!$AE$3:$AG$12,2,FALSE),0),0),0)))</f>
        <v/>
      </c>
      <c r="AZ312" s="7">
        <f>IF(LEFT(A312,7)="EXEMPLE",1,0)</f>
        <v/>
      </c>
      <c r="BA312" s="7">
        <f>IF(AND(AV312=1,AZ312=0,AC312&lt;&gt;"",W312&lt;&gt;"",N(V312)&gt;0),COUNTIFS($AV$3:AV312,1,$AZ$3:AZ312,0,$AC$3:AC312,"&lt;&gt;",$W$3:W312,"&lt;&gt;",$V$3:V312,"&gt;0"),"")</f>
        <v/>
      </c>
    </row>
    <row r="313">
      <c r="A313" s="12" t="n"/>
      <c r="B313" s="13" t="n"/>
      <c r="C313" s="13" t="n"/>
      <c r="D313" s="7">
        <f>IF(OR(B313="",C313=""),"",ROUND((C313-B313)*1440,0))</f>
        <v/>
      </c>
      <c r="E313" s="12" t="n"/>
      <c r="F313" s="12" t="n"/>
      <c r="G313" s="12" t="n"/>
      <c r="H313" s="12" t="n"/>
      <c r="I313" s="12" t="n"/>
      <c r="J313" s="12" t="n"/>
      <c r="K313" s="12" t="n"/>
      <c r="L313" s="14" t="n"/>
      <c r="M313" s="12" t="n"/>
      <c r="N313" s="12" t="n"/>
      <c r="O313" s="12" t="n"/>
      <c r="P313" s="12" t="n"/>
      <c r="Q313" s="7">
        <f>IF(A313="","",IFERROR(VLOOKUP(O313,Listes!$R$3:$T$8,2,FALSE),0)+IFERROR(VLOOKUP(J313,Listes!$J$3:$L$6,2,FALSE),0)+IFERROR(VLOOKUP(N313,Listes!$N$3:$P$6,2,FALSE),0)+IF(OR(L313="",B313=""),0,IF(L313-INT(B313)&lt;10,8,IF(L313-INT(B313)&lt;=90,10,5)))+IFERROR(VLOOKUP(AN313,Listes!$V$3:$W$5,2,FALSE),0)+IFERROR(VLOOKUP(AO313,Listes!$Y$3:$Z$5,2,FALSE),0))</f>
        <v/>
      </c>
      <c r="R313" s="12" t="n"/>
      <c r="S313" s="12" t="n"/>
      <c r="T313" s="12" t="n"/>
      <c r="U313" s="15" t="n"/>
      <c r="V313" s="15" t="n"/>
      <c r="W313" s="13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3" t="n"/>
      <c r="AK313" s="12" t="n"/>
      <c r="AL313" s="12" t="n"/>
      <c r="AM313" s="12" t="n"/>
      <c r="AN313" s="12" t="n"/>
      <c r="AO313" s="12" t="n"/>
      <c r="AP313" s="12" t="n"/>
      <c r="AQ313" s="7">
        <f>IF(A313="","",IF(AP313&lt;&gt;"",AP313,IF(LEFT(Z313,11)="gads_marque","Google Search – Marque",IF(LEFT(Z313,12)="gads_mariage","Google Search – Mariage et privé",IF(LEFT(Z313,10)="gads_corpo","Google Search – Corporatif",IF(LEFT(Z313,5)="meta_","Meta – Leads",IF(LEFT(Z313,5)="msft_","Microsoft Ads",IF(LEFT(Z313,8)="chatgpt_","ChatGPT Ads – Test",IF(X313="gbp","Fiche Google (organique)","Autre / non payé")))))))))</f>
        <v/>
      </c>
      <c r="AR313" s="7">
        <f>IF(K313="","",IFERROR(VLOOKUP(K313,Listes!$F$3:$H$8,3,FALSE),""))</f>
        <v/>
      </c>
      <c r="AS313" s="7">
        <f>IF(O313="","",IF(AND(M313="Autre (plus de 40 km)",OR(O313="lt600",O313="600_999",O313="1000_2499")),"D",IF(OR(O313="lt600",AND(O313="600_999",K313&lt;&gt;"mariage",K313&lt;&gt;"prive")),"C",IF(OR(O313="2500_4999",O313="5000p",J313="entreprise",J313="organisme",J313="agence"),"A",IF(OR(O313="1000_2499",O313="600_999"),"B",IF(O313="inconnu",IF(OR(N313="75_149",N313="150p"),"A","B"),""))))))</f>
        <v/>
      </c>
      <c r="AT313" s="7">
        <f>IF(A313="","",IF(P313&lt;&gt;"",P313,AS313))</f>
        <v/>
      </c>
      <c r="AU313" s="7">
        <f>IF(A313="","",IF(OR(AT313="A",AT313="B"),1,0))</f>
        <v/>
      </c>
      <c r="AV313" s="7">
        <f>IF(A313="","",IF(OR(R313="Dépôt payé (gagné)",R313="Événement livré",R313="Avis obtenu"),1,0))</f>
        <v/>
      </c>
      <c r="AW313" s="7">
        <f>IF(A313="","",IF(Q313&gt;70,"Immédiat – propriétaire",IF(Q313&gt;=40,"15 min – personne de garde","Selon la route")))</f>
        <v/>
      </c>
      <c r="AX313" s="11">
        <f>IF(A313="","",IF(AT313="A",400,IF(AT313="B",150,0)))</f>
        <v/>
      </c>
      <c r="AY313" s="11">
        <f>IF(A313="","",IF(AV313=1,N(V313),IF(N(U313)&gt;0,ROUND(N(U313)*IFERROR(VLOOKUP(R313,Listes!$AE$3:$AG$12,2,FALSE),0),0),0)))</f>
        <v/>
      </c>
      <c r="AZ313" s="7">
        <f>IF(LEFT(A313,7)="EXEMPLE",1,0)</f>
        <v/>
      </c>
      <c r="BA313" s="7">
        <f>IF(AND(AV313=1,AZ313=0,AC313&lt;&gt;"",W313&lt;&gt;"",N(V313)&gt;0),COUNTIFS($AV$3:AV313,1,$AZ$3:AZ313,0,$AC$3:AC313,"&lt;&gt;",$W$3:W313,"&lt;&gt;",$V$3:V313,"&gt;0"),"")</f>
        <v/>
      </c>
    </row>
    <row r="314">
      <c r="A314" s="12" t="n"/>
      <c r="B314" s="13" t="n"/>
      <c r="C314" s="13" t="n"/>
      <c r="D314" s="7">
        <f>IF(OR(B314="",C314=""),"",ROUND((C314-B314)*1440,0))</f>
        <v/>
      </c>
      <c r="E314" s="12" t="n"/>
      <c r="F314" s="12" t="n"/>
      <c r="G314" s="12" t="n"/>
      <c r="H314" s="12" t="n"/>
      <c r="I314" s="12" t="n"/>
      <c r="J314" s="12" t="n"/>
      <c r="K314" s="12" t="n"/>
      <c r="L314" s="14" t="n"/>
      <c r="M314" s="12" t="n"/>
      <c r="N314" s="12" t="n"/>
      <c r="O314" s="12" t="n"/>
      <c r="P314" s="12" t="n"/>
      <c r="Q314" s="7">
        <f>IF(A314="","",IFERROR(VLOOKUP(O314,Listes!$R$3:$T$8,2,FALSE),0)+IFERROR(VLOOKUP(J314,Listes!$J$3:$L$6,2,FALSE),0)+IFERROR(VLOOKUP(N314,Listes!$N$3:$P$6,2,FALSE),0)+IF(OR(L314="",B314=""),0,IF(L314-INT(B314)&lt;10,8,IF(L314-INT(B314)&lt;=90,10,5)))+IFERROR(VLOOKUP(AN314,Listes!$V$3:$W$5,2,FALSE),0)+IFERROR(VLOOKUP(AO314,Listes!$Y$3:$Z$5,2,FALSE),0))</f>
        <v/>
      </c>
      <c r="R314" s="12" t="n"/>
      <c r="S314" s="12" t="n"/>
      <c r="T314" s="12" t="n"/>
      <c r="U314" s="15" t="n"/>
      <c r="V314" s="15" t="n"/>
      <c r="W314" s="13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3" t="n"/>
      <c r="AK314" s="12" t="n"/>
      <c r="AL314" s="12" t="n"/>
      <c r="AM314" s="12" t="n"/>
      <c r="AN314" s="12" t="n"/>
      <c r="AO314" s="12" t="n"/>
      <c r="AP314" s="12" t="n"/>
      <c r="AQ314" s="7">
        <f>IF(A314="","",IF(AP314&lt;&gt;"",AP314,IF(LEFT(Z314,11)="gads_marque","Google Search – Marque",IF(LEFT(Z314,12)="gads_mariage","Google Search – Mariage et privé",IF(LEFT(Z314,10)="gads_corpo","Google Search – Corporatif",IF(LEFT(Z314,5)="meta_","Meta – Leads",IF(LEFT(Z314,5)="msft_","Microsoft Ads",IF(LEFT(Z314,8)="chatgpt_","ChatGPT Ads – Test",IF(X314="gbp","Fiche Google (organique)","Autre / non payé")))))))))</f>
        <v/>
      </c>
      <c r="AR314" s="7">
        <f>IF(K314="","",IFERROR(VLOOKUP(K314,Listes!$F$3:$H$8,3,FALSE),""))</f>
        <v/>
      </c>
      <c r="AS314" s="7">
        <f>IF(O314="","",IF(AND(M314="Autre (plus de 40 km)",OR(O314="lt600",O314="600_999",O314="1000_2499")),"D",IF(OR(O314="lt600",AND(O314="600_999",K314&lt;&gt;"mariage",K314&lt;&gt;"prive")),"C",IF(OR(O314="2500_4999",O314="5000p",J314="entreprise",J314="organisme",J314="agence"),"A",IF(OR(O314="1000_2499",O314="600_999"),"B",IF(O314="inconnu",IF(OR(N314="75_149",N314="150p"),"A","B"),""))))))</f>
        <v/>
      </c>
      <c r="AT314" s="7">
        <f>IF(A314="","",IF(P314&lt;&gt;"",P314,AS314))</f>
        <v/>
      </c>
      <c r="AU314" s="7">
        <f>IF(A314="","",IF(OR(AT314="A",AT314="B"),1,0))</f>
        <v/>
      </c>
      <c r="AV314" s="7">
        <f>IF(A314="","",IF(OR(R314="Dépôt payé (gagné)",R314="Événement livré",R314="Avis obtenu"),1,0))</f>
        <v/>
      </c>
      <c r="AW314" s="7">
        <f>IF(A314="","",IF(Q314&gt;70,"Immédiat – propriétaire",IF(Q314&gt;=40,"15 min – personne de garde","Selon la route")))</f>
        <v/>
      </c>
      <c r="AX314" s="11">
        <f>IF(A314="","",IF(AT314="A",400,IF(AT314="B",150,0)))</f>
        <v/>
      </c>
      <c r="AY314" s="11">
        <f>IF(A314="","",IF(AV314=1,N(V314),IF(N(U314)&gt;0,ROUND(N(U314)*IFERROR(VLOOKUP(R314,Listes!$AE$3:$AG$12,2,FALSE),0),0),0)))</f>
        <v/>
      </c>
      <c r="AZ314" s="7">
        <f>IF(LEFT(A314,7)="EXEMPLE",1,0)</f>
        <v/>
      </c>
      <c r="BA314" s="7">
        <f>IF(AND(AV314=1,AZ314=0,AC314&lt;&gt;"",W314&lt;&gt;"",N(V314)&gt;0),COUNTIFS($AV$3:AV314,1,$AZ$3:AZ314,0,$AC$3:AC314,"&lt;&gt;",$W$3:W314,"&lt;&gt;",$V$3:V314,"&gt;0"),"")</f>
        <v/>
      </c>
    </row>
    <row r="315">
      <c r="A315" s="12" t="n"/>
      <c r="B315" s="13" t="n"/>
      <c r="C315" s="13" t="n"/>
      <c r="D315" s="7">
        <f>IF(OR(B315="",C315=""),"",ROUND((C315-B315)*1440,0))</f>
        <v/>
      </c>
      <c r="E315" s="12" t="n"/>
      <c r="F315" s="12" t="n"/>
      <c r="G315" s="12" t="n"/>
      <c r="H315" s="12" t="n"/>
      <c r="I315" s="12" t="n"/>
      <c r="J315" s="12" t="n"/>
      <c r="K315" s="12" t="n"/>
      <c r="L315" s="14" t="n"/>
      <c r="M315" s="12" t="n"/>
      <c r="N315" s="12" t="n"/>
      <c r="O315" s="12" t="n"/>
      <c r="P315" s="12" t="n"/>
      <c r="Q315" s="7">
        <f>IF(A315="","",IFERROR(VLOOKUP(O315,Listes!$R$3:$T$8,2,FALSE),0)+IFERROR(VLOOKUP(J315,Listes!$J$3:$L$6,2,FALSE),0)+IFERROR(VLOOKUP(N315,Listes!$N$3:$P$6,2,FALSE),0)+IF(OR(L315="",B315=""),0,IF(L315-INT(B315)&lt;10,8,IF(L315-INT(B315)&lt;=90,10,5)))+IFERROR(VLOOKUP(AN315,Listes!$V$3:$W$5,2,FALSE),0)+IFERROR(VLOOKUP(AO315,Listes!$Y$3:$Z$5,2,FALSE),0))</f>
        <v/>
      </c>
      <c r="R315" s="12" t="n"/>
      <c r="S315" s="12" t="n"/>
      <c r="T315" s="12" t="n"/>
      <c r="U315" s="15" t="n"/>
      <c r="V315" s="15" t="n"/>
      <c r="W315" s="13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3" t="n"/>
      <c r="AK315" s="12" t="n"/>
      <c r="AL315" s="12" t="n"/>
      <c r="AM315" s="12" t="n"/>
      <c r="AN315" s="12" t="n"/>
      <c r="AO315" s="12" t="n"/>
      <c r="AP315" s="12" t="n"/>
      <c r="AQ315" s="7">
        <f>IF(A315="","",IF(AP315&lt;&gt;"",AP315,IF(LEFT(Z315,11)="gads_marque","Google Search – Marque",IF(LEFT(Z315,12)="gads_mariage","Google Search – Mariage et privé",IF(LEFT(Z315,10)="gads_corpo","Google Search – Corporatif",IF(LEFT(Z315,5)="meta_","Meta – Leads",IF(LEFT(Z315,5)="msft_","Microsoft Ads",IF(LEFT(Z315,8)="chatgpt_","ChatGPT Ads – Test",IF(X315="gbp","Fiche Google (organique)","Autre / non payé")))))))))</f>
        <v/>
      </c>
      <c r="AR315" s="7">
        <f>IF(K315="","",IFERROR(VLOOKUP(K315,Listes!$F$3:$H$8,3,FALSE),""))</f>
        <v/>
      </c>
      <c r="AS315" s="7">
        <f>IF(O315="","",IF(AND(M315="Autre (plus de 40 km)",OR(O315="lt600",O315="600_999",O315="1000_2499")),"D",IF(OR(O315="lt600",AND(O315="600_999",K315&lt;&gt;"mariage",K315&lt;&gt;"prive")),"C",IF(OR(O315="2500_4999",O315="5000p",J315="entreprise",J315="organisme",J315="agence"),"A",IF(OR(O315="1000_2499",O315="600_999"),"B",IF(O315="inconnu",IF(OR(N315="75_149",N315="150p"),"A","B"),""))))))</f>
        <v/>
      </c>
      <c r="AT315" s="7">
        <f>IF(A315="","",IF(P315&lt;&gt;"",P315,AS315))</f>
        <v/>
      </c>
      <c r="AU315" s="7">
        <f>IF(A315="","",IF(OR(AT315="A",AT315="B"),1,0))</f>
        <v/>
      </c>
      <c r="AV315" s="7">
        <f>IF(A315="","",IF(OR(R315="Dépôt payé (gagné)",R315="Événement livré",R315="Avis obtenu"),1,0))</f>
        <v/>
      </c>
      <c r="AW315" s="7">
        <f>IF(A315="","",IF(Q315&gt;70,"Immédiat – propriétaire",IF(Q315&gt;=40,"15 min – personne de garde","Selon la route")))</f>
        <v/>
      </c>
      <c r="AX315" s="11">
        <f>IF(A315="","",IF(AT315="A",400,IF(AT315="B",150,0)))</f>
        <v/>
      </c>
      <c r="AY315" s="11">
        <f>IF(A315="","",IF(AV315=1,N(V315),IF(N(U315)&gt;0,ROUND(N(U315)*IFERROR(VLOOKUP(R315,Listes!$AE$3:$AG$12,2,FALSE),0),0),0)))</f>
        <v/>
      </c>
      <c r="AZ315" s="7">
        <f>IF(LEFT(A315,7)="EXEMPLE",1,0)</f>
        <v/>
      </c>
      <c r="BA315" s="7">
        <f>IF(AND(AV315=1,AZ315=0,AC315&lt;&gt;"",W315&lt;&gt;"",N(V315)&gt;0),COUNTIFS($AV$3:AV315,1,$AZ$3:AZ315,0,$AC$3:AC315,"&lt;&gt;",$W$3:W315,"&lt;&gt;",$V$3:V315,"&gt;0"),"")</f>
        <v/>
      </c>
    </row>
    <row r="316">
      <c r="A316" s="12" t="n"/>
      <c r="B316" s="13" t="n"/>
      <c r="C316" s="13" t="n"/>
      <c r="D316" s="7">
        <f>IF(OR(B316="",C316=""),"",ROUND((C316-B316)*1440,0))</f>
        <v/>
      </c>
      <c r="E316" s="12" t="n"/>
      <c r="F316" s="12" t="n"/>
      <c r="G316" s="12" t="n"/>
      <c r="H316" s="12" t="n"/>
      <c r="I316" s="12" t="n"/>
      <c r="J316" s="12" t="n"/>
      <c r="K316" s="12" t="n"/>
      <c r="L316" s="14" t="n"/>
      <c r="M316" s="12" t="n"/>
      <c r="N316" s="12" t="n"/>
      <c r="O316" s="12" t="n"/>
      <c r="P316" s="12" t="n"/>
      <c r="Q316" s="7">
        <f>IF(A316="","",IFERROR(VLOOKUP(O316,Listes!$R$3:$T$8,2,FALSE),0)+IFERROR(VLOOKUP(J316,Listes!$J$3:$L$6,2,FALSE),0)+IFERROR(VLOOKUP(N316,Listes!$N$3:$P$6,2,FALSE),0)+IF(OR(L316="",B316=""),0,IF(L316-INT(B316)&lt;10,8,IF(L316-INT(B316)&lt;=90,10,5)))+IFERROR(VLOOKUP(AN316,Listes!$V$3:$W$5,2,FALSE),0)+IFERROR(VLOOKUP(AO316,Listes!$Y$3:$Z$5,2,FALSE),0))</f>
        <v/>
      </c>
      <c r="R316" s="12" t="n"/>
      <c r="S316" s="12" t="n"/>
      <c r="T316" s="12" t="n"/>
      <c r="U316" s="15" t="n"/>
      <c r="V316" s="15" t="n"/>
      <c r="W316" s="13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3" t="n"/>
      <c r="AK316" s="12" t="n"/>
      <c r="AL316" s="12" t="n"/>
      <c r="AM316" s="12" t="n"/>
      <c r="AN316" s="12" t="n"/>
      <c r="AO316" s="12" t="n"/>
      <c r="AP316" s="12" t="n"/>
      <c r="AQ316" s="7">
        <f>IF(A316="","",IF(AP316&lt;&gt;"",AP316,IF(LEFT(Z316,11)="gads_marque","Google Search – Marque",IF(LEFT(Z316,12)="gads_mariage","Google Search – Mariage et privé",IF(LEFT(Z316,10)="gads_corpo","Google Search – Corporatif",IF(LEFT(Z316,5)="meta_","Meta – Leads",IF(LEFT(Z316,5)="msft_","Microsoft Ads",IF(LEFT(Z316,8)="chatgpt_","ChatGPT Ads – Test",IF(X316="gbp","Fiche Google (organique)","Autre / non payé")))))))))</f>
        <v/>
      </c>
      <c r="AR316" s="7">
        <f>IF(K316="","",IFERROR(VLOOKUP(K316,Listes!$F$3:$H$8,3,FALSE),""))</f>
        <v/>
      </c>
      <c r="AS316" s="7">
        <f>IF(O316="","",IF(AND(M316="Autre (plus de 40 km)",OR(O316="lt600",O316="600_999",O316="1000_2499")),"D",IF(OR(O316="lt600",AND(O316="600_999",K316&lt;&gt;"mariage",K316&lt;&gt;"prive")),"C",IF(OR(O316="2500_4999",O316="5000p",J316="entreprise",J316="organisme",J316="agence"),"A",IF(OR(O316="1000_2499",O316="600_999"),"B",IF(O316="inconnu",IF(OR(N316="75_149",N316="150p"),"A","B"),""))))))</f>
        <v/>
      </c>
      <c r="AT316" s="7">
        <f>IF(A316="","",IF(P316&lt;&gt;"",P316,AS316))</f>
        <v/>
      </c>
      <c r="AU316" s="7">
        <f>IF(A316="","",IF(OR(AT316="A",AT316="B"),1,0))</f>
        <v/>
      </c>
      <c r="AV316" s="7">
        <f>IF(A316="","",IF(OR(R316="Dépôt payé (gagné)",R316="Événement livré",R316="Avis obtenu"),1,0))</f>
        <v/>
      </c>
      <c r="AW316" s="7">
        <f>IF(A316="","",IF(Q316&gt;70,"Immédiat – propriétaire",IF(Q316&gt;=40,"15 min – personne de garde","Selon la route")))</f>
        <v/>
      </c>
      <c r="AX316" s="11">
        <f>IF(A316="","",IF(AT316="A",400,IF(AT316="B",150,0)))</f>
        <v/>
      </c>
      <c r="AY316" s="11">
        <f>IF(A316="","",IF(AV316=1,N(V316),IF(N(U316)&gt;0,ROUND(N(U316)*IFERROR(VLOOKUP(R316,Listes!$AE$3:$AG$12,2,FALSE),0),0),0)))</f>
        <v/>
      </c>
      <c r="AZ316" s="7">
        <f>IF(LEFT(A316,7)="EXEMPLE",1,0)</f>
        <v/>
      </c>
      <c r="BA316" s="7">
        <f>IF(AND(AV316=1,AZ316=0,AC316&lt;&gt;"",W316&lt;&gt;"",N(V316)&gt;0),COUNTIFS($AV$3:AV316,1,$AZ$3:AZ316,0,$AC$3:AC316,"&lt;&gt;",$W$3:W316,"&lt;&gt;",$V$3:V316,"&gt;0"),"")</f>
        <v/>
      </c>
    </row>
    <row r="317">
      <c r="A317" s="12" t="n"/>
      <c r="B317" s="13" t="n"/>
      <c r="C317" s="13" t="n"/>
      <c r="D317" s="7">
        <f>IF(OR(B317="",C317=""),"",ROUND((C317-B317)*1440,0))</f>
        <v/>
      </c>
      <c r="E317" s="12" t="n"/>
      <c r="F317" s="12" t="n"/>
      <c r="G317" s="12" t="n"/>
      <c r="H317" s="12" t="n"/>
      <c r="I317" s="12" t="n"/>
      <c r="J317" s="12" t="n"/>
      <c r="K317" s="12" t="n"/>
      <c r="L317" s="14" t="n"/>
      <c r="M317" s="12" t="n"/>
      <c r="N317" s="12" t="n"/>
      <c r="O317" s="12" t="n"/>
      <c r="P317" s="12" t="n"/>
      <c r="Q317" s="7">
        <f>IF(A317="","",IFERROR(VLOOKUP(O317,Listes!$R$3:$T$8,2,FALSE),0)+IFERROR(VLOOKUP(J317,Listes!$J$3:$L$6,2,FALSE),0)+IFERROR(VLOOKUP(N317,Listes!$N$3:$P$6,2,FALSE),0)+IF(OR(L317="",B317=""),0,IF(L317-INT(B317)&lt;10,8,IF(L317-INT(B317)&lt;=90,10,5)))+IFERROR(VLOOKUP(AN317,Listes!$V$3:$W$5,2,FALSE),0)+IFERROR(VLOOKUP(AO317,Listes!$Y$3:$Z$5,2,FALSE),0))</f>
        <v/>
      </c>
      <c r="R317" s="12" t="n"/>
      <c r="S317" s="12" t="n"/>
      <c r="T317" s="12" t="n"/>
      <c r="U317" s="15" t="n"/>
      <c r="V317" s="15" t="n"/>
      <c r="W317" s="13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3" t="n"/>
      <c r="AK317" s="12" t="n"/>
      <c r="AL317" s="12" t="n"/>
      <c r="AM317" s="12" t="n"/>
      <c r="AN317" s="12" t="n"/>
      <c r="AO317" s="12" t="n"/>
      <c r="AP317" s="12" t="n"/>
      <c r="AQ317" s="7">
        <f>IF(A317="","",IF(AP317&lt;&gt;"",AP317,IF(LEFT(Z317,11)="gads_marque","Google Search – Marque",IF(LEFT(Z317,12)="gads_mariage","Google Search – Mariage et privé",IF(LEFT(Z317,10)="gads_corpo","Google Search – Corporatif",IF(LEFT(Z317,5)="meta_","Meta – Leads",IF(LEFT(Z317,5)="msft_","Microsoft Ads",IF(LEFT(Z317,8)="chatgpt_","ChatGPT Ads – Test",IF(X317="gbp","Fiche Google (organique)","Autre / non payé")))))))))</f>
        <v/>
      </c>
      <c r="AR317" s="7">
        <f>IF(K317="","",IFERROR(VLOOKUP(K317,Listes!$F$3:$H$8,3,FALSE),""))</f>
        <v/>
      </c>
      <c r="AS317" s="7">
        <f>IF(O317="","",IF(AND(M317="Autre (plus de 40 km)",OR(O317="lt600",O317="600_999",O317="1000_2499")),"D",IF(OR(O317="lt600",AND(O317="600_999",K317&lt;&gt;"mariage",K317&lt;&gt;"prive")),"C",IF(OR(O317="2500_4999",O317="5000p",J317="entreprise",J317="organisme",J317="agence"),"A",IF(OR(O317="1000_2499",O317="600_999"),"B",IF(O317="inconnu",IF(OR(N317="75_149",N317="150p"),"A","B"),""))))))</f>
        <v/>
      </c>
      <c r="AT317" s="7">
        <f>IF(A317="","",IF(P317&lt;&gt;"",P317,AS317))</f>
        <v/>
      </c>
      <c r="AU317" s="7">
        <f>IF(A317="","",IF(OR(AT317="A",AT317="B"),1,0))</f>
        <v/>
      </c>
      <c r="AV317" s="7">
        <f>IF(A317="","",IF(OR(R317="Dépôt payé (gagné)",R317="Événement livré",R317="Avis obtenu"),1,0))</f>
        <v/>
      </c>
      <c r="AW317" s="7">
        <f>IF(A317="","",IF(Q317&gt;70,"Immédiat – propriétaire",IF(Q317&gt;=40,"15 min – personne de garde","Selon la route")))</f>
        <v/>
      </c>
      <c r="AX317" s="11">
        <f>IF(A317="","",IF(AT317="A",400,IF(AT317="B",150,0)))</f>
        <v/>
      </c>
      <c r="AY317" s="11">
        <f>IF(A317="","",IF(AV317=1,N(V317),IF(N(U317)&gt;0,ROUND(N(U317)*IFERROR(VLOOKUP(R317,Listes!$AE$3:$AG$12,2,FALSE),0),0),0)))</f>
        <v/>
      </c>
      <c r="AZ317" s="7">
        <f>IF(LEFT(A317,7)="EXEMPLE",1,0)</f>
        <v/>
      </c>
      <c r="BA317" s="7">
        <f>IF(AND(AV317=1,AZ317=0,AC317&lt;&gt;"",W317&lt;&gt;"",N(V317)&gt;0),COUNTIFS($AV$3:AV317,1,$AZ$3:AZ317,0,$AC$3:AC317,"&lt;&gt;",$W$3:W317,"&lt;&gt;",$V$3:V317,"&gt;0"),"")</f>
        <v/>
      </c>
    </row>
    <row r="318">
      <c r="A318" s="12" t="n"/>
      <c r="B318" s="13" t="n"/>
      <c r="C318" s="13" t="n"/>
      <c r="D318" s="7">
        <f>IF(OR(B318="",C318=""),"",ROUND((C318-B318)*1440,0))</f>
        <v/>
      </c>
      <c r="E318" s="12" t="n"/>
      <c r="F318" s="12" t="n"/>
      <c r="G318" s="12" t="n"/>
      <c r="H318" s="12" t="n"/>
      <c r="I318" s="12" t="n"/>
      <c r="J318" s="12" t="n"/>
      <c r="K318" s="12" t="n"/>
      <c r="L318" s="14" t="n"/>
      <c r="M318" s="12" t="n"/>
      <c r="N318" s="12" t="n"/>
      <c r="O318" s="12" t="n"/>
      <c r="P318" s="12" t="n"/>
      <c r="Q318" s="7">
        <f>IF(A318="","",IFERROR(VLOOKUP(O318,Listes!$R$3:$T$8,2,FALSE),0)+IFERROR(VLOOKUP(J318,Listes!$J$3:$L$6,2,FALSE),0)+IFERROR(VLOOKUP(N318,Listes!$N$3:$P$6,2,FALSE),0)+IF(OR(L318="",B318=""),0,IF(L318-INT(B318)&lt;10,8,IF(L318-INT(B318)&lt;=90,10,5)))+IFERROR(VLOOKUP(AN318,Listes!$V$3:$W$5,2,FALSE),0)+IFERROR(VLOOKUP(AO318,Listes!$Y$3:$Z$5,2,FALSE),0))</f>
        <v/>
      </c>
      <c r="R318" s="12" t="n"/>
      <c r="S318" s="12" t="n"/>
      <c r="T318" s="12" t="n"/>
      <c r="U318" s="15" t="n"/>
      <c r="V318" s="15" t="n"/>
      <c r="W318" s="13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3" t="n"/>
      <c r="AK318" s="12" t="n"/>
      <c r="AL318" s="12" t="n"/>
      <c r="AM318" s="12" t="n"/>
      <c r="AN318" s="12" t="n"/>
      <c r="AO318" s="12" t="n"/>
      <c r="AP318" s="12" t="n"/>
      <c r="AQ318" s="7">
        <f>IF(A318="","",IF(AP318&lt;&gt;"",AP318,IF(LEFT(Z318,11)="gads_marque","Google Search – Marque",IF(LEFT(Z318,12)="gads_mariage","Google Search – Mariage et privé",IF(LEFT(Z318,10)="gads_corpo","Google Search – Corporatif",IF(LEFT(Z318,5)="meta_","Meta – Leads",IF(LEFT(Z318,5)="msft_","Microsoft Ads",IF(LEFT(Z318,8)="chatgpt_","ChatGPT Ads – Test",IF(X318="gbp","Fiche Google (organique)","Autre / non payé")))))))))</f>
        <v/>
      </c>
      <c r="AR318" s="7">
        <f>IF(K318="","",IFERROR(VLOOKUP(K318,Listes!$F$3:$H$8,3,FALSE),""))</f>
        <v/>
      </c>
      <c r="AS318" s="7">
        <f>IF(O318="","",IF(AND(M318="Autre (plus de 40 km)",OR(O318="lt600",O318="600_999",O318="1000_2499")),"D",IF(OR(O318="lt600",AND(O318="600_999",K318&lt;&gt;"mariage",K318&lt;&gt;"prive")),"C",IF(OR(O318="2500_4999",O318="5000p",J318="entreprise",J318="organisme",J318="agence"),"A",IF(OR(O318="1000_2499",O318="600_999"),"B",IF(O318="inconnu",IF(OR(N318="75_149",N318="150p"),"A","B"),""))))))</f>
        <v/>
      </c>
      <c r="AT318" s="7">
        <f>IF(A318="","",IF(P318&lt;&gt;"",P318,AS318))</f>
        <v/>
      </c>
      <c r="AU318" s="7">
        <f>IF(A318="","",IF(OR(AT318="A",AT318="B"),1,0))</f>
        <v/>
      </c>
      <c r="AV318" s="7">
        <f>IF(A318="","",IF(OR(R318="Dépôt payé (gagné)",R318="Événement livré",R318="Avis obtenu"),1,0))</f>
        <v/>
      </c>
      <c r="AW318" s="7">
        <f>IF(A318="","",IF(Q318&gt;70,"Immédiat – propriétaire",IF(Q318&gt;=40,"15 min – personne de garde","Selon la route")))</f>
        <v/>
      </c>
      <c r="AX318" s="11">
        <f>IF(A318="","",IF(AT318="A",400,IF(AT318="B",150,0)))</f>
        <v/>
      </c>
      <c r="AY318" s="11">
        <f>IF(A318="","",IF(AV318=1,N(V318),IF(N(U318)&gt;0,ROUND(N(U318)*IFERROR(VLOOKUP(R318,Listes!$AE$3:$AG$12,2,FALSE),0),0),0)))</f>
        <v/>
      </c>
      <c r="AZ318" s="7">
        <f>IF(LEFT(A318,7)="EXEMPLE",1,0)</f>
        <v/>
      </c>
      <c r="BA318" s="7">
        <f>IF(AND(AV318=1,AZ318=0,AC318&lt;&gt;"",W318&lt;&gt;"",N(V318)&gt;0),COUNTIFS($AV$3:AV318,1,$AZ$3:AZ318,0,$AC$3:AC318,"&lt;&gt;",$W$3:W318,"&lt;&gt;",$V$3:V318,"&gt;0"),"")</f>
        <v/>
      </c>
    </row>
    <row r="319">
      <c r="A319" s="12" t="n"/>
      <c r="B319" s="13" t="n"/>
      <c r="C319" s="13" t="n"/>
      <c r="D319" s="7">
        <f>IF(OR(B319="",C319=""),"",ROUND((C319-B319)*1440,0))</f>
        <v/>
      </c>
      <c r="E319" s="12" t="n"/>
      <c r="F319" s="12" t="n"/>
      <c r="G319" s="12" t="n"/>
      <c r="H319" s="12" t="n"/>
      <c r="I319" s="12" t="n"/>
      <c r="J319" s="12" t="n"/>
      <c r="K319" s="12" t="n"/>
      <c r="L319" s="14" t="n"/>
      <c r="M319" s="12" t="n"/>
      <c r="N319" s="12" t="n"/>
      <c r="O319" s="12" t="n"/>
      <c r="P319" s="12" t="n"/>
      <c r="Q319" s="7">
        <f>IF(A319="","",IFERROR(VLOOKUP(O319,Listes!$R$3:$T$8,2,FALSE),0)+IFERROR(VLOOKUP(J319,Listes!$J$3:$L$6,2,FALSE),0)+IFERROR(VLOOKUP(N319,Listes!$N$3:$P$6,2,FALSE),0)+IF(OR(L319="",B319=""),0,IF(L319-INT(B319)&lt;10,8,IF(L319-INT(B319)&lt;=90,10,5)))+IFERROR(VLOOKUP(AN319,Listes!$V$3:$W$5,2,FALSE),0)+IFERROR(VLOOKUP(AO319,Listes!$Y$3:$Z$5,2,FALSE),0))</f>
        <v/>
      </c>
      <c r="R319" s="12" t="n"/>
      <c r="S319" s="12" t="n"/>
      <c r="T319" s="12" t="n"/>
      <c r="U319" s="15" t="n"/>
      <c r="V319" s="15" t="n"/>
      <c r="W319" s="13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3" t="n"/>
      <c r="AK319" s="12" t="n"/>
      <c r="AL319" s="12" t="n"/>
      <c r="AM319" s="12" t="n"/>
      <c r="AN319" s="12" t="n"/>
      <c r="AO319" s="12" t="n"/>
      <c r="AP319" s="12" t="n"/>
      <c r="AQ319" s="7">
        <f>IF(A319="","",IF(AP319&lt;&gt;"",AP319,IF(LEFT(Z319,11)="gads_marque","Google Search – Marque",IF(LEFT(Z319,12)="gads_mariage","Google Search – Mariage et privé",IF(LEFT(Z319,10)="gads_corpo","Google Search – Corporatif",IF(LEFT(Z319,5)="meta_","Meta – Leads",IF(LEFT(Z319,5)="msft_","Microsoft Ads",IF(LEFT(Z319,8)="chatgpt_","ChatGPT Ads – Test",IF(X319="gbp","Fiche Google (organique)","Autre / non payé")))))))))</f>
        <v/>
      </c>
      <c r="AR319" s="7">
        <f>IF(K319="","",IFERROR(VLOOKUP(K319,Listes!$F$3:$H$8,3,FALSE),""))</f>
        <v/>
      </c>
      <c r="AS319" s="7">
        <f>IF(O319="","",IF(AND(M319="Autre (plus de 40 km)",OR(O319="lt600",O319="600_999",O319="1000_2499")),"D",IF(OR(O319="lt600",AND(O319="600_999",K319&lt;&gt;"mariage",K319&lt;&gt;"prive")),"C",IF(OR(O319="2500_4999",O319="5000p",J319="entreprise",J319="organisme",J319="agence"),"A",IF(OR(O319="1000_2499",O319="600_999"),"B",IF(O319="inconnu",IF(OR(N319="75_149",N319="150p"),"A","B"),""))))))</f>
        <v/>
      </c>
      <c r="AT319" s="7">
        <f>IF(A319="","",IF(P319&lt;&gt;"",P319,AS319))</f>
        <v/>
      </c>
      <c r="AU319" s="7">
        <f>IF(A319="","",IF(OR(AT319="A",AT319="B"),1,0))</f>
        <v/>
      </c>
      <c r="AV319" s="7">
        <f>IF(A319="","",IF(OR(R319="Dépôt payé (gagné)",R319="Événement livré",R319="Avis obtenu"),1,0))</f>
        <v/>
      </c>
      <c r="AW319" s="7">
        <f>IF(A319="","",IF(Q319&gt;70,"Immédiat – propriétaire",IF(Q319&gt;=40,"15 min – personne de garde","Selon la route")))</f>
        <v/>
      </c>
      <c r="AX319" s="11">
        <f>IF(A319="","",IF(AT319="A",400,IF(AT319="B",150,0)))</f>
        <v/>
      </c>
      <c r="AY319" s="11">
        <f>IF(A319="","",IF(AV319=1,N(V319),IF(N(U319)&gt;0,ROUND(N(U319)*IFERROR(VLOOKUP(R319,Listes!$AE$3:$AG$12,2,FALSE),0),0),0)))</f>
        <v/>
      </c>
      <c r="AZ319" s="7">
        <f>IF(LEFT(A319,7)="EXEMPLE",1,0)</f>
        <v/>
      </c>
      <c r="BA319" s="7">
        <f>IF(AND(AV319=1,AZ319=0,AC319&lt;&gt;"",W319&lt;&gt;"",N(V319)&gt;0),COUNTIFS($AV$3:AV319,1,$AZ$3:AZ319,0,$AC$3:AC319,"&lt;&gt;",$W$3:W319,"&lt;&gt;",$V$3:V319,"&gt;0"),"")</f>
        <v/>
      </c>
    </row>
    <row r="320">
      <c r="A320" s="12" t="n"/>
      <c r="B320" s="13" t="n"/>
      <c r="C320" s="13" t="n"/>
      <c r="D320" s="7">
        <f>IF(OR(B320="",C320=""),"",ROUND((C320-B320)*1440,0))</f>
        <v/>
      </c>
      <c r="E320" s="12" t="n"/>
      <c r="F320" s="12" t="n"/>
      <c r="G320" s="12" t="n"/>
      <c r="H320" s="12" t="n"/>
      <c r="I320" s="12" t="n"/>
      <c r="J320" s="12" t="n"/>
      <c r="K320" s="12" t="n"/>
      <c r="L320" s="14" t="n"/>
      <c r="M320" s="12" t="n"/>
      <c r="N320" s="12" t="n"/>
      <c r="O320" s="12" t="n"/>
      <c r="P320" s="12" t="n"/>
      <c r="Q320" s="7">
        <f>IF(A320="","",IFERROR(VLOOKUP(O320,Listes!$R$3:$T$8,2,FALSE),0)+IFERROR(VLOOKUP(J320,Listes!$J$3:$L$6,2,FALSE),0)+IFERROR(VLOOKUP(N320,Listes!$N$3:$P$6,2,FALSE),0)+IF(OR(L320="",B320=""),0,IF(L320-INT(B320)&lt;10,8,IF(L320-INT(B320)&lt;=90,10,5)))+IFERROR(VLOOKUP(AN320,Listes!$V$3:$W$5,2,FALSE),0)+IFERROR(VLOOKUP(AO320,Listes!$Y$3:$Z$5,2,FALSE),0))</f>
        <v/>
      </c>
      <c r="R320" s="12" t="n"/>
      <c r="S320" s="12" t="n"/>
      <c r="T320" s="12" t="n"/>
      <c r="U320" s="15" t="n"/>
      <c r="V320" s="15" t="n"/>
      <c r="W320" s="13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3" t="n"/>
      <c r="AK320" s="12" t="n"/>
      <c r="AL320" s="12" t="n"/>
      <c r="AM320" s="12" t="n"/>
      <c r="AN320" s="12" t="n"/>
      <c r="AO320" s="12" t="n"/>
      <c r="AP320" s="12" t="n"/>
      <c r="AQ320" s="7">
        <f>IF(A320="","",IF(AP320&lt;&gt;"",AP320,IF(LEFT(Z320,11)="gads_marque","Google Search – Marque",IF(LEFT(Z320,12)="gads_mariage","Google Search – Mariage et privé",IF(LEFT(Z320,10)="gads_corpo","Google Search – Corporatif",IF(LEFT(Z320,5)="meta_","Meta – Leads",IF(LEFT(Z320,5)="msft_","Microsoft Ads",IF(LEFT(Z320,8)="chatgpt_","ChatGPT Ads – Test",IF(X320="gbp","Fiche Google (organique)","Autre / non payé")))))))))</f>
        <v/>
      </c>
      <c r="AR320" s="7">
        <f>IF(K320="","",IFERROR(VLOOKUP(K320,Listes!$F$3:$H$8,3,FALSE),""))</f>
        <v/>
      </c>
      <c r="AS320" s="7">
        <f>IF(O320="","",IF(AND(M320="Autre (plus de 40 km)",OR(O320="lt600",O320="600_999",O320="1000_2499")),"D",IF(OR(O320="lt600",AND(O320="600_999",K320&lt;&gt;"mariage",K320&lt;&gt;"prive")),"C",IF(OR(O320="2500_4999",O320="5000p",J320="entreprise",J320="organisme",J320="agence"),"A",IF(OR(O320="1000_2499",O320="600_999"),"B",IF(O320="inconnu",IF(OR(N320="75_149",N320="150p"),"A","B"),""))))))</f>
        <v/>
      </c>
      <c r="AT320" s="7">
        <f>IF(A320="","",IF(P320&lt;&gt;"",P320,AS320))</f>
        <v/>
      </c>
      <c r="AU320" s="7">
        <f>IF(A320="","",IF(OR(AT320="A",AT320="B"),1,0))</f>
        <v/>
      </c>
      <c r="AV320" s="7">
        <f>IF(A320="","",IF(OR(R320="Dépôt payé (gagné)",R320="Événement livré",R320="Avis obtenu"),1,0))</f>
        <v/>
      </c>
      <c r="AW320" s="7">
        <f>IF(A320="","",IF(Q320&gt;70,"Immédiat – propriétaire",IF(Q320&gt;=40,"15 min – personne de garde","Selon la route")))</f>
        <v/>
      </c>
      <c r="AX320" s="11">
        <f>IF(A320="","",IF(AT320="A",400,IF(AT320="B",150,0)))</f>
        <v/>
      </c>
      <c r="AY320" s="11">
        <f>IF(A320="","",IF(AV320=1,N(V320),IF(N(U320)&gt;0,ROUND(N(U320)*IFERROR(VLOOKUP(R320,Listes!$AE$3:$AG$12,2,FALSE),0),0),0)))</f>
        <v/>
      </c>
      <c r="AZ320" s="7">
        <f>IF(LEFT(A320,7)="EXEMPLE",1,0)</f>
        <v/>
      </c>
      <c r="BA320" s="7">
        <f>IF(AND(AV320=1,AZ320=0,AC320&lt;&gt;"",W320&lt;&gt;"",N(V320)&gt;0),COUNTIFS($AV$3:AV320,1,$AZ$3:AZ320,0,$AC$3:AC320,"&lt;&gt;",$W$3:W320,"&lt;&gt;",$V$3:V320,"&gt;0"),"")</f>
        <v/>
      </c>
    </row>
    <row r="321">
      <c r="A321" s="12" t="n"/>
      <c r="B321" s="13" t="n"/>
      <c r="C321" s="13" t="n"/>
      <c r="D321" s="7">
        <f>IF(OR(B321="",C321=""),"",ROUND((C321-B321)*1440,0))</f>
        <v/>
      </c>
      <c r="E321" s="12" t="n"/>
      <c r="F321" s="12" t="n"/>
      <c r="G321" s="12" t="n"/>
      <c r="H321" s="12" t="n"/>
      <c r="I321" s="12" t="n"/>
      <c r="J321" s="12" t="n"/>
      <c r="K321" s="12" t="n"/>
      <c r="L321" s="14" t="n"/>
      <c r="M321" s="12" t="n"/>
      <c r="N321" s="12" t="n"/>
      <c r="O321" s="12" t="n"/>
      <c r="P321" s="12" t="n"/>
      <c r="Q321" s="7">
        <f>IF(A321="","",IFERROR(VLOOKUP(O321,Listes!$R$3:$T$8,2,FALSE),0)+IFERROR(VLOOKUP(J321,Listes!$J$3:$L$6,2,FALSE),0)+IFERROR(VLOOKUP(N321,Listes!$N$3:$P$6,2,FALSE),0)+IF(OR(L321="",B321=""),0,IF(L321-INT(B321)&lt;10,8,IF(L321-INT(B321)&lt;=90,10,5)))+IFERROR(VLOOKUP(AN321,Listes!$V$3:$W$5,2,FALSE),0)+IFERROR(VLOOKUP(AO321,Listes!$Y$3:$Z$5,2,FALSE),0))</f>
        <v/>
      </c>
      <c r="R321" s="12" t="n"/>
      <c r="S321" s="12" t="n"/>
      <c r="T321" s="12" t="n"/>
      <c r="U321" s="15" t="n"/>
      <c r="V321" s="15" t="n"/>
      <c r="W321" s="13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3" t="n"/>
      <c r="AK321" s="12" t="n"/>
      <c r="AL321" s="12" t="n"/>
      <c r="AM321" s="12" t="n"/>
      <c r="AN321" s="12" t="n"/>
      <c r="AO321" s="12" t="n"/>
      <c r="AP321" s="12" t="n"/>
      <c r="AQ321" s="7">
        <f>IF(A321="","",IF(AP321&lt;&gt;"",AP321,IF(LEFT(Z321,11)="gads_marque","Google Search – Marque",IF(LEFT(Z321,12)="gads_mariage","Google Search – Mariage et privé",IF(LEFT(Z321,10)="gads_corpo","Google Search – Corporatif",IF(LEFT(Z321,5)="meta_","Meta – Leads",IF(LEFT(Z321,5)="msft_","Microsoft Ads",IF(LEFT(Z321,8)="chatgpt_","ChatGPT Ads – Test",IF(X321="gbp","Fiche Google (organique)","Autre / non payé")))))))))</f>
        <v/>
      </c>
      <c r="AR321" s="7">
        <f>IF(K321="","",IFERROR(VLOOKUP(K321,Listes!$F$3:$H$8,3,FALSE),""))</f>
        <v/>
      </c>
      <c r="AS321" s="7">
        <f>IF(O321="","",IF(AND(M321="Autre (plus de 40 km)",OR(O321="lt600",O321="600_999",O321="1000_2499")),"D",IF(OR(O321="lt600",AND(O321="600_999",K321&lt;&gt;"mariage",K321&lt;&gt;"prive")),"C",IF(OR(O321="2500_4999",O321="5000p",J321="entreprise",J321="organisme",J321="agence"),"A",IF(OR(O321="1000_2499",O321="600_999"),"B",IF(O321="inconnu",IF(OR(N321="75_149",N321="150p"),"A","B"),""))))))</f>
        <v/>
      </c>
      <c r="AT321" s="7">
        <f>IF(A321="","",IF(P321&lt;&gt;"",P321,AS321))</f>
        <v/>
      </c>
      <c r="AU321" s="7">
        <f>IF(A321="","",IF(OR(AT321="A",AT321="B"),1,0))</f>
        <v/>
      </c>
      <c r="AV321" s="7">
        <f>IF(A321="","",IF(OR(R321="Dépôt payé (gagné)",R321="Événement livré",R321="Avis obtenu"),1,0))</f>
        <v/>
      </c>
      <c r="AW321" s="7">
        <f>IF(A321="","",IF(Q321&gt;70,"Immédiat – propriétaire",IF(Q321&gt;=40,"15 min – personne de garde","Selon la route")))</f>
        <v/>
      </c>
      <c r="AX321" s="11">
        <f>IF(A321="","",IF(AT321="A",400,IF(AT321="B",150,0)))</f>
        <v/>
      </c>
      <c r="AY321" s="11">
        <f>IF(A321="","",IF(AV321=1,N(V321),IF(N(U321)&gt;0,ROUND(N(U321)*IFERROR(VLOOKUP(R321,Listes!$AE$3:$AG$12,2,FALSE),0),0),0)))</f>
        <v/>
      </c>
      <c r="AZ321" s="7">
        <f>IF(LEFT(A321,7)="EXEMPLE",1,0)</f>
        <v/>
      </c>
      <c r="BA321" s="7">
        <f>IF(AND(AV321=1,AZ321=0,AC321&lt;&gt;"",W321&lt;&gt;"",N(V321)&gt;0),COUNTIFS($AV$3:AV321,1,$AZ$3:AZ321,0,$AC$3:AC321,"&lt;&gt;",$W$3:W321,"&lt;&gt;",$V$3:V321,"&gt;0"),"")</f>
        <v/>
      </c>
    </row>
    <row r="322">
      <c r="A322" s="12" t="n"/>
      <c r="B322" s="13" t="n"/>
      <c r="C322" s="13" t="n"/>
      <c r="D322" s="7">
        <f>IF(OR(B322="",C322=""),"",ROUND((C322-B322)*1440,0))</f>
        <v/>
      </c>
      <c r="E322" s="12" t="n"/>
      <c r="F322" s="12" t="n"/>
      <c r="G322" s="12" t="n"/>
      <c r="H322" s="12" t="n"/>
      <c r="I322" s="12" t="n"/>
      <c r="J322" s="12" t="n"/>
      <c r="K322" s="12" t="n"/>
      <c r="L322" s="14" t="n"/>
      <c r="M322" s="12" t="n"/>
      <c r="N322" s="12" t="n"/>
      <c r="O322" s="12" t="n"/>
      <c r="P322" s="12" t="n"/>
      <c r="Q322" s="7">
        <f>IF(A322="","",IFERROR(VLOOKUP(O322,Listes!$R$3:$T$8,2,FALSE),0)+IFERROR(VLOOKUP(J322,Listes!$J$3:$L$6,2,FALSE),0)+IFERROR(VLOOKUP(N322,Listes!$N$3:$P$6,2,FALSE),0)+IF(OR(L322="",B322=""),0,IF(L322-INT(B322)&lt;10,8,IF(L322-INT(B322)&lt;=90,10,5)))+IFERROR(VLOOKUP(AN322,Listes!$V$3:$W$5,2,FALSE),0)+IFERROR(VLOOKUP(AO322,Listes!$Y$3:$Z$5,2,FALSE),0))</f>
        <v/>
      </c>
      <c r="R322" s="12" t="n"/>
      <c r="S322" s="12" t="n"/>
      <c r="T322" s="12" t="n"/>
      <c r="U322" s="15" t="n"/>
      <c r="V322" s="15" t="n"/>
      <c r="W322" s="13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3" t="n"/>
      <c r="AK322" s="12" t="n"/>
      <c r="AL322" s="12" t="n"/>
      <c r="AM322" s="12" t="n"/>
      <c r="AN322" s="12" t="n"/>
      <c r="AO322" s="12" t="n"/>
      <c r="AP322" s="12" t="n"/>
      <c r="AQ322" s="7">
        <f>IF(A322="","",IF(AP322&lt;&gt;"",AP322,IF(LEFT(Z322,11)="gads_marque","Google Search – Marque",IF(LEFT(Z322,12)="gads_mariage","Google Search – Mariage et privé",IF(LEFT(Z322,10)="gads_corpo","Google Search – Corporatif",IF(LEFT(Z322,5)="meta_","Meta – Leads",IF(LEFT(Z322,5)="msft_","Microsoft Ads",IF(LEFT(Z322,8)="chatgpt_","ChatGPT Ads – Test",IF(X322="gbp","Fiche Google (organique)","Autre / non payé")))))))))</f>
        <v/>
      </c>
      <c r="AR322" s="7">
        <f>IF(K322="","",IFERROR(VLOOKUP(K322,Listes!$F$3:$H$8,3,FALSE),""))</f>
        <v/>
      </c>
      <c r="AS322" s="7">
        <f>IF(O322="","",IF(AND(M322="Autre (plus de 40 km)",OR(O322="lt600",O322="600_999",O322="1000_2499")),"D",IF(OR(O322="lt600",AND(O322="600_999",K322&lt;&gt;"mariage",K322&lt;&gt;"prive")),"C",IF(OR(O322="2500_4999",O322="5000p",J322="entreprise",J322="organisme",J322="agence"),"A",IF(OR(O322="1000_2499",O322="600_999"),"B",IF(O322="inconnu",IF(OR(N322="75_149",N322="150p"),"A","B"),""))))))</f>
        <v/>
      </c>
      <c r="AT322" s="7">
        <f>IF(A322="","",IF(P322&lt;&gt;"",P322,AS322))</f>
        <v/>
      </c>
      <c r="AU322" s="7">
        <f>IF(A322="","",IF(OR(AT322="A",AT322="B"),1,0))</f>
        <v/>
      </c>
      <c r="AV322" s="7">
        <f>IF(A322="","",IF(OR(R322="Dépôt payé (gagné)",R322="Événement livré",R322="Avis obtenu"),1,0))</f>
        <v/>
      </c>
      <c r="AW322" s="7">
        <f>IF(A322="","",IF(Q322&gt;70,"Immédiat – propriétaire",IF(Q322&gt;=40,"15 min – personne de garde","Selon la route")))</f>
        <v/>
      </c>
      <c r="AX322" s="11">
        <f>IF(A322="","",IF(AT322="A",400,IF(AT322="B",150,0)))</f>
        <v/>
      </c>
      <c r="AY322" s="11">
        <f>IF(A322="","",IF(AV322=1,N(V322),IF(N(U322)&gt;0,ROUND(N(U322)*IFERROR(VLOOKUP(R322,Listes!$AE$3:$AG$12,2,FALSE),0),0),0)))</f>
        <v/>
      </c>
      <c r="AZ322" s="7">
        <f>IF(LEFT(A322,7)="EXEMPLE",1,0)</f>
        <v/>
      </c>
      <c r="BA322" s="7">
        <f>IF(AND(AV322=1,AZ322=0,AC322&lt;&gt;"",W322&lt;&gt;"",N(V322)&gt;0),COUNTIFS($AV$3:AV322,1,$AZ$3:AZ322,0,$AC$3:AC322,"&lt;&gt;",$W$3:W322,"&lt;&gt;",$V$3:V322,"&gt;0"),"")</f>
        <v/>
      </c>
    </row>
    <row r="323">
      <c r="A323" s="12" t="n"/>
      <c r="B323" s="13" t="n"/>
      <c r="C323" s="13" t="n"/>
      <c r="D323" s="7">
        <f>IF(OR(B323="",C323=""),"",ROUND((C323-B323)*1440,0))</f>
        <v/>
      </c>
      <c r="E323" s="12" t="n"/>
      <c r="F323" s="12" t="n"/>
      <c r="G323" s="12" t="n"/>
      <c r="H323" s="12" t="n"/>
      <c r="I323" s="12" t="n"/>
      <c r="J323" s="12" t="n"/>
      <c r="K323" s="12" t="n"/>
      <c r="L323" s="14" t="n"/>
      <c r="M323" s="12" t="n"/>
      <c r="N323" s="12" t="n"/>
      <c r="O323" s="12" t="n"/>
      <c r="P323" s="12" t="n"/>
      <c r="Q323" s="7">
        <f>IF(A323="","",IFERROR(VLOOKUP(O323,Listes!$R$3:$T$8,2,FALSE),0)+IFERROR(VLOOKUP(J323,Listes!$J$3:$L$6,2,FALSE),0)+IFERROR(VLOOKUP(N323,Listes!$N$3:$P$6,2,FALSE),0)+IF(OR(L323="",B323=""),0,IF(L323-INT(B323)&lt;10,8,IF(L323-INT(B323)&lt;=90,10,5)))+IFERROR(VLOOKUP(AN323,Listes!$V$3:$W$5,2,FALSE),0)+IFERROR(VLOOKUP(AO323,Listes!$Y$3:$Z$5,2,FALSE),0))</f>
        <v/>
      </c>
      <c r="R323" s="12" t="n"/>
      <c r="S323" s="12" t="n"/>
      <c r="T323" s="12" t="n"/>
      <c r="U323" s="15" t="n"/>
      <c r="V323" s="15" t="n"/>
      <c r="W323" s="13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3" t="n"/>
      <c r="AK323" s="12" t="n"/>
      <c r="AL323" s="12" t="n"/>
      <c r="AM323" s="12" t="n"/>
      <c r="AN323" s="12" t="n"/>
      <c r="AO323" s="12" t="n"/>
      <c r="AP323" s="12" t="n"/>
      <c r="AQ323" s="7">
        <f>IF(A323="","",IF(AP323&lt;&gt;"",AP323,IF(LEFT(Z323,11)="gads_marque","Google Search – Marque",IF(LEFT(Z323,12)="gads_mariage","Google Search – Mariage et privé",IF(LEFT(Z323,10)="gads_corpo","Google Search – Corporatif",IF(LEFT(Z323,5)="meta_","Meta – Leads",IF(LEFT(Z323,5)="msft_","Microsoft Ads",IF(LEFT(Z323,8)="chatgpt_","ChatGPT Ads – Test",IF(X323="gbp","Fiche Google (organique)","Autre / non payé")))))))))</f>
        <v/>
      </c>
      <c r="AR323" s="7">
        <f>IF(K323="","",IFERROR(VLOOKUP(K323,Listes!$F$3:$H$8,3,FALSE),""))</f>
        <v/>
      </c>
      <c r="AS323" s="7">
        <f>IF(O323="","",IF(AND(M323="Autre (plus de 40 km)",OR(O323="lt600",O323="600_999",O323="1000_2499")),"D",IF(OR(O323="lt600",AND(O323="600_999",K323&lt;&gt;"mariage",K323&lt;&gt;"prive")),"C",IF(OR(O323="2500_4999",O323="5000p",J323="entreprise",J323="organisme",J323="agence"),"A",IF(OR(O323="1000_2499",O323="600_999"),"B",IF(O323="inconnu",IF(OR(N323="75_149",N323="150p"),"A","B"),""))))))</f>
        <v/>
      </c>
      <c r="AT323" s="7">
        <f>IF(A323="","",IF(P323&lt;&gt;"",P323,AS323))</f>
        <v/>
      </c>
      <c r="AU323" s="7">
        <f>IF(A323="","",IF(OR(AT323="A",AT323="B"),1,0))</f>
        <v/>
      </c>
      <c r="AV323" s="7">
        <f>IF(A323="","",IF(OR(R323="Dépôt payé (gagné)",R323="Événement livré",R323="Avis obtenu"),1,0))</f>
        <v/>
      </c>
      <c r="AW323" s="7">
        <f>IF(A323="","",IF(Q323&gt;70,"Immédiat – propriétaire",IF(Q323&gt;=40,"15 min – personne de garde","Selon la route")))</f>
        <v/>
      </c>
      <c r="AX323" s="11">
        <f>IF(A323="","",IF(AT323="A",400,IF(AT323="B",150,0)))</f>
        <v/>
      </c>
      <c r="AY323" s="11">
        <f>IF(A323="","",IF(AV323=1,N(V323),IF(N(U323)&gt;0,ROUND(N(U323)*IFERROR(VLOOKUP(R323,Listes!$AE$3:$AG$12,2,FALSE),0),0),0)))</f>
        <v/>
      </c>
      <c r="AZ323" s="7">
        <f>IF(LEFT(A323,7)="EXEMPLE",1,0)</f>
        <v/>
      </c>
      <c r="BA323" s="7">
        <f>IF(AND(AV323=1,AZ323=0,AC323&lt;&gt;"",W323&lt;&gt;"",N(V323)&gt;0),COUNTIFS($AV$3:AV323,1,$AZ$3:AZ323,0,$AC$3:AC323,"&lt;&gt;",$W$3:W323,"&lt;&gt;",$V$3:V323,"&gt;0"),"")</f>
        <v/>
      </c>
    </row>
    <row r="324">
      <c r="A324" s="12" t="n"/>
      <c r="B324" s="13" t="n"/>
      <c r="C324" s="13" t="n"/>
      <c r="D324" s="7">
        <f>IF(OR(B324="",C324=""),"",ROUND((C324-B324)*1440,0))</f>
        <v/>
      </c>
      <c r="E324" s="12" t="n"/>
      <c r="F324" s="12" t="n"/>
      <c r="G324" s="12" t="n"/>
      <c r="H324" s="12" t="n"/>
      <c r="I324" s="12" t="n"/>
      <c r="J324" s="12" t="n"/>
      <c r="K324" s="12" t="n"/>
      <c r="L324" s="14" t="n"/>
      <c r="M324" s="12" t="n"/>
      <c r="N324" s="12" t="n"/>
      <c r="O324" s="12" t="n"/>
      <c r="P324" s="12" t="n"/>
      <c r="Q324" s="7">
        <f>IF(A324="","",IFERROR(VLOOKUP(O324,Listes!$R$3:$T$8,2,FALSE),0)+IFERROR(VLOOKUP(J324,Listes!$J$3:$L$6,2,FALSE),0)+IFERROR(VLOOKUP(N324,Listes!$N$3:$P$6,2,FALSE),0)+IF(OR(L324="",B324=""),0,IF(L324-INT(B324)&lt;10,8,IF(L324-INT(B324)&lt;=90,10,5)))+IFERROR(VLOOKUP(AN324,Listes!$V$3:$W$5,2,FALSE),0)+IFERROR(VLOOKUP(AO324,Listes!$Y$3:$Z$5,2,FALSE),0))</f>
        <v/>
      </c>
      <c r="R324" s="12" t="n"/>
      <c r="S324" s="12" t="n"/>
      <c r="T324" s="12" t="n"/>
      <c r="U324" s="15" t="n"/>
      <c r="V324" s="15" t="n"/>
      <c r="W324" s="13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3" t="n"/>
      <c r="AK324" s="12" t="n"/>
      <c r="AL324" s="12" t="n"/>
      <c r="AM324" s="12" t="n"/>
      <c r="AN324" s="12" t="n"/>
      <c r="AO324" s="12" t="n"/>
      <c r="AP324" s="12" t="n"/>
      <c r="AQ324" s="7">
        <f>IF(A324="","",IF(AP324&lt;&gt;"",AP324,IF(LEFT(Z324,11)="gads_marque","Google Search – Marque",IF(LEFT(Z324,12)="gads_mariage","Google Search – Mariage et privé",IF(LEFT(Z324,10)="gads_corpo","Google Search – Corporatif",IF(LEFT(Z324,5)="meta_","Meta – Leads",IF(LEFT(Z324,5)="msft_","Microsoft Ads",IF(LEFT(Z324,8)="chatgpt_","ChatGPT Ads – Test",IF(X324="gbp","Fiche Google (organique)","Autre / non payé")))))))))</f>
        <v/>
      </c>
      <c r="AR324" s="7">
        <f>IF(K324="","",IFERROR(VLOOKUP(K324,Listes!$F$3:$H$8,3,FALSE),""))</f>
        <v/>
      </c>
      <c r="AS324" s="7">
        <f>IF(O324="","",IF(AND(M324="Autre (plus de 40 km)",OR(O324="lt600",O324="600_999",O324="1000_2499")),"D",IF(OR(O324="lt600",AND(O324="600_999",K324&lt;&gt;"mariage",K324&lt;&gt;"prive")),"C",IF(OR(O324="2500_4999",O324="5000p",J324="entreprise",J324="organisme",J324="agence"),"A",IF(OR(O324="1000_2499",O324="600_999"),"B",IF(O324="inconnu",IF(OR(N324="75_149",N324="150p"),"A","B"),""))))))</f>
        <v/>
      </c>
      <c r="AT324" s="7">
        <f>IF(A324="","",IF(P324&lt;&gt;"",P324,AS324))</f>
        <v/>
      </c>
      <c r="AU324" s="7">
        <f>IF(A324="","",IF(OR(AT324="A",AT324="B"),1,0))</f>
        <v/>
      </c>
      <c r="AV324" s="7">
        <f>IF(A324="","",IF(OR(R324="Dépôt payé (gagné)",R324="Événement livré",R324="Avis obtenu"),1,0))</f>
        <v/>
      </c>
      <c r="AW324" s="7">
        <f>IF(A324="","",IF(Q324&gt;70,"Immédiat – propriétaire",IF(Q324&gt;=40,"15 min – personne de garde","Selon la route")))</f>
        <v/>
      </c>
      <c r="AX324" s="11">
        <f>IF(A324="","",IF(AT324="A",400,IF(AT324="B",150,0)))</f>
        <v/>
      </c>
      <c r="AY324" s="11">
        <f>IF(A324="","",IF(AV324=1,N(V324),IF(N(U324)&gt;0,ROUND(N(U324)*IFERROR(VLOOKUP(R324,Listes!$AE$3:$AG$12,2,FALSE),0),0),0)))</f>
        <v/>
      </c>
      <c r="AZ324" s="7">
        <f>IF(LEFT(A324,7)="EXEMPLE",1,0)</f>
        <v/>
      </c>
      <c r="BA324" s="7">
        <f>IF(AND(AV324=1,AZ324=0,AC324&lt;&gt;"",W324&lt;&gt;"",N(V324)&gt;0),COUNTIFS($AV$3:AV324,1,$AZ$3:AZ324,0,$AC$3:AC324,"&lt;&gt;",$W$3:W324,"&lt;&gt;",$V$3:V324,"&gt;0"),"")</f>
        <v/>
      </c>
    </row>
    <row r="325">
      <c r="A325" s="12" t="n"/>
      <c r="B325" s="13" t="n"/>
      <c r="C325" s="13" t="n"/>
      <c r="D325" s="7">
        <f>IF(OR(B325="",C325=""),"",ROUND((C325-B325)*1440,0))</f>
        <v/>
      </c>
      <c r="E325" s="12" t="n"/>
      <c r="F325" s="12" t="n"/>
      <c r="G325" s="12" t="n"/>
      <c r="H325" s="12" t="n"/>
      <c r="I325" s="12" t="n"/>
      <c r="J325" s="12" t="n"/>
      <c r="K325" s="12" t="n"/>
      <c r="L325" s="14" t="n"/>
      <c r="M325" s="12" t="n"/>
      <c r="N325" s="12" t="n"/>
      <c r="O325" s="12" t="n"/>
      <c r="P325" s="12" t="n"/>
      <c r="Q325" s="7">
        <f>IF(A325="","",IFERROR(VLOOKUP(O325,Listes!$R$3:$T$8,2,FALSE),0)+IFERROR(VLOOKUP(J325,Listes!$J$3:$L$6,2,FALSE),0)+IFERROR(VLOOKUP(N325,Listes!$N$3:$P$6,2,FALSE),0)+IF(OR(L325="",B325=""),0,IF(L325-INT(B325)&lt;10,8,IF(L325-INT(B325)&lt;=90,10,5)))+IFERROR(VLOOKUP(AN325,Listes!$V$3:$W$5,2,FALSE),0)+IFERROR(VLOOKUP(AO325,Listes!$Y$3:$Z$5,2,FALSE),0))</f>
        <v/>
      </c>
      <c r="R325" s="12" t="n"/>
      <c r="S325" s="12" t="n"/>
      <c r="T325" s="12" t="n"/>
      <c r="U325" s="15" t="n"/>
      <c r="V325" s="15" t="n"/>
      <c r="W325" s="13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3" t="n"/>
      <c r="AK325" s="12" t="n"/>
      <c r="AL325" s="12" t="n"/>
      <c r="AM325" s="12" t="n"/>
      <c r="AN325" s="12" t="n"/>
      <c r="AO325" s="12" t="n"/>
      <c r="AP325" s="12" t="n"/>
      <c r="AQ325" s="7">
        <f>IF(A325="","",IF(AP325&lt;&gt;"",AP325,IF(LEFT(Z325,11)="gads_marque","Google Search – Marque",IF(LEFT(Z325,12)="gads_mariage","Google Search – Mariage et privé",IF(LEFT(Z325,10)="gads_corpo","Google Search – Corporatif",IF(LEFT(Z325,5)="meta_","Meta – Leads",IF(LEFT(Z325,5)="msft_","Microsoft Ads",IF(LEFT(Z325,8)="chatgpt_","ChatGPT Ads – Test",IF(X325="gbp","Fiche Google (organique)","Autre / non payé")))))))))</f>
        <v/>
      </c>
      <c r="AR325" s="7">
        <f>IF(K325="","",IFERROR(VLOOKUP(K325,Listes!$F$3:$H$8,3,FALSE),""))</f>
        <v/>
      </c>
      <c r="AS325" s="7">
        <f>IF(O325="","",IF(AND(M325="Autre (plus de 40 km)",OR(O325="lt600",O325="600_999",O325="1000_2499")),"D",IF(OR(O325="lt600",AND(O325="600_999",K325&lt;&gt;"mariage",K325&lt;&gt;"prive")),"C",IF(OR(O325="2500_4999",O325="5000p",J325="entreprise",J325="organisme",J325="agence"),"A",IF(OR(O325="1000_2499",O325="600_999"),"B",IF(O325="inconnu",IF(OR(N325="75_149",N325="150p"),"A","B"),""))))))</f>
        <v/>
      </c>
      <c r="AT325" s="7">
        <f>IF(A325="","",IF(P325&lt;&gt;"",P325,AS325))</f>
        <v/>
      </c>
      <c r="AU325" s="7">
        <f>IF(A325="","",IF(OR(AT325="A",AT325="B"),1,0))</f>
        <v/>
      </c>
      <c r="AV325" s="7">
        <f>IF(A325="","",IF(OR(R325="Dépôt payé (gagné)",R325="Événement livré",R325="Avis obtenu"),1,0))</f>
        <v/>
      </c>
      <c r="AW325" s="7">
        <f>IF(A325="","",IF(Q325&gt;70,"Immédiat – propriétaire",IF(Q325&gt;=40,"15 min – personne de garde","Selon la route")))</f>
        <v/>
      </c>
      <c r="AX325" s="11">
        <f>IF(A325="","",IF(AT325="A",400,IF(AT325="B",150,0)))</f>
        <v/>
      </c>
      <c r="AY325" s="11">
        <f>IF(A325="","",IF(AV325=1,N(V325),IF(N(U325)&gt;0,ROUND(N(U325)*IFERROR(VLOOKUP(R325,Listes!$AE$3:$AG$12,2,FALSE),0),0),0)))</f>
        <v/>
      </c>
      <c r="AZ325" s="7">
        <f>IF(LEFT(A325,7)="EXEMPLE",1,0)</f>
        <v/>
      </c>
      <c r="BA325" s="7">
        <f>IF(AND(AV325=1,AZ325=0,AC325&lt;&gt;"",W325&lt;&gt;"",N(V325)&gt;0),COUNTIFS($AV$3:AV325,1,$AZ$3:AZ325,0,$AC$3:AC325,"&lt;&gt;",$W$3:W325,"&lt;&gt;",$V$3:V325,"&gt;0"),"")</f>
        <v/>
      </c>
    </row>
    <row r="326">
      <c r="A326" s="12" t="n"/>
      <c r="B326" s="13" t="n"/>
      <c r="C326" s="13" t="n"/>
      <c r="D326" s="7">
        <f>IF(OR(B326="",C326=""),"",ROUND((C326-B326)*1440,0))</f>
        <v/>
      </c>
      <c r="E326" s="12" t="n"/>
      <c r="F326" s="12" t="n"/>
      <c r="G326" s="12" t="n"/>
      <c r="H326" s="12" t="n"/>
      <c r="I326" s="12" t="n"/>
      <c r="J326" s="12" t="n"/>
      <c r="K326" s="12" t="n"/>
      <c r="L326" s="14" t="n"/>
      <c r="M326" s="12" t="n"/>
      <c r="N326" s="12" t="n"/>
      <c r="O326" s="12" t="n"/>
      <c r="P326" s="12" t="n"/>
      <c r="Q326" s="7">
        <f>IF(A326="","",IFERROR(VLOOKUP(O326,Listes!$R$3:$T$8,2,FALSE),0)+IFERROR(VLOOKUP(J326,Listes!$J$3:$L$6,2,FALSE),0)+IFERROR(VLOOKUP(N326,Listes!$N$3:$P$6,2,FALSE),0)+IF(OR(L326="",B326=""),0,IF(L326-INT(B326)&lt;10,8,IF(L326-INT(B326)&lt;=90,10,5)))+IFERROR(VLOOKUP(AN326,Listes!$V$3:$W$5,2,FALSE),0)+IFERROR(VLOOKUP(AO326,Listes!$Y$3:$Z$5,2,FALSE),0))</f>
        <v/>
      </c>
      <c r="R326" s="12" t="n"/>
      <c r="S326" s="12" t="n"/>
      <c r="T326" s="12" t="n"/>
      <c r="U326" s="15" t="n"/>
      <c r="V326" s="15" t="n"/>
      <c r="W326" s="13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3" t="n"/>
      <c r="AK326" s="12" t="n"/>
      <c r="AL326" s="12" t="n"/>
      <c r="AM326" s="12" t="n"/>
      <c r="AN326" s="12" t="n"/>
      <c r="AO326" s="12" t="n"/>
      <c r="AP326" s="12" t="n"/>
      <c r="AQ326" s="7">
        <f>IF(A326="","",IF(AP326&lt;&gt;"",AP326,IF(LEFT(Z326,11)="gads_marque","Google Search – Marque",IF(LEFT(Z326,12)="gads_mariage","Google Search – Mariage et privé",IF(LEFT(Z326,10)="gads_corpo","Google Search – Corporatif",IF(LEFT(Z326,5)="meta_","Meta – Leads",IF(LEFT(Z326,5)="msft_","Microsoft Ads",IF(LEFT(Z326,8)="chatgpt_","ChatGPT Ads – Test",IF(X326="gbp","Fiche Google (organique)","Autre / non payé")))))))))</f>
        <v/>
      </c>
      <c r="AR326" s="7">
        <f>IF(K326="","",IFERROR(VLOOKUP(K326,Listes!$F$3:$H$8,3,FALSE),""))</f>
        <v/>
      </c>
      <c r="AS326" s="7">
        <f>IF(O326="","",IF(AND(M326="Autre (plus de 40 km)",OR(O326="lt600",O326="600_999",O326="1000_2499")),"D",IF(OR(O326="lt600",AND(O326="600_999",K326&lt;&gt;"mariage",K326&lt;&gt;"prive")),"C",IF(OR(O326="2500_4999",O326="5000p",J326="entreprise",J326="organisme",J326="agence"),"A",IF(OR(O326="1000_2499",O326="600_999"),"B",IF(O326="inconnu",IF(OR(N326="75_149",N326="150p"),"A","B"),""))))))</f>
        <v/>
      </c>
      <c r="AT326" s="7">
        <f>IF(A326="","",IF(P326&lt;&gt;"",P326,AS326))</f>
        <v/>
      </c>
      <c r="AU326" s="7">
        <f>IF(A326="","",IF(OR(AT326="A",AT326="B"),1,0))</f>
        <v/>
      </c>
      <c r="AV326" s="7">
        <f>IF(A326="","",IF(OR(R326="Dépôt payé (gagné)",R326="Événement livré",R326="Avis obtenu"),1,0))</f>
        <v/>
      </c>
      <c r="AW326" s="7">
        <f>IF(A326="","",IF(Q326&gt;70,"Immédiat – propriétaire",IF(Q326&gt;=40,"15 min – personne de garde","Selon la route")))</f>
        <v/>
      </c>
      <c r="AX326" s="11">
        <f>IF(A326="","",IF(AT326="A",400,IF(AT326="B",150,0)))</f>
        <v/>
      </c>
      <c r="AY326" s="11">
        <f>IF(A326="","",IF(AV326=1,N(V326),IF(N(U326)&gt;0,ROUND(N(U326)*IFERROR(VLOOKUP(R326,Listes!$AE$3:$AG$12,2,FALSE),0),0),0)))</f>
        <v/>
      </c>
      <c r="AZ326" s="7">
        <f>IF(LEFT(A326,7)="EXEMPLE",1,0)</f>
        <v/>
      </c>
      <c r="BA326" s="7">
        <f>IF(AND(AV326=1,AZ326=0,AC326&lt;&gt;"",W326&lt;&gt;"",N(V326)&gt;0),COUNTIFS($AV$3:AV326,1,$AZ$3:AZ326,0,$AC$3:AC326,"&lt;&gt;",$W$3:W326,"&lt;&gt;",$V$3:V326,"&gt;0"),"")</f>
        <v/>
      </c>
    </row>
    <row r="327">
      <c r="A327" s="12" t="n"/>
      <c r="B327" s="13" t="n"/>
      <c r="C327" s="13" t="n"/>
      <c r="D327" s="7">
        <f>IF(OR(B327="",C327=""),"",ROUND((C327-B327)*1440,0))</f>
        <v/>
      </c>
      <c r="E327" s="12" t="n"/>
      <c r="F327" s="12" t="n"/>
      <c r="G327" s="12" t="n"/>
      <c r="H327" s="12" t="n"/>
      <c r="I327" s="12" t="n"/>
      <c r="J327" s="12" t="n"/>
      <c r="K327" s="12" t="n"/>
      <c r="L327" s="14" t="n"/>
      <c r="M327" s="12" t="n"/>
      <c r="N327" s="12" t="n"/>
      <c r="O327" s="12" t="n"/>
      <c r="P327" s="12" t="n"/>
      <c r="Q327" s="7">
        <f>IF(A327="","",IFERROR(VLOOKUP(O327,Listes!$R$3:$T$8,2,FALSE),0)+IFERROR(VLOOKUP(J327,Listes!$J$3:$L$6,2,FALSE),0)+IFERROR(VLOOKUP(N327,Listes!$N$3:$P$6,2,FALSE),0)+IF(OR(L327="",B327=""),0,IF(L327-INT(B327)&lt;10,8,IF(L327-INT(B327)&lt;=90,10,5)))+IFERROR(VLOOKUP(AN327,Listes!$V$3:$W$5,2,FALSE),0)+IFERROR(VLOOKUP(AO327,Listes!$Y$3:$Z$5,2,FALSE),0))</f>
        <v/>
      </c>
      <c r="R327" s="12" t="n"/>
      <c r="S327" s="12" t="n"/>
      <c r="T327" s="12" t="n"/>
      <c r="U327" s="15" t="n"/>
      <c r="V327" s="15" t="n"/>
      <c r="W327" s="13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3" t="n"/>
      <c r="AK327" s="12" t="n"/>
      <c r="AL327" s="12" t="n"/>
      <c r="AM327" s="12" t="n"/>
      <c r="AN327" s="12" t="n"/>
      <c r="AO327" s="12" t="n"/>
      <c r="AP327" s="12" t="n"/>
      <c r="AQ327" s="7">
        <f>IF(A327="","",IF(AP327&lt;&gt;"",AP327,IF(LEFT(Z327,11)="gads_marque","Google Search – Marque",IF(LEFT(Z327,12)="gads_mariage","Google Search – Mariage et privé",IF(LEFT(Z327,10)="gads_corpo","Google Search – Corporatif",IF(LEFT(Z327,5)="meta_","Meta – Leads",IF(LEFT(Z327,5)="msft_","Microsoft Ads",IF(LEFT(Z327,8)="chatgpt_","ChatGPT Ads – Test",IF(X327="gbp","Fiche Google (organique)","Autre / non payé")))))))))</f>
        <v/>
      </c>
      <c r="AR327" s="7">
        <f>IF(K327="","",IFERROR(VLOOKUP(K327,Listes!$F$3:$H$8,3,FALSE),""))</f>
        <v/>
      </c>
      <c r="AS327" s="7">
        <f>IF(O327="","",IF(AND(M327="Autre (plus de 40 km)",OR(O327="lt600",O327="600_999",O327="1000_2499")),"D",IF(OR(O327="lt600",AND(O327="600_999",K327&lt;&gt;"mariage",K327&lt;&gt;"prive")),"C",IF(OR(O327="2500_4999",O327="5000p",J327="entreprise",J327="organisme",J327="agence"),"A",IF(OR(O327="1000_2499",O327="600_999"),"B",IF(O327="inconnu",IF(OR(N327="75_149",N327="150p"),"A","B"),""))))))</f>
        <v/>
      </c>
      <c r="AT327" s="7">
        <f>IF(A327="","",IF(P327&lt;&gt;"",P327,AS327))</f>
        <v/>
      </c>
      <c r="AU327" s="7">
        <f>IF(A327="","",IF(OR(AT327="A",AT327="B"),1,0))</f>
        <v/>
      </c>
      <c r="AV327" s="7">
        <f>IF(A327="","",IF(OR(R327="Dépôt payé (gagné)",R327="Événement livré",R327="Avis obtenu"),1,0))</f>
        <v/>
      </c>
      <c r="AW327" s="7">
        <f>IF(A327="","",IF(Q327&gt;70,"Immédiat – propriétaire",IF(Q327&gt;=40,"15 min – personne de garde","Selon la route")))</f>
        <v/>
      </c>
      <c r="AX327" s="11">
        <f>IF(A327="","",IF(AT327="A",400,IF(AT327="B",150,0)))</f>
        <v/>
      </c>
      <c r="AY327" s="11">
        <f>IF(A327="","",IF(AV327=1,N(V327),IF(N(U327)&gt;0,ROUND(N(U327)*IFERROR(VLOOKUP(R327,Listes!$AE$3:$AG$12,2,FALSE),0),0),0)))</f>
        <v/>
      </c>
      <c r="AZ327" s="7">
        <f>IF(LEFT(A327,7)="EXEMPLE",1,0)</f>
        <v/>
      </c>
      <c r="BA327" s="7">
        <f>IF(AND(AV327=1,AZ327=0,AC327&lt;&gt;"",W327&lt;&gt;"",N(V327)&gt;0),COUNTIFS($AV$3:AV327,1,$AZ$3:AZ327,0,$AC$3:AC327,"&lt;&gt;",$W$3:W327,"&lt;&gt;",$V$3:V327,"&gt;0"),"")</f>
        <v/>
      </c>
    </row>
    <row r="328">
      <c r="A328" s="12" t="n"/>
      <c r="B328" s="13" t="n"/>
      <c r="C328" s="13" t="n"/>
      <c r="D328" s="7">
        <f>IF(OR(B328="",C328=""),"",ROUND((C328-B328)*1440,0))</f>
        <v/>
      </c>
      <c r="E328" s="12" t="n"/>
      <c r="F328" s="12" t="n"/>
      <c r="G328" s="12" t="n"/>
      <c r="H328" s="12" t="n"/>
      <c r="I328" s="12" t="n"/>
      <c r="J328" s="12" t="n"/>
      <c r="K328" s="12" t="n"/>
      <c r="L328" s="14" t="n"/>
      <c r="M328" s="12" t="n"/>
      <c r="N328" s="12" t="n"/>
      <c r="O328" s="12" t="n"/>
      <c r="P328" s="12" t="n"/>
      <c r="Q328" s="7">
        <f>IF(A328="","",IFERROR(VLOOKUP(O328,Listes!$R$3:$T$8,2,FALSE),0)+IFERROR(VLOOKUP(J328,Listes!$J$3:$L$6,2,FALSE),0)+IFERROR(VLOOKUP(N328,Listes!$N$3:$P$6,2,FALSE),0)+IF(OR(L328="",B328=""),0,IF(L328-INT(B328)&lt;10,8,IF(L328-INT(B328)&lt;=90,10,5)))+IFERROR(VLOOKUP(AN328,Listes!$V$3:$W$5,2,FALSE),0)+IFERROR(VLOOKUP(AO328,Listes!$Y$3:$Z$5,2,FALSE),0))</f>
        <v/>
      </c>
      <c r="R328" s="12" t="n"/>
      <c r="S328" s="12" t="n"/>
      <c r="T328" s="12" t="n"/>
      <c r="U328" s="15" t="n"/>
      <c r="V328" s="15" t="n"/>
      <c r="W328" s="13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3" t="n"/>
      <c r="AK328" s="12" t="n"/>
      <c r="AL328" s="12" t="n"/>
      <c r="AM328" s="12" t="n"/>
      <c r="AN328" s="12" t="n"/>
      <c r="AO328" s="12" t="n"/>
      <c r="AP328" s="12" t="n"/>
      <c r="AQ328" s="7">
        <f>IF(A328="","",IF(AP328&lt;&gt;"",AP328,IF(LEFT(Z328,11)="gads_marque","Google Search – Marque",IF(LEFT(Z328,12)="gads_mariage","Google Search – Mariage et privé",IF(LEFT(Z328,10)="gads_corpo","Google Search – Corporatif",IF(LEFT(Z328,5)="meta_","Meta – Leads",IF(LEFT(Z328,5)="msft_","Microsoft Ads",IF(LEFT(Z328,8)="chatgpt_","ChatGPT Ads – Test",IF(X328="gbp","Fiche Google (organique)","Autre / non payé")))))))))</f>
        <v/>
      </c>
      <c r="AR328" s="7">
        <f>IF(K328="","",IFERROR(VLOOKUP(K328,Listes!$F$3:$H$8,3,FALSE),""))</f>
        <v/>
      </c>
      <c r="AS328" s="7">
        <f>IF(O328="","",IF(AND(M328="Autre (plus de 40 km)",OR(O328="lt600",O328="600_999",O328="1000_2499")),"D",IF(OR(O328="lt600",AND(O328="600_999",K328&lt;&gt;"mariage",K328&lt;&gt;"prive")),"C",IF(OR(O328="2500_4999",O328="5000p",J328="entreprise",J328="organisme",J328="agence"),"A",IF(OR(O328="1000_2499",O328="600_999"),"B",IF(O328="inconnu",IF(OR(N328="75_149",N328="150p"),"A","B"),""))))))</f>
        <v/>
      </c>
      <c r="AT328" s="7">
        <f>IF(A328="","",IF(P328&lt;&gt;"",P328,AS328))</f>
        <v/>
      </c>
      <c r="AU328" s="7">
        <f>IF(A328="","",IF(OR(AT328="A",AT328="B"),1,0))</f>
        <v/>
      </c>
      <c r="AV328" s="7">
        <f>IF(A328="","",IF(OR(R328="Dépôt payé (gagné)",R328="Événement livré",R328="Avis obtenu"),1,0))</f>
        <v/>
      </c>
      <c r="AW328" s="7">
        <f>IF(A328="","",IF(Q328&gt;70,"Immédiat – propriétaire",IF(Q328&gt;=40,"15 min – personne de garde","Selon la route")))</f>
        <v/>
      </c>
      <c r="AX328" s="11">
        <f>IF(A328="","",IF(AT328="A",400,IF(AT328="B",150,0)))</f>
        <v/>
      </c>
      <c r="AY328" s="11">
        <f>IF(A328="","",IF(AV328=1,N(V328),IF(N(U328)&gt;0,ROUND(N(U328)*IFERROR(VLOOKUP(R328,Listes!$AE$3:$AG$12,2,FALSE),0),0),0)))</f>
        <v/>
      </c>
      <c r="AZ328" s="7">
        <f>IF(LEFT(A328,7)="EXEMPLE",1,0)</f>
        <v/>
      </c>
      <c r="BA328" s="7">
        <f>IF(AND(AV328=1,AZ328=0,AC328&lt;&gt;"",W328&lt;&gt;"",N(V328)&gt;0),COUNTIFS($AV$3:AV328,1,$AZ$3:AZ328,0,$AC$3:AC328,"&lt;&gt;",$W$3:W328,"&lt;&gt;",$V$3:V328,"&gt;0"),"")</f>
        <v/>
      </c>
    </row>
    <row r="329">
      <c r="A329" s="12" t="n"/>
      <c r="B329" s="13" t="n"/>
      <c r="C329" s="13" t="n"/>
      <c r="D329" s="7">
        <f>IF(OR(B329="",C329=""),"",ROUND((C329-B329)*1440,0))</f>
        <v/>
      </c>
      <c r="E329" s="12" t="n"/>
      <c r="F329" s="12" t="n"/>
      <c r="G329" s="12" t="n"/>
      <c r="H329" s="12" t="n"/>
      <c r="I329" s="12" t="n"/>
      <c r="J329" s="12" t="n"/>
      <c r="K329" s="12" t="n"/>
      <c r="L329" s="14" t="n"/>
      <c r="M329" s="12" t="n"/>
      <c r="N329" s="12" t="n"/>
      <c r="O329" s="12" t="n"/>
      <c r="P329" s="12" t="n"/>
      <c r="Q329" s="7">
        <f>IF(A329="","",IFERROR(VLOOKUP(O329,Listes!$R$3:$T$8,2,FALSE),0)+IFERROR(VLOOKUP(J329,Listes!$J$3:$L$6,2,FALSE),0)+IFERROR(VLOOKUP(N329,Listes!$N$3:$P$6,2,FALSE),0)+IF(OR(L329="",B329=""),0,IF(L329-INT(B329)&lt;10,8,IF(L329-INT(B329)&lt;=90,10,5)))+IFERROR(VLOOKUP(AN329,Listes!$V$3:$W$5,2,FALSE),0)+IFERROR(VLOOKUP(AO329,Listes!$Y$3:$Z$5,2,FALSE),0))</f>
        <v/>
      </c>
      <c r="R329" s="12" t="n"/>
      <c r="S329" s="12" t="n"/>
      <c r="T329" s="12" t="n"/>
      <c r="U329" s="15" t="n"/>
      <c r="V329" s="15" t="n"/>
      <c r="W329" s="13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3" t="n"/>
      <c r="AK329" s="12" t="n"/>
      <c r="AL329" s="12" t="n"/>
      <c r="AM329" s="12" t="n"/>
      <c r="AN329" s="12" t="n"/>
      <c r="AO329" s="12" t="n"/>
      <c r="AP329" s="12" t="n"/>
      <c r="AQ329" s="7">
        <f>IF(A329="","",IF(AP329&lt;&gt;"",AP329,IF(LEFT(Z329,11)="gads_marque","Google Search – Marque",IF(LEFT(Z329,12)="gads_mariage","Google Search – Mariage et privé",IF(LEFT(Z329,10)="gads_corpo","Google Search – Corporatif",IF(LEFT(Z329,5)="meta_","Meta – Leads",IF(LEFT(Z329,5)="msft_","Microsoft Ads",IF(LEFT(Z329,8)="chatgpt_","ChatGPT Ads – Test",IF(X329="gbp","Fiche Google (organique)","Autre / non payé")))))))))</f>
        <v/>
      </c>
      <c r="AR329" s="7">
        <f>IF(K329="","",IFERROR(VLOOKUP(K329,Listes!$F$3:$H$8,3,FALSE),""))</f>
        <v/>
      </c>
      <c r="AS329" s="7">
        <f>IF(O329="","",IF(AND(M329="Autre (plus de 40 km)",OR(O329="lt600",O329="600_999",O329="1000_2499")),"D",IF(OR(O329="lt600",AND(O329="600_999",K329&lt;&gt;"mariage",K329&lt;&gt;"prive")),"C",IF(OR(O329="2500_4999",O329="5000p",J329="entreprise",J329="organisme",J329="agence"),"A",IF(OR(O329="1000_2499",O329="600_999"),"B",IF(O329="inconnu",IF(OR(N329="75_149",N329="150p"),"A","B"),""))))))</f>
        <v/>
      </c>
      <c r="AT329" s="7">
        <f>IF(A329="","",IF(P329&lt;&gt;"",P329,AS329))</f>
        <v/>
      </c>
      <c r="AU329" s="7">
        <f>IF(A329="","",IF(OR(AT329="A",AT329="B"),1,0))</f>
        <v/>
      </c>
      <c r="AV329" s="7">
        <f>IF(A329="","",IF(OR(R329="Dépôt payé (gagné)",R329="Événement livré",R329="Avis obtenu"),1,0))</f>
        <v/>
      </c>
      <c r="AW329" s="7">
        <f>IF(A329="","",IF(Q329&gt;70,"Immédiat – propriétaire",IF(Q329&gt;=40,"15 min – personne de garde","Selon la route")))</f>
        <v/>
      </c>
      <c r="AX329" s="11">
        <f>IF(A329="","",IF(AT329="A",400,IF(AT329="B",150,0)))</f>
        <v/>
      </c>
      <c r="AY329" s="11">
        <f>IF(A329="","",IF(AV329=1,N(V329),IF(N(U329)&gt;0,ROUND(N(U329)*IFERROR(VLOOKUP(R329,Listes!$AE$3:$AG$12,2,FALSE),0),0),0)))</f>
        <v/>
      </c>
      <c r="AZ329" s="7">
        <f>IF(LEFT(A329,7)="EXEMPLE",1,0)</f>
        <v/>
      </c>
      <c r="BA329" s="7">
        <f>IF(AND(AV329=1,AZ329=0,AC329&lt;&gt;"",W329&lt;&gt;"",N(V329)&gt;0),COUNTIFS($AV$3:AV329,1,$AZ$3:AZ329,0,$AC$3:AC329,"&lt;&gt;",$W$3:W329,"&lt;&gt;",$V$3:V329,"&gt;0"),"")</f>
        <v/>
      </c>
    </row>
    <row r="330">
      <c r="A330" s="12" t="n"/>
      <c r="B330" s="13" t="n"/>
      <c r="C330" s="13" t="n"/>
      <c r="D330" s="7">
        <f>IF(OR(B330="",C330=""),"",ROUND((C330-B330)*1440,0))</f>
        <v/>
      </c>
      <c r="E330" s="12" t="n"/>
      <c r="F330" s="12" t="n"/>
      <c r="G330" s="12" t="n"/>
      <c r="H330" s="12" t="n"/>
      <c r="I330" s="12" t="n"/>
      <c r="J330" s="12" t="n"/>
      <c r="K330" s="12" t="n"/>
      <c r="L330" s="14" t="n"/>
      <c r="M330" s="12" t="n"/>
      <c r="N330" s="12" t="n"/>
      <c r="O330" s="12" t="n"/>
      <c r="P330" s="12" t="n"/>
      <c r="Q330" s="7">
        <f>IF(A330="","",IFERROR(VLOOKUP(O330,Listes!$R$3:$T$8,2,FALSE),0)+IFERROR(VLOOKUP(J330,Listes!$J$3:$L$6,2,FALSE),0)+IFERROR(VLOOKUP(N330,Listes!$N$3:$P$6,2,FALSE),0)+IF(OR(L330="",B330=""),0,IF(L330-INT(B330)&lt;10,8,IF(L330-INT(B330)&lt;=90,10,5)))+IFERROR(VLOOKUP(AN330,Listes!$V$3:$W$5,2,FALSE),0)+IFERROR(VLOOKUP(AO330,Listes!$Y$3:$Z$5,2,FALSE),0))</f>
        <v/>
      </c>
      <c r="R330" s="12" t="n"/>
      <c r="S330" s="12" t="n"/>
      <c r="T330" s="12" t="n"/>
      <c r="U330" s="15" t="n"/>
      <c r="V330" s="15" t="n"/>
      <c r="W330" s="13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3" t="n"/>
      <c r="AK330" s="12" t="n"/>
      <c r="AL330" s="12" t="n"/>
      <c r="AM330" s="12" t="n"/>
      <c r="AN330" s="12" t="n"/>
      <c r="AO330" s="12" t="n"/>
      <c r="AP330" s="12" t="n"/>
      <c r="AQ330" s="7">
        <f>IF(A330="","",IF(AP330&lt;&gt;"",AP330,IF(LEFT(Z330,11)="gads_marque","Google Search – Marque",IF(LEFT(Z330,12)="gads_mariage","Google Search – Mariage et privé",IF(LEFT(Z330,10)="gads_corpo","Google Search – Corporatif",IF(LEFT(Z330,5)="meta_","Meta – Leads",IF(LEFT(Z330,5)="msft_","Microsoft Ads",IF(LEFT(Z330,8)="chatgpt_","ChatGPT Ads – Test",IF(X330="gbp","Fiche Google (organique)","Autre / non payé")))))))))</f>
        <v/>
      </c>
      <c r="AR330" s="7">
        <f>IF(K330="","",IFERROR(VLOOKUP(K330,Listes!$F$3:$H$8,3,FALSE),""))</f>
        <v/>
      </c>
      <c r="AS330" s="7">
        <f>IF(O330="","",IF(AND(M330="Autre (plus de 40 km)",OR(O330="lt600",O330="600_999",O330="1000_2499")),"D",IF(OR(O330="lt600",AND(O330="600_999",K330&lt;&gt;"mariage",K330&lt;&gt;"prive")),"C",IF(OR(O330="2500_4999",O330="5000p",J330="entreprise",J330="organisme",J330="agence"),"A",IF(OR(O330="1000_2499",O330="600_999"),"B",IF(O330="inconnu",IF(OR(N330="75_149",N330="150p"),"A","B"),""))))))</f>
        <v/>
      </c>
      <c r="AT330" s="7">
        <f>IF(A330="","",IF(P330&lt;&gt;"",P330,AS330))</f>
        <v/>
      </c>
      <c r="AU330" s="7">
        <f>IF(A330="","",IF(OR(AT330="A",AT330="B"),1,0))</f>
        <v/>
      </c>
      <c r="AV330" s="7">
        <f>IF(A330="","",IF(OR(R330="Dépôt payé (gagné)",R330="Événement livré",R330="Avis obtenu"),1,0))</f>
        <v/>
      </c>
      <c r="AW330" s="7">
        <f>IF(A330="","",IF(Q330&gt;70,"Immédiat – propriétaire",IF(Q330&gt;=40,"15 min – personne de garde","Selon la route")))</f>
        <v/>
      </c>
      <c r="AX330" s="11">
        <f>IF(A330="","",IF(AT330="A",400,IF(AT330="B",150,0)))</f>
        <v/>
      </c>
      <c r="AY330" s="11">
        <f>IF(A330="","",IF(AV330=1,N(V330),IF(N(U330)&gt;0,ROUND(N(U330)*IFERROR(VLOOKUP(R330,Listes!$AE$3:$AG$12,2,FALSE),0),0),0)))</f>
        <v/>
      </c>
      <c r="AZ330" s="7">
        <f>IF(LEFT(A330,7)="EXEMPLE",1,0)</f>
        <v/>
      </c>
      <c r="BA330" s="7">
        <f>IF(AND(AV330=1,AZ330=0,AC330&lt;&gt;"",W330&lt;&gt;"",N(V330)&gt;0),COUNTIFS($AV$3:AV330,1,$AZ$3:AZ330,0,$AC$3:AC330,"&lt;&gt;",$W$3:W330,"&lt;&gt;",$V$3:V330,"&gt;0"),"")</f>
        <v/>
      </c>
    </row>
    <row r="331">
      <c r="A331" s="12" t="n"/>
      <c r="B331" s="13" t="n"/>
      <c r="C331" s="13" t="n"/>
      <c r="D331" s="7">
        <f>IF(OR(B331="",C331=""),"",ROUND((C331-B331)*1440,0))</f>
        <v/>
      </c>
      <c r="E331" s="12" t="n"/>
      <c r="F331" s="12" t="n"/>
      <c r="G331" s="12" t="n"/>
      <c r="H331" s="12" t="n"/>
      <c r="I331" s="12" t="n"/>
      <c r="J331" s="12" t="n"/>
      <c r="K331" s="12" t="n"/>
      <c r="L331" s="14" t="n"/>
      <c r="M331" s="12" t="n"/>
      <c r="N331" s="12" t="n"/>
      <c r="O331" s="12" t="n"/>
      <c r="P331" s="12" t="n"/>
      <c r="Q331" s="7">
        <f>IF(A331="","",IFERROR(VLOOKUP(O331,Listes!$R$3:$T$8,2,FALSE),0)+IFERROR(VLOOKUP(J331,Listes!$J$3:$L$6,2,FALSE),0)+IFERROR(VLOOKUP(N331,Listes!$N$3:$P$6,2,FALSE),0)+IF(OR(L331="",B331=""),0,IF(L331-INT(B331)&lt;10,8,IF(L331-INT(B331)&lt;=90,10,5)))+IFERROR(VLOOKUP(AN331,Listes!$V$3:$W$5,2,FALSE),0)+IFERROR(VLOOKUP(AO331,Listes!$Y$3:$Z$5,2,FALSE),0))</f>
        <v/>
      </c>
      <c r="R331" s="12" t="n"/>
      <c r="S331" s="12" t="n"/>
      <c r="T331" s="12" t="n"/>
      <c r="U331" s="15" t="n"/>
      <c r="V331" s="15" t="n"/>
      <c r="W331" s="13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3" t="n"/>
      <c r="AK331" s="12" t="n"/>
      <c r="AL331" s="12" t="n"/>
      <c r="AM331" s="12" t="n"/>
      <c r="AN331" s="12" t="n"/>
      <c r="AO331" s="12" t="n"/>
      <c r="AP331" s="12" t="n"/>
      <c r="AQ331" s="7">
        <f>IF(A331="","",IF(AP331&lt;&gt;"",AP331,IF(LEFT(Z331,11)="gads_marque","Google Search – Marque",IF(LEFT(Z331,12)="gads_mariage","Google Search – Mariage et privé",IF(LEFT(Z331,10)="gads_corpo","Google Search – Corporatif",IF(LEFT(Z331,5)="meta_","Meta – Leads",IF(LEFT(Z331,5)="msft_","Microsoft Ads",IF(LEFT(Z331,8)="chatgpt_","ChatGPT Ads – Test",IF(X331="gbp","Fiche Google (organique)","Autre / non payé")))))))))</f>
        <v/>
      </c>
      <c r="AR331" s="7">
        <f>IF(K331="","",IFERROR(VLOOKUP(K331,Listes!$F$3:$H$8,3,FALSE),""))</f>
        <v/>
      </c>
      <c r="AS331" s="7">
        <f>IF(O331="","",IF(AND(M331="Autre (plus de 40 km)",OR(O331="lt600",O331="600_999",O331="1000_2499")),"D",IF(OR(O331="lt600",AND(O331="600_999",K331&lt;&gt;"mariage",K331&lt;&gt;"prive")),"C",IF(OR(O331="2500_4999",O331="5000p",J331="entreprise",J331="organisme",J331="agence"),"A",IF(OR(O331="1000_2499",O331="600_999"),"B",IF(O331="inconnu",IF(OR(N331="75_149",N331="150p"),"A","B"),""))))))</f>
        <v/>
      </c>
      <c r="AT331" s="7">
        <f>IF(A331="","",IF(P331&lt;&gt;"",P331,AS331))</f>
        <v/>
      </c>
      <c r="AU331" s="7">
        <f>IF(A331="","",IF(OR(AT331="A",AT331="B"),1,0))</f>
        <v/>
      </c>
      <c r="AV331" s="7">
        <f>IF(A331="","",IF(OR(R331="Dépôt payé (gagné)",R331="Événement livré",R331="Avis obtenu"),1,0))</f>
        <v/>
      </c>
      <c r="AW331" s="7">
        <f>IF(A331="","",IF(Q331&gt;70,"Immédiat – propriétaire",IF(Q331&gt;=40,"15 min – personne de garde","Selon la route")))</f>
        <v/>
      </c>
      <c r="AX331" s="11">
        <f>IF(A331="","",IF(AT331="A",400,IF(AT331="B",150,0)))</f>
        <v/>
      </c>
      <c r="AY331" s="11">
        <f>IF(A331="","",IF(AV331=1,N(V331),IF(N(U331)&gt;0,ROUND(N(U331)*IFERROR(VLOOKUP(R331,Listes!$AE$3:$AG$12,2,FALSE),0),0),0)))</f>
        <v/>
      </c>
      <c r="AZ331" s="7">
        <f>IF(LEFT(A331,7)="EXEMPLE",1,0)</f>
        <v/>
      </c>
      <c r="BA331" s="7">
        <f>IF(AND(AV331=1,AZ331=0,AC331&lt;&gt;"",W331&lt;&gt;"",N(V331)&gt;0),COUNTIFS($AV$3:AV331,1,$AZ$3:AZ331,0,$AC$3:AC331,"&lt;&gt;",$W$3:W331,"&lt;&gt;",$V$3:V331,"&gt;0"),"")</f>
        <v/>
      </c>
    </row>
    <row r="332">
      <c r="A332" s="12" t="n"/>
      <c r="B332" s="13" t="n"/>
      <c r="C332" s="13" t="n"/>
      <c r="D332" s="7">
        <f>IF(OR(B332="",C332=""),"",ROUND((C332-B332)*1440,0))</f>
        <v/>
      </c>
      <c r="E332" s="12" t="n"/>
      <c r="F332" s="12" t="n"/>
      <c r="G332" s="12" t="n"/>
      <c r="H332" s="12" t="n"/>
      <c r="I332" s="12" t="n"/>
      <c r="J332" s="12" t="n"/>
      <c r="K332" s="12" t="n"/>
      <c r="L332" s="14" t="n"/>
      <c r="M332" s="12" t="n"/>
      <c r="N332" s="12" t="n"/>
      <c r="O332" s="12" t="n"/>
      <c r="P332" s="12" t="n"/>
      <c r="Q332" s="7">
        <f>IF(A332="","",IFERROR(VLOOKUP(O332,Listes!$R$3:$T$8,2,FALSE),0)+IFERROR(VLOOKUP(J332,Listes!$J$3:$L$6,2,FALSE),0)+IFERROR(VLOOKUP(N332,Listes!$N$3:$P$6,2,FALSE),0)+IF(OR(L332="",B332=""),0,IF(L332-INT(B332)&lt;10,8,IF(L332-INT(B332)&lt;=90,10,5)))+IFERROR(VLOOKUP(AN332,Listes!$V$3:$W$5,2,FALSE),0)+IFERROR(VLOOKUP(AO332,Listes!$Y$3:$Z$5,2,FALSE),0))</f>
        <v/>
      </c>
      <c r="R332" s="12" t="n"/>
      <c r="S332" s="12" t="n"/>
      <c r="T332" s="12" t="n"/>
      <c r="U332" s="15" t="n"/>
      <c r="V332" s="15" t="n"/>
      <c r="W332" s="13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3" t="n"/>
      <c r="AK332" s="12" t="n"/>
      <c r="AL332" s="12" t="n"/>
      <c r="AM332" s="12" t="n"/>
      <c r="AN332" s="12" t="n"/>
      <c r="AO332" s="12" t="n"/>
      <c r="AP332" s="12" t="n"/>
      <c r="AQ332" s="7">
        <f>IF(A332="","",IF(AP332&lt;&gt;"",AP332,IF(LEFT(Z332,11)="gads_marque","Google Search – Marque",IF(LEFT(Z332,12)="gads_mariage","Google Search – Mariage et privé",IF(LEFT(Z332,10)="gads_corpo","Google Search – Corporatif",IF(LEFT(Z332,5)="meta_","Meta – Leads",IF(LEFT(Z332,5)="msft_","Microsoft Ads",IF(LEFT(Z332,8)="chatgpt_","ChatGPT Ads – Test",IF(X332="gbp","Fiche Google (organique)","Autre / non payé")))))))))</f>
        <v/>
      </c>
      <c r="AR332" s="7">
        <f>IF(K332="","",IFERROR(VLOOKUP(K332,Listes!$F$3:$H$8,3,FALSE),""))</f>
        <v/>
      </c>
      <c r="AS332" s="7">
        <f>IF(O332="","",IF(AND(M332="Autre (plus de 40 km)",OR(O332="lt600",O332="600_999",O332="1000_2499")),"D",IF(OR(O332="lt600",AND(O332="600_999",K332&lt;&gt;"mariage",K332&lt;&gt;"prive")),"C",IF(OR(O332="2500_4999",O332="5000p",J332="entreprise",J332="organisme",J332="agence"),"A",IF(OR(O332="1000_2499",O332="600_999"),"B",IF(O332="inconnu",IF(OR(N332="75_149",N332="150p"),"A","B"),""))))))</f>
        <v/>
      </c>
      <c r="AT332" s="7">
        <f>IF(A332="","",IF(P332&lt;&gt;"",P332,AS332))</f>
        <v/>
      </c>
      <c r="AU332" s="7">
        <f>IF(A332="","",IF(OR(AT332="A",AT332="B"),1,0))</f>
        <v/>
      </c>
      <c r="AV332" s="7">
        <f>IF(A332="","",IF(OR(R332="Dépôt payé (gagné)",R332="Événement livré",R332="Avis obtenu"),1,0))</f>
        <v/>
      </c>
      <c r="AW332" s="7">
        <f>IF(A332="","",IF(Q332&gt;70,"Immédiat – propriétaire",IF(Q332&gt;=40,"15 min – personne de garde","Selon la route")))</f>
        <v/>
      </c>
      <c r="AX332" s="11">
        <f>IF(A332="","",IF(AT332="A",400,IF(AT332="B",150,0)))</f>
        <v/>
      </c>
      <c r="AY332" s="11">
        <f>IF(A332="","",IF(AV332=1,N(V332),IF(N(U332)&gt;0,ROUND(N(U332)*IFERROR(VLOOKUP(R332,Listes!$AE$3:$AG$12,2,FALSE),0),0),0)))</f>
        <v/>
      </c>
      <c r="AZ332" s="7">
        <f>IF(LEFT(A332,7)="EXEMPLE",1,0)</f>
        <v/>
      </c>
      <c r="BA332" s="7">
        <f>IF(AND(AV332=1,AZ332=0,AC332&lt;&gt;"",W332&lt;&gt;"",N(V332)&gt;0),COUNTIFS($AV$3:AV332,1,$AZ$3:AZ332,0,$AC$3:AC332,"&lt;&gt;",$W$3:W332,"&lt;&gt;",$V$3:V332,"&gt;0"),"")</f>
        <v/>
      </c>
    </row>
    <row r="333">
      <c r="A333" s="12" t="n"/>
      <c r="B333" s="13" t="n"/>
      <c r="C333" s="13" t="n"/>
      <c r="D333" s="7">
        <f>IF(OR(B333="",C333=""),"",ROUND((C333-B333)*1440,0))</f>
        <v/>
      </c>
      <c r="E333" s="12" t="n"/>
      <c r="F333" s="12" t="n"/>
      <c r="G333" s="12" t="n"/>
      <c r="H333" s="12" t="n"/>
      <c r="I333" s="12" t="n"/>
      <c r="J333" s="12" t="n"/>
      <c r="K333" s="12" t="n"/>
      <c r="L333" s="14" t="n"/>
      <c r="M333" s="12" t="n"/>
      <c r="N333" s="12" t="n"/>
      <c r="O333" s="12" t="n"/>
      <c r="P333" s="12" t="n"/>
      <c r="Q333" s="7">
        <f>IF(A333="","",IFERROR(VLOOKUP(O333,Listes!$R$3:$T$8,2,FALSE),0)+IFERROR(VLOOKUP(J333,Listes!$J$3:$L$6,2,FALSE),0)+IFERROR(VLOOKUP(N333,Listes!$N$3:$P$6,2,FALSE),0)+IF(OR(L333="",B333=""),0,IF(L333-INT(B333)&lt;10,8,IF(L333-INT(B333)&lt;=90,10,5)))+IFERROR(VLOOKUP(AN333,Listes!$V$3:$W$5,2,FALSE),0)+IFERROR(VLOOKUP(AO333,Listes!$Y$3:$Z$5,2,FALSE),0))</f>
        <v/>
      </c>
      <c r="R333" s="12" t="n"/>
      <c r="S333" s="12" t="n"/>
      <c r="T333" s="12" t="n"/>
      <c r="U333" s="15" t="n"/>
      <c r="V333" s="15" t="n"/>
      <c r="W333" s="13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3" t="n"/>
      <c r="AK333" s="12" t="n"/>
      <c r="AL333" s="12" t="n"/>
      <c r="AM333" s="12" t="n"/>
      <c r="AN333" s="12" t="n"/>
      <c r="AO333" s="12" t="n"/>
      <c r="AP333" s="12" t="n"/>
      <c r="AQ333" s="7">
        <f>IF(A333="","",IF(AP333&lt;&gt;"",AP333,IF(LEFT(Z333,11)="gads_marque","Google Search – Marque",IF(LEFT(Z333,12)="gads_mariage","Google Search – Mariage et privé",IF(LEFT(Z333,10)="gads_corpo","Google Search – Corporatif",IF(LEFT(Z333,5)="meta_","Meta – Leads",IF(LEFT(Z333,5)="msft_","Microsoft Ads",IF(LEFT(Z333,8)="chatgpt_","ChatGPT Ads – Test",IF(X333="gbp","Fiche Google (organique)","Autre / non payé")))))))))</f>
        <v/>
      </c>
      <c r="AR333" s="7">
        <f>IF(K333="","",IFERROR(VLOOKUP(K333,Listes!$F$3:$H$8,3,FALSE),""))</f>
        <v/>
      </c>
      <c r="AS333" s="7">
        <f>IF(O333="","",IF(AND(M333="Autre (plus de 40 km)",OR(O333="lt600",O333="600_999",O333="1000_2499")),"D",IF(OR(O333="lt600",AND(O333="600_999",K333&lt;&gt;"mariage",K333&lt;&gt;"prive")),"C",IF(OR(O333="2500_4999",O333="5000p",J333="entreprise",J333="organisme",J333="agence"),"A",IF(OR(O333="1000_2499",O333="600_999"),"B",IF(O333="inconnu",IF(OR(N333="75_149",N333="150p"),"A","B"),""))))))</f>
        <v/>
      </c>
      <c r="AT333" s="7">
        <f>IF(A333="","",IF(P333&lt;&gt;"",P333,AS333))</f>
        <v/>
      </c>
      <c r="AU333" s="7">
        <f>IF(A333="","",IF(OR(AT333="A",AT333="B"),1,0))</f>
        <v/>
      </c>
      <c r="AV333" s="7">
        <f>IF(A333="","",IF(OR(R333="Dépôt payé (gagné)",R333="Événement livré",R333="Avis obtenu"),1,0))</f>
        <v/>
      </c>
      <c r="AW333" s="7">
        <f>IF(A333="","",IF(Q333&gt;70,"Immédiat – propriétaire",IF(Q333&gt;=40,"15 min – personne de garde","Selon la route")))</f>
        <v/>
      </c>
      <c r="AX333" s="11">
        <f>IF(A333="","",IF(AT333="A",400,IF(AT333="B",150,0)))</f>
        <v/>
      </c>
      <c r="AY333" s="11">
        <f>IF(A333="","",IF(AV333=1,N(V333),IF(N(U333)&gt;0,ROUND(N(U333)*IFERROR(VLOOKUP(R333,Listes!$AE$3:$AG$12,2,FALSE),0),0),0)))</f>
        <v/>
      </c>
      <c r="AZ333" s="7">
        <f>IF(LEFT(A333,7)="EXEMPLE",1,0)</f>
        <v/>
      </c>
      <c r="BA333" s="7">
        <f>IF(AND(AV333=1,AZ333=0,AC333&lt;&gt;"",W333&lt;&gt;"",N(V333)&gt;0),COUNTIFS($AV$3:AV333,1,$AZ$3:AZ333,0,$AC$3:AC333,"&lt;&gt;",$W$3:W333,"&lt;&gt;",$V$3:V333,"&gt;0"),"")</f>
        <v/>
      </c>
    </row>
    <row r="334">
      <c r="A334" s="12" t="n"/>
      <c r="B334" s="13" t="n"/>
      <c r="C334" s="13" t="n"/>
      <c r="D334" s="7">
        <f>IF(OR(B334="",C334=""),"",ROUND((C334-B334)*1440,0))</f>
        <v/>
      </c>
      <c r="E334" s="12" t="n"/>
      <c r="F334" s="12" t="n"/>
      <c r="G334" s="12" t="n"/>
      <c r="H334" s="12" t="n"/>
      <c r="I334" s="12" t="n"/>
      <c r="J334" s="12" t="n"/>
      <c r="K334" s="12" t="n"/>
      <c r="L334" s="14" t="n"/>
      <c r="M334" s="12" t="n"/>
      <c r="N334" s="12" t="n"/>
      <c r="O334" s="12" t="n"/>
      <c r="P334" s="12" t="n"/>
      <c r="Q334" s="7">
        <f>IF(A334="","",IFERROR(VLOOKUP(O334,Listes!$R$3:$T$8,2,FALSE),0)+IFERROR(VLOOKUP(J334,Listes!$J$3:$L$6,2,FALSE),0)+IFERROR(VLOOKUP(N334,Listes!$N$3:$P$6,2,FALSE),0)+IF(OR(L334="",B334=""),0,IF(L334-INT(B334)&lt;10,8,IF(L334-INT(B334)&lt;=90,10,5)))+IFERROR(VLOOKUP(AN334,Listes!$V$3:$W$5,2,FALSE),0)+IFERROR(VLOOKUP(AO334,Listes!$Y$3:$Z$5,2,FALSE),0))</f>
        <v/>
      </c>
      <c r="R334" s="12" t="n"/>
      <c r="S334" s="12" t="n"/>
      <c r="T334" s="12" t="n"/>
      <c r="U334" s="15" t="n"/>
      <c r="V334" s="15" t="n"/>
      <c r="W334" s="13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3" t="n"/>
      <c r="AK334" s="12" t="n"/>
      <c r="AL334" s="12" t="n"/>
      <c r="AM334" s="12" t="n"/>
      <c r="AN334" s="12" t="n"/>
      <c r="AO334" s="12" t="n"/>
      <c r="AP334" s="12" t="n"/>
      <c r="AQ334" s="7">
        <f>IF(A334="","",IF(AP334&lt;&gt;"",AP334,IF(LEFT(Z334,11)="gads_marque","Google Search – Marque",IF(LEFT(Z334,12)="gads_mariage","Google Search – Mariage et privé",IF(LEFT(Z334,10)="gads_corpo","Google Search – Corporatif",IF(LEFT(Z334,5)="meta_","Meta – Leads",IF(LEFT(Z334,5)="msft_","Microsoft Ads",IF(LEFT(Z334,8)="chatgpt_","ChatGPT Ads – Test",IF(X334="gbp","Fiche Google (organique)","Autre / non payé")))))))))</f>
        <v/>
      </c>
      <c r="AR334" s="7">
        <f>IF(K334="","",IFERROR(VLOOKUP(K334,Listes!$F$3:$H$8,3,FALSE),""))</f>
        <v/>
      </c>
      <c r="AS334" s="7">
        <f>IF(O334="","",IF(AND(M334="Autre (plus de 40 km)",OR(O334="lt600",O334="600_999",O334="1000_2499")),"D",IF(OR(O334="lt600",AND(O334="600_999",K334&lt;&gt;"mariage",K334&lt;&gt;"prive")),"C",IF(OR(O334="2500_4999",O334="5000p",J334="entreprise",J334="organisme",J334="agence"),"A",IF(OR(O334="1000_2499",O334="600_999"),"B",IF(O334="inconnu",IF(OR(N334="75_149",N334="150p"),"A","B"),""))))))</f>
        <v/>
      </c>
      <c r="AT334" s="7">
        <f>IF(A334="","",IF(P334&lt;&gt;"",P334,AS334))</f>
        <v/>
      </c>
      <c r="AU334" s="7">
        <f>IF(A334="","",IF(OR(AT334="A",AT334="B"),1,0))</f>
        <v/>
      </c>
      <c r="AV334" s="7">
        <f>IF(A334="","",IF(OR(R334="Dépôt payé (gagné)",R334="Événement livré",R334="Avis obtenu"),1,0))</f>
        <v/>
      </c>
      <c r="AW334" s="7">
        <f>IF(A334="","",IF(Q334&gt;70,"Immédiat – propriétaire",IF(Q334&gt;=40,"15 min – personne de garde","Selon la route")))</f>
        <v/>
      </c>
      <c r="AX334" s="11">
        <f>IF(A334="","",IF(AT334="A",400,IF(AT334="B",150,0)))</f>
        <v/>
      </c>
      <c r="AY334" s="11">
        <f>IF(A334="","",IF(AV334=1,N(V334),IF(N(U334)&gt;0,ROUND(N(U334)*IFERROR(VLOOKUP(R334,Listes!$AE$3:$AG$12,2,FALSE),0),0),0)))</f>
        <v/>
      </c>
      <c r="AZ334" s="7">
        <f>IF(LEFT(A334,7)="EXEMPLE",1,0)</f>
        <v/>
      </c>
      <c r="BA334" s="7">
        <f>IF(AND(AV334=1,AZ334=0,AC334&lt;&gt;"",W334&lt;&gt;"",N(V334)&gt;0),COUNTIFS($AV$3:AV334,1,$AZ$3:AZ334,0,$AC$3:AC334,"&lt;&gt;",$W$3:W334,"&lt;&gt;",$V$3:V334,"&gt;0"),"")</f>
        <v/>
      </c>
    </row>
    <row r="335">
      <c r="A335" s="12" t="n"/>
      <c r="B335" s="13" t="n"/>
      <c r="C335" s="13" t="n"/>
      <c r="D335" s="7">
        <f>IF(OR(B335="",C335=""),"",ROUND((C335-B335)*1440,0))</f>
        <v/>
      </c>
      <c r="E335" s="12" t="n"/>
      <c r="F335" s="12" t="n"/>
      <c r="G335" s="12" t="n"/>
      <c r="H335" s="12" t="n"/>
      <c r="I335" s="12" t="n"/>
      <c r="J335" s="12" t="n"/>
      <c r="K335" s="12" t="n"/>
      <c r="L335" s="14" t="n"/>
      <c r="M335" s="12" t="n"/>
      <c r="N335" s="12" t="n"/>
      <c r="O335" s="12" t="n"/>
      <c r="P335" s="12" t="n"/>
      <c r="Q335" s="7">
        <f>IF(A335="","",IFERROR(VLOOKUP(O335,Listes!$R$3:$T$8,2,FALSE),0)+IFERROR(VLOOKUP(J335,Listes!$J$3:$L$6,2,FALSE),0)+IFERROR(VLOOKUP(N335,Listes!$N$3:$P$6,2,FALSE),0)+IF(OR(L335="",B335=""),0,IF(L335-INT(B335)&lt;10,8,IF(L335-INT(B335)&lt;=90,10,5)))+IFERROR(VLOOKUP(AN335,Listes!$V$3:$W$5,2,FALSE),0)+IFERROR(VLOOKUP(AO335,Listes!$Y$3:$Z$5,2,FALSE),0))</f>
        <v/>
      </c>
      <c r="R335" s="12" t="n"/>
      <c r="S335" s="12" t="n"/>
      <c r="T335" s="12" t="n"/>
      <c r="U335" s="15" t="n"/>
      <c r="V335" s="15" t="n"/>
      <c r="W335" s="13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3" t="n"/>
      <c r="AK335" s="12" t="n"/>
      <c r="AL335" s="12" t="n"/>
      <c r="AM335" s="12" t="n"/>
      <c r="AN335" s="12" t="n"/>
      <c r="AO335" s="12" t="n"/>
      <c r="AP335" s="12" t="n"/>
      <c r="AQ335" s="7">
        <f>IF(A335="","",IF(AP335&lt;&gt;"",AP335,IF(LEFT(Z335,11)="gads_marque","Google Search – Marque",IF(LEFT(Z335,12)="gads_mariage","Google Search – Mariage et privé",IF(LEFT(Z335,10)="gads_corpo","Google Search – Corporatif",IF(LEFT(Z335,5)="meta_","Meta – Leads",IF(LEFT(Z335,5)="msft_","Microsoft Ads",IF(LEFT(Z335,8)="chatgpt_","ChatGPT Ads – Test",IF(X335="gbp","Fiche Google (organique)","Autre / non payé")))))))))</f>
        <v/>
      </c>
      <c r="AR335" s="7">
        <f>IF(K335="","",IFERROR(VLOOKUP(K335,Listes!$F$3:$H$8,3,FALSE),""))</f>
        <v/>
      </c>
      <c r="AS335" s="7">
        <f>IF(O335="","",IF(AND(M335="Autre (plus de 40 km)",OR(O335="lt600",O335="600_999",O335="1000_2499")),"D",IF(OR(O335="lt600",AND(O335="600_999",K335&lt;&gt;"mariage",K335&lt;&gt;"prive")),"C",IF(OR(O335="2500_4999",O335="5000p",J335="entreprise",J335="organisme",J335="agence"),"A",IF(OR(O335="1000_2499",O335="600_999"),"B",IF(O335="inconnu",IF(OR(N335="75_149",N335="150p"),"A","B"),""))))))</f>
        <v/>
      </c>
      <c r="AT335" s="7">
        <f>IF(A335="","",IF(P335&lt;&gt;"",P335,AS335))</f>
        <v/>
      </c>
      <c r="AU335" s="7">
        <f>IF(A335="","",IF(OR(AT335="A",AT335="B"),1,0))</f>
        <v/>
      </c>
      <c r="AV335" s="7">
        <f>IF(A335="","",IF(OR(R335="Dépôt payé (gagné)",R335="Événement livré",R335="Avis obtenu"),1,0))</f>
        <v/>
      </c>
      <c r="AW335" s="7">
        <f>IF(A335="","",IF(Q335&gt;70,"Immédiat – propriétaire",IF(Q335&gt;=40,"15 min – personne de garde","Selon la route")))</f>
        <v/>
      </c>
      <c r="AX335" s="11">
        <f>IF(A335="","",IF(AT335="A",400,IF(AT335="B",150,0)))</f>
        <v/>
      </c>
      <c r="AY335" s="11">
        <f>IF(A335="","",IF(AV335=1,N(V335),IF(N(U335)&gt;0,ROUND(N(U335)*IFERROR(VLOOKUP(R335,Listes!$AE$3:$AG$12,2,FALSE),0),0),0)))</f>
        <v/>
      </c>
      <c r="AZ335" s="7">
        <f>IF(LEFT(A335,7)="EXEMPLE",1,0)</f>
        <v/>
      </c>
      <c r="BA335" s="7">
        <f>IF(AND(AV335=1,AZ335=0,AC335&lt;&gt;"",W335&lt;&gt;"",N(V335)&gt;0),COUNTIFS($AV$3:AV335,1,$AZ$3:AZ335,0,$AC$3:AC335,"&lt;&gt;",$W$3:W335,"&lt;&gt;",$V$3:V335,"&gt;0"),"")</f>
        <v/>
      </c>
    </row>
    <row r="336">
      <c r="A336" s="12" t="n"/>
      <c r="B336" s="13" t="n"/>
      <c r="C336" s="13" t="n"/>
      <c r="D336" s="7">
        <f>IF(OR(B336="",C336=""),"",ROUND((C336-B336)*1440,0))</f>
        <v/>
      </c>
      <c r="E336" s="12" t="n"/>
      <c r="F336" s="12" t="n"/>
      <c r="G336" s="12" t="n"/>
      <c r="H336" s="12" t="n"/>
      <c r="I336" s="12" t="n"/>
      <c r="J336" s="12" t="n"/>
      <c r="K336" s="12" t="n"/>
      <c r="L336" s="14" t="n"/>
      <c r="M336" s="12" t="n"/>
      <c r="N336" s="12" t="n"/>
      <c r="O336" s="12" t="n"/>
      <c r="P336" s="12" t="n"/>
      <c r="Q336" s="7">
        <f>IF(A336="","",IFERROR(VLOOKUP(O336,Listes!$R$3:$T$8,2,FALSE),0)+IFERROR(VLOOKUP(J336,Listes!$J$3:$L$6,2,FALSE),0)+IFERROR(VLOOKUP(N336,Listes!$N$3:$P$6,2,FALSE),0)+IF(OR(L336="",B336=""),0,IF(L336-INT(B336)&lt;10,8,IF(L336-INT(B336)&lt;=90,10,5)))+IFERROR(VLOOKUP(AN336,Listes!$V$3:$W$5,2,FALSE),0)+IFERROR(VLOOKUP(AO336,Listes!$Y$3:$Z$5,2,FALSE),0))</f>
        <v/>
      </c>
      <c r="R336" s="12" t="n"/>
      <c r="S336" s="12" t="n"/>
      <c r="T336" s="12" t="n"/>
      <c r="U336" s="15" t="n"/>
      <c r="V336" s="15" t="n"/>
      <c r="W336" s="13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3" t="n"/>
      <c r="AK336" s="12" t="n"/>
      <c r="AL336" s="12" t="n"/>
      <c r="AM336" s="12" t="n"/>
      <c r="AN336" s="12" t="n"/>
      <c r="AO336" s="12" t="n"/>
      <c r="AP336" s="12" t="n"/>
      <c r="AQ336" s="7">
        <f>IF(A336="","",IF(AP336&lt;&gt;"",AP336,IF(LEFT(Z336,11)="gads_marque","Google Search – Marque",IF(LEFT(Z336,12)="gads_mariage","Google Search – Mariage et privé",IF(LEFT(Z336,10)="gads_corpo","Google Search – Corporatif",IF(LEFT(Z336,5)="meta_","Meta – Leads",IF(LEFT(Z336,5)="msft_","Microsoft Ads",IF(LEFT(Z336,8)="chatgpt_","ChatGPT Ads – Test",IF(X336="gbp","Fiche Google (organique)","Autre / non payé")))))))))</f>
        <v/>
      </c>
      <c r="AR336" s="7">
        <f>IF(K336="","",IFERROR(VLOOKUP(K336,Listes!$F$3:$H$8,3,FALSE),""))</f>
        <v/>
      </c>
      <c r="AS336" s="7">
        <f>IF(O336="","",IF(AND(M336="Autre (plus de 40 km)",OR(O336="lt600",O336="600_999",O336="1000_2499")),"D",IF(OR(O336="lt600",AND(O336="600_999",K336&lt;&gt;"mariage",K336&lt;&gt;"prive")),"C",IF(OR(O336="2500_4999",O336="5000p",J336="entreprise",J336="organisme",J336="agence"),"A",IF(OR(O336="1000_2499",O336="600_999"),"B",IF(O336="inconnu",IF(OR(N336="75_149",N336="150p"),"A","B"),""))))))</f>
        <v/>
      </c>
      <c r="AT336" s="7">
        <f>IF(A336="","",IF(P336&lt;&gt;"",P336,AS336))</f>
        <v/>
      </c>
      <c r="AU336" s="7">
        <f>IF(A336="","",IF(OR(AT336="A",AT336="B"),1,0))</f>
        <v/>
      </c>
      <c r="AV336" s="7">
        <f>IF(A336="","",IF(OR(R336="Dépôt payé (gagné)",R336="Événement livré",R336="Avis obtenu"),1,0))</f>
        <v/>
      </c>
      <c r="AW336" s="7">
        <f>IF(A336="","",IF(Q336&gt;70,"Immédiat – propriétaire",IF(Q336&gt;=40,"15 min – personne de garde","Selon la route")))</f>
        <v/>
      </c>
      <c r="AX336" s="11">
        <f>IF(A336="","",IF(AT336="A",400,IF(AT336="B",150,0)))</f>
        <v/>
      </c>
      <c r="AY336" s="11">
        <f>IF(A336="","",IF(AV336=1,N(V336),IF(N(U336)&gt;0,ROUND(N(U336)*IFERROR(VLOOKUP(R336,Listes!$AE$3:$AG$12,2,FALSE),0),0),0)))</f>
        <v/>
      </c>
      <c r="AZ336" s="7">
        <f>IF(LEFT(A336,7)="EXEMPLE",1,0)</f>
        <v/>
      </c>
      <c r="BA336" s="7">
        <f>IF(AND(AV336=1,AZ336=0,AC336&lt;&gt;"",W336&lt;&gt;"",N(V336)&gt;0),COUNTIFS($AV$3:AV336,1,$AZ$3:AZ336,0,$AC$3:AC336,"&lt;&gt;",$W$3:W336,"&lt;&gt;",$V$3:V336,"&gt;0"),"")</f>
        <v/>
      </c>
    </row>
    <row r="337">
      <c r="A337" s="12" t="n"/>
      <c r="B337" s="13" t="n"/>
      <c r="C337" s="13" t="n"/>
      <c r="D337" s="7">
        <f>IF(OR(B337="",C337=""),"",ROUND((C337-B337)*1440,0))</f>
        <v/>
      </c>
      <c r="E337" s="12" t="n"/>
      <c r="F337" s="12" t="n"/>
      <c r="G337" s="12" t="n"/>
      <c r="H337" s="12" t="n"/>
      <c r="I337" s="12" t="n"/>
      <c r="J337" s="12" t="n"/>
      <c r="K337" s="12" t="n"/>
      <c r="L337" s="14" t="n"/>
      <c r="M337" s="12" t="n"/>
      <c r="N337" s="12" t="n"/>
      <c r="O337" s="12" t="n"/>
      <c r="P337" s="12" t="n"/>
      <c r="Q337" s="7">
        <f>IF(A337="","",IFERROR(VLOOKUP(O337,Listes!$R$3:$T$8,2,FALSE),0)+IFERROR(VLOOKUP(J337,Listes!$J$3:$L$6,2,FALSE),0)+IFERROR(VLOOKUP(N337,Listes!$N$3:$P$6,2,FALSE),0)+IF(OR(L337="",B337=""),0,IF(L337-INT(B337)&lt;10,8,IF(L337-INT(B337)&lt;=90,10,5)))+IFERROR(VLOOKUP(AN337,Listes!$V$3:$W$5,2,FALSE),0)+IFERROR(VLOOKUP(AO337,Listes!$Y$3:$Z$5,2,FALSE),0))</f>
        <v/>
      </c>
      <c r="R337" s="12" t="n"/>
      <c r="S337" s="12" t="n"/>
      <c r="T337" s="12" t="n"/>
      <c r="U337" s="15" t="n"/>
      <c r="V337" s="15" t="n"/>
      <c r="W337" s="13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3" t="n"/>
      <c r="AK337" s="12" t="n"/>
      <c r="AL337" s="12" t="n"/>
      <c r="AM337" s="12" t="n"/>
      <c r="AN337" s="12" t="n"/>
      <c r="AO337" s="12" t="n"/>
      <c r="AP337" s="12" t="n"/>
      <c r="AQ337" s="7">
        <f>IF(A337="","",IF(AP337&lt;&gt;"",AP337,IF(LEFT(Z337,11)="gads_marque","Google Search – Marque",IF(LEFT(Z337,12)="gads_mariage","Google Search – Mariage et privé",IF(LEFT(Z337,10)="gads_corpo","Google Search – Corporatif",IF(LEFT(Z337,5)="meta_","Meta – Leads",IF(LEFT(Z337,5)="msft_","Microsoft Ads",IF(LEFT(Z337,8)="chatgpt_","ChatGPT Ads – Test",IF(X337="gbp","Fiche Google (organique)","Autre / non payé")))))))))</f>
        <v/>
      </c>
      <c r="AR337" s="7">
        <f>IF(K337="","",IFERROR(VLOOKUP(K337,Listes!$F$3:$H$8,3,FALSE),""))</f>
        <v/>
      </c>
      <c r="AS337" s="7">
        <f>IF(O337="","",IF(AND(M337="Autre (plus de 40 km)",OR(O337="lt600",O337="600_999",O337="1000_2499")),"D",IF(OR(O337="lt600",AND(O337="600_999",K337&lt;&gt;"mariage",K337&lt;&gt;"prive")),"C",IF(OR(O337="2500_4999",O337="5000p",J337="entreprise",J337="organisme",J337="agence"),"A",IF(OR(O337="1000_2499",O337="600_999"),"B",IF(O337="inconnu",IF(OR(N337="75_149",N337="150p"),"A","B"),""))))))</f>
        <v/>
      </c>
      <c r="AT337" s="7">
        <f>IF(A337="","",IF(P337&lt;&gt;"",P337,AS337))</f>
        <v/>
      </c>
      <c r="AU337" s="7">
        <f>IF(A337="","",IF(OR(AT337="A",AT337="B"),1,0))</f>
        <v/>
      </c>
      <c r="AV337" s="7">
        <f>IF(A337="","",IF(OR(R337="Dépôt payé (gagné)",R337="Événement livré",R337="Avis obtenu"),1,0))</f>
        <v/>
      </c>
      <c r="AW337" s="7">
        <f>IF(A337="","",IF(Q337&gt;70,"Immédiat – propriétaire",IF(Q337&gt;=40,"15 min – personne de garde","Selon la route")))</f>
        <v/>
      </c>
      <c r="AX337" s="11">
        <f>IF(A337="","",IF(AT337="A",400,IF(AT337="B",150,0)))</f>
        <v/>
      </c>
      <c r="AY337" s="11">
        <f>IF(A337="","",IF(AV337=1,N(V337),IF(N(U337)&gt;0,ROUND(N(U337)*IFERROR(VLOOKUP(R337,Listes!$AE$3:$AG$12,2,FALSE),0),0),0)))</f>
        <v/>
      </c>
      <c r="AZ337" s="7">
        <f>IF(LEFT(A337,7)="EXEMPLE",1,0)</f>
        <v/>
      </c>
      <c r="BA337" s="7">
        <f>IF(AND(AV337=1,AZ337=0,AC337&lt;&gt;"",W337&lt;&gt;"",N(V337)&gt;0),COUNTIFS($AV$3:AV337,1,$AZ$3:AZ337,0,$AC$3:AC337,"&lt;&gt;",$W$3:W337,"&lt;&gt;",$V$3:V337,"&gt;0"),"")</f>
        <v/>
      </c>
    </row>
    <row r="338">
      <c r="A338" s="12" t="n"/>
      <c r="B338" s="13" t="n"/>
      <c r="C338" s="13" t="n"/>
      <c r="D338" s="7">
        <f>IF(OR(B338="",C338=""),"",ROUND((C338-B338)*1440,0))</f>
        <v/>
      </c>
      <c r="E338" s="12" t="n"/>
      <c r="F338" s="12" t="n"/>
      <c r="G338" s="12" t="n"/>
      <c r="H338" s="12" t="n"/>
      <c r="I338" s="12" t="n"/>
      <c r="J338" s="12" t="n"/>
      <c r="K338" s="12" t="n"/>
      <c r="L338" s="14" t="n"/>
      <c r="M338" s="12" t="n"/>
      <c r="N338" s="12" t="n"/>
      <c r="O338" s="12" t="n"/>
      <c r="P338" s="12" t="n"/>
      <c r="Q338" s="7">
        <f>IF(A338="","",IFERROR(VLOOKUP(O338,Listes!$R$3:$T$8,2,FALSE),0)+IFERROR(VLOOKUP(J338,Listes!$J$3:$L$6,2,FALSE),0)+IFERROR(VLOOKUP(N338,Listes!$N$3:$P$6,2,FALSE),0)+IF(OR(L338="",B338=""),0,IF(L338-INT(B338)&lt;10,8,IF(L338-INT(B338)&lt;=90,10,5)))+IFERROR(VLOOKUP(AN338,Listes!$V$3:$W$5,2,FALSE),0)+IFERROR(VLOOKUP(AO338,Listes!$Y$3:$Z$5,2,FALSE),0))</f>
        <v/>
      </c>
      <c r="R338" s="12" t="n"/>
      <c r="S338" s="12" t="n"/>
      <c r="T338" s="12" t="n"/>
      <c r="U338" s="15" t="n"/>
      <c r="V338" s="15" t="n"/>
      <c r="W338" s="13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3" t="n"/>
      <c r="AK338" s="12" t="n"/>
      <c r="AL338" s="12" t="n"/>
      <c r="AM338" s="12" t="n"/>
      <c r="AN338" s="12" t="n"/>
      <c r="AO338" s="12" t="n"/>
      <c r="AP338" s="12" t="n"/>
      <c r="AQ338" s="7">
        <f>IF(A338="","",IF(AP338&lt;&gt;"",AP338,IF(LEFT(Z338,11)="gads_marque","Google Search – Marque",IF(LEFT(Z338,12)="gads_mariage","Google Search – Mariage et privé",IF(LEFT(Z338,10)="gads_corpo","Google Search – Corporatif",IF(LEFT(Z338,5)="meta_","Meta – Leads",IF(LEFT(Z338,5)="msft_","Microsoft Ads",IF(LEFT(Z338,8)="chatgpt_","ChatGPT Ads – Test",IF(X338="gbp","Fiche Google (organique)","Autre / non payé")))))))))</f>
        <v/>
      </c>
      <c r="AR338" s="7">
        <f>IF(K338="","",IFERROR(VLOOKUP(K338,Listes!$F$3:$H$8,3,FALSE),""))</f>
        <v/>
      </c>
      <c r="AS338" s="7">
        <f>IF(O338="","",IF(AND(M338="Autre (plus de 40 km)",OR(O338="lt600",O338="600_999",O338="1000_2499")),"D",IF(OR(O338="lt600",AND(O338="600_999",K338&lt;&gt;"mariage",K338&lt;&gt;"prive")),"C",IF(OR(O338="2500_4999",O338="5000p",J338="entreprise",J338="organisme",J338="agence"),"A",IF(OR(O338="1000_2499",O338="600_999"),"B",IF(O338="inconnu",IF(OR(N338="75_149",N338="150p"),"A","B"),""))))))</f>
        <v/>
      </c>
      <c r="AT338" s="7">
        <f>IF(A338="","",IF(P338&lt;&gt;"",P338,AS338))</f>
        <v/>
      </c>
      <c r="AU338" s="7">
        <f>IF(A338="","",IF(OR(AT338="A",AT338="B"),1,0))</f>
        <v/>
      </c>
      <c r="AV338" s="7">
        <f>IF(A338="","",IF(OR(R338="Dépôt payé (gagné)",R338="Événement livré",R338="Avis obtenu"),1,0))</f>
        <v/>
      </c>
      <c r="AW338" s="7">
        <f>IF(A338="","",IF(Q338&gt;70,"Immédiat – propriétaire",IF(Q338&gt;=40,"15 min – personne de garde","Selon la route")))</f>
        <v/>
      </c>
      <c r="AX338" s="11">
        <f>IF(A338="","",IF(AT338="A",400,IF(AT338="B",150,0)))</f>
        <v/>
      </c>
      <c r="AY338" s="11">
        <f>IF(A338="","",IF(AV338=1,N(V338),IF(N(U338)&gt;0,ROUND(N(U338)*IFERROR(VLOOKUP(R338,Listes!$AE$3:$AG$12,2,FALSE),0),0),0)))</f>
        <v/>
      </c>
      <c r="AZ338" s="7">
        <f>IF(LEFT(A338,7)="EXEMPLE",1,0)</f>
        <v/>
      </c>
      <c r="BA338" s="7">
        <f>IF(AND(AV338=1,AZ338=0,AC338&lt;&gt;"",W338&lt;&gt;"",N(V338)&gt;0),COUNTIFS($AV$3:AV338,1,$AZ$3:AZ338,0,$AC$3:AC338,"&lt;&gt;",$W$3:W338,"&lt;&gt;",$V$3:V338,"&gt;0"),"")</f>
        <v/>
      </c>
    </row>
    <row r="339">
      <c r="A339" s="12" t="n"/>
      <c r="B339" s="13" t="n"/>
      <c r="C339" s="13" t="n"/>
      <c r="D339" s="7">
        <f>IF(OR(B339="",C339=""),"",ROUND((C339-B339)*1440,0))</f>
        <v/>
      </c>
      <c r="E339" s="12" t="n"/>
      <c r="F339" s="12" t="n"/>
      <c r="G339" s="12" t="n"/>
      <c r="H339" s="12" t="n"/>
      <c r="I339" s="12" t="n"/>
      <c r="J339" s="12" t="n"/>
      <c r="K339" s="12" t="n"/>
      <c r="L339" s="14" t="n"/>
      <c r="M339" s="12" t="n"/>
      <c r="N339" s="12" t="n"/>
      <c r="O339" s="12" t="n"/>
      <c r="P339" s="12" t="n"/>
      <c r="Q339" s="7">
        <f>IF(A339="","",IFERROR(VLOOKUP(O339,Listes!$R$3:$T$8,2,FALSE),0)+IFERROR(VLOOKUP(J339,Listes!$J$3:$L$6,2,FALSE),0)+IFERROR(VLOOKUP(N339,Listes!$N$3:$P$6,2,FALSE),0)+IF(OR(L339="",B339=""),0,IF(L339-INT(B339)&lt;10,8,IF(L339-INT(B339)&lt;=90,10,5)))+IFERROR(VLOOKUP(AN339,Listes!$V$3:$W$5,2,FALSE),0)+IFERROR(VLOOKUP(AO339,Listes!$Y$3:$Z$5,2,FALSE),0))</f>
        <v/>
      </c>
      <c r="R339" s="12" t="n"/>
      <c r="S339" s="12" t="n"/>
      <c r="T339" s="12" t="n"/>
      <c r="U339" s="15" t="n"/>
      <c r="V339" s="15" t="n"/>
      <c r="W339" s="13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3" t="n"/>
      <c r="AK339" s="12" t="n"/>
      <c r="AL339" s="12" t="n"/>
      <c r="AM339" s="12" t="n"/>
      <c r="AN339" s="12" t="n"/>
      <c r="AO339" s="12" t="n"/>
      <c r="AP339" s="12" t="n"/>
      <c r="AQ339" s="7">
        <f>IF(A339="","",IF(AP339&lt;&gt;"",AP339,IF(LEFT(Z339,11)="gads_marque","Google Search – Marque",IF(LEFT(Z339,12)="gads_mariage","Google Search – Mariage et privé",IF(LEFT(Z339,10)="gads_corpo","Google Search – Corporatif",IF(LEFT(Z339,5)="meta_","Meta – Leads",IF(LEFT(Z339,5)="msft_","Microsoft Ads",IF(LEFT(Z339,8)="chatgpt_","ChatGPT Ads – Test",IF(X339="gbp","Fiche Google (organique)","Autre / non payé")))))))))</f>
        <v/>
      </c>
      <c r="AR339" s="7">
        <f>IF(K339="","",IFERROR(VLOOKUP(K339,Listes!$F$3:$H$8,3,FALSE),""))</f>
        <v/>
      </c>
      <c r="AS339" s="7">
        <f>IF(O339="","",IF(AND(M339="Autre (plus de 40 km)",OR(O339="lt600",O339="600_999",O339="1000_2499")),"D",IF(OR(O339="lt600",AND(O339="600_999",K339&lt;&gt;"mariage",K339&lt;&gt;"prive")),"C",IF(OR(O339="2500_4999",O339="5000p",J339="entreprise",J339="organisme",J339="agence"),"A",IF(OR(O339="1000_2499",O339="600_999"),"B",IF(O339="inconnu",IF(OR(N339="75_149",N339="150p"),"A","B"),""))))))</f>
        <v/>
      </c>
      <c r="AT339" s="7">
        <f>IF(A339="","",IF(P339&lt;&gt;"",P339,AS339))</f>
        <v/>
      </c>
      <c r="AU339" s="7">
        <f>IF(A339="","",IF(OR(AT339="A",AT339="B"),1,0))</f>
        <v/>
      </c>
      <c r="AV339" s="7">
        <f>IF(A339="","",IF(OR(R339="Dépôt payé (gagné)",R339="Événement livré",R339="Avis obtenu"),1,0))</f>
        <v/>
      </c>
      <c r="AW339" s="7">
        <f>IF(A339="","",IF(Q339&gt;70,"Immédiat – propriétaire",IF(Q339&gt;=40,"15 min – personne de garde","Selon la route")))</f>
        <v/>
      </c>
      <c r="AX339" s="11">
        <f>IF(A339="","",IF(AT339="A",400,IF(AT339="B",150,0)))</f>
        <v/>
      </c>
      <c r="AY339" s="11">
        <f>IF(A339="","",IF(AV339=1,N(V339),IF(N(U339)&gt;0,ROUND(N(U339)*IFERROR(VLOOKUP(R339,Listes!$AE$3:$AG$12,2,FALSE),0),0),0)))</f>
        <v/>
      </c>
      <c r="AZ339" s="7">
        <f>IF(LEFT(A339,7)="EXEMPLE",1,0)</f>
        <v/>
      </c>
      <c r="BA339" s="7">
        <f>IF(AND(AV339=1,AZ339=0,AC339&lt;&gt;"",W339&lt;&gt;"",N(V339)&gt;0),COUNTIFS($AV$3:AV339,1,$AZ$3:AZ339,0,$AC$3:AC339,"&lt;&gt;",$W$3:W339,"&lt;&gt;",$V$3:V339,"&gt;0"),"")</f>
        <v/>
      </c>
    </row>
    <row r="340">
      <c r="A340" s="12" t="n"/>
      <c r="B340" s="13" t="n"/>
      <c r="C340" s="13" t="n"/>
      <c r="D340" s="7">
        <f>IF(OR(B340="",C340=""),"",ROUND((C340-B340)*1440,0))</f>
        <v/>
      </c>
      <c r="E340" s="12" t="n"/>
      <c r="F340" s="12" t="n"/>
      <c r="G340" s="12" t="n"/>
      <c r="H340" s="12" t="n"/>
      <c r="I340" s="12" t="n"/>
      <c r="J340" s="12" t="n"/>
      <c r="K340" s="12" t="n"/>
      <c r="L340" s="14" t="n"/>
      <c r="M340" s="12" t="n"/>
      <c r="N340" s="12" t="n"/>
      <c r="O340" s="12" t="n"/>
      <c r="P340" s="12" t="n"/>
      <c r="Q340" s="7">
        <f>IF(A340="","",IFERROR(VLOOKUP(O340,Listes!$R$3:$T$8,2,FALSE),0)+IFERROR(VLOOKUP(J340,Listes!$J$3:$L$6,2,FALSE),0)+IFERROR(VLOOKUP(N340,Listes!$N$3:$P$6,2,FALSE),0)+IF(OR(L340="",B340=""),0,IF(L340-INT(B340)&lt;10,8,IF(L340-INT(B340)&lt;=90,10,5)))+IFERROR(VLOOKUP(AN340,Listes!$V$3:$W$5,2,FALSE),0)+IFERROR(VLOOKUP(AO340,Listes!$Y$3:$Z$5,2,FALSE),0))</f>
        <v/>
      </c>
      <c r="R340" s="12" t="n"/>
      <c r="S340" s="12" t="n"/>
      <c r="T340" s="12" t="n"/>
      <c r="U340" s="15" t="n"/>
      <c r="V340" s="15" t="n"/>
      <c r="W340" s="13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3" t="n"/>
      <c r="AK340" s="12" t="n"/>
      <c r="AL340" s="12" t="n"/>
      <c r="AM340" s="12" t="n"/>
      <c r="AN340" s="12" t="n"/>
      <c r="AO340" s="12" t="n"/>
      <c r="AP340" s="12" t="n"/>
      <c r="AQ340" s="7">
        <f>IF(A340="","",IF(AP340&lt;&gt;"",AP340,IF(LEFT(Z340,11)="gads_marque","Google Search – Marque",IF(LEFT(Z340,12)="gads_mariage","Google Search – Mariage et privé",IF(LEFT(Z340,10)="gads_corpo","Google Search – Corporatif",IF(LEFT(Z340,5)="meta_","Meta – Leads",IF(LEFT(Z340,5)="msft_","Microsoft Ads",IF(LEFT(Z340,8)="chatgpt_","ChatGPT Ads – Test",IF(X340="gbp","Fiche Google (organique)","Autre / non payé")))))))))</f>
        <v/>
      </c>
      <c r="AR340" s="7">
        <f>IF(K340="","",IFERROR(VLOOKUP(K340,Listes!$F$3:$H$8,3,FALSE),""))</f>
        <v/>
      </c>
      <c r="AS340" s="7">
        <f>IF(O340="","",IF(AND(M340="Autre (plus de 40 km)",OR(O340="lt600",O340="600_999",O340="1000_2499")),"D",IF(OR(O340="lt600",AND(O340="600_999",K340&lt;&gt;"mariage",K340&lt;&gt;"prive")),"C",IF(OR(O340="2500_4999",O340="5000p",J340="entreprise",J340="organisme",J340="agence"),"A",IF(OR(O340="1000_2499",O340="600_999"),"B",IF(O340="inconnu",IF(OR(N340="75_149",N340="150p"),"A","B"),""))))))</f>
        <v/>
      </c>
      <c r="AT340" s="7">
        <f>IF(A340="","",IF(P340&lt;&gt;"",P340,AS340))</f>
        <v/>
      </c>
      <c r="AU340" s="7">
        <f>IF(A340="","",IF(OR(AT340="A",AT340="B"),1,0))</f>
        <v/>
      </c>
      <c r="AV340" s="7">
        <f>IF(A340="","",IF(OR(R340="Dépôt payé (gagné)",R340="Événement livré",R340="Avis obtenu"),1,0))</f>
        <v/>
      </c>
      <c r="AW340" s="7">
        <f>IF(A340="","",IF(Q340&gt;70,"Immédiat – propriétaire",IF(Q340&gt;=40,"15 min – personne de garde","Selon la route")))</f>
        <v/>
      </c>
      <c r="AX340" s="11">
        <f>IF(A340="","",IF(AT340="A",400,IF(AT340="B",150,0)))</f>
        <v/>
      </c>
      <c r="AY340" s="11">
        <f>IF(A340="","",IF(AV340=1,N(V340),IF(N(U340)&gt;0,ROUND(N(U340)*IFERROR(VLOOKUP(R340,Listes!$AE$3:$AG$12,2,FALSE),0),0),0)))</f>
        <v/>
      </c>
      <c r="AZ340" s="7">
        <f>IF(LEFT(A340,7)="EXEMPLE",1,0)</f>
        <v/>
      </c>
      <c r="BA340" s="7">
        <f>IF(AND(AV340=1,AZ340=0,AC340&lt;&gt;"",W340&lt;&gt;"",N(V340)&gt;0),COUNTIFS($AV$3:AV340,1,$AZ$3:AZ340,0,$AC$3:AC340,"&lt;&gt;",$W$3:W340,"&lt;&gt;",$V$3:V340,"&gt;0"),"")</f>
        <v/>
      </c>
    </row>
    <row r="341">
      <c r="A341" s="12" t="n"/>
      <c r="B341" s="13" t="n"/>
      <c r="C341" s="13" t="n"/>
      <c r="D341" s="7">
        <f>IF(OR(B341="",C341=""),"",ROUND((C341-B341)*1440,0))</f>
        <v/>
      </c>
      <c r="E341" s="12" t="n"/>
      <c r="F341" s="12" t="n"/>
      <c r="G341" s="12" t="n"/>
      <c r="H341" s="12" t="n"/>
      <c r="I341" s="12" t="n"/>
      <c r="J341" s="12" t="n"/>
      <c r="K341" s="12" t="n"/>
      <c r="L341" s="14" t="n"/>
      <c r="M341" s="12" t="n"/>
      <c r="N341" s="12" t="n"/>
      <c r="O341" s="12" t="n"/>
      <c r="P341" s="12" t="n"/>
      <c r="Q341" s="7">
        <f>IF(A341="","",IFERROR(VLOOKUP(O341,Listes!$R$3:$T$8,2,FALSE),0)+IFERROR(VLOOKUP(J341,Listes!$J$3:$L$6,2,FALSE),0)+IFERROR(VLOOKUP(N341,Listes!$N$3:$P$6,2,FALSE),0)+IF(OR(L341="",B341=""),0,IF(L341-INT(B341)&lt;10,8,IF(L341-INT(B341)&lt;=90,10,5)))+IFERROR(VLOOKUP(AN341,Listes!$V$3:$W$5,2,FALSE),0)+IFERROR(VLOOKUP(AO341,Listes!$Y$3:$Z$5,2,FALSE),0))</f>
        <v/>
      </c>
      <c r="R341" s="12" t="n"/>
      <c r="S341" s="12" t="n"/>
      <c r="T341" s="12" t="n"/>
      <c r="U341" s="15" t="n"/>
      <c r="V341" s="15" t="n"/>
      <c r="W341" s="13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3" t="n"/>
      <c r="AK341" s="12" t="n"/>
      <c r="AL341" s="12" t="n"/>
      <c r="AM341" s="12" t="n"/>
      <c r="AN341" s="12" t="n"/>
      <c r="AO341" s="12" t="n"/>
      <c r="AP341" s="12" t="n"/>
      <c r="AQ341" s="7">
        <f>IF(A341="","",IF(AP341&lt;&gt;"",AP341,IF(LEFT(Z341,11)="gads_marque","Google Search – Marque",IF(LEFT(Z341,12)="gads_mariage","Google Search – Mariage et privé",IF(LEFT(Z341,10)="gads_corpo","Google Search – Corporatif",IF(LEFT(Z341,5)="meta_","Meta – Leads",IF(LEFT(Z341,5)="msft_","Microsoft Ads",IF(LEFT(Z341,8)="chatgpt_","ChatGPT Ads – Test",IF(X341="gbp","Fiche Google (organique)","Autre / non payé")))))))))</f>
        <v/>
      </c>
      <c r="AR341" s="7">
        <f>IF(K341="","",IFERROR(VLOOKUP(K341,Listes!$F$3:$H$8,3,FALSE),""))</f>
        <v/>
      </c>
      <c r="AS341" s="7">
        <f>IF(O341="","",IF(AND(M341="Autre (plus de 40 km)",OR(O341="lt600",O341="600_999",O341="1000_2499")),"D",IF(OR(O341="lt600",AND(O341="600_999",K341&lt;&gt;"mariage",K341&lt;&gt;"prive")),"C",IF(OR(O341="2500_4999",O341="5000p",J341="entreprise",J341="organisme",J341="agence"),"A",IF(OR(O341="1000_2499",O341="600_999"),"B",IF(O341="inconnu",IF(OR(N341="75_149",N341="150p"),"A","B"),""))))))</f>
        <v/>
      </c>
      <c r="AT341" s="7">
        <f>IF(A341="","",IF(P341&lt;&gt;"",P341,AS341))</f>
        <v/>
      </c>
      <c r="AU341" s="7">
        <f>IF(A341="","",IF(OR(AT341="A",AT341="B"),1,0))</f>
        <v/>
      </c>
      <c r="AV341" s="7">
        <f>IF(A341="","",IF(OR(R341="Dépôt payé (gagné)",R341="Événement livré",R341="Avis obtenu"),1,0))</f>
        <v/>
      </c>
      <c r="AW341" s="7">
        <f>IF(A341="","",IF(Q341&gt;70,"Immédiat – propriétaire",IF(Q341&gt;=40,"15 min – personne de garde","Selon la route")))</f>
        <v/>
      </c>
      <c r="AX341" s="11">
        <f>IF(A341="","",IF(AT341="A",400,IF(AT341="B",150,0)))</f>
        <v/>
      </c>
      <c r="AY341" s="11">
        <f>IF(A341="","",IF(AV341=1,N(V341),IF(N(U341)&gt;0,ROUND(N(U341)*IFERROR(VLOOKUP(R341,Listes!$AE$3:$AG$12,2,FALSE),0),0),0)))</f>
        <v/>
      </c>
      <c r="AZ341" s="7">
        <f>IF(LEFT(A341,7)="EXEMPLE",1,0)</f>
        <v/>
      </c>
      <c r="BA341" s="7">
        <f>IF(AND(AV341=1,AZ341=0,AC341&lt;&gt;"",W341&lt;&gt;"",N(V341)&gt;0),COUNTIFS($AV$3:AV341,1,$AZ$3:AZ341,0,$AC$3:AC341,"&lt;&gt;",$W$3:W341,"&lt;&gt;",$V$3:V341,"&gt;0"),"")</f>
        <v/>
      </c>
    </row>
    <row r="342">
      <c r="A342" s="12" t="n"/>
      <c r="B342" s="13" t="n"/>
      <c r="C342" s="13" t="n"/>
      <c r="D342" s="7">
        <f>IF(OR(B342="",C342=""),"",ROUND((C342-B342)*1440,0))</f>
        <v/>
      </c>
      <c r="E342" s="12" t="n"/>
      <c r="F342" s="12" t="n"/>
      <c r="G342" s="12" t="n"/>
      <c r="H342" s="12" t="n"/>
      <c r="I342" s="12" t="n"/>
      <c r="J342" s="12" t="n"/>
      <c r="K342" s="12" t="n"/>
      <c r="L342" s="14" t="n"/>
      <c r="M342" s="12" t="n"/>
      <c r="N342" s="12" t="n"/>
      <c r="O342" s="12" t="n"/>
      <c r="P342" s="12" t="n"/>
      <c r="Q342" s="7">
        <f>IF(A342="","",IFERROR(VLOOKUP(O342,Listes!$R$3:$T$8,2,FALSE),0)+IFERROR(VLOOKUP(J342,Listes!$J$3:$L$6,2,FALSE),0)+IFERROR(VLOOKUP(N342,Listes!$N$3:$P$6,2,FALSE),0)+IF(OR(L342="",B342=""),0,IF(L342-INT(B342)&lt;10,8,IF(L342-INT(B342)&lt;=90,10,5)))+IFERROR(VLOOKUP(AN342,Listes!$V$3:$W$5,2,FALSE),0)+IFERROR(VLOOKUP(AO342,Listes!$Y$3:$Z$5,2,FALSE),0))</f>
        <v/>
      </c>
      <c r="R342" s="12" t="n"/>
      <c r="S342" s="12" t="n"/>
      <c r="T342" s="12" t="n"/>
      <c r="U342" s="15" t="n"/>
      <c r="V342" s="15" t="n"/>
      <c r="W342" s="13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3" t="n"/>
      <c r="AK342" s="12" t="n"/>
      <c r="AL342" s="12" t="n"/>
      <c r="AM342" s="12" t="n"/>
      <c r="AN342" s="12" t="n"/>
      <c r="AO342" s="12" t="n"/>
      <c r="AP342" s="12" t="n"/>
      <c r="AQ342" s="7">
        <f>IF(A342="","",IF(AP342&lt;&gt;"",AP342,IF(LEFT(Z342,11)="gads_marque","Google Search – Marque",IF(LEFT(Z342,12)="gads_mariage","Google Search – Mariage et privé",IF(LEFT(Z342,10)="gads_corpo","Google Search – Corporatif",IF(LEFT(Z342,5)="meta_","Meta – Leads",IF(LEFT(Z342,5)="msft_","Microsoft Ads",IF(LEFT(Z342,8)="chatgpt_","ChatGPT Ads – Test",IF(X342="gbp","Fiche Google (organique)","Autre / non payé")))))))))</f>
        <v/>
      </c>
      <c r="AR342" s="7">
        <f>IF(K342="","",IFERROR(VLOOKUP(K342,Listes!$F$3:$H$8,3,FALSE),""))</f>
        <v/>
      </c>
      <c r="AS342" s="7">
        <f>IF(O342="","",IF(AND(M342="Autre (plus de 40 km)",OR(O342="lt600",O342="600_999",O342="1000_2499")),"D",IF(OR(O342="lt600",AND(O342="600_999",K342&lt;&gt;"mariage",K342&lt;&gt;"prive")),"C",IF(OR(O342="2500_4999",O342="5000p",J342="entreprise",J342="organisme",J342="agence"),"A",IF(OR(O342="1000_2499",O342="600_999"),"B",IF(O342="inconnu",IF(OR(N342="75_149",N342="150p"),"A","B"),""))))))</f>
        <v/>
      </c>
      <c r="AT342" s="7">
        <f>IF(A342="","",IF(P342&lt;&gt;"",P342,AS342))</f>
        <v/>
      </c>
      <c r="AU342" s="7">
        <f>IF(A342="","",IF(OR(AT342="A",AT342="B"),1,0))</f>
        <v/>
      </c>
      <c r="AV342" s="7">
        <f>IF(A342="","",IF(OR(R342="Dépôt payé (gagné)",R342="Événement livré",R342="Avis obtenu"),1,0))</f>
        <v/>
      </c>
      <c r="AW342" s="7">
        <f>IF(A342="","",IF(Q342&gt;70,"Immédiat – propriétaire",IF(Q342&gt;=40,"15 min – personne de garde","Selon la route")))</f>
        <v/>
      </c>
      <c r="AX342" s="11">
        <f>IF(A342="","",IF(AT342="A",400,IF(AT342="B",150,0)))</f>
        <v/>
      </c>
      <c r="AY342" s="11">
        <f>IF(A342="","",IF(AV342=1,N(V342),IF(N(U342)&gt;0,ROUND(N(U342)*IFERROR(VLOOKUP(R342,Listes!$AE$3:$AG$12,2,FALSE),0),0),0)))</f>
        <v/>
      </c>
      <c r="AZ342" s="7">
        <f>IF(LEFT(A342,7)="EXEMPLE",1,0)</f>
        <v/>
      </c>
      <c r="BA342" s="7">
        <f>IF(AND(AV342=1,AZ342=0,AC342&lt;&gt;"",W342&lt;&gt;"",N(V342)&gt;0),COUNTIFS($AV$3:AV342,1,$AZ$3:AZ342,0,$AC$3:AC342,"&lt;&gt;",$W$3:W342,"&lt;&gt;",$V$3:V342,"&gt;0"),"")</f>
        <v/>
      </c>
    </row>
    <row r="343">
      <c r="A343" s="12" t="n"/>
      <c r="B343" s="13" t="n"/>
      <c r="C343" s="13" t="n"/>
      <c r="D343" s="7">
        <f>IF(OR(B343="",C343=""),"",ROUND((C343-B343)*1440,0))</f>
        <v/>
      </c>
      <c r="E343" s="12" t="n"/>
      <c r="F343" s="12" t="n"/>
      <c r="G343" s="12" t="n"/>
      <c r="H343" s="12" t="n"/>
      <c r="I343" s="12" t="n"/>
      <c r="J343" s="12" t="n"/>
      <c r="K343" s="12" t="n"/>
      <c r="L343" s="14" t="n"/>
      <c r="M343" s="12" t="n"/>
      <c r="N343" s="12" t="n"/>
      <c r="O343" s="12" t="n"/>
      <c r="P343" s="12" t="n"/>
      <c r="Q343" s="7">
        <f>IF(A343="","",IFERROR(VLOOKUP(O343,Listes!$R$3:$T$8,2,FALSE),0)+IFERROR(VLOOKUP(J343,Listes!$J$3:$L$6,2,FALSE),0)+IFERROR(VLOOKUP(N343,Listes!$N$3:$P$6,2,FALSE),0)+IF(OR(L343="",B343=""),0,IF(L343-INT(B343)&lt;10,8,IF(L343-INT(B343)&lt;=90,10,5)))+IFERROR(VLOOKUP(AN343,Listes!$V$3:$W$5,2,FALSE),0)+IFERROR(VLOOKUP(AO343,Listes!$Y$3:$Z$5,2,FALSE),0))</f>
        <v/>
      </c>
      <c r="R343" s="12" t="n"/>
      <c r="S343" s="12" t="n"/>
      <c r="T343" s="12" t="n"/>
      <c r="U343" s="15" t="n"/>
      <c r="V343" s="15" t="n"/>
      <c r="W343" s="13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3" t="n"/>
      <c r="AK343" s="12" t="n"/>
      <c r="AL343" s="12" t="n"/>
      <c r="AM343" s="12" t="n"/>
      <c r="AN343" s="12" t="n"/>
      <c r="AO343" s="12" t="n"/>
      <c r="AP343" s="12" t="n"/>
      <c r="AQ343" s="7">
        <f>IF(A343="","",IF(AP343&lt;&gt;"",AP343,IF(LEFT(Z343,11)="gads_marque","Google Search – Marque",IF(LEFT(Z343,12)="gads_mariage","Google Search – Mariage et privé",IF(LEFT(Z343,10)="gads_corpo","Google Search – Corporatif",IF(LEFT(Z343,5)="meta_","Meta – Leads",IF(LEFT(Z343,5)="msft_","Microsoft Ads",IF(LEFT(Z343,8)="chatgpt_","ChatGPT Ads – Test",IF(X343="gbp","Fiche Google (organique)","Autre / non payé")))))))))</f>
        <v/>
      </c>
      <c r="AR343" s="7">
        <f>IF(K343="","",IFERROR(VLOOKUP(K343,Listes!$F$3:$H$8,3,FALSE),""))</f>
        <v/>
      </c>
      <c r="AS343" s="7">
        <f>IF(O343="","",IF(AND(M343="Autre (plus de 40 km)",OR(O343="lt600",O343="600_999",O343="1000_2499")),"D",IF(OR(O343="lt600",AND(O343="600_999",K343&lt;&gt;"mariage",K343&lt;&gt;"prive")),"C",IF(OR(O343="2500_4999",O343="5000p",J343="entreprise",J343="organisme",J343="agence"),"A",IF(OR(O343="1000_2499",O343="600_999"),"B",IF(O343="inconnu",IF(OR(N343="75_149",N343="150p"),"A","B"),""))))))</f>
        <v/>
      </c>
      <c r="AT343" s="7">
        <f>IF(A343="","",IF(P343&lt;&gt;"",P343,AS343))</f>
        <v/>
      </c>
      <c r="AU343" s="7">
        <f>IF(A343="","",IF(OR(AT343="A",AT343="B"),1,0))</f>
        <v/>
      </c>
      <c r="AV343" s="7">
        <f>IF(A343="","",IF(OR(R343="Dépôt payé (gagné)",R343="Événement livré",R343="Avis obtenu"),1,0))</f>
        <v/>
      </c>
      <c r="AW343" s="7">
        <f>IF(A343="","",IF(Q343&gt;70,"Immédiat – propriétaire",IF(Q343&gt;=40,"15 min – personne de garde","Selon la route")))</f>
        <v/>
      </c>
      <c r="AX343" s="11">
        <f>IF(A343="","",IF(AT343="A",400,IF(AT343="B",150,0)))</f>
        <v/>
      </c>
      <c r="AY343" s="11">
        <f>IF(A343="","",IF(AV343=1,N(V343),IF(N(U343)&gt;0,ROUND(N(U343)*IFERROR(VLOOKUP(R343,Listes!$AE$3:$AG$12,2,FALSE),0),0),0)))</f>
        <v/>
      </c>
      <c r="AZ343" s="7">
        <f>IF(LEFT(A343,7)="EXEMPLE",1,0)</f>
        <v/>
      </c>
      <c r="BA343" s="7">
        <f>IF(AND(AV343=1,AZ343=0,AC343&lt;&gt;"",W343&lt;&gt;"",N(V343)&gt;0),COUNTIFS($AV$3:AV343,1,$AZ$3:AZ343,0,$AC$3:AC343,"&lt;&gt;",$W$3:W343,"&lt;&gt;",$V$3:V343,"&gt;0"),"")</f>
        <v/>
      </c>
    </row>
    <row r="344">
      <c r="A344" s="12" t="n"/>
      <c r="B344" s="13" t="n"/>
      <c r="C344" s="13" t="n"/>
      <c r="D344" s="7">
        <f>IF(OR(B344="",C344=""),"",ROUND((C344-B344)*1440,0))</f>
        <v/>
      </c>
      <c r="E344" s="12" t="n"/>
      <c r="F344" s="12" t="n"/>
      <c r="G344" s="12" t="n"/>
      <c r="H344" s="12" t="n"/>
      <c r="I344" s="12" t="n"/>
      <c r="J344" s="12" t="n"/>
      <c r="K344" s="12" t="n"/>
      <c r="L344" s="14" t="n"/>
      <c r="M344" s="12" t="n"/>
      <c r="N344" s="12" t="n"/>
      <c r="O344" s="12" t="n"/>
      <c r="P344" s="12" t="n"/>
      <c r="Q344" s="7">
        <f>IF(A344="","",IFERROR(VLOOKUP(O344,Listes!$R$3:$T$8,2,FALSE),0)+IFERROR(VLOOKUP(J344,Listes!$J$3:$L$6,2,FALSE),0)+IFERROR(VLOOKUP(N344,Listes!$N$3:$P$6,2,FALSE),0)+IF(OR(L344="",B344=""),0,IF(L344-INT(B344)&lt;10,8,IF(L344-INT(B344)&lt;=90,10,5)))+IFERROR(VLOOKUP(AN344,Listes!$V$3:$W$5,2,FALSE),0)+IFERROR(VLOOKUP(AO344,Listes!$Y$3:$Z$5,2,FALSE),0))</f>
        <v/>
      </c>
      <c r="R344" s="12" t="n"/>
      <c r="S344" s="12" t="n"/>
      <c r="T344" s="12" t="n"/>
      <c r="U344" s="15" t="n"/>
      <c r="V344" s="15" t="n"/>
      <c r="W344" s="13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3" t="n"/>
      <c r="AK344" s="12" t="n"/>
      <c r="AL344" s="12" t="n"/>
      <c r="AM344" s="12" t="n"/>
      <c r="AN344" s="12" t="n"/>
      <c r="AO344" s="12" t="n"/>
      <c r="AP344" s="12" t="n"/>
      <c r="AQ344" s="7">
        <f>IF(A344="","",IF(AP344&lt;&gt;"",AP344,IF(LEFT(Z344,11)="gads_marque","Google Search – Marque",IF(LEFT(Z344,12)="gads_mariage","Google Search – Mariage et privé",IF(LEFT(Z344,10)="gads_corpo","Google Search – Corporatif",IF(LEFT(Z344,5)="meta_","Meta – Leads",IF(LEFT(Z344,5)="msft_","Microsoft Ads",IF(LEFT(Z344,8)="chatgpt_","ChatGPT Ads – Test",IF(X344="gbp","Fiche Google (organique)","Autre / non payé")))))))))</f>
        <v/>
      </c>
      <c r="AR344" s="7">
        <f>IF(K344="","",IFERROR(VLOOKUP(K344,Listes!$F$3:$H$8,3,FALSE),""))</f>
        <v/>
      </c>
      <c r="AS344" s="7">
        <f>IF(O344="","",IF(AND(M344="Autre (plus de 40 km)",OR(O344="lt600",O344="600_999",O344="1000_2499")),"D",IF(OR(O344="lt600",AND(O344="600_999",K344&lt;&gt;"mariage",K344&lt;&gt;"prive")),"C",IF(OR(O344="2500_4999",O344="5000p",J344="entreprise",J344="organisme",J344="agence"),"A",IF(OR(O344="1000_2499",O344="600_999"),"B",IF(O344="inconnu",IF(OR(N344="75_149",N344="150p"),"A","B"),""))))))</f>
        <v/>
      </c>
      <c r="AT344" s="7">
        <f>IF(A344="","",IF(P344&lt;&gt;"",P344,AS344))</f>
        <v/>
      </c>
      <c r="AU344" s="7">
        <f>IF(A344="","",IF(OR(AT344="A",AT344="B"),1,0))</f>
        <v/>
      </c>
      <c r="AV344" s="7">
        <f>IF(A344="","",IF(OR(R344="Dépôt payé (gagné)",R344="Événement livré",R344="Avis obtenu"),1,0))</f>
        <v/>
      </c>
      <c r="AW344" s="7">
        <f>IF(A344="","",IF(Q344&gt;70,"Immédiat – propriétaire",IF(Q344&gt;=40,"15 min – personne de garde","Selon la route")))</f>
        <v/>
      </c>
      <c r="AX344" s="11">
        <f>IF(A344="","",IF(AT344="A",400,IF(AT344="B",150,0)))</f>
        <v/>
      </c>
      <c r="AY344" s="11">
        <f>IF(A344="","",IF(AV344=1,N(V344),IF(N(U344)&gt;0,ROUND(N(U344)*IFERROR(VLOOKUP(R344,Listes!$AE$3:$AG$12,2,FALSE),0),0),0)))</f>
        <v/>
      </c>
      <c r="AZ344" s="7">
        <f>IF(LEFT(A344,7)="EXEMPLE",1,0)</f>
        <v/>
      </c>
      <c r="BA344" s="7">
        <f>IF(AND(AV344=1,AZ344=0,AC344&lt;&gt;"",W344&lt;&gt;"",N(V344)&gt;0),COUNTIFS($AV$3:AV344,1,$AZ$3:AZ344,0,$AC$3:AC344,"&lt;&gt;",$W$3:W344,"&lt;&gt;",$V$3:V344,"&gt;0"),"")</f>
        <v/>
      </c>
    </row>
    <row r="345">
      <c r="A345" s="12" t="n"/>
      <c r="B345" s="13" t="n"/>
      <c r="C345" s="13" t="n"/>
      <c r="D345" s="7">
        <f>IF(OR(B345="",C345=""),"",ROUND((C345-B345)*1440,0))</f>
        <v/>
      </c>
      <c r="E345" s="12" t="n"/>
      <c r="F345" s="12" t="n"/>
      <c r="G345" s="12" t="n"/>
      <c r="H345" s="12" t="n"/>
      <c r="I345" s="12" t="n"/>
      <c r="J345" s="12" t="n"/>
      <c r="K345" s="12" t="n"/>
      <c r="L345" s="14" t="n"/>
      <c r="M345" s="12" t="n"/>
      <c r="N345" s="12" t="n"/>
      <c r="O345" s="12" t="n"/>
      <c r="P345" s="12" t="n"/>
      <c r="Q345" s="7">
        <f>IF(A345="","",IFERROR(VLOOKUP(O345,Listes!$R$3:$T$8,2,FALSE),0)+IFERROR(VLOOKUP(J345,Listes!$J$3:$L$6,2,FALSE),0)+IFERROR(VLOOKUP(N345,Listes!$N$3:$P$6,2,FALSE),0)+IF(OR(L345="",B345=""),0,IF(L345-INT(B345)&lt;10,8,IF(L345-INT(B345)&lt;=90,10,5)))+IFERROR(VLOOKUP(AN345,Listes!$V$3:$W$5,2,FALSE),0)+IFERROR(VLOOKUP(AO345,Listes!$Y$3:$Z$5,2,FALSE),0))</f>
        <v/>
      </c>
      <c r="R345" s="12" t="n"/>
      <c r="S345" s="12" t="n"/>
      <c r="T345" s="12" t="n"/>
      <c r="U345" s="15" t="n"/>
      <c r="V345" s="15" t="n"/>
      <c r="W345" s="13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3" t="n"/>
      <c r="AK345" s="12" t="n"/>
      <c r="AL345" s="12" t="n"/>
      <c r="AM345" s="12" t="n"/>
      <c r="AN345" s="12" t="n"/>
      <c r="AO345" s="12" t="n"/>
      <c r="AP345" s="12" t="n"/>
      <c r="AQ345" s="7">
        <f>IF(A345="","",IF(AP345&lt;&gt;"",AP345,IF(LEFT(Z345,11)="gads_marque","Google Search – Marque",IF(LEFT(Z345,12)="gads_mariage","Google Search – Mariage et privé",IF(LEFT(Z345,10)="gads_corpo","Google Search – Corporatif",IF(LEFT(Z345,5)="meta_","Meta – Leads",IF(LEFT(Z345,5)="msft_","Microsoft Ads",IF(LEFT(Z345,8)="chatgpt_","ChatGPT Ads – Test",IF(X345="gbp","Fiche Google (organique)","Autre / non payé")))))))))</f>
        <v/>
      </c>
      <c r="AR345" s="7">
        <f>IF(K345="","",IFERROR(VLOOKUP(K345,Listes!$F$3:$H$8,3,FALSE),""))</f>
        <v/>
      </c>
      <c r="AS345" s="7">
        <f>IF(O345="","",IF(AND(M345="Autre (plus de 40 km)",OR(O345="lt600",O345="600_999",O345="1000_2499")),"D",IF(OR(O345="lt600",AND(O345="600_999",K345&lt;&gt;"mariage",K345&lt;&gt;"prive")),"C",IF(OR(O345="2500_4999",O345="5000p",J345="entreprise",J345="organisme",J345="agence"),"A",IF(OR(O345="1000_2499",O345="600_999"),"B",IF(O345="inconnu",IF(OR(N345="75_149",N345="150p"),"A","B"),""))))))</f>
        <v/>
      </c>
      <c r="AT345" s="7">
        <f>IF(A345="","",IF(P345&lt;&gt;"",P345,AS345))</f>
        <v/>
      </c>
      <c r="AU345" s="7">
        <f>IF(A345="","",IF(OR(AT345="A",AT345="B"),1,0))</f>
        <v/>
      </c>
      <c r="AV345" s="7">
        <f>IF(A345="","",IF(OR(R345="Dépôt payé (gagné)",R345="Événement livré",R345="Avis obtenu"),1,0))</f>
        <v/>
      </c>
      <c r="AW345" s="7">
        <f>IF(A345="","",IF(Q345&gt;70,"Immédiat – propriétaire",IF(Q345&gt;=40,"15 min – personne de garde","Selon la route")))</f>
        <v/>
      </c>
      <c r="AX345" s="11">
        <f>IF(A345="","",IF(AT345="A",400,IF(AT345="B",150,0)))</f>
        <v/>
      </c>
      <c r="AY345" s="11">
        <f>IF(A345="","",IF(AV345=1,N(V345),IF(N(U345)&gt;0,ROUND(N(U345)*IFERROR(VLOOKUP(R345,Listes!$AE$3:$AG$12,2,FALSE),0),0),0)))</f>
        <v/>
      </c>
      <c r="AZ345" s="7">
        <f>IF(LEFT(A345,7)="EXEMPLE",1,0)</f>
        <v/>
      </c>
      <c r="BA345" s="7">
        <f>IF(AND(AV345=1,AZ345=0,AC345&lt;&gt;"",W345&lt;&gt;"",N(V345)&gt;0),COUNTIFS($AV$3:AV345,1,$AZ$3:AZ345,0,$AC$3:AC345,"&lt;&gt;",$W$3:W345,"&lt;&gt;",$V$3:V345,"&gt;0"),"")</f>
        <v/>
      </c>
    </row>
    <row r="346">
      <c r="A346" s="12" t="n"/>
      <c r="B346" s="13" t="n"/>
      <c r="C346" s="13" t="n"/>
      <c r="D346" s="7">
        <f>IF(OR(B346="",C346=""),"",ROUND((C346-B346)*1440,0))</f>
        <v/>
      </c>
      <c r="E346" s="12" t="n"/>
      <c r="F346" s="12" t="n"/>
      <c r="G346" s="12" t="n"/>
      <c r="H346" s="12" t="n"/>
      <c r="I346" s="12" t="n"/>
      <c r="J346" s="12" t="n"/>
      <c r="K346" s="12" t="n"/>
      <c r="L346" s="14" t="n"/>
      <c r="M346" s="12" t="n"/>
      <c r="N346" s="12" t="n"/>
      <c r="O346" s="12" t="n"/>
      <c r="P346" s="12" t="n"/>
      <c r="Q346" s="7">
        <f>IF(A346="","",IFERROR(VLOOKUP(O346,Listes!$R$3:$T$8,2,FALSE),0)+IFERROR(VLOOKUP(J346,Listes!$J$3:$L$6,2,FALSE),0)+IFERROR(VLOOKUP(N346,Listes!$N$3:$P$6,2,FALSE),0)+IF(OR(L346="",B346=""),0,IF(L346-INT(B346)&lt;10,8,IF(L346-INT(B346)&lt;=90,10,5)))+IFERROR(VLOOKUP(AN346,Listes!$V$3:$W$5,2,FALSE),0)+IFERROR(VLOOKUP(AO346,Listes!$Y$3:$Z$5,2,FALSE),0))</f>
        <v/>
      </c>
      <c r="R346" s="12" t="n"/>
      <c r="S346" s="12" t="n"/>
      <c r="T346" s="12" t="n"/>
      <c r="U346" s="15" t="n"/>
      <c r="V346" s="15" t="n"/>
      <c r="W346" s="13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3" t="n"/>
      <c r="AK346" s="12" t="n"/>
      <c r="AL346" s="12" t="n"/>
      <c r="AM346" s="12" t="n"/>
      <c r="AN346" s="12" t="n"/>
      <c r="AO346" s="12" t="n"/>
      <c r="AP346" s="12" t="n"/>
      <c r="AQ346" s="7">
        <f>IF(A346="","",IF(AP346&lt;&gt;"",AP346,IF(LEFT(Z346,11)="gads_marque","Google Search – Marque",IF(LEFT(Z346,12)="gads_mariage","Google Search – Mariage et privé",IF(LEFT(Z346,10)="gads_corpo","Google Search – Corporatif",IF(LEFT(Z346,5)="meta_","Meta – Leads",IF(LEFT(Z346,5)="msft_","Microsoft Ads",IF(LEFT(Z346,8)="chatgpt_","ChatGPT Ads – Test",IF(X346="gbp","Fiche Google (organique)","Autre / non payé")))))))))</f>
        <v/>
      </c>
      <c r="AR346" s="7">
        <f>IF(K346="","",IFERROR(VLOOKUP(K346,Listes!$F$3:$H$8,3,FALSE),""))</f>
        <v/>
      </c>
      <c r="AS346" s="7">
        <f>IF(O346="","",IF(AND(M346="Autre (plus de 40 km)",OR(O346="lt600",O346="600_999",O346="1000_2499")),"D",IF(OR(O346="lt600",AND(O346="600_999",K346&lt;&gt;"mariage",K346&lt;&gt;"prive")),"C",IF(OR(O346="2500_4999",O346="5000p",J346="entreprise",J346="organisme",J346="agence"),"A",IF(OR(O346="1000_2499",O346="600_999"),"B",IF(O346="inconnu",IF(OR(N346="75_149",N346="150p"),"A","B"),""))))))</f>
        <v/>
      </c>
      <c r="AT346" s="7">
        <f>IF(A346="","",IF(P346&lt;&gt;"",P346,AS346))</f>
        <v/>
      </c>
      <c r="AU346" s="7">
        <f>IF(A346="","",IF(OR(AT346="A",AT346="B"),1,0))</f>
        <v/>
      </c>
      <c r="AV346" s="7">
        <f>IF(A346="","",IF(OR(R346="Dépôt payé (gagné)",R346="Événement livré",R346="Avis obtenu"),1,0))</f>
        <v/>
      </c>
      <c r="AW346" s="7">
        <f>IF(A346="","",IF(Q346&gt;70,"Immédiat – propriétaire",IF(Q346&gt;=40,"15 min – personne de garde","Selon la route")))</f>
        <v/>
      </c>
      <c r="AX346" s="11">
        <f>IF(A346="","",IF(AT346="A",400,IF(AT346="B",150,0)))</f>
        <v/>
      </c>
      <c r="AY346" s="11">
        <f>IF(A346="","",IF(AV346=1,N(V346),IF(N(U346)&gt;0,ROUND(N(U346)*IFERROR(VLOOKUP(R346,Listes!$AE$3:$AG$12,2,FALSE),0),0),0)))</f>
        <v/>
      </c>
      <c r="AZ346" s="7">
        <f>IF(LEFT(A346,7)="EXEMPLE",1,0)</f>
        <v/>
      </c>
      <c r="BA346" s="7">
        <f>IF(AND(AV346=1,AZ346=0,AC346&lt;&gt;"",W346&lt;&gt;"",N(V346)&gt;0),COUNTIFS($AV$3:AV346,1,$AZ$3:AZ346,0,$AC$3:AC346,"&lt;&gt;",$W$3:W346,"&lt;&gt;",$V$3:V346,"&gt;0"),"")</f>
        <v/>
      </c>
    </row>
    <row r="347">
      <c r="A347" s="12" t="n"/>
      <c r="B347" s="13" t="n"/>
      <c r="C347" s="13" t="n"/>
      <c r="D347" s="7">
        <f>IF(OR(B347="",C347=""),"",ROUND((C347-B347)*1440,0))</f>
        <v/>
      </c>
      <c r="E347" s="12" t="n"/>
      <c r="F347" s="12" t="n"/>
      <c r="G347" s="12" t="n"/>
      <c r="H347" s="12" t="n"/>
      <c r="I347" s="12" t="n"/>
      <c r="J347" s="12" t="n"/>
      <c r="K347" s="12" t="n"/>
      <c r="L347" s="14" t="n"/>
      <c r="M347" s="12" t="n"/>
      <c r="N347" s="12" t="n"/>
      <c r="O347" s="12" t="n"/>
      <c r="P347" s="12" t="n"/>
      <c r="Q347" s="7">
        <f>IF(A347="","",IFERROR(VLOOKUP(O347,Listes!$R$3:$T$8,2,FALSE),0)+IFERROR(VLOOKUP(J347,Listes!$J$3:$L$6,2,FALSE),0)+IFERROR(VLOOKUP(N347,Listes!$N$3:$P$6,2,FALSE),0)+IF(OR(L347="",B347=""),0,IF(L347-INT(B347)&lt;10,8,IF(L347-INT(B347)&lt;=90,10,5)))+IFERROR(VLOOKUP(AN347,Listes!$V$3:$W$5,2,FALSE),0)+IFERROR(VLOOKUP(AO347,Listes!$Y$3:$Z$5,2,FALSE),0))</f>
        <v/>
      </c>
      <c r="R347" s="12" t="n"/>
      <c r="S347" s="12" t="n"/>
      <c r="T347" s="12" t="n"/>
      <c r="U347" s="15" t="n"/>
      <c r="V347" s="15" t="n"/>
      <c r="W347" s="13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3" t="n"/>
      <c r="AK347" s="12" t="n"/>
      <c r="AL347" s="12" t="n"/>
      <c r="AM347" s="12" t="n"/>
      <c r="AN347" s="12" t="n"/>
      <c r="AO347" s="12" t="n"/>
      <c r="AP347" s="12" t="n"/>
      <c r="AQ347" s="7">
        <f>IF(A347="","",IF(AP347&lt;&gt;"",AP347,IF(LEFT(Z347,11)="gads_marque","Google Search – Marque",IF(LEFT(Z347,12)="gads_mariage","Google Search – Mariage et privé",IF(LEFT(Z347,10)="gads_corpo","Google Search – Corporatif",IF(LEFT(Z347,5)="meta_","Meta – Leads",IF(LEFT(Z347,5)="msft_","Microsoft Ads",IF(LEFT(Z347,8)="chatgpt_","ChatGPT Ads – Test",IF(X347="gbp","Fiche Google (organique)","Autre / non payé")))))))))</f>
        <v/>
      </c>
      <c r="AR347" s="7">
        <f>IF(K347="","",IFERROR(VLOOKUP(K347,Listes!$F$3:$H$8,3,FALSE),""))</f>
        <v/>
      </c>
      <c r="AS347" s="7">
        <f>IF(O347="","",IF(AND(M347="Autre (plus de 40 km)",OR(O347="lt600",O347="600_999",O347="1000_2499")),"D",IF(OR(O347="lt600",AND(O347="600_999",K347&lt;&gt;"mariage",K347&lt;&gt;"prive")),"C",IF(OR(O347="2500_4999",O347="5000p",J347="entreprise",J347="organisme",J347="agence"),"A",IF(OR(O347="1000_2499",O347="600_999"),"B",IF(O347="inconnu",IF(OR(N347="75_149",N347="150p"),"A","B"),""))))))</f>
        <v/>
      </c>
      <c r="AT347" s="7">
        <f>IF(A347="","",IF(P347&lt;&gt;"",P347,AS347))</f>
        <v/>
      </c>
      <c r="AU347" s="7">
        <f>IF(A347="","",IF(OR(AT347="A",AT347="B"),1,0))</f>
        <v/>
      </c>
      <c r="AV347" s="7">
        <f>IF(A347="","",IF(OR(R347="Dépôt payé (gagné)",R347="Événement livré",R347="Avis obtenu"),1,0))</f>
        <v/>
      </c>
      <c r="AW347" s="7">
        <f>IF(A347="","",IF(Q347&gt;70,"Immédiat – propriétaire",IF(Q347&gt;=40,"15 min – personne de garde","Selon la route")))</f>
        <v/>
      </c>
      <c r="AX347" s="11">
        <f>IF(A347="","",IF(AT347="A",400,IF(AT347="B",150,0)))</f>
        <v/>
      </c>
      <c r="AY347" s="11">
        <f>IF(A347="","",IF(AV347=1,N(V347),IF(N(U347)&gt;0,ROUND(N(U347)*IFERROR(VLOOKUP(R347,Listes!$AE$3:$AG$12,2,FALSE),0),0),0)))</f>
        <v/>
      </c>
      <c r="AZ347" s="7">
        <f>IF(LEFT(A347,7)="EXEMPLE",1,0)</f>
        <v/>
      </c>
      <c r="BA347" s="7">
        <f>IF(AND(AV347=1,AZ347=0,AC347&lt;&gt;"",W347&lt;&gt;"",N(V347)&gt;0),COUNTIFS($AV$3:AV347,1,$AZ$3:AZ347,0,$AC$3:AC347,"&lt;&gt;",$W$3:W347,"&lt;&gt;",$V$3:V347,"&gt;0"),"")</f>
        <v/>
      </c>
    </row>
    <row r="348">
      <c r="A348" s="12" t="n"/>
      <c r="B348" s="13" t="n"/>
      <c r="C348" s="13" t="n"/>
      <c r="D348" s="7">
        <f>IF(OR(B348="",C348=""),"",ROUND((C348-B348)*1440,0))</f>
        <v/>
      </c>
      <c r="E348" s="12" t="n"/>
      <c r="F348" s="12" t="n"/>
      <c r="G348" s="12" t="n"/>
      <c r="H348" s="12" t="n"/>
      <c r="I348" s="12" t="n"/>
      <c r="J348" s="12" t="n"/>
      <c r="K348" s="12" t="n"/>
      <c r="L348" s="14" t="n"/>
      <c r="M348" s="12" t="n"/>
      <c r="N348" s="12" t="n"/>
      <c r="O348" s="12" t="n"/>
      <c r="P348" s="12" t="n"/>
      <c r="Q348" s="7">
        <f>IF(A348="","",IFERROR(VLOOKUP(O348,Listes!$R$3:$T$8,2,FALSE),0)+IFERROR(VLOOKUP(J348,Listes!$J$3:$L$6,2,FALSE),0)+IFERROR(VLOOKUP(N348,Listes!$N$3:$P$6,2,FALSE),0)+IF(OR(L348="",B348=""),0,IF(L348-INT(B348)&lt;10,8,IF(L348-INT(B348)&lt;=90,10,5)))+IFERROR(VLOOKUP(AN348,Listes!$V$3:$W$5,2,FALSE),0)+IFERROR(VLOOKUP(AO348,Listes!$Y$3:$Z$5,2,FALSE),0))</f>
        <v/>
      </c>
      <c r="R348" s="12" t="n"/>
      <c r="S348" s="12" t="n"/>
      <c r="T348" s="12" t="n"/>
      <c r="U348" s="15" t="n"/>
      <c r="V348" s="15" t="n"/>
      <c r="W348" s="13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3" t="n"/>
      <c r="AK348" s="12" t="n"/>
      <c r="AL348" s="12" t="n"/>
      <c r="AM348" s="12" t="n"/>
      <c r="AN348" s="12" t="n"/>
      <c r="AO348" s="12" t="n"/>
      <c r="AP348" s="12" t="n"/>
      <c r="AQ348" s="7">
        <f>IF(A348="","",IF(AP348&lt;&gt;"",AP348,IF(LEFT(Z348,11)="gads_marque","Google Search – Marque",IF(LEFT(Z348,12)="gads_mariage","Google Search – Mariage et privé",IF(LEFT(Z348,10)="gads_corpo","Google Search – Corporatif",IF(LEFT(Z348,5)="meta_","Meta – Leads",IF(LEFT(Z348,5)="msft_","Microsoft Ads",IF(LEFT(Z348,8)="chatgpt_","ChatGPT Ads – Test",IF(X348="gbp","Fiche Google (organique)","Autre / non payé")))))))))</f>
        <v/>
      </c>
      <c r="AR348" s="7">
        <f>IF(K348="","",IFERROR(VLOOKUP(K348,Listes!$F$3:$H$8,3,FALSE),""))</f>
        <v/>
      </c>
      <c r="AS348" s="7">
        <f>IF(O348="","",IF(AND(M348="Autre (plus de 40 km)",OR(O348="lt600",O348="600_999",O348="1000_2499")),"D",IF(OR(O348="lt600",AND(O348="600_999",K348&lt;&gt;"mariage",K348&lt;&gt;"prive")),"C",IF(OR(O348="2500_4999",O348="5000p",J348="entreprise",J348="organisme",J348="agence"),"A",IF(OR(O348="1000_2499",O348="600_999"),"B",IF(O348="inconnu",IF(OR(N348="75_149",N348="150p"),"A","B"),""))))))</f>
        <v/>
      </c>
      <c r="AT348" s="7">
        <f>IF(A348="","",IF(P348&lt;&gt;"",P348,AS348))</f>
        <v/>
      </c>
      <c r="AU348" s="7">
        <f>IF(A348="","",IF(OR(AT348="A",AT348="B"),1,0))</f>
        <v/>
      </c>
      <c r="AV348" s="7">
        <f>IF(A348="","",IF(OR(R348="Dépôt payé (gagné)",R348="Événement livré",R348="Avis obtenu"),1,0))</f>
        <v/>
      </c>
      <c r="AW348" s="7">
        <f>IF(A348="","",IF(Q348&gt;70,"Immédiat – propriétaire",IF(Q348&gt;=40,"15 min – personne de garde","Selon la route")))</f>
        <v/>
      </c>
      <c r="AX348" s="11">
        <f>IF(A348="","",IF(AT348="A",400,IF(AT348="B",150,0)))</f>
        <v/>
      </c>
      <c r="AY348" s="11">
        <f>IF(A348="","",IF(AV348=1,N(V348),IF(N(U348)&gt;0,ROUND(N(U348)*IFERROR(VLOOKUP(R348,Listes!$AE$3:$AG$12,2,FALSE),0),0),0)))</f>
        <v/>
      </c>
      <c r="AZ348" s="7">
        <f>IF(LEFT(A348,7)="EXEMPLE",1,0)</f>
        <v/>
      </c>
      <c r="BA348" s="7">
        <f>IF(AND(AV348=1,AZ348=0,AC348&lt;&gt;"",W348&lt;&gt;"",N(V348)&gt;0),COUNTIFS($AV$3:AV348,1,$AZ$3:AZ348,0,$AC$3:AC348,"&lt;&gt;",$W$3:W348,"&lt;&gt;",$V$3:V348,"&gt;0"),"")</f>
        <v/>
      </c>
    </row>
    <row r="349">
      <c r="A349" s="12" t="n"/>
      <c r="B349" s="13" t="n"/>
      <c r="C349" s="13" t="n"/>
      <c r="D349" s="7">
        <f>IF(OR(B349="",C349=""),"",ROUND((C349-B349)*1440,0))</f>
        <v/>
      </c>
      <c r="E349" s="12" t="n"/>
      <c r="F349" s="12" t="n"/>
      <c r="G349" s="12" t="n"/>
      <c r="H349" s="12" t="n"/>
      <c r="I349" s="12" t="n"/>
      <c r="J349" s="12" t="n"/>
      <c r="K349" s="12" t="n"/>
      <c r="L349" s="14" t="n"/>
      <c r="M349" s="12" t="n"/>
      <c r="N349" s="12" t="n"/>
      <c r="O349" s="12" t="n"/>
      <c r="P349" s="12" t="n"/>
      <c r="Q349" s="7">
        <f>IF(A349="","",IFERROR(VLOOKUP(O349,Listes!$R$3:$T$8,2,FALSE),0)+IFERROR(VLOOKUP(J349,Listes!$J$3:$L$6,2,FALSE),0)+IFERROR(VLOOKUP(N349,Listes!$N$3:$P$6,2,FALSE),0)+IF(OR(L349="",B349=""),0,IF(L349-INT(B349)&lt;10,8,IF(L349-INT(B349)&lt;=90,10,5)))+IFERROR(VLOOKUP(AN349,Listes!$V$3:$W$5,2,FALSE),0)+IFERROR(VLOOKUP(AO349,Listes!$Y$3:$Z$5,2,FALSE),0))</f>
        <v/>
      </c>
      <c r="R349" s="12" t="n"/>
      <c r="S349" s="12" t="n"/>
      <c r="T349" s="12" t="n"/>
      <c r="U349" s="15" t="n"/>
      <c r="V349" s="15" t="n"/>
      <c r="W349" s="13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3" t="n"/>
      <c r="AK349" s="12" t="n"/>
      <c r="AL349" s="12" t="n"/>
      <c r="AM349" s="12" t="n"/>
      <c r="AN349" s="12" t="n"/>
      <c r="AO349" s="12" t="n"/>
      <c r="AP349" s="12" t="n"/>
      <c r="AQ349" s="7">
        <f>IF(A349="","",IF(AP349&lt;&gt;"",AP349,IF(LEFT(Z349,11)="gads_marque","Google Search – Marque",IF(LEFT(Z349,12)="gads_mariage","Google Search – Mariage et privé",IF(LEFT(Z349,10)="gads_corpo","Google Search – Corporatif",IF(LEFT(Z349,5)="meta_","Meta – Leads",IF(LEFT(Z349,5)="msft_","Microsoft Ads",IF(LEFT(Z349,8)="chatgpt_","ChatGPT Ads – Test",IF(X349="gbp","Fiche Google (organique)","Autre / non payé")))))))))</f>
        <v/>
      </c>
      <c r="AR349" s="7">
        <f>IF(K349="","",IFERROR(VLOOKUP(K349,Listes!$F$3:$H$8,3,FALSE),""))</f>
        <v/>
      </c>
      <c r="AS349" s="7">
        <f>IF(O349="","",IF(AND(M349="Autre (plus de 40 km)",OR(O349="lt600",O349="600_999",O349="1000_2499")),"D",IF(OR(O349="lt600",AND(O349="600_999",K349&lt;&gt;"mariage",K349&lt;&gt;"prive")),"C",IF(OR(O349="2500_4999",O349="5000p",J349="entreprise",J349="organisme",J349="agence"),"A",IF(OR(O349="1000_2499",O349="600_999"),"B",IF(O349="inconnu",IF(OR(N349="75_149",N349="150p"),"A","B"),""))))))</f>
        <v/>
      </c>
      <c r="AT349" s="7">
        <f>IF(A349="","",IF(P349&lt;&gt;"",P349,AS349))</f>
        <v/>
      </c>
      <c r="AU349" s="7">
        <f>IF(A349="","",IF(OR(AT349="A",AT349="B"),1,0))</f>
        <v/>
      </c>
      <c r="AV349" s="7">
        <f>IF(A349="","",IF(OR(R349="Dépôt payé (gagné)",R349="Événement livré",R349="Avis obtenu"),1,0))</f>
        <v/>
      </c>
      <c r="AW349" s="7">
        <f>IF(A349="","",IF(Q349&gt;70,"Immédiat – propriétaire",IF(Q349&gt;=40,"15 min – personne de garde","Selon la route")))</f>
        <v/>
      </c>
      <c r="AX349" s="11">
        <f>IF(A349="","",IF(AT349="A",400,IF(AT349="B",150,0)))</f>
        <v/>
      </c>
      <c r="AY349" s="11">
        <f>IF(A349="","",IF(AV349=1,N(V349),IF(N(U349)&gt;0,ROUND(N(U349)*IFERROR(VLOOKUP(R349,Listes!$AE$3:$AG$12,2,FALSE),0),0),0)))</f>
        <v/>
      </c>
      <c r="AZ349" s="7">
        <f>IF(LEFT(A349,7)="EXEMPLE",1,0)</f>
        <v/>
      </c>
      <c r="BA349" s="7">
        <f>IF(AND(AV349=1,AZ349=0,AC349&lt;&gt;"",W349&lt;&gt;"",N(V349)&gt;0),COUNTIFS($AV$3:AV349,1,$AZ$3:AZ349,0,$AC$3:AC349,"&lt;&gt;",$W$3:W349,"&lt;&gt;",$V$3:V349,"&gt;0"),"")</f>
        <v/>
      </c>
    </row>
    <row r="350">
      <c r="A350" s="12" t="n"/>
      <c r="B350" s="13" t="n"/>
      <c r="C350" s="13" t="n"/>
      <c r="D350" s="7">
        <f>IF(OR(B350="",C350=""),"",ROUND((C350-B350)*1440,0))</f>
        <v/>
      </c>
      <c r="E350" s="12" t="n"/>
      <c r="F350" s="12" t="n"/>
      <c r="G350" s="12" t="n"/>
      <c r="H350" s="12" t="n"/>
      <c r="I350" s="12" t="n"/>
      <c r="J350" s="12" t="n"/>
      <c r="K350" s="12" t="n"/>
      <c r="L350" s="14" t="n"/>
      <c r="M350" s="12" t="n"/>
      <c r="N350" s="12" t="n"/>
      <c r="O350" s="12" t="n"/>
      <c r="P350" s="12" t="n"/>
      <c r="Q350" s="7">
        <f>IF(A350="","",IFERROR(VLOOKUP(O350,Listes!$R$3:$T$8,2,FALSE),0)+IFERROR(VLOOKUP(J350,Listes!$J$3:$L$6,2,FALSE),0)+IFERROR(VLOOKUP(N350,Listes!$N$3:$P$6,2,FALSE),0)+IF(OR(L350="",B350=""),0,IF(L350-INT(B350)&lt;10,8,IF(L350-INT(B350)&lt;=90,10,5)))+IFERROR(VLOOKUP(AN350,Listes!$V$3:$W$5,2,FALSE),0)+IFERROR(VLOOKUP(AO350,Listes!$Y$3:$Z$5,2,FALSE),0))</f>
        <v/>
      </c>
      <c r="R350" s="12" t="n"/>
      <c r="S350" s="12" t="n"/>
      <c r="T350" s="12" t="n"/>
      <c r="U350" s="15" t="n"/>
      <c r="V350" s="15" t="n"/>
      <c r="W350" s="13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3" t="n"/>
      <c r="AK350" s="12" t="n"/>
      <c r="AL350" s="12" t="n"/>
      <c r="AM350" s="12" t="n"/>
      <c r="AN350" s="12" t="n"/>
      <c r="AO350" s="12" t="n"/>
      <c r="AP350" s="12" t="n"/>
      <c r="AQ350" s="7">
        <f>IF(A350="","",IF(AP350&lt;&gt;"",AP350,IF(LEFT(Z350,11)="gads_marque","Google Search – Marque",IF(LEFT(Z350,12)="gads_mariage","Google Search – Mariage et privé",IF(LEFT(Z350,10)="gads_corpo","Google Search – Corporatif",IF(LEFT(Z350,5)="meta_","Meta – Leads",IF(LEFT(Z350,5)="msft_","Microsoft Ads",IF(LEFT(Z350,8)="chatgpt_","ChatGPT Ads – Test",IF(X350="gbp","Fiche Google (organique)","Autre / non payé")))))))))</f>
        <v/>
      </c>
      <c r="AR350" s="7">
        <f>IF(K350="","",IFERROR(VLOOKUP(K350,Listes!$F$3:$H$8,3,FALSE),""))</f>
        <v/>
      </c>
      <c r="AS350" s="7">
        <f>IF(O350="","",IF(AND(M350="Autre (plus de 40 km)",OR(O350="lt600",O350="600_999",O350="1000_2499")),"D",IF(OR(O350="lt600",AND(O350="600_999",K350&lt;&gt;"mariage",K350&lt;&gt;"prive")),"C",IF(OR(O350="2500_4999",O350="5000p",J350="entreprise",J350="organisme",J350="agence"),"A",IF(OR(O350="1000_2499",O350="600_999"),"B",IF(O350="inconnu",IF(OR(N350="75_149",N350="150p"),"A","B"),""))))))</f>
        <v/>
      </c>
      <c r="AT350" s="7">
        <f>IF(A350="","",IF(P350&lt;&gt;"",P350,AS350))</f>
        <v/>
      </c>
      <c r="AU350" s="7">
        <f>IF(A350="","",IF(OR(AT350="A",AT350="B"),1,0))</f>
        <v/>
      </c>
      <c r="AV350" s="7">
        <f>IF(A350="","",IF(OR(R350="Dépôt payé (gagné)",R350="Événement livré",R350="Avis obtenu"),1,0))</f>
        <v/>
      </c>
      <c r="AW350" s="7">
        <f>IF(A350="","",IF(Q350&gt;70,"Immédiat – propriétaire",IF(Q350&gt;=40,"15 min – personne de garde","Selon la route")))</f>
        <v/>
      </c>
      <c r="AX350" s="11">
        <f>IF(A350="","",IF(AT350="A",400,IF(AT350="B",150,0)))</f>
        <v/>
      </c>
      <c r="AY350" s="11">
        <f>IF(A350="","",IF(AV350=1,N(V350),IF(N(U350)&gt;0,ROUND(N(U350)*IFERROR(VLOOKUP(R350,Listes!$AE$3:$AG$12,2,FALSE),0),0),0)))</f>
        <v/>
      </c>
      <c r="AZ350" s="7">
        <f>IF(LEFT(A350,7)="EXEMPLE",1,0)</f>
        <v/>
      </c>
      <c r="BA350" s="7">
        <f>IF(AND(AV350=1,AZ350=0,AC350&lt;&gt;"",W350&lt;&gt;"",N(V350)&gt;0),COUNTIFS($AV$3:AV350,1,$AZ$3:AZ350,0,$AC$3:AC350,"&lt;&gt;",$W$3:W350,"&lt;&gt;",$V$3:V350,"&gt;0"),"")</f>
        <v/>
      </c>
    </row>
    <row r="351">
      <c r="A351" s="12" t="n"/>
      <c r="B351" s="13" t="n"/>
      <c r="C351" s="13" t="n"/>
      <c r="D351" s="7">
        <f>IF(OR(B351="",C351=""),"",ROUND((C351-B351)*1440,0))</f>
        <v/>
      </c>
      <c r="E351" s="12" t="n"/>
      <c r="F351" s="12" t="n"/>
      <c r="G351" s="12" t="n"/>
      <c r="H351" s="12" t="n"/>
      <c r="I351" s="12" t="n"/>
      <c r="J351" s="12" t="n"/>
      <c r="K351" s="12" t="n"/>
      <c r="L351" s="14" t="n"/>
      <c r="M351" s="12" t="n"/>
      <c r="N351" s="12" t="n"/>
      <c r="O351" s="12" t="n"/>
      <c r="P351" s="12" t="n"/>
      <c r="Q351" s="7">
        <f>IF(A351="","",IFERROR(VLOOKUP(O351,Listes!$R$3:$T$8,2,FALSE),0)+IFERROR(VLOOKUP(J351,Listes!$J$3:$L$6,2,FALSE),0)+IFERROR(VLOOKUP(N351,Listes!$N$3:$P$6,2,FALSE),0)+IF(OR(L351="",B351=""),0,IF(L351-INT(B351)&lt;10,8,IF(L351-INT(B351)&lt;=90,10,5)))+IFERROR(VLOOKUP(AN351,Listes!$V$3:$W$5,2,FALSE),0)+IFERROR(VLOOKUP(AO351,Listes!$Y$3:$Z$5,2,FALSE),0))</f>
        <v/>
      </c>
      <c r="R351" s="12" t="n"/>
      <c r="S351" s="12" t="n"/>
      <c r="T351" s="12" t="n"/>
      <c r="U351" s="15" t="n"/>
      <c r="V351" s="15" t="n"/>
      <c r="W351" s="13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3" t="n"/>
      <c r="AK351" s="12" t="n"/>
      <c r="AL351" s="12" t="n"/>
      <c r="AM351" s="12" t="n"/>
      <c r="AN351" s="12" t="n"/>
      <c r="AO351" s="12" t="n"/>
      <c r="AP351" s="12" t="n"/>
      <c r="AQ351" s="7">
        <f>IF(A351="","",IF(AP351&lt;&gt;"",AP351,IF(LEFT(Z351,11)="gads_marque","Google Search – Marque",IF(LEFT(Z351,12)="gads_mariage","Google Search – Mariage et privé",IF(LEFT(Z351,10)="gads_corpo","Google Search – Corporatif",IF(LEFT(Z351,5)="meta_","Meta – Leads",IF(LEFT(Z351,5)="msft_","Microsoft Ads",IF(LEFT(Z351,8)="chatgpt_","ChatGPT Ads – Test",IF(X351="gbp","Fiche Google (organique)","Autre / non payé")))))))))</f>
        <v/>
      </c>
      <c r="AR351" s="7">
        <f>IF(K351="","",IFERROR(VLOOKUP(K351,Listes!$F$3:$H$8,3,FALSE),""))</f>
        <v/>
      </c>
      <c r="AS351" s="7">
        <f>IF(O351="","",IF(AND(M351="Autre (plus de 40 km)",OR(O351="lt600",O351="600_999",O351="1000_2499")),"D",IF(OR(O351="lt600",AND(O351="600_999",K351&lt;&gt;"mariage",K351&lt;&gt;"prive")),"C",IF(OR(O351="2500_4999",O351="5000p",J351="entreprise",J351="organisme",J351="agence"),"A",IF(OR(O351="1000_2499",O351="600_999"),"B",IF(O351="inconnu",IF(OR(N351="75_149",N351="150p"),"A","B"),""))))))</f>
        <v/>
      </c>
      <c r="AT351" s="7">
        <f>IF(A351="","",IF(P351&lt;&gt;"",P351,AS351))</f>
        <v/>
      </c>
      <c r="AU351" s="7">
        <f>IF(A351="","",IF(OR(AT351="A",AT351="B"),1,0))</f>
        <v/>
      </c>
      <c r="AV351" s="7">
        <f>IF(A351="","",IF(OR(R351="Dépôt payé (gagné)",R351="Événement livré",R351="Avis obtenu"),1,0))</f>
        <v/>
      </c>
      <c r="AW351" s="7">
        <f>IF(A351="","",IF(Q351&gt;70,"Immédiat – propriétaire",IF(Q351&gt;=40,"15 min – personne de garde","Selon la route")))</f>
        <v/>
      </c>
      <c r="AX351" s="11">
        <f>IF(A351="","",IF(AT351="A",400,IF(AT351="B",150,0)))</f>
        <v/>
      </c>
      <c r="AY351" s="11">
        <f>IF(A351="","",IF(AV351=1,N(V351),IF(N(U351)&gt;0,ROUND(N(U351)*IFERROR(VLOOKUP(R351,Listes!$AE$3:$AG$12,2,FALSE),0),0),0)))</f>
        <v/>
      </c>
      <c r="AZ351" s="7">
        <f>IF(LEFT(A351,7)="EXEMPLE",1,0)</f>
        <v/>
      </c>
      <c r="BA351" s="7">
        <f>IF(AND(AV351=1,AZ351=0,AC351&lt;&gt;"",W351&lt;&gt;"",N(V351)&gt;0),COUNTIFS($AV$3:AV351,1,$AZ$3:AZ351,0,$AC$3:AC351,"&lt;&gt;",$W$3:W351,"&lt;&gt;",$V$3:V351,"&gt;0"),"")</f>
        <v/>
      </c>
    </row>
    <row r="352">
      <c r="A352" s="12" t="n"/>
      <c r="B352" s="13" t="n"/>
      <c r="C352" s="13" t="n"/>
      <c r="D352" s="7">
        <f>IF(OR(B352="",C352=""),"",ROUND((C352-B352)*1440,0))</f>
        <v/>
      </c>
      <c r="E352" s="12" t="n"/>
      <c r="F352" s="12" t="n"/>
      <c r="G352" s="12" t="n"/>
      <c r="H352" s="12" t="n"/>
      <c r="I352" s="12" t="n"/>
      <c r="J352" s="12" t="n"/>
      <c r="K352" s="12" t="n"/>
      <c r="L352" s="14" t="n"/>
      <c r="M352" s="12" t="n"/>
      <c r="N352" s="12" t="n"/>
      <c r="O352" s="12" t="n"/>
      <c r="P352" s="12" t="n"/>
      <c r="Q352" s="7">
        <f>IF(A352="","",IFERROR(VLOOKUP(O352,Listes!$R$3:$T$8,2,FALSE),0)+IFERROR(VLOOKUP(J352,Listes!$J$3:$L$6,2,FALSE),0)+IFERROR(VLOOKUP(N352,Listes!$N$3:$P$6,2,FALSE),0)+IF(OR(L352="",B352=""),0,IF(L352-INT(B352)&lt;10,8,IF(L352-INT(B352)&lt;=90,10,5)))+IFERROR(VLOOKUP(AN352,Listes!$V$3:$W$5,2,FALSE),0)+IFERROR(VLOOKUP(AO352,Listes!$Y$3:$Z$5,2,FALSE),0))</f>
        <v/>
      </c>
      <c r="R352" s="12" t="n"/>
      <c r="S352" s="12" t="n"/>
      <c r="T352" s="12" t="n"/>
      <c r="U352" s="15" t="n"/>
      <c r="V352" s="15" t="n"/>
      <c r="W352" s="13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3" t="n"/>
      <c r="AK352" s="12" t="n"/>
      <c r="AL352" s="12" t="n"/>
      <c r="AM352" s="12" t="n"/>
      <c r="AN352" s="12" t="n"/>
      <c r="AO352" s="12" t="n"/>
      <c r="AP352" s="12" t="n"/>
      <c r="AQ352" s="7">
        <f>IF(A352="","",IF(AP352&lt;&gt;"",AP352,IF(LEFT(Z352,11)="gads_marque","Google Search – Marque",IF(LEFT(Z352,12)="gads_mariage","Google Search – Mariage et privé",IF(LEFT(Z352,10)="gads_corpo","Google Search – Corporatif",IF(LEFT(Z352,5)="meta_","Meta – Leads",IF(LEFT(Z352,5)="msft_","Microsoft Ads",IF(LEFT(Z352,8)="chatgpt_","ChatGPT Ads – Test",IF(X352="gbp","Fiche Google (organique)","Autre / non payé")))))))))</f>
        <v/>
      </c>
      <c r="AR352" s="7">
        <f>IF(K352="","",IFERROR(VLOOKUP(K352,Listes!$F$3:$H$8,3,FALSE),""))</f>
        <v/>
      </c>
      <c r="AS352" s="7">
        <f>IF(O352="","",IF(AND(M352="Autre (plus de 40 km)",OR(O352="lt600",O352="600_999",O352="1000_2499")),"D",IF(OR(O352="lt600",AND(O352="600_999",K352&lt;&gt;"mariage",K352&lt;&gt;"prive")),"C",IF(OR(O352="2500_4999",O352="5000p",J352="entreprise",J352="organisme",J352="agence"),"A",IF(OR(O352="1000_2499",O352="600_999"),"B",IF(O352="inconnu",IF(OR(N352="75_149",N352="150p"),"A","B"),""))))))</f>
        <v/>
      </c>
      <c r="AT352" s="7">
        <f>IF(A352="","",IF(P352&lt;&gt;"",P352,AS352))</f>
        <v/>
      </c>
      <c r="AU352" s="7">
        <f>IF(A352="","",IF(OR(AT352="A",AT352="B"),1,0))</f>
        <v/>
      </c>
      <c r="AV352" s="7">
        <f>IF(A352="","",IF(OR(R352="Dépôt payé (gagné)",R352="Événement livré",R352="Avis obtenu"),1,0))</f>
        <v/>
      </c>
      <c r="AW352" s="7">
        <f>IF(A352="","",IF(Q352&gt;70,"Immédiat – propriétaire",IF(Q352&gt;=40,"15 min – personne de garde","Selon la route")))</f>
        <v/>
      </c>
      <c r="AX352" s="11">
        <f>IF(A352="","",IF(AT352="A",400,IF(AT352="B",150,0)))</f>
        <v/>
      </c>
      <c r="AY352" s="11">
        <f>IF(A352="","",IF(AV352=1,N(V352),IF(N(U352)&gt;0,ROUND(N(U352)*IFERROR(VLOOKUP(R352,Listes!$AE$3:$AG$12,2,FALSE),0),0),0)))</f>
        <v/>
      </c>
      <c r="AZ352" s="7">
        <f>IF(LEFT(A352,7)="EXEMPLE",1,0)</f>
        <v/>
      </c>
      <c r="BA352" s="7">
        <f>IF(AND(AV352=1,AZ352=0,AC352&lt;&gt;"",W352&lt;&gt;"",N(V352)&gt;0),COUNTIFS($AV$3:AV352,1,$AZ$3:AZ352,0,$AC$3:AC352,"&lt;&gt;",$W$3:W352,"&lt;&gt;",$V$3:V352,"&gt;0"),"")</f>
        <v/>
      </c>
    </row>
    <row r="353">
      <c r="A353" s="12" t="n"/>
      <c r="B353" s="13" t="n"/>
      <c r="C353" s="13" t="n"/>
      <c r="D353" s="7">
        <f>IF(OR(B353="",C353=""),"",ROUND((C353-B353)*1440,0))</f>
        <v/>
      </c>
      <c r="E353" s="12" t="n"/>
      <c r="F353" s="12" t="n"/>
      <c r="G353" s="12" t="n"/>
      <c r="H353" s="12" t="n"/>
      <c r="I353" s="12" t="n"/>
      <c r="J353" s="12" t="n"/>
      <c r="K353" s="12" t="n"/>
      <c r="L353" s="14" t="n"/>
      <c r="M353" s="12" t="n"/>
      <c r="N353" s="12" t="n"/>
      <c r="O353" s="12" t="n"/>
      <c r="P353" s="12" t="n"/>
      <c r="Q353" s="7">
        <f>IF(A353="","",IFERROR(VLOOKUP(O353,Listes!$R$3:$T$8,2,FALSE),0)+IFERROR(VLOOKUP(J353,Listes!$J$3:$L$6,2,FALSE),0)+IFERROR(VLOOKUP(N353,Listes!$N$3:$P$6,2,FALSE),0)+IF(OR(L353="",B353=""),0,IF(L353-INT(B353)&lt;10,8,IF(L353-INT(B353)&lt;=90,10,5)))+IFERROR(VLOOKUP(AN353,Listes!$V$3:$W$5,2,FALSE),0)+IFERROR(VLOOKUP(AO353,Listes!$Y$3:$Z$5,2,FALSE),0))</f>
        <v/>
      </c>
      <c r="R353" s="12" t="n"/>
      <c r="S353" s="12" t="n"/>
      <c r="T353" s="12" t="n"/>
      <c r="U353" s="15" t="n"/>
      <c r="V353" s="15" t="n"/>
      <c r="W353" s="13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3" t="n"/>
      <c r="AK353" s="12" t="n"/>
      <c r="AL353" s="12" t="n"/>
      <c r="AM353" s="12" t="n"/>
      <c r="AN353" s="12" t="n"/>
      <c r="AO353" s="12" t="n"/>
      <c r="AP353" s="12" t="n"/>
      <c r="AQ353" s="7">
        <f>IF(A353="","",IF(AP353&lt;&gt;"",AP353,IF(LEFT(Z353,11)="gads_marque","Google Search – Marque",IF(LEFT(Z353,12)="gads_mariage","Google Search – Mariage et privé",IF(LEFT(Z353,10)="gads_corpo","Google Search – Corporatif",IF(LEFT(Z353,5)="meta_","Meta – Leads",IF(LEFT(Z353,5)="msft_","Microsoft Ads",IF(LEFT(Z353,8)="chatgpt_","ChatGPT Ads – Test",IF(X353="gbp","Fiche Google (organique)","Autre / non payé")))))))))</f>
        <v/>
      </c>
      <c r="AR353" s="7">
        <f>IF(K353="","",IFERROR(VLOOKUP(K353,Listes!$F$3:$H$8,3,FALSE),""))</f>
        <v/>
      </c>
      <c r="AS353" s="7">
        <f>IF(O353="","",IF(AND(M353="Autre (plus de 40 km)",OR(O353="lt600",O353="600_999",O353="1000_2499")),"D",IF(OR(O353="lt600",AND(O353="600_999",K353&lt;&gt;"mariage",K353&lt;&gt;"prive")),"C",IF(OR(O353="2500_4999",O353="5000p",J353="entreprise",J353="organisme",J353="agence"),"A",IF(OR(O353="1000_2499",O353="600_999"),"B",IF(O353="inconnu",IF(OR(N353="75_149",N353="150p"),"A","B"),""))))))</f>
        <v/>
      </c>
      <c r="AT353" s="7">
        <f>IF(A353="","",IF(P353&lt;&gt;"",P353,AS353))</f>
        <v/>
      </c>
      <c r="AU353" s="7">
        <f>IF(A353="","",IF(OR(AT353="A",AT353="B"),1,0))</f>
        <v/>
      </c>
      <c r="AV353" s="7">
        <f>IF(A353="","",IF(OR(R353="Dépôt payé (gagné)",R353="Événement livré",R353="Avis obtenu"),1,0))</f>
        <v/>
      </c>
      <c r="AW353" s="7">
        <f>IF(A353="","",IF(Q353&gt;70,"Immédiat – propriétaire",IF(Q353&gt;=40,"15 min – personne de garde","Selon la route")))</f>
        <v/>
      </c>
      <c r="AX353" s="11">
        <f>IF(A353="","",IF(AT353="A",400,IF(AT353="B",150,0)))</f>
        <v/>
      </c>
      <c r="AY353" s="11">
        <f>IF(A353="","",IF(AV353=1,N(V353),IF(N(U353)&gt;0,ROUND(N(U353)*IFERROR(VLOOKUP(R353,Listes!$AE$3:$AG$12,2,FALSE),0),0),0)))</f>
        <v/>
      </c>
      <c r="AZ353" s="7">
        <f>IF(LEFT(A353,7)="EXEMPLE",1,0)</f>
        <v/>
      </c>
      <c r="BA353" s="7">
        <f>IF(AND(AV353=1,AZ353=0,AC353&lt;&gt;"",W353&lt;&gt;"",N(V353)&gt;0),COUNTIFS($AV$3:AV353,1,$AZ$3:AZ353,0,$AC$3:AC353,"&lt;&gt;",$W$3:W353,"&lt;&gt;",$V$3:V353,"&gt;0"),"")</f>
        <v/>
      </c>
    </row>
    <row r="354">
      <c r="A354" s="12" t="n"/>
      <c r="B354" s="13" t="n"/>
      <c r="C354" s="13" t="n"/>
      <c r="D354" s="7">
        <f>IF(OR(B354="",C354=""),"",ROUND((C354-B354)*1440,0))</f>
        <v/>
      </c>
      <c r="E354" s="12" t="n"/>
      <c r="F354" s="12" t="n"/>
      <c r="G354" s="12" t="n"/>
      <c r="H354" s="12" t="n"/>
      <c r="I354" s="12" t="n"/>
      <c r="J354" s="12" t="n"/>
      <c r="K354" s="12" t="n"/>
      <c r="L354" s="14" t="n"/>
      <c r="M354" s="12" t="n"/>
      <c r="N354" s="12" t="n"/>
      <c r="O354" s="12" t="n"/>
      <c r="P354" s="12" t="n"/>
      <c r="Q354" s="7">
        <f>IF(A354="","",IFERROR(VLOOKUP(O354,Listes!$R$3:$T$8,2,FALSE),0)+IFERROR(VLOOKUP(J354,Listes!$J$3:$L$6,2,FALSE),0)+IFERROR(VLOOKUP(N354,Listes!$N$3:$P$6,2,FALSE),0)+IF(OR(L354="",B354=""),0,IF(L354-INT(B354)&lt;10,8,IF(L354-INT(B354)&lt;=90,10,5)))+IFERROR(VLOOKUP(AN354,Listes!$V$3:$W$5,2,FALSE),0)+IFERROR(VLOOKUP(AO354,Listes!$Y$3:$Z$5,2,FALSE),0))</f>
        <v/>
      </c>
      <c r="R354" s="12" t="n"/>
      <c r="S354" s="12" t="n"/>
      <c r="T354" s="12" t="n"/>
      <c r="U354" s="15" t="n"/>
      <c r="V354" s="15" t="n"/>
      <c r="W354" s="13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3" t="n"/>
      <c r="AK354" s="12" t="n"/>
      <c r="AL354" s="12" t="n"/>
      <c r="AM354" s="12" t="n"/>
      <c r="AN354" s="12" t="n"/>
      <c r="AO354" s="12" t="n"/>
      <c r="AP354" s="12" t="n"/>
      <c r="AQ354" s="7">
        <f>IF(A354="","",IF(AP354&lt;&gt;"",AP354,IF(LEFT(Z354,11)="gads_marque","Google Search – Marque",IF(LEFT(Z354,12)="gads_mariage","Google Search – Mariage et privé",IF(LEFT(Z354,10)="gads_corpo","Google Search – Corporatif",IF(LEFT(Z354,5)="meta_","Meta – Leads",IF(LEFT(Z354,5)="msft_","Microsoft Ads",IF(LEFT(Z354,8)="chatgpt_","ChatGPT Ads – Test",IF(X354="gbp","Fiche Google (organique)","Autre / non payé")))))))))</f>
        <v/>
      </c>
      <c r="AR354" s="7">
        <f>IF(K354="","",IFERROR(VLOOKUP(K354,Listes!$F$3:$H$8,3,FALSE),""))</f>
        <v/>
      </c>
      <c r="AS354" s="7">
        <f>IF(O354="","",IF(AND(M354="Autre (plus de 40 km)",OR(O354="lt600",O354="600_999",O354="1000_2499")),"D",IF(OR(O354="lt600",AND(O354="600_999",K354&lt;&gt;"mariage",K354&lt;&gt;"prive")),"C",IF(OR(O354="2500_4999",O354="5000p",J354="entreprise",J354="organisme",J354="agence"),"A",IF(OR(O354="1000_2499",O354="600_999"),"B",IF(O354="inconnu",IF(OR(N354="75_149",N354="150p"),"A","B"),""))))))</f>
        <v/>
      </c>
      <c r="AT354" s="7">
        <f>IF(A354="","",IF(P354&lt;&gt;"",P354,AS354))</f>
        <v/>
      </c>
      <c r="AU354" s="7">
        <f>IF(A354="","",IF(OR(AT354="A",AT354="B"),1,0))</f>
        <v/>
      </c>
      <c r="AV354" s="7">
        <f>IF(A354="","",IF(OR(R354="Dépôt payé (gagné)",R354="Événement livré",R354="Avis obtenu"),1,0))</f>
        <v/>
      </c>
      <c r="AW354" s="7">
        <f>IF(A354="","",IF(Q354&gt;70,"Immédiat – propriétaire",IF(Q354&gt;=40,"15 min – personne de garde","Selon la route")))</f>
        <v/>
      </c>
      <c r="AX354" s="11">
        <f>IF(A354="","",IF(AT354="A",400,IF(AT354="B",150,0)))</f>
        <v/>
      </c>
      <c r="AY354" s="11">
        <f>IF(A354="","",IF(AV354=1,N(V354),IF(N(U354)&gt;0,ROUND(N(U354)*IFERROR(VLOOKUP(R354,Listes!$AE$3:$AG$12,2,FALSE),0),0),0)))</f>
        <v/>
      </c>
      <c r="AZ354" s="7">
        <f>IF(LEFT(A354,7)="EXEMPLE",1,0)</f>
        <v/>
      </c>
      <c r="BA354" s="7">
        <f>IF(AND(AV354=1,AZ354=0,AC354&lt;&gt;"",W354&lt;&gt;"",N(V354)&gt;0),COUNTIFS($AV$3:AV354,1,$AZ$3:AZ354,0,$AC$3:AC354,"&lt;&gt;",$W$3:W354,"&lt;&gt;",$V$3:V354,"&gt;0"),"")</f>
        <v/>
      </c>
    </row>
    <row r="355">
      <c r="A355" s="12" t="n"/>
      <c r="B355" s="13" t="n"/>
      <c r="C355" s="13" t="n"/>
      <c r="D355" s="7">
        <f>IF(OR(B355="",C355=""),"",ROUND((C355-B355)*1440,0))</f>
        <v/>
      </c>
      <c r="E355" s="12" t="n"/>
      <c r="F355" s="12" t="n"/>
      <c r="G355" s="12" t="n"/>
      <c r="H355" s="12" t="n"/>
      <c r="I355" s="12" t="n"/>
      <c r="J355" s="12" t="n"/>
      <c r="K355" s="12" t="n"/>
      <c r="L355" s="14" t="n"/>
      <c r="M355" s="12" t="n"/>
      <c r="N355" s="12" t="n"/>
      <c r="O355" s="12" t="n"/>
      <c r="P355" s="12" t="n"/>
      <c r="Q355" s="7">
        <f>IF(A355="","",IFERROR(VLOOKUP(O355,Listes!$R$3:$T$8,2,FALSE),0)+IFERROR(VLOOKUP(J355,Listes!$J$3:$L$6,2,FALSE),0)+IFERROR(VLOOKUP(N355,Listes!$N$3:$P$6,2,FALSE),0)+IF(OR(L355="",B355=""),0,IF(L355-INT(B355)&lt;10,8,IF(L355-INT(B355)&lt;=90,10,5)))+IFERROR(VLOOKUP(AN355,Listes!$V$3:$W$5,2,FALSE),0)+IFERROR(VLOOKUP(AO355,Listes!$Y$3:$Z$5,2,FALSE),0))</f>
        <v/>
      </c>
      <c r="R355" s="12" t="n"/>
      <c r="S355" s="12" t="n"/>
      <c r="T355" s="12" t="n"/>
      <c r="U355" s="15" t="n"/>
      <c r="V355" s="15" t="n"/>
      <c r="W355" s="13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3" t="n"/>
      <c r="AK355" s="12" t="n"/>
      <c r="AL355" s="12" t="n"/>
      <c r="AM355" s="12" t="n"/>
      <c r="AN355" s="12" t="n"/>
      <c r="AO355" s="12" t="n"/>
      <c r="AP355" s="12" t="n"/>
      <c r="AQ355" s="7">
        <f>IF(A355="","",IF(AP355&lt;&gt;"",AP355,IF(LEFT(Z355,11)="gads_marque","Google Search – Marque",IF(LEFT(Z355,12)="gads_mariage","Google Search – Mariage et privé",IF(LEFT(Z355,10)="gads_corpo","Google Search – Corporatif",IF(LEFT(Z355,5)="meta_","Meta – Leads",IF(LEFT(Z355,5)="msft_","Microsoft Ads",IF(LEFT(Z355,8)="chatgpt_","ChatGPT Ads – Test",IF(X355="gbp","Fiche Google (organique)","Autre / non payé")))))))))</f>
        <v/>
      </c>
      <c r="AR355" s="7">
        <f>IF(K355="","",IFERROR(VLOOKUP(K355,Listes!$F$3:$H$8,3,FALSE),""))</f>
        <v/>
      </c>
      <c r="AS355" s="7">
        <f>IF(O355="","",IF(AND(M355="Autre (plus de 40 km)",OR(O355="lt600",O355="600_999",O355="1000_2499")),"D",IF(OR(O355="lt600",AND(O355="600_999",K355&lt;&gt;"mariage",K355&lt;&gt;"prive")),"C",IF(OR(O355="2500_4999",O355="5000p",J355="entreprise",J355="organisme",J355="agence"),"A",IF(OR(O355="1000_2499",O355="600_999"),"B",IF(O355="inconnu",IF(OR(N355="75_149",N355="150p"),"A","B"),""))))))</f>
        <v/>
      </c>
      <c r="AT355" s="7">
        <f>IF(A355="","",IF(P355&lt;&gt;"",P355,AS355))</f>
        <v/>
      </c>
      <c r="AU355" s="7">
        <f>IF(A355="","",IF(OR(AT355="A",AT355="B"),1,0))</f>
        <v/>
      </c>
      <c r="AV355" s="7">
        <f>IF(A355="","",IF(OR(R355="Dépôt payé (gagné)",R355="Événement livré",R355="Avis obtenu"),1,0))</f>
        <v/>
      </c>
      <c r="AW355" s="7">
        <f>IF(A355="","",IF(Q355&gt;70,"Immédiat – propriétaire",IF(Q355&gt;=40,"15 min – personne de garde","Selon la route")))</f>
        <v/>
      </c>
      <c r="AX355" s="11">
        <f>IF(A355="","",IF(AT355="A",400,IF(AT355="B",150,0)))</f>
        <v/>
      </c>
      <c r="AY355" s="11">
        <f>IF(A355="","",IF(AV355=1,N(V355),IF(N(U355)&gt;0,ROUND(N(U355)*IFERROR(VLOOKUP(R355,Listes!$AE$3:$AG$12,2,FALSE),0),0),0)))</f>
        <v/>
      </c>
      <c r="AZ355" s="7">
        <f>IF(LEFT(A355,7)="EXEMPLE",1,0)</f>
        <v/>
      </c>
      <c r="BA355" s="7">
        <f>IF(AND(AV355=1,AZ355=0,AC355&lt;&gt;"",W355&lt;&gt;"",N(V355)&gt;0),COUNTIFS($AV$3:AV355,1,$AZ$3:AZ355,0,$AC$3:AC355,"&lt;&gt;",$W$3:W355,"&lt;&gt;",$V$3:V355,"&gt;0"),"")</f>
        <v/>
      </c>
    </row>
    <row r="356">
      <c r="A356" s="12" t="n"/>
      <c r="B356" s="13" t="n"/>
      <c r="C356" s="13" t="n"/>
      <c r="D356" s="7">
        <f>IF(OR(B356="",C356=""),"",ROUND((C356-B356)*1440,0))</f>
        <v/>
      </c>
      <c r="E356" s="12" t="n"/>
      <c r="F356" s="12" t="n"/>
      <c r="G356" s="12" t="n"/>
      <c r="H356" s="12" t="n"/>
      <c r="I356" s="12" t="n"/>
      <c r="J356" s="12" t="n"/>
      <c r="K356" s="12" t="n"/>
      <c r="L356" s="14" t="n"/>
      <c r="M356" s="12" t="n"/>
      <c r="N356" s="12" t="n"/>
      <c r="O356" s="12" t="n"/>
      <c r="P356" s="12" t="n"/>
      <c r="Q356" s="7">
        <f>IF(A356="","",IFERROR(VLOOKUP(O356,Listes!$R$3:$T$8,2,FALSE),0)+IFERROR(VLOOKUP(J356,Listes!$J$3:$L$6,2,FALSE),0)+IFERROR(VLOOKUP(N356,Listes!$N$3:$P$6,2,FALSE),0)+IF(OR(L356="",B356=""),0,IF(L356-INT(B356)&lt;10,8,IF(L356-INT(B356)&lt;=90,10,5)))+IFERROR(VLOOKUP(AN356,Listes!$V$3:$W$5,2,FALSE),0)+IFERROR(VLOOKUP(AO356,Listes!$Y$3:$Z$5,2,FALSE),0))</f>
        <v/>
      </c>
      <c r="R356" s="12" t="n"/>
      <c r="S356" s="12" t="n"/>
      <c r="T356" s="12" t="n"/>
      <c r="U356" s="15" t="n"/>
      <c r="V356" s="15" t="n"/>
      <c r="W356" s="13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3" t="n"/>
      <c r="AK356" s="12" t="n"/>
      <c r="AL356" s="12" t="n"/>
      <c r="AM356" s="12" t="n"/>
      <c r="AN356" s="12" t="n"/>
      <c r="AO356" s="12" t="n"/>
      <c r="AP356" s="12" t="n"/>
      <c r="AQ356" s="7">
        <f>IF(A356="","",IF(AP356&lt;&gt;"",AP356,IF(LEFT(Z356,11)="gads_marque","Google Search – Marque",IF(LEFT(Z356,12)="gads_mariage","Google Search – Mariage et privé",IF(LEFT(Z356,10)="gads_corpo","Google Search – Corporatif",IF(LEFT(Z356,5)="meta_","Meta – Leads",IF(LEFT(Z356,5)="msft_","Microsoft Ads",IF(LEFT(Z356,8)="chatgpt_","ChatGPT Ads – Test",IF(X356="gbp","Fiche Google (organique)","Autre / non payé")))))))))</f>
        <v/>
      </c>
      <c r="AR356" s="7">
        <f>IF(K356="","",IFERROR(VLOOKUP(K356,Listes!$F$3:$H$8,3,FALSE),""))</f>
        <v/>
      </c>
      <c r="AS356" s="7">
        <f>IF(O356="","",IF(AND(M356="Autre (plus de 40 km)",OR(O356="lt600",O356="600_999",O356="1000_2499")),"D",IF(OR(O356="lt600",AND(O356="600_999",K356&lt;&gt;"mariage",K356&lt;&gt;"prive")),"C",IF(OR(O356="2500_4999",O356="5000p",J356="entreprise",J356="organisme",J356="agence"),"A",IF(OR(O356="1000_2499",O356="600_999"),"B",IF(O356="inconnu",IF(OR(N356="75_149",N356="150p"),"A","B"),""))))))</f>
        <v/>
      </c>
      <c r="AT356" s="7">
        <f>IF(A356="","",IF(P356&lt;&gt;"",P356,AS356))</f>
        <v/>
      </c>
      <c r="AU356" s="7">
        <f>IF(A356="","",IF(OR(AT356="A",AT356="B"),1,0))</f>
        <v/>
      </c>
      <c r="AV356" s="7">
        <f>IF(A356="","",IF(OR(R356="Dépôt payé (gagné)",R356="Événement livré",R356="Avis obtenu"),1,0))</f>
        <v/>
      </c>
      <c r="AW356" s="7">
        <f>IF(A356="","",IF(Q356&gt;70,"Immédiat – propriétaire",IF(Q356&gt;=40,"15 min – personne de garde","Selon la route")))</f>
        <v/>
      </c>
      <c r="AX356" s="11">
        <f>IF(A356="","",IF(AT356="A",400,IF(AT356="B",150,0)))</f>
        <v/>
      </c>
      <c r="AY356" s="11">
        <f>IF(A356="","",IF(AV356=1,N(V356),IF(N(U356)&gt;0,ROUND(N(U356)*IFERROR(VLOOKUP(R356,Listes!$AE$3:$AG$12,2,FALSE),0),0),0)))</f>
        <v/>
      </c>
      <c r="AZ356" s="7">
        <f>IF(LEFT(A356,7)="EXEMPLE",1,0)</f>
        <v/>
      </c>
      <c r="BA356" s="7">
        <f>IF(AND(AV356=1,AZ356=0,AC356&lt;&gt;"",W356&lt;&gt;"",N(V356)&gt;0),COUNTIFS($AV$3:AV356,1,$AZ$3:AZ356,0,$AC$3:AC356,"&lt;&gt;",$W$3:W356,"&lt;&gt;",$V$3:V356,"&gt;0"),"")</f>
        <v/>
      </c>
    </row>
    <row r="357">
      <c r="A357" s="12" t="n"/>
      <c r="B357" s="13" t="n"/>
      <c r="C357" s="13" t="n"/>
      <c r="D357" s="7">
        <f>IF(OR(B357="",C357=""),"",ROUND((C357-B357)*1440,0))</f>
        <v/>
      </c>
      <c r="E357" s="12" t="n"/>
      <c r="F357" s="12" t="n"/>
      <c r="G357" s="12" t="n"/>
      <c r="H357" s="12" t="n"/>
      <c r="I357" s="12" t="n"/>
      <c r="J357" s="12" t="n"/>
      <c r="K357" s="12" t="n"/>
      <c r="L357" s="14" t="n"/>
      <c r="M357" s="12" t="n"/>
      <c r="N357" s="12" t="n"/>
      <c r="O357" s="12" t="n"/>
      <c r="P357" s="12" t="n"/>
      <c r="Q357" s="7">
        <f>IF(A357="","",IFERROR(VLOOKUP(O357,Listes!$R$3:$T$8,2,FALSE),0)+IFERROR(VLOOKUP(J357,Listes!$J$3:$L$6,2,FALSE),0)+IFERROR(VLOOKUP(N357,Listes!$N$3:$P$6,2,FALSE),0)+IF(OR(L357="",B357=""),0,IF(L357-INT(B357)&lt;10,8,IF(L357-INT(B357)&lt;=90,10,5)))+IFERROR(VLOOKUP(AN357,Listes!$V$3:$W$5,2,FALSE),0)+IFERROR(VLOOKUP(AO357,Listes!$Y$3:$Z$5,2,FALSE),0))</f>
        <v/>
      </c>
      <c r="R357" s="12" t="n"/>
      <c r="S357" s="12" t="n"/>
      <c r="T357" s="12" t="n"/>
      <c r="U357" s="15" t="n"/>
      <c r="V357" s="15" t="n"/>
      <c r="W357" s="13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3" t="n"/>
      <c r="AK357" s="12" t="n"/>
      <c r="AL357" s="12" t="n"/>
      <c r="AM357" s="12" t="n"/>
      <c r="AN357" s="12" t="n"/>
      <c r="AO357" s="12" t="n"/>
      <c r="AP357" s="12" t="n"/>
      <c r="AQ357" s="7">
        <f>IF(A357="","",IF(AP357&lt;&gt;"",AP357,IF(LEFT(Z357,11)="gads_marque","Google Search – Marque",IF(LEFT(Z357,12)="gads_mariage","Google Search – Mariage et privé",IF(LEFT(Z357,10)="gads_corpo","Google Search – Corporatif",IF(LEFT(Z357,5)="meta_","Meta – Leads",IF(LEFT(Z357,5)="msft_","Microsoft Ads",IF(LEFT(Z357,8)="chatgpt_","ChatGPT Ads – Test",IF(X357="gbp","Fiche Google (organique)","Autre / non payé")))))))))</f>
        <v/>
      </c>
      <c r="AR357" s="7">
        <f>IF(K357="","",IFERROR(VLOOKUP(K357,Listes!$F$3:$H$8,3,FALSE),""))</f>
        <v/>
      </c>
      <c r="AS357" s="7">
        <f>IF(O357="","",IF(AND(M357="Autre (plus de 40 km)",OR(O357="lt600",O357="600_999",O357="1000_2499")),"D",IF(OR(O357="lt600",AND(O357="600_999",K357&lt;&gt;"mariage",K357&lt;&gt;"prive")),"C",IF(OR(O357="2500_4999",O357="5000p",J357="entreprise",J357="organisme",J357="agence"),"A",IF(OR(O357="1000_2499",O357="600_999"),"B",IF(O357="inconnu",IF(OR(N357="75_149",N357="150p"),"A","B"),""))))))</f>
        <v/>
      </c>
      <c r="AT357" s="7">
        <f>IF(A357="","",IF(P357&lt;&gt;"",P357,AS357))</f>
        <v/>
      </c>
      <c r="AU357" s="7">
        <f>IF(A357="","",IF(OR(AT357="A",AT357="B"),1,0))</f>
        <v/>
      </c>
      <c r="AV357" s="7">
        <f>IF(A357="","",IF(OR(R357="Dépôt payé (gagné)",R357="Événement livré",R357="Avis obtenu"),1,0))</f>
        <v/>
      </c>
      <c r="AW357" s="7">
        <f>IF(A357="","",IF(Q357&gt;70,"Immédiat – propriétaire",IF(Q357&gt;=40,"15 min – personne de garde","Selon la route")))</f>
        <v/>
      </c>
      <c r="AX357" s="11">
        <f>IF(A357="","",IF(AT357="A",400,IF(AT357="B",150,0)))</f>
        <v/>
      </c>
      <c r="AY357" s="11">
        <f>IF(A357="","",IF(AV357=1,N(V357),IF(N(U357)&gt;0,ROUND(N(U357)*IFERROR(VLOOKUP(R357,Listes!$AE$3:$AG$12,2,FALSE),0),0),0)))</f>
        <v/>
      </c>
      <c r="AZ357" s="7">
        <f>IF(LEFT(A357,7)="EXEMPLE",1,0)</f>
        <v/>
      </c>
      <c r="BA357" s="7">
        <f>IF(AND(AV357=1,AZ357=0,AC357&lt;&gt;"",W357&lt;&gt;"",N(V357)&gt;0),COUNTIFS($AV$3:AV357,1,$AZ$3:AZ357,0,$AC$3:AC357,"&lt;&gt;",$W$3:W357,"&lt;&gt;",$V$3:V357,"&gt;0"),"")</f>
        <v/>
      </c>
    </row>
    <row r="358">
      <c r="A358" s="12" t="n"/>
      <c r="B358" s="13" t="n"/>
      <c r="C358" s="13" t="n"/>
      <c r="D358" s="7">
        <f>IF(OR(B358="",C358=""),"",ROUND((C358-B358)*1440,0))</f>
        <v/>
      </c>
      <c r="E358" s="12" t="n"/>
      <c r="F358" s="12" t="n"/>
      <c r="G358" s="12" t="n"/>
      <c r="H358" s="12" t="n"/>
      <c r="I358" s="12" t="n"/>
      <c r="J358" s="12" t="n"/>
      <c r="K358" s="12" t="n"/>
      <c r="L358" s="14" t="n"/>
      <c r="M358" s="12" t="n"/>
      <c r="N358" s="12" t="n"/>
      <c r="O358" s="12" t="n"/>
      <c r="P358" s="12" t="n"/>
      <c r="Q358" s="7">
        <f>IF(A358="","",IFERROR(VLOOKUP(O358,Listes!$R$3:$T$8,2,FALSE),0)+IFERROR(VLOOKUP(J358,Listes!$J$3:$L$6,2,FALSE),0)+IFERROR(VLOOKUP(N358,Listes!$N$3:$P$6,2,FALSE),0)+IF(OR(L358="",B358=""),0,IF(L358-INT(B358)&lt;10,8,IF(L358-INT(B358)&lt;=90,10,5)))+IFERROR(VLOOKUP(AN358,Listes!$V$3:$W$5,2,FALSE),0)+IFERROR(VLOOKUP(AO358,Listes!$Y$3:$Z$5,2,FALSE),0))</f>
        <v/>
      </c>
      <c r="R358" s="12" t="n"/>
      <c r="S358" s="12" t="n"/>
      <c r="T358" s="12" t="n"/>
      <c r="U358" s="15" t="n"/>
      <c r="V358" s="15" t="n"/>
      <c r="W358" s="13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3" t="n"/>
      <c r="AK358" s="12" t="n"/>
      <c r="AL358" s="12" t="n"/>
      <c r="AM358" s="12" t="n"/>
      <c r="AN358" s="12" t="n"/>
      <c r="AO358" s="12" t="n"/>
      <c r="AP358" s="12" t="n"/>
      <c r="AQ358" s="7">
        <f>IF(A358="","",IF(AP358&lt;&gt;"",AP358,IF(LEFT(Z358,11)="gads_marque","Google Search – Marque",IF(LEFT(Z358,12)="gads_mariage","Google Search – Mariage et privé",IF(LEFT(Z358,10)="gads_corpo","Google Search – Corporatif",IF(LEFT(Z358,5)="meta_","Meta – Leads",IF(LEFT(Z358,5)="msft_","Microsoft Ads",IF(LEFT(Z358,8)="chatgpt_","ChatGPT Ads – Test",IF(X358="gbp","Fiche Google (organique)","Autre / non payé")))))))))</f>
        <v/>
      </c>
      <c r="AR358" s="7">
        <f>IF(K358="","",IFERROR(VLOOKUP(K358,Listes!$F$3:$H$8,3,FALSE),""))</f>
        <v/>
      </c>
      <c r="AS358" s="7">
        <f>IF(O358="","",IF(AND(M358="Autre (plus de 40 km)",OR(O358="lt600",O358="600_999",O358="1000_2499")),"D",IF(OR(O358="lt600",AND(O358="600_999",K358&lt;&gt;"mariage",K358&lt;&gt;"prive")),"C",IF(OR(O358="2500_4999",O358="5000p",J358="entreprise",J358="organisme",J358="agence"),"A",IF(OR(O358="1000_2499",O358="600_999"),"B",IF(O358="inconnu",IF(OR(N358="75_149",N358="150p"),"A","B"),""))))))</f>
        <v/>
      </c>
      <c r="AT358" s="7">
        <f>IF(A358="","",IF(P358&lt;&gt;"",P358,AS358))</f>
        <v/>
      </c>
      <c r="AU358" s="7">
        <f>IF(A358="","",IF(OR(AT358="A",AT358="B"),1,0))</f>
        <v/>
      </c>
      <c r="AV358" s="7">
        <f>IF(A358="","",IF(OR(R358="Dépôt payé (gagné)",R358="Événement livré",R358="Avis obtenu"),1,0))</f>
        <v/>
      </c>
      <c r="AW358" s="7">
        <f>IF(A358="","",IF(Q358&gt;70,"Immédiat – propriétaire",IF(Q358&gt;=40,"15 min – personne de garde","Selon la route")))</f>
        <v/>
      </c>
      <c r="AX358" s="11">
        <f>IF(A358="","",IF(AT358="A",400,IF(AT358="B",150,0)))</f>
        <v/>
      </c>
      <c r="AY358" s="11">
        <f>IF(A358="","",IF(AV358=1,N(V358),IF(N(U358)&gt;0,ROUND(N(U358)*IFERROR(VLOOKUP(R358,Listes!$AE$3:$AG$12,2,FALSE),0),0),0)))</f>
        <v/>
      </c>
      <c r="AZ358" s="7">
        <f>IF(LEFT(A358,7)="EXEMPLE",1,0)</f>
        <v/>
      </c>
      <c r="BA358" s="7">
        <f>IF(AND(AV358=1,AZ358=0,AC358&lt;&gt;"",W358&lt;&gt;"",N(V358)&gt;0),COUNTIFS($AV$3:AV358,1,$AZ$3:AZ358,0,$AC$3:AC358,"&lt;&gt;",$W$3:W358,"&lt;&gt;",$V$3:V358,"&gt;0"),"")</f>
        <v/>
      </c>
    </row>
    <row r="359">
      <c r="A359" s="12" t="n"/>
      <c r="B359" s="13" t="n"/>
      <c r="C359" s="13" t="n"/>
      <c r="D359" s="7">
        <f>IF(OR(B359="",C359=""),"",ROUND((C359-B359)*1440,0))</f>
        <v/>
      </c>
      <c r="E359" s="12" t="n"/>
      <c r="F359" s="12" t="n"/>
      <c r="G359" s="12" t="n"/>
      <c r="H359" s="12" t="n"/>
      <c r="I359" s="12" t="n"/>
      <c r="J359" s="12" t="n"/>
      <c r="K359" s="12" t="n"/>
      <c r="L359" s="14" t="n"/>
      <c r="M359" s="12" t="n"/>
      <c r="N359" s="12" t="n"/>
      <c r="O359" s="12" t="n"/>
      <c r="P359" s="12" t="n"/>
      <c r="Q359" s="7">
        <f>IF(A359="","",IFERROR(VLOOKUP(O359,Listes!$R$3:$T$8,2,FALSE),0)+IFERROR(VLOOKUP(J359,Listes!$J$3:$L$6,2,FALSE),0)+IFERROR(VLOOKUP(N359,Listes!$N$3:$P$6,2,FALSE),0)+IF(OR(L359="",B359=""),0,IF(L359-INT(B359)&lt;10,8,IF(L359-INT(B359)&lt;=90,10,5)))+IFERROR(VLOOKUP(AN359,Listes!$V$3:$W$5,2,FALSE),0)+IFERROR(VLOOKUP(AO359,Listes!$Y$3:$Z$5,2,FALSE),0))</f>
        <v/>
      </c>
      <c r="R359" s="12" t="n"/>
      <c r="S359" s="12" t="n"/>
      <c r="T359" s="12" t="n"/>
      <c r="U359" s="15" t="n"/>
      <c r="V359" s="15" t="n"/>
      <c r="W359" s="13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3" t="n"/>
      <c r="AK359" s="12" t="n"/>
      <c r="AL359" s="12" t="n"/>
      <c r="AM359" s="12" t="n"/>
      <c r="AN359" s="12" t="n"/>
      <c r="AO359" s="12" t="n"/>
      <c r="AP359" s="12" t="n"/>
      <c r="AQ359" s="7">
        <f>IF(A359="","",IF(AP359&lt;&gt;"",AP359,IF(LEFT(Z359,11)="gads_marque","Google Search – Marque",IF(LEFT(Z359,12)="gads_mariage","Google Search – Mariage et privé",IF(LEFT(Z359,10)="gads_corpo","Google Search – Corporatif",IF(LEFT(Z359,5)="meta_","Meta – Leads",IF(LEFT(Z359,5)="msft_","Microsoft Ads",IF(LEFT(Z359,8)="chatgpt_","ChatGPT Ads – Test",IF(X359="gbp","Fiche Google (organique)","Autre / non payé")))))))))</f>
        <v/>
      </c>
      <c r="AR359" s="7">
        <f>IF(K359="","",IFERROR(VLOOKUP(K359,Listes!$F$3:$H$8,3,FALSE),""))</f>
        <v/>
      </c>
      <c r="AS359" s="7">
        <f>IF(O359="","",IF(AND(M359="Autre (plus de 40 km)",OR(O359="lt600",O359="600_999",O359="1000_2499")),"D",IF(OR(O359="lt600",AND(O359="600_999",K359&lt;&gt;"mariage",K359&lt;&gt;"prive")),"C",IF(OR(O359="2500_4999",O359="5000p",J359="entreprise",J359="organisme",J359="agence"),"A",IF(OR(O359="1000_2499",O359="600_999"),"B",IF(O359="inconnu",IF(OR(N359="75_149",N359="150p"),"A","B"),""))))))</f>
        <v/>
      </c>
      <c r="AT359" s="7">
        <f>IF(A359="","",IF(P359&lt;&gt;"",P359,AS359))</f>
        <v/>
      </c>
      <c r="AU359" s="7">
        <f>IF(A359="","",IF(OR(AT359="A",AT359="B"),1,0))</f>
        <v/>
      </c>
      <c r="AV359" s="7">
        <f>IF(A359="","",IF(OR(R359="Dépôt payé (gagné)",R359="Événement livré",R359="Avis obtenu"),1,0))</f>
        <v/>
      </c>
      <c r="AW359" s="7">
        <f>IF(A359="","",IF(Q359&gt;70,"Immédiat – propriétaire",IF(Q359&gt;=40,"15 min – personne de garde","Selon la route")))</f>
        <v/>
      </c>
      <c r="AX359" s="11">
        <f>IF(A359="","",IF(AT359="A",400,IF(AT359="B",150,0)))</f>
        <v/>
      </c>
      <c r="AY359" s="11">
        <f>IF(A359="","",IF(AV359=1,N(V359),IF(N(U359)&gt;0,ROUND(N(U359)*IFERROR(VLOOKUP(R359,Listes!$AE$3:$AG$12,2,FALSE),0),0),0)))</f>
        <v/>
      </c>
      <c r="AZ359" s="7">
        <f>IF(LEFT(A359,7)="EXEMPLE",1,0)</f>
        <v/>
      </c>
      <c r="BA359" s="7">
        <f>IF(AND(AV359=1,AZ359=0,AC359&lt;&gt;"",W359&lt;&gt;"",N(V359)&gt;0),COUNTIFS($AV$3:AV359,1,$AZ$3:AZ359,0,$AC$3:AC359,"&lt;&gt;",$W$3:W359,"&lt;&gt;",$V$3:V359,"&gt;0"),"")</f>
        <v/>
      </c>
    </row>
    <row r="360">
      <c r="A360" s="12" t="n"/>
      <c r="B360" s="13" t="n"/>
      <c r="C360" s="13" t="n"/>
      <c r="D360" s="7">
        <f>IF(OR(B360="",C360=""),"",ROUND((C360-B360)*1440,0))</f>
        <v/>
      </c>
      <c r="E360" s="12" t="n"/>
      <c r="F360" s="12" t="n"/>
      <c r="G360" s="12" t="n"/>
      <c r="H360" s="12" t="n"/>
      <c r="I360" s="12" t="n"/>
      <c r="J360" s="12" t="n"/>
      <c r="K360" s="12" t="n"/>
      <c r="L360" s="14" t="n"/>
      <c r="M360" s="12" t="n"/>
      <c r="N360" s="12" t="n"/>
      <c r="O360" s="12" t="n"/>
      <c r="P360" s="12" t="n"/>
      <c r="Q360" s="7">
        <f>IF(A360="","",IFERROR(VLOOKUP(O360,Listes!$R$3:$T$8,2,FALSE),0)+IFERROR(VLOOKUP(J360,Listes!$J$3:$L$6,2,FALSE),0)+IFERROR(VLOOKUP(N360,Listes!$N$3:$P$6,2,FALSE),0)+IF(OR(L360="",B360=""),0,IF(L360-INT(B360)&lt;10,8,IF(L360-INT(B360)&lt;=90,10,5)))+IFERROR(VLOOKUP(AN360,Listes!$V$3:$W$5,2,FALSE),0)+IFERROR(VLOOKUP(AO360,Listes!$Y$3:$Z$5,2,FALSE),0))</f>
        <v/>
      </c>
      <c r="R360" s="12" t="n"/>
      <c r="S360" s="12" t="n"/>
      <c r="T360" s="12" t="n"/>
      <c r="U360" s="15" t="n"/>
      <c r="V360" s="15" t="n"/>
      <c r="W360" s="13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3" t="n"/>
      <c r="AK360" s="12" t="n"/>
      <c r="AL360" s="12" t="n"/>
      <c r="AM360" s="12" t="n"/>
      <c r="AN360" s="12" t="n"/>
      <c r="AO360" s="12" t="n"/>
      <c r="AP360" s="12" t="n"/>
      <c r="AQ360" s="7">
        <f>IF(A360="","",IF(AP360&lt;&gt;"",AP360,IF(LEFT(Z360,11)="gads_marque","Google Search – Marque",IF(LEFT(Z360,12)="gads_mariage","Google Search – Mariage et privé",IF(LEFT(Z360,10)="gads_corpo","Google Search – Corporatif",IF(LEFT(Z360,5)="meta_","Meta – Leads",IF(LEFT(Z360,5)="msft_","Microsoft Ads",IF(LEFT(Z360,8)="chatgpt_","ChatGPT Ads – Test",IF(X360="gbp","Fiche Google (organique)","Autre / non payé")))))))))</f>
        <v/>
      </c>
      <c r="AR360" s="7">
        <f>IF(K360="","",IFERROR(VLOOKUP(K360,Listes!$F$3:$H$8,3,FALSE),""))</f>
        <v/>
      </c>
      <c r="AS360" s="7">
        <f>IF(O360="","",IF(AND(M360="Autre (plus de 40 km)",OR(O360="lt600",O360="600_999",O360="1000_2499")),"D",IF(OR(O360="lt600",AND(O360="600_999",K360&lt;&gt;"mariage",K360&lt;&gt;"prive")),"C",IF(OR(O360="2500_4999",O360="5000p",J360="entreprise",J360="organisme",J360="agence"),"A",IF(OR(O360="1000_2499",O360="600_999"),"B",IF(O360="inconnu",IF(OR(N360="75_149",N360="150p"),"A","B"),""))))))</f>
        <v/>
      </c>
      <c r="AT360" s="7">
        <f>IF(A360="","",IF(P360&lt;&gt;"",P360,AS360))</f>
        <v/>
      </c>
      <c r="AU360" s="7">
        <f>IF(A360="","",IF(OR(AT360="A",AT360="B"),1,0))</f>
        <v/>
      </c>
      <c r="AV360" s="7">
        <f>IF(A360="","",IF(OR(R360="Dépôt payé (gagné)",R360="Événement livré",R360="Avis obtenu"),1,0))</f>
        <v/>
      </c>
      <c r="AW360" s="7">
        <f>IF(A360="","",IF(Q360&gt;70,"Immédiat – propriétaire",IF(Q360&gt;=40,"15 min – personne de garde","Selon la route")))</f>
        <v/>
      </c>
      <c r="AX360" s="11">
        <f>IF(A360="","",IF(AT360="A",400,IF(AT360="B",150,0)))</f>
        <v/>
      </c>
      <c r="AY360" s="11">
        <f>IF(A360="","",IF(AV360=1,N(V360),IF(N(U360)&gt;0,ROUND(N(U360)*IFERROR(VLOOKUP(R360,Listes!$AE$3:$AG$12,2,FALSE),0),0),0)))</f>
        <v/>
      </c>
      <c r="AZ360" s="7">
        <f>IF(LEFT(A360,7)="EXEMPLE",1,0)</f>
        <v/>
      </c>
      <c r="BA360" s="7">
        <f>IF(AND(AV360=1,AZ360=0,AC360&lt;&gt;"",W360&lt;&gt;"",N(V360)&gt;0),COUNTIFS($AV$3:AV360,1,$AZ$3:AZ360,0,$AC$3:AC360,"&lt;&gt;",$W$3:W360,"&lt;&gt;",$V$3:V360,"&gt;0"),"")</f>
        <v/>
      </c>
    </row>
    <row r="361">
      <c r="A361" s="12" t="n"/>
      <c r="B361" s="13" t="n"/>
      <c r="C361" s="13" t="n"/>
      <c r="D361" s="7">
        <f>IF(OR(B361="",C361=""),"",ROUND((C361-B361)*1440,0))</f>
        <v/>
      </c>
      <c r="E361" s="12" t="n"/>
      <c r="F361" s="12" t="n"/>
      <c r="G361" s="12" t="n"/>
      <c r="H361" s="12" t="n"/>
      <c r="I361" s="12" t="n"/>
      <c r="J361" s="12" t="n"/>
      <c r="K361" s="12" t="n"/>
      <c r="L361" s="14" t="n"/>
      <c r="M361" s="12" t="n"/>
      <c r="N361" s="12" t="n"/>
      <c r="O361" s="12" t="n"/>
      <c r="P361" s="12" t="n"/>
      <c r="Q361" s="7">
        <f>IF(A361="","",IFERROR(VLOOKUP(O361,Listes!$R$3:$T$8,2,FALSE),0)+IFERROR(VLOOKUP(J361,Listes!$J$3:$L$6,2,FALSE),0)+IFERROR(VLOOKUP(N361,Listes!$N$3:$P$6,2,FALSE),0)+IF(OR(L361="",B361=""),0,IF(L361-INT(B361)&lt;10,8,IF(L361-INT(B361)&lt;=90,10,5)))+IFERROR(VLOOKUP(AN361,Listes!$V$3:$W$5,2,FALSE),0)+IFERROR(VLOOKUP(AO361,Listes!$Y$3:$Z$5,2,FALSE),0))</f>
        <v/>
      </c>
      <c r="R361" s="12" t="n"/>
      <c r="S361" s="12" t="n"/>
      <c r="T361" s="12" t="n"/>
      <c r="U361" s="15" t="n"/>
      <c r="V361" s="15" t="n"/>
      <c r="W361" s="13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3" t="n"/>
      <c r="AK361" s="12" t="n"/>
      <c r="AL361" s="12" t="n"/>
      <c r="AM361" s="12" t="n"/>
      <c r="AN361" s="12" t="n"/>
      <c r="AO361" s="12" t="n"/>
      <c r="AP361" s="12" t="n"/>
      <c r="AQ361" s="7">
        <f>IF(A361="","",IF(AP361&lt;&gt;"",AP361,IF(LEFT(Z361,11)="gads_marque","Google Search – Marque",IF(LEFT(Z361,12)="gads_mariage","Google Search – Mariage et privé",IF(LEFT(Z361,10)="gads_corpo","Google Search – Corporatif",IF(LEFT(Z361,5)="meta_","Meta – Leads",IF(LEFT(Z361,5)="msft_","Microsoft Ads",IF(LEFT(Z361,8)="chatgpt_","ChatGPT Ads – Test",IF(X361="gbp","Fiche Google (organique)","Autre / non payé")))))))))</f>
        <v/>
      </c>
      <c r="AR361" s="7">
        <f>IF(K361="","",IFERROR(VLOOKUP(K361,Listes!$F$3:$H$8,3,FALSE),""))</f>
        <v/>
      </c>
      <c r="AS361" s="7">
        <f>IF(O361="","",IF(AND(M361="Autre (plus de 40 km)",OR(O361="lt600",O361="600_999",O361="1000_2499")),"D",IF(OR(O361="lt600",AND(O361="600_999",K361&lt;&gt;"mariage",K361&lt;&gt;"prive")),"C",IF(OR(O361="2500_4999",O361="5000p",J361="entreprise",J361="organisme",J361="agence"),"A",IF(OR(O361="1000_2499",O361="600_999"),"B",IF(O361="inconnu",IF(OR(N361="75_149",N361="150p"),"A","B"),""))))))</f>
        <v/>
      </c>
      <c r="AT361" s="7">
        <f>IF(A361="","",IF(P361&lt;&gt;"",P361,AS361))</f>
        <v/>
      </c>
      <c r="AU361" s="7">
        <f>IF(A361="","",IF(OR(AT361="A",AT361="B"),1,0))</f>
        <v/>
      </c>
      <c r="AV361" s="7">
        <f>IF(A361="","",IF(OR(R361="Dépôt payé (gagné)",R361="Événement livré",R361="Avis obtenu"),1,0))</f>
        <v/>
      </c>
      <c r="AW361" s="7">
        <f>IF(A361="","",IF(Q361&gt;70,"Immédiat – propriétaire",IF(Q361&gt;=40,"15 min – personne de garde","Selon la route")))</f>
        <v/>
      </c>
      <c r="AX361" s="11">
        <f>IF(A361="","",IF(AT361="A",400,IF(AT361="B",150,0)))</f>
        <v/>
      </c>
      <c r="AY361" s="11">
        <f>IF(A361="","",IF(AV361=1,N(V361),IF(N(U361)&gt;0,ROUND(N(U361)*IFERROR(VLOOKUP(R361,Listes!$AE$3:$AG$12,2,FALSE),0),0),0)))</f>
        <v/>
      </c>
      <c r="AZ361" s="7">
        <f>IF(LEFT(A361,7)="EXEMPLE",1,0)</f>
        <v/>
      </c>
      <c r="BA361" s="7">
        <f>IF(AND(AV361=1,AZ361=0,AC361&lt;&gt;"",W361&lt;&gt;"",N(V361)&gt;0),COUNTIFS($AV$3:AV361,1,$AZ$3:AZ361,0,$AC$3:AC361,"&lt;&gt;",$W$3:W361,"&lt;&gt;",$V$3:V361,"&gt;0"),"")</f>
        <v/>
      </c>
    </row>
    <row r="362">
      <c r="A362" s="12" t="n"/>
      <c r="B362" s="13" t="n"/>
      <c r="C362" s="13" t="n"/>
      <c r="D362" s="7">
        <f>IF(OR(B362="",C362=""),"",ROUND((C362-B362)*1440,0))</f>
        <v/>
      </c>
      <c r="E362" s="12" t="n"/>
      <c r="F362" s="12" t="n"/>
      <c r="G362" s="12" t="n"/>
      <c r="H362" s="12" t="n"/>
      <c r="I362" s="12" t="n"/>
      <c r="J362" s="12" t="n"/>
      <c r="K362" s="12" t="n"/>
      <c r="L362" s="14" t="n"/>
      <c r="M362" s="12" t="n"/>
      <c r="N362" s="12" t="n"/>
      <c r="O362" s="12" t="n"/>
      <c r="P362" s="12" t="n"/>
      <c r="Q362" s="7">
        <f>IF(A362="","",IFERROR(VLOOKUP(O362,Listes!$R$3:$T$8,2,FALSE),0)+IFERROR(VLOOKUP(J362,Listes!$J$3:$L$6,2,FALSE),0)+IFERROR(VLOOKUP(N362,Listes!$N$3:$P$6,2,FALSE),0)+IF(OR(L362="",B362=""),0,IF(L362-INT(B362)&lt;10,8,IF(L362-INT(B362)&lt;=90,10,5)))+IFERROR(VLOOKUP(AN362,Listes!$V$3:$W$5,2,FALSE),0)+IFERROR(VLOOKUP(AO362,Listes!$Y$3:$Z$5,2,FALSE),0))</f>
        <v/>
      </c>
      <c r="R362" s="12" t="n"/>
      <c r="S362" s="12" t="n"/>
      <c r="T362" s="12" t="n"/>
      <c r="U362" s="15" t="n"/>
      <c r="V362" s="15" t="n"/>
      <c r="W362" s="13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3" t="n"/>
      <c r="AK362" s="12" t="n"/>
      <c r="AL362" s="12" t="n"/>
      <c r="AM362" s="12" t="n"/>
      <c r="AN362" s="12" t="n"/>
      <c r="AO362" s="12" t="n"/>
      <c r="AP362" s="12" t="n"/>
      <c r="AQ362" s="7">
        <f>IF(A362="","",IF(AP362&lt;&gt;"",AP362,IF(LEFT(Z362,11)="gads_marque","Google Search – Marque",IF(LEFT(Z362,12)="gads_mariage","Google Search – Mariage et privé",IF(LEFT(Z362,10)="gads_corpo","Google Search – Corporatif",IF(LEFT(Z362,5)="meta_","Meta – Leads",IF(LEFT(Z362,5)="msft_","Microsoft Ads",IF(LEFT(Z362,8)="chatgpt_","ChatGPT Ads – Test",IF(X362="gbp","Fiche Google (organique)","Autre / non payé")))))))))</f>
        <v/>
      </c>
      <c r="AR362" s="7">
        <f>IF(K362="","",IFERROR(VLOOKUP(K362,Listes!$F$3:$H$8,3,FALSE),""))</f>
        <v/>
      </c>
      <c r="AS362" s="7">
        <f>IF(O362="","",IF(AND(M362="Autre (plus de 40 km)",OR(O362="lt600",O362="600_999",O362="1000_2499")),"D",IF(OR(O362="lt600",AND(O362="600_999",K362&lt;&gt;"mariage",K362&lt;&gt;"prive")),"C",IF(OR(O362="2500_4999",O362="5000p",J362="entreprise",J362="organisme",J362="agence"),"A",IF(OR(O362="1000_2499",O362="600_999"),"B",IF(O362="inconnu",IF(OR(N362="75_149",N362="150p"),"A","B"),""))))))</f>
        <v/>
      </c>
      <c r="AT362" s="7">
        <f>IF(A362="","",IF(P362&lt;&gt;"",P362,AS362))</f>
        <v/>
      </c>
      <c r="AU362" s="7">
        <f>IF(A362="","",IF(OR(AT362="A",AT362="B"),1,0))</f>
        <v/>
      </c>
      <c r="AV362" s="7">
        <f>IF(A362="","",IF(OR(R362="Dépôt payé (gagné)",R362="Événement livré",R362="Avis obtenu"),1,0))</f>
        <v/>
      </c>
      <c r="AW362" s="7">
        <f>IF(A362="","",IF(Q362&gt;70,"Immédiat – propriétaire",IF(Q362&gt;=40,"15 min – personne de garde","Selon la route")))</f>
        <v/>
      </c>
      <c r="AX362" s="11">
        <f>IF(A362="","",IF(AT362="A",400,IF(AT362="B",150,0)))</f>
        <v/>
      </c>
      <c r="AY362" s="11">
        <f>IF(A362="","",IF(AV362=1,N(V362),IF(N(U362)&gt;0,ROUND(N(U362)*IFERROR(VLOOKUP(R362,Listes!$AE$3:$AG$12,2,FALSE),0),0),0)))</f>
        <v/>
      </c>
      <c r="AZ362" s="7">
        <f>IF(LEFT(A362,7)="EXEMPLE",1,0)</f>
        <v/>
      </c>
      <c r="BA362" s="7">
        <f>IF(AND(AV362=1,AZ362=0,AC362&lt;&gt;"",W362&lt;&gt;"",N(V362)&gt;0),COUNTIFS($AV$3:AV362,1,$AZ$3:AZ362,0,$AC$3:AC362,"&lt;&gt;",$W$3:W362,"&lt;&gt;",$V$3:V362,"&gt;0"),"")</f>
        <v/>
      </c>
    </row>
    <row r="363">
      <c r="A363" s="12" t="n"/>
      <c r="B363" s="13" t="n"/>
      <c r="C363" s="13" t="n"/>
      <c r="D363" s="7">
        <f>IF(OR(B363="",C363=""),"",ROUND((C363-B363)*1440,0))</f>
        <v/>
      </c>
      <c r="E363" s="12" t="n"/>
      <c r="F363" s="12" t="n"/>
      <c r="G363" s="12" t="n"/>
      <c r="H363" s="12" t="n"/>
      <c r="I363" s="12" t="n"/>
      <c r="J363" s="12" t="n"/>
      <c r="K363" s="12" t="n"/>
      <c r="L363" s="14" t="n"/>
      <c r="M363" s="12" t="n"/>
      <c r="N363" s="12" t="n"/>
      <c r="O363" s="12" t="n"/>
      <c r="P363" s="12" t="n"/>
      <c r="Q363" s="7">
        <f>IF(A363="","",IFERROR(VLOOKUP(O363,Listes!$R$3:$T$8,2,FALSE),0)+IFERROR(VLOOKUP(J363,Listes!$J$3:$L$6,2,FALSE),0)+IFERROR(VLOOKUP(N363,Listes!$N$3:$P$6,2,FALSE),0)+IF(OR(L363="",B363=""),0,IF(L363-INT(B363)&lt;10,8,IF(L363-INT(B363)&lt;=90,10,5)))+IFERROR(VLOOKUP(AN363,Listes!$V$3:$W$5,2,FALSE),0)+IFERROR(VLOOKUP(AO363,Listes!$Y$3:$Z$5,2,FALSE),0))</f>
        <v/>
      </c>
      <c r="R363" s="12" t="n"/>
      <c r="S363" s="12" t="n"/>
      <c r="T363" s="12" t="n"/>
      <c r="U363" s="15" t="n"/>
      <c r="V363" s="15" t="n"/>
      <c r="W363" s="13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3" t="n"/>
      <c r="AK363" s="12" t="n"/>
      <c r="AL363" s="12" t="n"/>
      <c r="AM363" s="12" t="n"/>
      <c r="AN363" s="12" t="n"/>
      <c r="AO363" s="12" t="n"/>
      <c r="AP363" s="12" t="n"/>
      <c r="AQ363" s="7">
        <f>IF(A363="","",IF(AP363&lt;&gt;"",AP363,IF(LEFT(Z363,11)="gads_marque","Google Search – Marque",IF(LEFT(Z363,12)="gads_mariage","Google Search – Mariage et privé",IF(LEFT(Z363,10)="gads_corpo","Google Search – Corporatif",IF(LEFT(Z363,5)="meta_","Meta – Leads",IF(LEFT(Z363,5)="msft_","Microsoft Ads",IF(LEFT(Z363,8)="chatgpt_","ChatGPT Ads – Test",IF(X363="gbp","Fiche Google (organique)","Autre / non payé")))))))))</f>
        <v/>
      </c>
      <c r="AR363" s="7">
        <f>IF(K363="","",IFERROR(VLOOKUP(K363,Listes!$F$3:$H$8,3,FALSE),""))</f>
        <v/>
      </c>
      <c r="AS363" s="7">
        <f>IF(O363="","",IF(AND(M363="Autre (plus de 40 km)",OR(O363="lt600",O363="600_999",O363="1000_2499")),"D",IF(OR(O363="lt600",AND(O363="600_999",K363&lt;&gt;"mariage",K363&lt;&gt;"prive")),"C",IF(OR(O363="2500_4999",O363="5000p",J363="entreprise",J363="organisme",J363="agence"),"A",IF(OR(O363="1000_2499",O363="600_999"),"B",IF(O363="inconnu",IF(OR(N363="75_149",N363="150p"),"A","B"),""))))))</f>
        <v/>
      </c>
      <c r="AT363" s="7">
        <f>IF(A363="","",IF(P363&lt;&gt;"",P363,AS363))</f>
        <v/>
      </c>
      <c r="AU363" s="7">
        <f>IF(A363="","",IF(OR(AT363="A",AT363="B"),1,0))</f>
        <v/>
      </c>
      <c r="AV363" s="7">
        <f>IF(A363="","",IF(OR(R363="Dépôt payé (gagné)",R363="Événement livré",R363="Avis obtenu"),1,0))</f>
        <v/>
      </c>
      <c r="AW363" s="7">
        <f>IF(A363="","",IF(Q363&gt;70,"Immédiat – propriétaire",IF(Q363&gt;=40,"15 min – personne de garde","Selon la route")))</f>
        <v/>
      </c>
      <c r="AX363" s="11">
        <f>IF(A363="","",IF(AT363="A",400,IF(AT363="B",150,0)))</f>
        <v/>
      </c>
      <c r="AY363" s="11">
        <f>IF(A363="","",IF(AV363=1,N(V363),IF(N(U363)&gt;0,ROUND(N(U363)*IFERROR(VLOOKUP(R363,Listes!$AE$3:$AG$12,2,FALSE),0),0),0)))</f>
        <v/>
      </c>
      <c r="AZ363" s="7">
        <f>IF(LEFT(A363,7)="EXEMPLE",1,0)</f>
        <v/>
      </c>
      <c r="BA363" s="7">
        <f>IF(AND(AV363=1,AZ363=0,AC363&lt;&gt;"",W363&lt;&gt;"",N(V363)&gt;0),COUNTIFS($AV$3:AV363,1,$AZ$3:AZ363,0,$AC$3:AC363,"&lt;&gt;",$W$3:W363,"&lt;&gt;",$V$3:V363,"&gt;0"),"")</f>
        <v/>
      </c>
    </row>
    <row r="364">
      <c r="A364" s="12" t="n"/>
      <c r="B364" s="13" t="n"/>
      <c r="C364" s="13" t="n"/>
      <c r="D364" s="7">
        <f>IF(OR(B364="",C364=""),"",ROUND((C364-B364)*1440,0))</f>
        <v/>
      </c>
      <c r="E364" s="12" t="n"/>
      <c r="F364" s="12" t="n"/>
      <c r="G364" s="12" t="n"/>
      <c r="H364" s="12" t="n"/>
      <c r="I364" s="12" t="n"/>
      <c r="J364" s="12" t="n"/>
      <c r="K364" s="12" t="n"/>
      <c r="L364" s="14" t="n"/>
      <c r="M364" s="12" t="n"/>
      <c r="N364" s="12" t="n"/>
      <c r="O364" s="12" t="n"/>
      <c r="P364" s="12" t="n"/>
      <c r="Q364" s="7">
        <f>IF(A364="","",IFERROR(VLOOKUP(O364,Listes!$R$3:$T$8,2,FALSE),0)+IFERROR(VLOOKUP(J364,Listes!$J$3:$L$6,2,FALSE),0)+IFERROR(VLOOKUP(N364,Listes!$N$3:$P$6,2,FALSE),0)+IF(OR(L364="",B364=""),0,IF(L364-INT(B364)&lt;10,8,IF(L364-INT(B364)&lt;=90,10,5)))+IFERROR(VLOOKUP(AN364,Listes!$V$3:$W$5,2,FALSE),0)+IFERROR(VLOOKUP(AO364,Listes!$Y$3:$Z$5,2,FALSE),0))</f>
        <v/>
      </c>
      <c r="R364" s="12" t="n"/>
      <c r="S364" s="12" t="n"/>
      <c r="T364" s="12" t="n"/>
      <c r="U364" s="15" t="n"/>
      <c r="V364" s="15" t="n"/>
      <c r="W364" s="13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3" t="n"/>
      <c r="AK364" s="12" t="n"/>
      <c r="AL364" s="12" t="n"/>
      <c r="AM364" s="12" t="n"/>
      <c r="AN364" s="12" t="n"/>
      <c r="AO364" s="12" t="n"/>
      <c r="AP364" s="12" t="n"/>
      <c r="AQ364" s="7">
        <f>IF(A364="","",IF(AP364&lt;&gt;"",AP364,IF(LEFT(Z364,11)="gads_marque","Google Search – Marque",IF(LEFT(Z364,12)="gads_mariage","Google Search – Mariage et privé",IF(LEFT(Z364,10)="gads_corpo","Google Search – Corporatif",IF(LEFT(Z364,5)="meta_","Meta – Leads",IF(LEFT(Z364,5)="msft_","Microsoft Ads",IF(LEFT(Z364,8)="chatgpt_","ChatGPT Ads – Test",IF(X364="gbp","Fiche Google (organique)","Autre / non payé")))))))))</f>
        <v/>
      </c>
      <c r="AR364" s="7">
        <f>IF(K364="","",IFERROR(VLOOKUP(K364,Listes!$F$3:$H$8,3,FALSE),""))</f>
        <v/>
      </c>
      <c r="AS364" s="7">
        <f>IF(O364="","",IF(AND(M364="Autre (plus de 40 km)",OR(O364="lt600",O364="600_999",O364="1000_2499")),"D",IF(OR(O364="lt600",AND(O364="600_999",K364&lt;&gt;"mariage",K364&lt;&gt;"prive")),"C",IF(OR(O364="2500_4999",O364="5000p",J364="entreprise",J364="organisme",J364="agence"),"A",IF(OR(O364="1000_2499",O364="600_999"),"B",IF(O364="inconnu",IF(OR(N364="75_149",N364="150p"),"A","B"),""))))))</f>
        <v/>
      </c>
      <c r="AT364" s="7">
        <f>IF(A364="","",IF(P364&lt;&gt;"",P364,AS364))</f>
        <v/>
      </c>
      <c r="AU364" s="7">
        <f>IF(A364="","",IF(OR(AT364="A",AT364="B"),1,0))</f>
        <v/>
      </c>
      <c r="AV364" s="7">
        <f>IF(A364="","",IF(OR(R364="Dépôt payé (gagné)",R364="Événement livré",R364="Avis obtenu"),1,0))</f>
        <v/>
      </c>
      <c r="AW364" s="7">
        <f>IF(A364="","",IF(Q364&gt;70,"Immédiat – propriétaire",IF(Q364&gt;=40,"15 min – personne de garde","Selon la route")))</f>
        <v/>
      </c>
      <c r="AX364" s="11">
        <f>IF(A364="","",IF(AT364="A",400,IF(AT364="B",150,0)))</f>
        <v/>
      </c>
      <c r="AY364" s="11">
        <f>IF(A364="","",IF(AV364=1,N(V364),IF(N(U364)&gt;0,ROUND(N(U364)*IFERROR(VLOOKUP(R364,Listes!$AE$3:$AG$12,2,FALSE),0),0),0)))</f>
        <v/>
      </c>
      <c r="AZ364" s="7">
        <f>IF(LEFT(A364,7)="EXEMPLE",1,0)</f>
        <v/>
      </c>
      <c r="BA364" s="7">
        <f>IF(AND(AV364=1,AZ364=0,AC364&lt;&gt;"",W364&lt;&gt;"",N(V364)&gt;0),COUNTIFS($AV$3:AV364,1,$AZ$3:AZ364,0,$AC$3:AC364,"&lt;&gt;",$W$3:W364,"&lt;&gt;",$V$3:V364,"&gt;0"),"")</f>
        <v/>
      </c>
    </row>
    <row r="365">
      <c r="A365" s="12" t="n"/>
      <c r="B365" s="13" t="n"/>
      <c r="C365" s="13" t="n"/>
      <c r="D365" s="7">
        <f>IF(OR(B365="",C365=""),"",ROUND((C365-B365)*1440,0))</f>
        <v/>
      </c>
      <c r="E365" s="12" t="n"/>
      <c r="F365" s="12" t="n"/>
      <c r="G365" s="12" t="n"/>
      <c r="H365" s="12" t="n"/>
      <c r="I365" s="12" t="n"/>
      <c r="J365" s="12" t="n"/>
      <c r="K365" s="12" t="n"/>
      <c r="L365" s="14" t="n"/>
      <c r="M365" s="12" t="n"/>
      <c r="N365" s="12" t="n"/>
      <c r="O365" s="12" t="n"/>
      <c r="P365" s="12" t="n"/>
      <c r="Q365" s="7">
        <f>IF(A365="","",IFERROR(VLOOKUP(O365,Listes!$R$3:$T$8,2,FALSE),0)+IFERROR(VLOOKUP(J365,Listes!$J$3:$L$6,2,FALSE),0)+IFERROR(VLOOKUP(N365,Listes!$N$3:$P$6,2,FALSE),0)+IF(OR(L365="",B365=""),0,IF(L365-INT(B365)&lt;10,8,IF(L365-INT(B365)&lt;=90,10,5)))+IFERROR(VLOOKUP(AN365,Listes!$V$3:$W$5,2,FALSE),0)+IFERROR(VLOOKUP(AO365,Listes!$Y$3:$Z$5,2,FALSE),0))</f>
        <v/>
      </c>
      <c r="R365" s="12" t="n"/>
      <c r="S365" s="12" t="n"/>
      <c r="T365" s="12" t="n"/>
      <c r="U365" s="15" t="n"/>
      <c r="V365" s="15" t="n"/>
      <c r="W365" s="13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3" t="n"/>
      <c r="AK365" s="12" t="n"/>
      <c r="AL365" s="12" t="n"/>
      <c r="AM365" s="12" t="n"/>
      <c r="AN365" s="12" t="n"/>
      <c r="AO365" s="12" t="n"/>
      <c r="AP365" s="12" t="n"/>
      <c r="AQ365" s="7">
        <f>IF(A365="","",IF(AP365&lt;&gt;"",AP365,IF(LEFT(Z365,11)="gads_marque","Google Search – Marque",IF(LEFT(Z365,12)="gads_mariage","Google Search – Mariage et privé",IF(LEFT(Z365,10)="gads_corpo","Google Search – Corporatif",IF(LEFT(Z365,5)="meta_","Meta – Leads",IF(LEFT(Z365,5)="msft_","Microsoft Ads",IF(LEFT(Z365,8)="chatgpt_","ChatGPT Ads – Test",IF(X365="gbp","Fiche Google (organique)","Autre / non payé")))))))))</f>
        <v/>
      </c>
      <c r="AR365" s="7">
        <f>IF(K365="","",IFERROR(VLOOKUP(K365,Listes!$F$3:$H$8,3,FALSE),""))</f>
        <v/>
      </c>
      <c r="AS365" s="7">
        <f>IF(O365="","",IF(AND(M365="Autre (plus de 40 km)",OR(O365="lt600",O365="600_999",O365="1000_2499")),"D",IF(OR(O365="lt600",AND(O365="600_999",K365&lt;&gt;"mariage",K365&lt;&gt;"prive")),"C",IF(OR(O365="2500_4999",O365="5000p",J365="entreprise",J365="organisme",J365="agence"),"A",IF(OR(O365="1000_2499",O365="600_999"),"B",IF(O365="inconnu",IF(OR(N365="75_149",N365="150p"),"A","B"),""))))))</f>
        <v/>
      </c>
      <c r="AT365" s="7">
        <f>IF(A365="","",IF(P365&lt;&gt;"",P365,AS365))</f>
        <v/>
      </c>
      <c r="AU365" s="7">
        <f>IF(A365="","",IF(OR(AT365="A",AT365="B"),1,0))</f>
        <v/>
      </c>
      <c r="AV365" s="7">
        <f>IF(A365="","",IF(OR(R365="Dépôt payé (gagné)",R365="Événement livré",R365="Avis obtenu"),1,0))</f>
        <v/>
      </c>
      <c r="AW365" s="7">
        <f>IF(A365="","",IF(Q365&gt;70,"Immédiat – propriétaire",IF(Q365&gt;=40,"15 min – personne de garde","Selon la route")))</f>
        <v/>
      </c>
      <c r="AX365" s="11">
        <f>IF(A365="","",IF(AT365="A",400,IF(AT365="B",150,0)))</f>
        <v/>
      </c>
      <c r="AY365" s="11">
        <f>IF(A365="","",IF(AV365=1,N(V365),IF(N(U365)&gt;0,ROUND(N(U365)*IFERROR(VLOOKUP(R365,Listes!$AE$3:$AG$12,2,FALSE),0),0),0)))</f>
        <v/>
      </c>
      <c r="AZ365" s="7">
        <f>IF(LEFT(A365,7)="EXEMPLE",1,0)</f>
        <v/>
      </c>
      <c r="BA365" s="7">
        <f>IF(AND(AV365=1,AZ365=0,AC365&lt;&gt;"",W365&lt;&gt;"",N(V365)&gt;0),COUNTIFS($AV$3:AV365,1,$AZ$3:AZ365,0,$AC$3:AC365,"&lt;&gt;",$W$3:W365,"&lt;&gt;",$V$3:V365,"&gt;0"),"")</f>
        <v/>
      </c>
    </row>
    <row r="366">
      <c r="A366" s="12" t="n"/>
      <c r="B366" s="13" t="n"/>
      <c r="C366" s="13" t="n"/>
      <c r="D366" s="7">
        <f>IF(OR(B366="",C366=""),"",ROUND((C366-B366)*1440,0))</f>
        <v/>
      </c>
      <c r="E366" s="12" t="n"/>
      <c r="F366" s="12" t="n"/>
      <c r="G366" s="12" t="n"/>
      <c r="H366" s="12" t="n"/>
      <c r="I366" s="12" t="n"/>
      <c r="J366" s="12" t="n"/>
      <c r="K366" s="12" t="n"/>
      <c r="L366" s="14" t="n"/>
      <c r="M366" s="12" t="n"/>
      <c r="N366" s="12" t="n"/>
      <c r="O366" s="12" t="n"/>
      <c r="P366" s="12" t="n"/>
      <c r="Q366" s="7">
        <f>IF(A366="","",IFERROR(VLOOKUP(O366,Listes!$R$3:$T$8,2,FALSE),0)+IFERROR(VLOOKUP(J366,Listes!$J$3:$L$6,2,FALSE),0)+IFERROR(VLOOKUP(N366,Listes!$N$3:$P$6,2,FALSE),0)+IF(OR(L366="",B366=""),0,IF(L366-INT(B366)&lt;10,8,IF(L366-INT(B366)&lt;=90,10,5)))+IFERROR(VLOOKUP(AN366,Listes!$V$3:$W$5,2,FALSE),0)+IFERROR(VLOOKUP(AO366,Listes!$Y$3:$Z$5,2,FALSE),0))</f>
        <v/>
      </c>
      <c r="R366" s="12" t="n"/>
      <c r="S366" s="12" t="n"/>
      <c r="T366" s="12" t="n"/>
      <c r="U366" s="15" t="n"/>
      <c r="V366" s="15" t="n"/>
      <c r="W366" s="13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3" t="n"/>
      <c r="AK366" s="12" t="n"/>
      <c r="AL366" s="12" t="n"/>
      <c r="AM366" s="12" t="n"/>
      <c r="AN366" s="12" t="n"/>
      <c r="AO366" s="12" t="n"/>
      <c r="AP366" s="12" t="n"/>
      <c r="AQ366" s="7">
        <f>IF(A366="","",IF(AP366&lt;&gt;"",AP366,IF(LEFT(Z366,11)="gads_marque","Google Search – Marque",IF(LEFT(Z366,12)="gads_mariage","Google Search – Mariage et privé",IF(LEFT(Z366,10)="gads_corpo","Google Search – Corporatif",IF(LEFT(Z366,5)="meta_","Meta – Leads",IF(LEFT(Z366,5)="msft_","Microsoft Ads",IF(LEFT(Z366,8)="chatgpt_","ChatGPT Ads – Test",IF(X366="gbp","Fiche Google (organique)","Autre / non payé")))))))))</f>
        <v/>
      </c>
      <c r="AR366" s="7">
        <f>IF(K366="","",IFERROR(VLOOKUP(K366,Listes!$F$3:$H$8,3,FALSE),""))</f>
        <v/>
      </c>
      <c r="AS366" s="7">
        <f>IF(O366="","",IF(AND(M366="Autre (plus de 40 km)",OR(O366="lt600",O366="600_999",O366="1000_2499")),"D",IF(OR(O366="lt600",AND(O366="600_999",K366&lt;&gt;"mariage",K366&lt;&gt;"prive")),"C",IF(OR(O366="2500_4999",O366="5000p",J366="entreprise",J366="organisme",J366="agence"),"A",IF(OR(O366="1000_2499",O366="600_999"),"B",IF(O366="inconnu",IF(OR(N366="75_149",N366="150p"),"A","B"),""))))))</f>
        <v/>
      </c>
      <c r="AT366" s="7">
        <f>IF(A366="","",IF(P366&lt;&gt;"",P366,AS366))</f>
        <v/>
      </c>
      <c r="AU366" s="7">
        <f>IF(A366="","",IF(OR(AT366="A",AT366="B"),1,0))</f>
        <v/>
      </c>
      <c r="AV366" s="7">
        <f>IF(A366="","",IF(OR(R366="Dépôt payé (gagné)",R366="Événement livré",R366="Avis obtenu"),1,0))</f>
        <v/>
      </c>
      <c r="AW366" s="7">
        <f>IF(A366="","",IF(Q366&gt;70,"Immédiat – propriétaire",IF(Q366&gt;=40,"15 min – personne de garde","Selon la route")))</f>
        <v/>
      </c>
      <c r="AX366" s="11">
        <f>IF(A366="","",IF(AT366="A",400,IF(AT366="B",150,0)))</f>
        <v/>
      </c>
      <c r="AY366" s="11">
        <f>IF(A366="","",IF(AV366=1,N(V366),IF(N(U366)&gt;0,ROUND(N(U366)*IFERROR(VLOOKUP(R366,Listes!$AE$3:$AG$12,2,FALSE),0),0),0)))</f>
        <v/>
      </c>
      <c r="AZ366" s="7">
        <f>IF(LEFT(A366,7)="EXEMPLE",1,0)</f>
        <v/>
      </c>
      <c r="BA366" s="7">
        <f>IF(AND(AV366=1,AZ366=0,AC366&lt;&gt;"",W366&lt;&gt;"",N(V366)&gt;0),COUNTIFS($AV$3:AV366,1,$AZ$3:AZ366,0,$AC$3:AC366,"&lt;&gt;",$W$3:W366,"&lt;&gt;",$V$3:V366,"&gt;0"),"")</f>
        <v/>
      </c>
    </row>
    <row r="367">
      <c r="A367" s="12" t="n"/>
      <c r="B367" s="13" t="n"/>
      <c r="C367" s="13" t="n"/>
      <c r="D367" s="7">
        <f>IF(OR(B367="",C367=""),"",ROUND((C367-B367)*1440,0))</f>
        <v/>
      </c>
      <c r="E367" s="12" t="n"/>
      <c r="F367" s="12" t="n"/>
      <c r="G367" s="12" t="n"/>
      <c r="H367" s="12" t="n"/>
      <c r="I367" s="12" t="n"/>
      <c r="J367" s="12" t="n"/>
      <c r="K367" s="12" t="n"/>
      <c r="L367" s="14" t="n"/>
      <c r="M367" s="12" t="n"/>
      <c r="N367" s="12" t="n"/>
      <c r="O367" s="12" t="n"/>
      <c r="P367" s="12" t="n"/>
      <c r="Q367" s="7">
        <f>IF(A367="","",IFERROR(VLOOKUP(O367,Listes!$R$3:$T$8,2,FALSE),0)+IFERROR(VLOOKUP(J367,Listes!$J$3:$L$6,2,FALSE),0)+IFERROR(VLOOKUP(N367,Listes!$N$3:$P$6,2,FALSE),0)+IF(OR(L367="",B367=""),0,IF(L367-INT(B367)&lt;10,8,IF(L367-INT(B367)&lt;=90,10,5)))+IFERROR(VLOOKUP(AN367,Listes!$V$3:$W$5,2,FALSE),0)+IFERROR(VLOOKUP(AO367,Listes!$Y$3:$Z$5,2,FALSE),0))</f>
        <v/>
      </c>
      <c r="R367" s="12" t="n"/>
      <c r="S367" s="12" t="n"/>
      <c r="T367" s="12" t="n"/>
      <c r="U367" s="15" t="n"/>
      <c r="V367" s="15" t="n"/>
      <c r="W367" s="13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3" t="n"/>
      <c r="AK367" s="12" t="n"/>
      <c r="AL367" s="12" t="n"/>
      <c r="AM367" s="12" t="n"/>
      <c r="AN367" s="12" t="n"/>
      <c r="AO367" s="12" t="n"/>
      <c r="AP367" s="12" t="n"/>
      <c r="AQ367" s="7">
        <f>IF(A367="","",IF(AP367&lt;&gt;"",AP367,IF(LEFT(Z367,11)="gads_marque","Google Search – Marque",IF(LEFT(Z367,12)="gads_mariage","Google Search – Mariage et privé",IF(LEFT(Z367,10)="gads_corpo","Google Search – Corporatif",IF(LEFT(Z367,5)="meta_","Meta – Leads",IF(LEFT(Z367,5)="msft_","Microsoft Ads",IF(LEFT(Z367,8)="chatgpt_","ChatGPT Ads – Test",IF(X367="gbp","Fiche Google (organique)","Autre / non payé")))))))))</f>
        <v/>
      </c>
      <c r="AR367" s="7">
        <f>IF(K367="","",IFERROR(VLOOKUP(K367,Listes!$F$3:$H$8,3,FALSE),""))</f>
        <v/>
      </c>
      <c r="AS367" s="7">
        <f>IF(O367="","",IF(AND(M367="Autre (plus de 40 km)",OR(O367="lt600",O367="600_999",O367="1000_2499")),"D",IF(OR(O367="lt600",AND(O367="600_999",K367&lt;&gt;"mariage",K367&lt;&gt;"prive")),"C",IF(OR(O367="2500_4999",O367="5000p",J367="entreprise",J367="organisme",J367="agence"),"A",IF(OR(O367="1000_2499",O367="600_999"),"B",IF(O367="inconnu",IF(OR(N367="75_149",N367="150p"),"A","B"),""))))))</f>
        <v/>
      </c>
      <c r="AT367" s="7">
        <f>IF(A367="","",IF(P367&lt;&gt;"",P367,AS367))</f>
        <v/>
      </c>
      <c r="AU367" s="7">
        <f>IF(A367="","",IF(OR(AT367="A",AT367="B"),1,0))</f>
        <v/>
      </c>
      <c r="AV367" s="7">
        <f>IF(A367="","",IF(OR(R367="Dépôt payé (gagné)",R367="Événement livré",R367="Avis obtenu"),1,0))</f>
        <v/>
      </c>
      <c r="AW367" s="7">
        <f>IF(A367="","",IF(Q367&gt;70,"Immédiat – propriétaire",IF(Q367&gt;=40,"15 min – personne de garde","Selon la route")))</f>
        <v/>
      </c>
      <c r="AX367" s="11">
        <f>IF(A367="","",IF(AT367="A",400,IF(AT367="B",150,0)))</f>
        <v/>
      </c>
      <c r="AY367" s="11">
        <f>IF(A367="","",IF(AV367=1,N(V367),IF(N(U367)&gt;0,ROUND(N(U367)*IFERROR(VLOOKUP(R367,Listes!$AE$3:$AG$12,2,FALSE),0),0),0)))</f>
        <v/>
      </c>
      <c r="AZ367" s="7">
        <f>IF(LEFT(A367,7)="EXEMPLE",1,0)</f>
        <v/>
      </c>
      <c r="BA367" s="7">
        <f>IF(AND(AV367=1,AZ367=0,AC367&lt;&gt;"",W367&lt;&gt;"",N(V367)&gt;0),COUNTIFS($AV$3:AV367,1,$AZ$3:AZ367,0,$AC$3:AC367,"&lt;&gt;",$W$3:W367,"&lt;&gt;",$V$3:V367,"&gt;0"),"")</f>
        <v/>
      </c>
    </row>
    <row r="368">
      <c r="A368" s="12" t="n"/>
      <c r="B368" s="13" t="n"/>
      <c r="C368" s="13" t="n"/>
      <c r="D368" s="7">
        <f>IF(OR(B368="",C368=""),"",ROUND((C368-B368)*1440,0))</f>
        <v/>
      </c>
      <c r="E368" s="12" t="n"/>
      <c r="F368" s="12" t="n"/>
      <c r="G368" s="12" t="n"/>
      <c r="H368" s="12" t="n"/>
      <c r="I368" s="12" t="n"/>
      <c r="J368" s="12" t="n"/>
      <c r="K368" s="12" t="n"/>
      <c r="L368" s="14" t="n"/>
      <c r="M368" s="12" t="n"/>
      <c r="N368" s="12" t="n"/>
      <c r="O368" s="12" t="n"/>
      <c r="P368" s="12" t="n"/>
      <c r="Q368" s="7">
        <f>IF(A368="","",IFERROR(VLOOKUP(O368,Listes!$R$3:$T$8,2,FALSE),0)+IFERROR(VLOOKUP(J368,Listes!$J$3:$L$6,2,FALSE),0)+IFERROR(VLOOKUP(N368,Listes!$N$3:$P$6,2,FALSE),0)+IF(OR(L368="",B368=""),0,IF(L368-INT(B368)&lt;10,8,IF(L368-INT(B368)&lt;=90,10,5)))+IFERROR(VLOOKUP(AN368,Listes!$V$3:$W$5,2,FALSE),0)+IFERROR(VLOOKUP(AO368,Listes!$Y$3:$Z$5,2,FALSE),0))</f>
        <v/>
      </c>
      <c r="R368" s="12" t="n"/>
      <c r="S368" s="12" t="n"/>
      <c r="T368" s="12" t="n"/>
      <c r="U368" s="15" t="n"/>
      <c r="V368" s="15" t="n"/>
      <c r="W368" s="13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3" t="n"/>
      <c r="AK368" s="12" t="n"/>
      <c r="AL368" s="12" t="n"/>
      <c r="AM368" s="12" t="n"/>
      <c r="AN368" s="12" t="n"/>
      <c r="AO368" s="12" t="n"/>
      <c r="AP368" s="12" t="n"/>
      <c r="AQ368" s="7">
        <f>IF(A368="","",IF(AP368&lt;&gt;"",AP368,IF(LEFT(Z368,11)="gads_marque","Google Search – Marque",IF(LEFT(Z368,12)="gads_mariage","Google Search – Mariage et privé",IF(LEFT(Z368,10)="gads_corpo","Google Search – Corporatif",IF(LEFT(Z368,5)="meta_","Meta – Leads",IF(LEFT(Z368,5)="msft_","Microsoft Ads",IF(LEFT(Z368,8)="chatgpt_","ChatGPT Ads – Test",IF(X368="gbp","Fiche Google (organique)","Autre / non payé")))))))))</f>
        <v/>
      </c>
      <c r="AR368" s="7">
        <f>IF(K368="","",IFERROR(VLOOKUP(K368,Listes!$F$3:$H$8,3,FALSE),""))</f>
        <v/>
      </c>
      <c r="AS368" s="7">
        <f>IF(O368="","",IF(AND(M368="Autre (plus de 40 km)",OR(O368="lt600",O368="600_999",O368="1000_2499")),"D",IF(OR(O368="lt600",AND(O368="600_999",K368&lt;&gt;"mariage",K368&lt;&gt;"prive")),"C",IF(OR(O368="2500_4999",O368="5000p",J368="entreprise",J368="organisme",J368="agence"),"A",IF(OR(O368="1000_2499",O368="600_999"),"B",IF(O368="inconnu",IF(OR(N368="75_149",N368="150p"),"A","B"),""))))))</f>
        <v/>
      </c>
      <c r="AT368" s="7">
        <f>IF(A368="","",IF(P368&lt;&gt;"",P368,AS368))</f>
        <v/>
      </c>
      <c r="AU368" s="7">
        <f>IF(A368="","",IF(OR(AT368="A",AT368="B"),1,0))</f>
        <v/>
      </c>
      <c r="AV368" s="7">
        <f>IF(A368="","",IF(OR(R368="Dépôt payé (gagné)",R368="Événement livré",R368="Avis obtenu"),1,0))</f>
        <v/>
      </c>
      <c r="AW368" s="7">
        <f>IF(A368="","",IF(Q368&gt;70,"Immédiat – propriétaire",IF(Q368&gt;=40,"15 min – personne de garde","Selon la route")))</f>
        <v/>
      </c>
      <c r="AX368" s="11">
        <f>IF(A368="","",IF(AT368="A",400,IF(AT368="B",150,0)))</f>
        <v/>
      </c>
      <c r="AY368" s="11">
        <f>IF(A368="","",IF(AV368=1,N(V368),IF(N(U368)&gt;0,ROUND(N(U368)*IFERROR(VLOOKUP(R368,Listes!$AE$3:$AG$12,2,FALSE),0),0),0)))</f>
        <v/>
      </c>
      <c r="AZ368" s="7">
        <f>IF(LEFT(A368,7)="EXEMPLE",1,0)</f>
        <v/>
      </c>
      <c r="BA368" s="7">
        <f>IF(AND(AV368=1,AZ368=0,AC368&lt;&gt;"",W368&lt;&gt;"",N(V368)&gt;0),COUNTIFS($AV$3:AV368,1,$AZ$3:AZ368,0,$AC$3:AC368,"&lt;&gt;",$W$3:W368,"&lt;&gt;",$V$3:V368,"&gt;0"),"")</f>
        <v/>
      </c>
    </row>
    <row r="369">
      <c r="A369" s="12" t="n"/>
      <c r="B369" s="13" t="n"/>
      <c r="C369" s="13" t="n"/>
      <c r="D369" s="7">
        <f>IF(OR(B369="",C369=""),"",ROUND((C369-B369)*1440,0))</f>
        <v/>
      </c>
      <c r="E369" s="12" t="n"/>
      <c r="F369" s="12" t="n"/>
      <c r="G369" s="12" t="n"/>
      <c r="H369" s="12" t="n"/>
      <c r="I369" s="12" t="n"/>
      <c r="J369" s="12" t="n"/>
      <c r="K369" s="12" t="n"/>
      <c r="L369" s="14" t="n"/>
      <c r="M369" s="12" t="n"/>
      <c r="N369" s="12" t="n"/>
      <c r="O369" s="12" t="n"/>
      <c r="P369" s="12" t="n"/>
      <c r="Q369" s="7">
        <f>IF(A369="","",IFERROR(VLOOKUP(O369,Listes!$R$3:$T$8,2,FALSE),0)+IFERROR(VLOOKUP(J369,Listes!$J$3:$L$6,2,FALSE),0)+IFERROR(VLOOKUP(N369,Listes!$N$3:$P$6,2,FALSE),0)+IF(OR(L369="",B369=""),0,IF(L369-INT(B369)&lt;10,8,IF(L369-INT(B369)&lt;=90,10,5)))+IFERROR(VLOOKUP(AN369,Listes!$V$3:$W$5,2,FALSE),0)+IFERROR(VLOOKUP(AO369,Listes!$Y$3:$Z$5,2,FALSE),0))</f>
        <v/>
      </c>
      <c r="R369" s="12" t="n"/>
      <c r="S369" s="12" t="n"/>
      <c r="T369" s="12" t="n"/>
      <c r="U369" s="15" t="n"/>
      <c r="V369" s="15" t="n"/>
      <c r="W369" s="13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3" t="n"/>
      <c r="AK369" s="12" t="n"/>
      <c r="AL369" s="12" t="n"/>
      <c r="AM369" s="12" t="n"/>
      <c r="AN369" s="12" t="n"/>
      <c r="AO369" s="12" t="n"/>
      <c r="AP369" s="12" t="n"/>
      <c r="AQ369" s="7">
        <f>IF(A369="","",IF(AP369&lt;&gt;"",AP369,IF(LEFT(Z369,11)="gads_marque","Google Search – Marque",IF(LEFT(Z369,12)="gads_mariage","Google Search – Mariage et privé",IF(LEFT(Z369,10)="gads_corpo","Google Search – Corporatif",IF(LEFT(Z369,5)="meta_","Meta – Leads",IF(LEFT(Z369,5)="msft_","Microsoft Ads",IF(LEFT(Z369,8)="chatgpt_","ChatGPT Ads – Test",IF(X369="gbp","Fiche Google (organique)","Autre / non payé")))))))))</f>
        <v/>
      </c>
      <c r="AR369" s="7">
        <f>IF(K369="","",IFERROR(VLOOKUP(K369,Listes!$F$3:$H$8,3,FALSE),""))</f>
        <v/>
      </c>
      <c r="AS369" s="7">
        <f>IF(O369="","",IF(AND(M369="Autre (plus de 40 km)",OR(O369="lt600",O369="600_999",O369="1000_2499")),"D",IF(OR(O369="lt600",AND(O369="600_999",K369&lt;&gt;"mariage",K369&lt;&gt;"prive")),"C",IF(OR(O369="2500_4999",O369="5000p",J369="entreprise",J369="organisme",J369="agence"),"A",IF(OR(O369="1000_2499",O369="600_999"),"B",IF(O369="inconnu",IF(OR(N369="75_149",N369="150p"),"A","B"),""))))))</f>
        <v/>
      </c>
      <c r="AT369" s="7">
        <f>IF(A369="","",IF(P369&lt;&gt;"",P369,AS369))</f>
        <v/>
      </c>
      <c r="AU369" s="7">
        <f>IF(A369="","",IF(OR(AT369="A",AT369="B"),1,0))</f>
        <v/>
      </c>
      <c r="AV369" s="7">
        <f>IF(A369="","",IF(OR(R369="Dépôt payé (gagné)",R369="Événement livré",R369="Avis obtenu"),1,0))</f>
        <v/>
      </c>
      <c r="AW369" s="7">
        <f>IF(A369="","",IF(Q369&gt;70,"Immédiat – propriétaire",IF(Q369&gt;=40,"15 min – personne de garde","Selon la route")))</f>
        <v/>
      </c>
      <c r="AX369" s="11">
        <f>IF(A369="","",IF(AT369="A",400,IF(AT369="B",150,0)))</f>
        <v/>
      </c>
      <c r="AY369" s="11">
        <f>IF(A369="","",IF(AV369=1,N(V369),IF(N(U369)&gt;0,ROUND(N(U369)*IFERROR(VLOOKUP(R369,Listes!$AE$3:$AG$12,2,FALSE),0),0),0)))</f>
        <v/>
      </c>
      <c r="AZ369" s="7">
        <f>IF(LEFT(A369,7)="EXEMPLE",1,0)</f>
        <v/>
      </c>
      <c r="BA369" s="7">
        <f>IF(AND(AV369=1,AZ369=0,AC369&lt;&gt;"",W369&lt;&gt;"",N(V369)&gt;0),COUNTIFS($AV$3:AV369,1,$AZ$3:AZ369,0,$AC$3:AC369,"&lt;&gt;",$W$3:W369,"&lt;&gt;",$V$3:V369,"&gt;0"),"")</f>
        <v/>
      </c>
    </row>
    <row r="370">
      <c r="A370" s="12" t="n"/>
      <c r="B370" s="13" t="n"/>
      <c r="C370" s="13" t="n"/>
      <c r="D370" s="7">
        <f>IF(OR(B370="",C370=""),"",ROUND((C370-B370)*1440,0))</f>
        <v/>
      </c>
      <c r="E370" s="12" t="n"/>
      <c r="F370" s="12" t="n"/>
      <c r="G370" s="12" t="n"/>
      <c r="H370" s="12" t="n"/>
      <c r="I370" s="12" t="n"/>
      <c r="J370" s="12" t="n"/>
      <c r="K370" s="12" t="n"/>
      <c r="L370" s="14" t="n"/>
      <c r="M370" s="12" t="n"/>
      <c r="N370" s="12" t="n"/>
      <c r="O370" s="12" t="n"/>
      <c r="P370" s="12" t="n"/>
      <c r="Q370" s="7">
        <f>IF(A370="","",IFERROR(VLOOKUP(O370,Listes!$R$3:$T$8,2,FALSE),0)+IFERROR(VLOOKUP(J370,Listes!$J$3:$L$6,2,FALSE),0)+IFERROR(VLOOKUP(N370,Listes!$N$3:$P$6,2,FALSE),0)+IF(OR(L370="",B370=""),0,IF(L370-INT(B370)&lt;10,8,IF(L370-INT(B370)&lt;=90,10,5)))+IFERROR(VLOOKUP(AN370,Listes!$V$3:$W$5,2,FALSE),0)+IFERROR(VLOOKUP(AO370,Listes!$Y$3:$Z$5,2,FALSE),0))</f>
        <v/>
      </c>
      <c r="R370" s="12" t="n"/>
      <c r="S370" s="12" t="n"/>
      <c r="T370" s="12" t="n"/>
      <c r="U370" s="15" t="n"/>
      <c r="V370" s="15" t="n"/>
      <c r="W370" s="13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3" t="n"/>
      <c r="AK370" s="12" t="n"/>
      <c r="AL370" s="12" t="n"/>
      <c r="AM370" s="12" t="n"/>
      <c r="AN370" s="12" t="n"/>
      <c r="AO370" s="12" t="n"/>
      <c r="AP370" s="12" t="n"/>
      <c r="AQ370" s="7">
        <f>IF(A370="","",IF(AP370&lt;&gt;"",AP370,IF(LEFT(Z370,11)="gads_marque","Google Search – Marque",IF(LEFT(Z370,12)="gads_mariage","Google Search – Mariage et privé",IF(LEFT(Z370,10)="gads_corpo","Google Search – Corporatif",IF(LEFT(Z370,5)="meta_","Meta – Leads",IF(LEFT(Z370,5)="msft_","Microsoft Ads",IF(LEFT(Z370,8)="chatgpt_","ChatGPT Ads – Test",IF(X370="gbp","Fiche Google (organique)","Autre / non payé")))))))))</f>
        <v/>
      </c>
      <c r="AR370" s="7">
        <f>IF(K370="","",IFERROR(VLOOKUP(K370,Listes!$F$3:$H$8,3,FALSE),""))</f>
        <v/>
      </c>
      <c r="AS370" s="7">
        <f>IF(O370="","",IF(AND(M370="Autre (plus de 40 km)",OR(O370="lt600",O370="600_999",O370="1000_2499")),"D",IF(OR(O370="lt600",AND(O370="600_999",K370&lt;&gt;"mariage",K370&lt;&gt;"prive")),"C",IF(OR(O370="2500_4999",O370="5000p",J370="entreprise",J370="organisme",J370="agence"),"A",IF(OR(O370="1000_2499",O370="600_999"),"B",IF(O370="inconnu",IF(OR(N370="75_149",N370="150p"),"A","B"),""))))))</f>
        <v/>
      </c>
      <c r="AT370" s="7">
        <f>IF(A370="","",IF(P370&lt;&gt;"",P370,AS370))</f>
        <v/>
      </c>
      <c r="AU370" s="7">
        <f>IF(A370="","",IF(OR(AT370="A",AT370="B"),1,0))</f>
        <v/>
      </c>
      <c r="AV370" s="7">
        <f>IF(A370="","",IF(OR(R370="Dépôt payé (gagné)",R370="Événement livré",R370="Avis obtenu"),1,0))</f>
        <v/>
      </c>
      <c r="AW370" s="7">
        <f>IF(A370="","",IF(Q370&gt;70,"Immédiat – propriétaire",IF(Q370&gt;=40,"15 min – personne de garde","Selon la route")))</f>
        <v/>
      </c>
      <c r="AX370" s="11">
        <f>IF(A370="","",IF(AT370="A",400,IF(AT370="B",150,0)))</f>
        <v/>
      </c>
      <c r="AY370" s="11">
        <f>IF(A370="","",IF(AV370=1,N(V370),IF(N(U370)&gt;0,ROUND(N(U370)*IFERROR(VLOOKUP(R370,Listes!$AE$3:$AG$12,2,FALSE),0),0),0)))</f>
        <v/>
      </c>
      <c r="AZ370" s="7">
        <f>IF(LEFT(A370,7)="EXEMPLE",1,0)</f>
        <v/>
      </c>
      <c r="BA370" s="7">
        <f>IF(AND(AV370=1,AZ370=0,AC370&lt;&gt;"",W370&lt;&gt;"",N(V370)&gt;0),COUNTIFS($AV$3:AV370,1,$AZ$3:AZ370,0,$AC$3:AC370,"&lt;&gt;",$W$3:W370,"&lt;&gt;",$V$3:V370,"&gt;0"),"")</f>
        <v/>
      </c>
    </row>
    <row r="371">
      <c r="A371" s="12" t="n"/>
      <c r="B371" s="13" t="n"/>
      <c r="C371" s="13" t="n"/>
      <c r="D371" s="7">
        <f>IF(OR(B371="",C371=""),"",ROUND((C371-B371)*1440,0))</f>
        <v/>
      </c>
      <c r="E371" s="12" t="n"/>
      <c r="F371" s="12" t="n"/>
      <c r="G371" s="12" t="n"/>
      <c r="H371" s="12" t="n"/>
      <c r="I371" s="12" t="n"/>
      <c r="J371" s="12" t="n"/>
      <c r="K371" s="12" t="n"/>
      <c r="L371" s="14" t="n"/>
      <c r="M371" s="12" t="n"/>
      <c r="N371" s="12" t="n"/>
      <c r="O371" s="12" t="n"/>
      <c r="P371" s="12" t="n"/>
      <c r="Q371" s="7">
        <f>IF(A371="","",IFERROR(VLOOKUP(O371,Listes!$R$3:$T$8,2,FALSE),0)+IFERROR(VLOOKUP(J371,Listes!$J$3:$L$6,2,FALSE),0)+IFERROR(VLOOKUP(N371,Listes!$N$3:$P$6,2,FALSE),0)+IF(OR(L371="",B371=""),0,IF(L371-INT(B371)&lt;10,8,IF(L371-INT(B371)&lt;=90,10,5)))+IFERROR(VLOOKUP(AN371,Listes!$V$3:$W$5,2,FALSE),0)+IFERROR(VLOOKUP(AO371,Listes!$Y$3:$Z$5,2,FALSE),0))</f>
        <v/>
      </c>
      <c r="R371" s="12" t="n"/>
      <c r="S371" s="12" t="n"/>
      <c r="T371" s="12" t="n"/>
      <c r="U371" s="15" t="n"/>
      <c r="V371" s="15" t="n"/>
      <c r="W371" s="13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3" t="n"/>
      <c r="AK371" s="12" t="n"/>
      <c r="AL371" s="12" t="n"/>
      <c r="AM371" s="12" t="n"/>
      <c r="AN371" s="12" t="n"/>
      <c r="AO371" s="12" t="n"/>
      <c r="AP371" s="12" t="n"/>
      <c r="AQ371" s="7">
        <f>IF(A371="","",IF(AP371&lt;&gt;"",AP371,IF(LEFT(Z371,11)="gads_marque","Google Search – Marque",IF(LEFT(Z371,12)="gads_mariage","Google Search – Mariage et privé",IF(LEFT(Z371,10)="gads_corpo","Google Search – Corporatif",IF(LEFT(Z371,5)="meta_","Meta – Leads",IF(LEFT(Z371,5)="msft_","Microsoft Ads",IF(LEFT(Z371,8)="chatgpt_","ChatGPT Ads – Test",IF(X371="gbp","Fiche Google (organique)","Autre / non payé")))))))))</f>
        <v/>
      </c>
      <c r="AR371" s="7">
        <f>IF(K371="","",IFERROR(VLOOKUP(K371,Listes!$F$3:$H$8,3,FALSE),""))</f>
        <v/>
      </c>
      <c r="AS371" s="7">
        <f>IF(O371="","",IF(AND(M371="Autre (plus de 40 km)",OR(O371="lt600",O371="600_999",O371="1000_2499")),"D",IF(OR(O371="lt600",AND(O371="600_999",K371&lt;&gt;"mariage",K371&lt;&gt;"prive")),"C",IF(OR(O371="2500_4999",O371="5000p",J371="entreprise",J371="organisme",J371="agence"),"A",IF(OR(O371="1000_2499",O371="600_999"),"B",IF(O371="inconnu",IF(OR(N371="75_149",N371="150p"),"A","B"),""))))))</f>
        <v/>
      </c>
      <c r="AT371" s="7">
        <f>IF(A371="","",IF(P371&lt;&gt;"",P371,AS371))</f>
        <v/>
      </c>
      <c r="AU371" s="7">
        <f>IF(A371="","",IF(OR(AT371="A",AT371="B"),1,0))</f>
        <v/>
      </c>
      <c r="AV371" s="7">
        <f>IF(A371="","",IF(OR(R371="Dépôt payé (gagné)",R371="Événement livré",R371="Avis obtenu"),1,0))</f>
        <v/>
      </c>
      <c r="AW371" s="7">
        <f>IF(A371="","",IF(Q371&gt;70,"Immédiat – propriétaire",IF(Q371&gt;=40,"15 min – personne de garde","Selon la route")))</f>
        <v/>
      </c>
      <c r="AX371" s="11">
        <f>IF(A371="","",IF(AT371="A",400,IF(AT371="B",150,0)))</f>
        <v/>
      </c>
      <c r="AY371" s="11">
        <f>IF(A371="","",IF(AV371=1,N(V371),IF(N(U371)&gt;0,ROUND(N(U371)*IFERROR(VLOOKUP(R371,Listes!$AE$3:$AG$12,2,FALSE),0),0),0)))</f>
        <v/>
      </c>
      <c r="AZ371" s="7">
        <f>IF(LEFT(A371,7)="EXEMPLE",1,0)</f>
        <v/>
      </c>
      <c r="BA371" s="7">
        <f>IF(AND(AV371=1,AZ371=0,AC371&lt;&gt;"",W371&lt;&gt;"",N(V371)&gt;0),COUNTIFS($AV$3:AV371,1,$AZ$3:AZ371,0,$AC$3:AC371,"&lt;&gt;",$W$3:W371,"&lt;&gt;",$V$3:V371,"&gt;0"),"")</f>
        <v/>
      </c>
    </row>
    <row r="372">
      <c r="A372" s="12" t="n"/>
      <c r="B372" s="13" t="n"/>
      <c r="C372" s="13" t="n"/>
      <c r="D372" s="7">
        <f>IF(OR(B372="",C372=""),"",ROUND((C372-B372)*1440,0))</f>
        <v/>
      </c>
      <c r="E372" s="12" t="n"/>
      <c r="F372" s="12" t="n"/>
      <c r="G372" s="12" t="n"/>
      <c r="H372" s="12" t="n"/>
      <c r="I372" s="12" t="n"/>
      <c r="J372" s="12" t="n"/>
      <c r="K372" s="12" t="n"/>
      <c r="L372" s="14" t="n"/>
      <c r="M372" s="12" t="n"/>
      <c r="N372" s="12" t="n"/>
      <c r="O372" s="12" t="n"/>
      <c r="P372" s="12" t="n"/>
      <c r="Q372" s="7">
        <f>IF(A372="","",IFERROR(VLOOKUP(O372,Listes!$R$3:$T$8,2,FALSE),0)+IFERROR(VLOOKUP(J372,Listes!$J$3:$L$6,2,FALSE),0)+IFERROR(VLOOKUP(N372,Listes!$N$3:$P$6,2,FALSE),0)+IF(OR(L372="",B372=""),0,IF(L372-INT(B372)&lt;10,8,IF(L372-INT(B372)&lt;=90,10,5)))+IFERROR(VLOOKUP(AN372,Listes!$V$3:$W$5,2,FALSE),0)+IFERROR(VLOOKUP(AO372,Listes!$Y$3:$Z$5,2,FALSE),0))</f>
        <v/>
      </c>
      <c r="R372" s="12" t="n"/>
      <c r="S372" s="12" t="n"/>
      <c r="T372" s="12" t="n"/>
      <c r="U372" s="15" t="n"/>
      <c r="V372" s="15" t="n"/>
      <c r="W372" s="13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3" t="n"/>
      <c r="AK372" s="12" t="n"/>
      <c r="AL372" s="12" t="n"/>
      <c r="AM372" s="12" t="n"/>
      <c r="AN372" s="12" t="n"/>
      <c r="AO372" s="12" t="n"/>
      <c r="AP372" s="12" t="n"/>
      <c r="AQ372" s="7">
        <f>IF(A372="","",IF(AP372&lt;&gt;"",AP372,IF(LEFT(Z372,11)="gads_marque","Google Search – Marque",IF(LEFT(Z372,12)="gads_mariage","Google Search – Mariage et privé",IF(LEFT(Z372,10)="gads_corpo","Google Search – Corporatif",IF(LEFT(Z372,5)="meta_","Meta – Leads",IF(LEFT(Z372,5)="msft_","Microsoft Ads",IF(LEFT(Z372,8)="chatgpt_","ChatGPT Ads – Test",IF(X372="gbp","Fiche Google (organique)","Autre / non payé")))))))))</f>
        <v/>
      </c>
      <c r="AR372" s="7">
        <f>IF(K372="","",IFERROR(VLOOKUP(K372,Listes!$F$3:$H$8,3,FALSE),""))</f>
        <v/>
      </c>
      <c r="AS372" s="7">
        <f>IF(O372="","",IF(AND(M372="Autre (plus de 40 km)",OR(O372="lt600",O372="600_999",O372="1000_2499")),"D",IF(OR(O372="lt600",AND(O372="600_999",K372&lt;&gt;"mariage",K372&lt;&gt;"prive")),"C",IF(OR(O372="2500_4999",O372="5000p",J372="entreprise",J372="organisme",J372="agence"),"A",IF(OR(O372="1000_2499",O372="600_999"),"B",IF(O372="inconnu",IF(OR(N372="75_149",N372="150p"),"A","B"),""))))))</f>
        <v/>
      </c>
      <c r="AT372" s="7">
        <f>IF(A372="","",IF(P372&lt;&gt;"",P372,AS372))</f>
        <v/>
      </c>
      <c r="AU372" s="7">
        <f>IF(A372="","",IF(OR(AT372="A",AT372="B"),1,0))</f>
        <v/>
      </c>
      <c r="AV372" s="7">
        <f>IF(A372="","",IF(OR(R372="Dépôt payé (gagné)",R372="Événement livré",R372="Avis obtenu"),1,0))</f>
        <v/>
      </c>
      <c r="AW372" s="7">
        <f>IF(A372="","",IF(Q372&gt;70,"Immédiat – propriétaire",IF(Q372&gt;=40,"15 min – personne de garde","Selon la route")))</f>
        <v/>
      </c>
      <c r="AX372" s="11">
        <f>IF(A372="","",IF(AT372="A",400,IF(AT372="B",150,0)))</f>
        <v/>
      </c>
      <c r="AY372" s="11">
        <f>IF(A372="","",IF(AV372=1,N(V372),IF(N(U372)&gt;0,ROUND(N(U372)*IFERROR(VLOOKUP(R372,Listes!$AE$3:$AG$12,2,FALSE),0),0),0)))</f>
        <v/>
      </c>
      <c r="AZ372" s="7">
        <f>IF(LEFT(A372,7)="EXEMPLE",1,0)</f>
        <v/>
      </c>
      <c r="BA372" s="7">
        <f>IF(AND(AV372=1,AZ372=0,AC372&lt;&gt;"",W372&lt;&gt;"",N(V372)&gt;0),COUNTIFS($AV$3:AV372,1,$AZ$3:AZ372,0,$AC$3:AC372,"&lt;&gt;",$W$3:W372,"&lt;&gt;",$V$3:V372,"&gt;0"),"")</f>
        <v/>
      </c>
    </row>
    <row r="373">
      <c r="A373" s="12" t="n"/>
      <c r="B373" s="13" t="n"/>
      <c r="C373" s="13" t="n"/>
      <c r="D373" s="7">
        <f>IF(OR(B373="",C373=""),"",ROUND((C373-B373)*1440,0))</f>
        <v/>
      </c>
      <c r="E373" s="12" t="n"/>
      <c r="F373" s="12" t="n"/>
      <c r="G373" s="12" t="n"/>
      <c r="H373" s="12" t="n"/>
      <c r="I373" s="12" t="n"/>
      <c r="J373" s="12" t="n"/>
      <c r="K373" s="12" t="n"/>
      <c r="L373" s="14" t="n"/>
      <c r="M373" s="12" t="n"/>
      <c r="N373" s="12" t="n"/>
      <c r="O373" s="12" t="n"/>
      <c r="P373" s="12" t="n"/>
      <c r="Q373" s="7">
        <f>IF(A373="","",IFERROR(VLOOKUP(O373,Listes!$R$3:$T$8,2,FALSE),0)+IFERROR(VLOOKUP(J373,Listes!$J$3:$L$6,2,FALSE),0)+IFERROR(VLOOKUP(N373,Listes!$N$3:$P$6,2,FALSE),0)+IF(OR(L373="",B373=""),0,IF(L373-INT(B373)&lt;10,8,IF(L373-INT(B373)&lt;=90,10,5)))+IFERROR(VLOOKUP(AN373,Listes!$V$3:$W$5,2,FALSE),0)+IFERROR(VLOOKUP(AO373,Listes!$Y$3:$Z$5,2,FALSE),0))</f>
        <v/>
      </c>
      <c r="R373" s="12" t="n"/>
      <c r="S373" s="12" t="n"/>
      <c r="T373" s="12" t="n"/>
      <c r="U373" s="15" t="n"/>
      <c r="V373" s="15" t="n"/>
      <c r="W373" s="13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3" t="n"/>
      <c r="AK373" s="12" t="n"/>
      <c r="AL373" s="12" t="n"/>
      <c r="AM373" s="12" t="n"/>
      <c r="AN373" s="12" t="n"/>
      <c r="AO373" s="12" t="n"/>
      <c r="AP373" s="12" t="n"/>
      <c r="AQ373" s="7">
        <f>IF(A373="","",IF(AP373&lt;&gt;"",AP373,IF(LEFT(Z373,11)="gads_marque","Google Search – Marque",IF(LEFT(Z373,12)="gads_mariage","Google Search – Mariage et privé",IF(LEFT(Z373,10)="gads_corpo","Google Search – Corporatif",IF(LEFT(Z373,5)="meta_","Meta – Leads",IF(LEFT(Z373,5)="msft_","Microsoft Ads",IF(LEFT(Z373,8)="chatgpt_","ChatGPT Ads – Test",IF(X373="gbp","Fiche Google (organique)","Autre / non payé")))))))))</f>
        <v/>
      </c>
      <c r="AR373" s="7">
        <f>IF(K373="","",IFERROR(VLOOKUP(K373,Listes!$F$3:$H$8,3,FALSE),""))</f>
        <v/>
      </c>
      <c r="AS373" s="7">
        <f>IF(O373="","",IF(AND(M373="Autre (plus de 40 km)",OR(O373="lt600",O373="600_999",O373="1000_2499")),"D",IF(OR(O373="lt600",AND(O373="600_999",K373&lt;&gt;"mariage",K373&lt;&gt;"prive")),"C",IF(OR(O373="2500_4999",O373="5000p",J373="entreprise",J373="organisme",J373="agence"),"A",IF(OR(O373="1000_2499",O373="600_999"),"B",IF(O373="inconnu",IF(OR(N373="75_149",N373="150p"),"A","B"),""))))))</f>
        <v/>
      </c>
      <c r="AT373" s="7">
        <f>IF(A373="","",IF(P373&lt;&gt;"",P373,AS373))</f>
        <v/>
      </c>
      <c r="AU373" s="7">
        <f>IF(A373="","",IF(OR(AT373="A",AT373="B"),1,0))</f>
        <v/>
      </c>
      <c r="AV373" s="7">
        <f>IF(A373="","",IF(OR(R373="Dépôt payé (gagné)",R373="Événement livré",R373="Avis obtenu"),1,0))</f>
        <v/>
      </c>
      <c r="AW373" s="7">
        <f>IF(A373="","",IF(Q373&gt;70,"Immédiat – propriétaire",IF(Q373&gt;=40,"15 min – personne de garde","Selon la route")))</f>
        <v/>
      </c>
      <c r="AX373" s="11">
        <f>IF(A373="","",IF(AT373="A",400,IF(AT373="B",150,0)))</f>
        <v/>
      </c>
      <c r="AY373" s="11">
        <f>IF(A373="","",IF(AV373=1,N(V373),IF(N(U373)&gt;0,ROUND(N(U373)*IFERROR(VLOOKUP(R373,Listes!$AE$3:$AG$12,2,FALSE),0),0),0)))</f>
        <v/>
      </c>
      <c r="AZ373" s="7">
        <f>IF(LEFT(A373,7)="EXEMPLE",1,0)</f>
        <v/>
      </c>
      <c r="BA373" s="7">
        <f>IF(AND(AV373=1,AZ373=0,AC373&lt;&gt;"",W373&lt;&gt;"",N(V373)&gt;0),COUNTIFS($AV$3:AV373,1,$AZ$3:AZ373,0,$AC$3:AC373,"&lt;&gt;",$W$3:W373,"&lt;&gt;",$V$3:V373,"&gt;0"),"")</f>
        <v/>
      </c>
    </row>
    <row r="374">
      <c r="A374" s="12" t="n"/>
      <c r="B374" s="13" t="n"/>
      <c r="C374" s="13" t="n"/>
      <c r="D374" s="7">
        <f>IF(OR(B374="",C374=""),"",ROUND((C374-B374)*1440,0))</f>
        <v/>
      </c>
      <c r="E374" s="12" t="n"/>
      <c r="F374" s="12" t="n"/>
      <c r="G374" s="12" t="n"/>
      <c r="H374" s="12" t="n"/>
      <c r="I374" s="12" t="n"/>
      <c r="J374" s="12" t="n"/>
      <c r="K374" s="12" t="n"/>
      <c r="L374" s="14" t="n"/>
      <c r="M374" s="12" t="n"/>
      <c r="N374" s="12" t="n"/>
      <c r="O374" s="12" t="n"/>
      <c r="P374" s="12" t="n"/>
      <c r="Q374" s="7">
        <f>IF(A374="","",IFERROR(VLOOKUP(O374,Listes!$R$3:$T$8,2,FALSE),0)+IFERROR(VLOOKUP(J374,Listes!$J$3:$L$6,2,FALSE),0)+IFERROR(VLOOKUP(N374,Listes!$N$3:$P$6,2,FALSE),0)+IF(OR(L374="",B374=""),0,IF(L374-INT(B374)&lt;10,8,IF(L374-INT(B374)&lt;=90,10,5)))+IFERROR(VLOOKUP(AN374,Listes!$V$3:$W$5,2,FALSE),0)+IFERROR(VLOOKUP(AO374,Listes!$Y$3:$Z$5,2,FALSE),0))</f>
        <v/>
      </c>
      <c r="R374" s="12" t="n"/>
      <c r="S374" s="12" t="n"/>
      <c r="T374" s="12" t="n"/>
      <c r="U374" s="15" t="n"/>
      <c r="V374" s="15" t="n"/>
      <c r="W374" s="13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3" t="n"/>
      <c r="AK374" s="12" t="n"/>
      <c r="AL374" s="12" t="n"/>
      <c r="AM374" s="12" t="n"/>
      <c r="AN374" s="12" t="n"/>
      <c r="AO374" s="12" t="n"/>
      <c r="AP374" s="12" t="n"/>
      <c r="AQ374" s="7">
        <f>IF(A374="","",IF(AP374&lt;&gt;"",AP374,IF(LEFT(Z374,11)="gads_marque","Google Search – Marque",IF(LEFT(Z374,12)="gads_mariage","Google Search – Mariage et privé",IF(LEFT(Z374,10)="gads_corpo","Google Search – Corporatif",IF(LEFT(Z374,5)="meta_","Meta – Leads",IF(LEFT(Z374,5)="msft_","Microsoft Ads",IF(LEFT(Z374,8)="chatgpt_","ChatGPT Ads – Test",IF(X374="gbp","Fiche Google (organique)","Autre / non payé")))))))))</f>
        <v/>
      </c>
      <c r="AR374" s="7">
        <f>IF(K374="","",IFERROR(VLOOKUP(K374,Listes!$F$3:$H$8,3,FALSE),""))</f>
        <v/>
      </c>
      <c r="AS374" s="7">
        <f>IF(O374="","",IF(AND(M374="Autre (plus de 40 km)",OR(O374="lt600",O374="600_999",O374="1000_2499")),"D",IF(OR(O374="lt600",AND(O374="600_999",K374&lt;&gt;"mariage",K374&lt;&gt;"prive")),"C",IF(OR(O374="2500_4999",O374="5000p",J374="entreprise",J374="organisme",J374="agence"),"A",IF(OR(O374="1000_2499",O374="600_999"),"B",IF(O374="inconnu",IF(OR(N374="75_149",N374="150p"),"A","B"),""))))))</f>
        <v/>
      </c>
      <c r="AT374" s="7">
        <f>IF(A374="","",IF(P374&lt;&gt;"",P374,AS374))</f>
        <v/>
      </c>
      <c r="AU374" s="7">
        <f>IF(A374="","",IF(OR(AT374="A",AT374="B"),1,0))</f>
        <v/>
      </c>
      <c r="AV374" s="7">
        <f>IF(A374="","",IF(OR(R374="Dépôt payé (gagné)",R374="Événement livré",R374="Avis obtenu"),1,0))</f>
        <v/>
      </c>
      <c r="AW374" s="7">
        <f>IF(A374="","",IF(Q374&gt;70,"Immédiat – propriétaire",IF(Q374&gt;=40,"15 min – personne de garde","Selon la route")))</f>
        <v/>
      </c>
      <c r="AX374" s="11">
        <f>IF(A374="","",IF(AT374="A",400,IF(AT374="B",150,0)))</f>
        <v/>
      </c>
      <c r="AY374" s="11">
        <f>IF(A374="","",IF(AV374=1,N(V374),IF(N(U374)&gt;0,ROUND(N(U374)*IFERROR(VLOOKUP(R374,Listes!$AE$3:$AG$12,2,FALSE),0),0),0)))</f>
        <v/>
      </c>
      <c r="AZ374" s="7">
        <f>IF(LEFT(A374,7)="EXEMPLE",1,0)</f>
        <v/>
      </c>
      <c r="BA374" s="7">
        <f>IF(AND(AV374=1,AZ374=0,AC374&lt;&gt;"",W374&lt;&gt;"",N(V374)&gt;0),COUNTIFS($AV$3:AV374,1,$AZ$3:AZ374,0,$AC$3:AC374,"&lt;&gt;",$W$3:W374,"&lt;&gt;",$V$3:V374,"&gt;0"),"")</f>
        <v/>
      </c>
    </row>
    <row r="375">
      <c r="A375" s="12" t="n"/>
      <c r="B375" s="13" t="n"/>
      <c r="C375" s="13" t="n"/>
      <c r="D375" s="7">
        <f>IF(OR(B375="",C375=""),"",ROUND((C375-B375)*1440,0))</f>
        <v/>
      </c>
      <c r="E375" s="12" t="n"/>
      <c r="F375" s="12" t="n"/>
      <c r="G375" s="12" t="n"/>
      <c r="H375" s="12" t="n"/>
      <c r="I375" s="12" t="n"/>
      <c r="J375" s="12" t="n"/>
      <c r="K375" s="12" t="n"/>
      <c r="L375" s="14" t="n"/>
      <c r="M375" s="12" t="n"/>
      <c r="N375" s="12" t="n"/>
      <c r="O375" s="12" t="n"/>
      <c r="P375" s="12" t="n"/>
      <c r="Q375" s="7">
        <f>IF(A375="","",IFERROR(VLOOKUP(O375,Listes!$R$3:$T$8,2,FALSE),0)+IFERROR(VLOOKUP(J375,Listes!$J$3:$L$6,2,FALSE),0)+IFERROR(VLOOKUP(N375,Listes!$N$3:$P$6,2,FALSE),0)+IF(OR(L375="",B375=""),0,IF(L375-INT(B375)&lt;10,8,IF(L375-INT(B375)&lt;=90,10,5)))+IFERROR(VLOOKUP(AN375,Listes!$V$3:$W$5,2,FALSE),0)+IFERROR(VLOOKUP(AO375,Listes!$Y$3:$Z$5,2,FALSE),0))</f>
        <v/>
      </c>
      <c r="R375" s="12" t="n"/>
      <c r="S375" s="12" t="n"/>
      <c r="T375" s="12" t="n"/>
      <c r="U375" s="15" t="n"/>
      <c r="V375" s="15" t="n"/>
      <c r="W375" s="13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3" t="n"/>
      <c r="AK375" s="12" t="n"/>
      <c r="AL375" s="12" t="n"/>
      <c r="AM375" s="12" t="n"/>
      <c r="AN375" s="12" t="n"/>
      <c r="AO375" s="12" t="n"/>
      <c r="AP375" s="12" t="n"/>
      <c r="AQ375" s="7">
        <f>IF(A375="","",IF(AP375&lt;&gt;"",AP375,IF(LEFT(Z375,11)="gads_marque","Google Search – Marque",IF(LEFT(Z375,12)="gads_mariage","Google Search – Mariage et privé",IF(LEFT(Z375,10)="gads_corpo","Google Search – Corporatif",IF(LEFT(Z375,5)="meta_","Meta – Leads",IF(LEFT(Z375,5)="msft_","Microsoft Ads",IF(LEFT(Z375,8)="chatgpt_","ChatGPT Ads – Test",IF(X375="gbp","Fiche Google (organique)","Autre / non payé")))))))))</f>
        <v/>
      </c>
      <c r="AR375" s="7">
        <f>IF(K375="","",IFERROR(VLOOKUP(K375,Listes!$F$3:$H$8,3,FALSE),""))</f>
        <v/>
      </c>
      <c r="AS375" s="7">
        <f>IF(O375="","",IF(AND(M375="Autre (plus de 40 km)",OR(O375="lt600",O375="600_999",O375="1000_2499")),"D",IF(OR(O375="lt600",AND(O375="600_999",K375&lt;&gt;"mariage",K375&lt;&gt;"prive")),"C",IF(OR(O375="2500_4999",O375="5000p",J375="entreprise",J375="organisme",J375="agence"),"A",IF(OR(O375="1000_2499",O375="600_999"),"B",IF(O375="inconnu",IF(OR(N375="75_149",N375="150p"),"A","B"),""))))))</f>
        <v/>
      </c>
      <c r="AT375" s="7">
        <f>IF(A375="","",IF(P375&lt;&gt;"",P375,AS375))</f>
        <v/>
      </c>
      <c r="AU375" s="7">
        <f>IF(A375="","",IF(OR(AT375="A",AT375="B"),1,0))</f>
        <v/>
      </c>
      <c r="AV375" s="7">
        <f>IF(A375="","",IF(OR(R375="Dépôt payé (gagné)",R375="Événement livré",R375="Avis obtenu"),1,0))</f>
        <v/>
      </c>
      <c r="AW375" s="7">
        <f>IF(A375="","",IF(Q375&gt;70,"Immédiat – propriétaire",IF(Q375&gt;=40,"15 min – personne de garde","Selon la route")))</f>
        <v/>
      </c>
      <c r="AX375" s="11">
        <f>IF(A375="","",IF(AT375="A",400,IF(AT375="B",150,0)))</f>
        <v/>
      </c>
      <c r="AY375" s="11">
        <f>IF(A375="","",IF(AV375=1,N(V375),IF(N(U375)&gt;0,ROUND(N(U375)*IFERROR(VLOOKUP(R375,Listes!$AE$3:$AG$12,2,FALSE),0),0),0)))</f>
        <v/>
      </c>
      <c r="AZ375" s="7">
        <f>IF(LEFT(A375,7)="EXEMPLE",1,0)</f>
        <v/>
      </c>
      <c r="BA375" s="7">
        <f>IF(AND(AV375=1,AZ375=0,AC375&lt;&gt;"",W375&lt;&gt;"",N(V375)&gt;0),COUNTIFS($AV$3:AV375,1,$AZ$3:AZ375,0,$AC$3:AC375,"&lt;&gt;",$W$3:W375,"&lt;&gt;",$V$3:V375,"&gt;0"),"")</f>
        <v/>
      </c>
    </row>
    <row r="376">
      <c r="A376" s="12" t="n"/>
      <c r="B376" s="13" t="n"/>
      <c r="C376" s="13" t="n"/>
      <c r="D376" s="7">
        <f>IF(OR(B376="",C376=""),"",ROUND((C376-B376)*1440,0))</f>
        <v/>
      </c>
      <c r="E376" s="12" t="n"/>
      <c r="F376" s="12" t="n"/>
      <c r="G376" s="12" t="n"/>
      <c r="H376" s="12" t="n"/>
      <c r="I376" s="12" t="n"/>
      <c r="J376" s="12" t="n"/>
      <c r="K376" s="12" t="n"/>
      <c r="L376" s="14" t="n"/>
      <c r="M376" s="12" t="n"/>
      <c r="N376" s="12" t="n"/>
      <c r="O376" s="12" t="n"/>
      <c r="P376" s="12" t="n"/>
      <c r="Q376" s="7">
        <f>IF(A376="","",IFERROR(VLOOKUP(O376,Listes!$R$3:$T$8,2,FALSE),0)+IFERROR(VLOOKUP(J376,Listes!$J$3:$L$6,2,FALSE),0)+IFERROR(VLOOKUP(N376,Listes!$N$3:$P$6,2,FALSE),0)+IF(OR(L376="",B376=""),0,IF(L376-INT(B376)&lt;10,8,IF(L376-INT(B376)&lt;=90,10,5)))+IFERROR(VLOOKUP(AN376,Listes!$V$3:$W$5,2,FALSE),0)+IFERROR(VLOOKUP(AO376,Listes!$Y$3:$Z$5,2,FALSE),0))</f>
        <v/>
      </c>
      <c r="R376" s="12" t="n"/>
      <c r="S376" s="12" t="n"/>
      <c r="T376" s="12" t="n"/>
      <c r="U376" s="15" t="n"/>
      <c r="V376" s="15" t="n"/>
      <c r="W376" s="13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3" t="n"/>
      <c r="AK376" s="12" t="n"/>
      <c r="AL376" s="12" t="n"/>
      <c r="AM376" s="12" t="n"/>
      <c r="AN376" s="12" t="n"/>
      <c r="AO376" s="12" t="n"/>
      <c r="AP376" s="12" t="n"/>
      <c r="AQ376" s="7">
        <f>IF(A376="","",IF(AP376&lt;&gt;"",AP376,IF(LEFT(Z376,11)="gads_marque","Google Search – Marque",IF(LEFT(Z376,12)="gads_mariage","Google Search – Mariage et privé",IF(LEFT(Z376,10)="gads_corpo","Google Search – Corporatif",IF(LEFT(Z376,5)="meta_","Meta – Leads",IF(LEFT(Z376,5)="msft_","Microsoft Ads",IF(LEFT(Z376,8)="chatgpt_","ChatGPT Ads – Test",IF(X376="gbp","Fiche Google (organique)","Autre / non payé")))))))))</f>
        <v/>
      </c>
      <c r="AR376" s="7">
        <f>IF(K376="","",IFERROR(VLOOKUP(K376,Listes!$F$3:$H$8,3,FALSE),""))</f>
        <v/>
      </c>
      <c r="AS376" s="7">
        <f>IF(O376="","",IF(AND(M376="Autre (plus de 40 km)",OR(O376="lt600",O376="600_999",O376="1000_2499")),"D",IF(OR(O376="lt600",AND(O376="600_999",K376&lt;&gt;"mariage",K376&lt;&gt;"prive")),"C",IF(OR(O376="2500_4999",O376="5000p",J376="entreprise",J376="organisme",J376="agence"),"A",IF(OR(O376="1000_2499",O376="600_999"),"B",IF(O376="inconnu",IF(OR(N376="75_149",N376="150p"),"A","B"),""))))))</f>
        <v/>
      </c>
      <c r="AT376" s="7">
        <f>IF(A376="","",IF(P376&lt;&gt;"",P376,AS376))</f>
        <v/>
      </c>
      <c r="AU376" s="7">
        <f>IF(A376="","",IF(OR(AT376="A",AT376="B"),1,0))</f>
        <v/>
      </c>
      <c r="AV376" s="7">
        <f>IF(A376="","",IF(OR(R376="Dépôt payé (gagné)",R376="Événement livré",R376="Avis obtenu"),1,0))</f>
        <v/>
      </c>
      <c r="AW376" s="7">
        <f>IF(A376="","",IF(Q376&gt;70,"Immédiat – propriétaire",IF(Q376&gt;=40,"15 min – personne de garde","Selon la route")))</f>
        <v/>
      </c>
      <c r="AX376" s="11">
        <f>IF(A376="","",IF(AT376="A",400,IF(AT376="B",150,0)))</f>
        <v/>
      </c>
      <c r="AY376" s="11">
        <f>IF(A376="","",IF(AV376=1,N(V376),IF(N(U376)&gt;0,ROUND(N(U376)*IFERROR(VLOOKUP(R376,Listes!$AE$3:$AG$12,2,FALSE),0),0),0)))</f>
        <v/>
      </c>
      <c r="AZ376" s="7">
        <f>IF(LEFT(A376,7)="EXEMPLE",1,0)</f>
        <v/>
      </c>
      <c r="BA376" s="7">
        <f>IF(AND(AV376=1,AZ376=0,AC376&lt;&gt;"",W376&lt;&gt;"",N(V376)&gt;0),COUNTIFS($AV$3:AV376,1,$AZ$3:AZ376,0,$AC$3:AC376,"&lt;&gt;",$W$3:W376,"&lt;&gt;",$V$3:V376,"&gt;0"),"")</f>
        <v/>
      </c>
    </row>
    <row r="377">
      <c r="A377" s="12" t="n"/>
      <c r="B377" s="13" t="n"/>
      <c r="C377" s="13" t="n"/>
      <c r="D377" s="7">
        <f>IF(OR(B377="",C377=""),"",ROUND((C377-B377)*1440,0))</f>
        <v/>
      </c>
      <c r="E377" s="12" t="n"/>
      <c r="F377" s="12" t="n"/>
      <c r="G377" s="12" t="n"/>
      <c r="H377" s="12" t="n"/>
      <c r="I377" s="12" t="n"/>
      <c r="J377" s="12" t="n"/>
      <c r="K377" s="12" t="n"/>
      <c r="L377" s="14" t="n"/>
      <c r="M377" s="12" t="n"/>
      <c r="N377" s="12" t="n"/>
      <c r="O377" s="12" t="n"/>
      <c r="P377" s="12" t="n"/>
      <c r="Q377" s="7">
        <f>IF(A377="","",IFERROR(VLOOKUP(O377,Listes!$R$3:$T$8,2,FALSE),0)+IFERROR(VLOOKUP(J377,Listes!$J$3:$L$6,2,FALSE),0)+IFERROR(VLOOKUP(N377,Listes!$N$3:$P$6,2,FALSE),0)+IF(OR(L377="",B377=""),0,IF(L377-INT(B377)&lt;10,8,IF(L377-INT(B377)&lt;=90,10,5)))+IFERROR(VLOOKUP(AN377,Listes!$V$3:$W$5,2,FALSE),0)+IFERROR(VLOOKUP(AO377,Listes!$Y$3:$Z$5,2,FALSE),0))</f>
        <v/>
      </c>
      <c r="R377" s="12" t="n"/>
      <c r="S377" s="12" t="n"/>
      <c r="T377" s="12" t="n"/>
      <c r="U377" s="15" t="n"/>
      <c r="V377" s="15" t="n"/>
      <c r="W377" s="13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3" t="n"/>
      <c r="AK377" s="12" t="n"/>
      <c r="AL377" s="12" t="n"/>
      <c r="AM377" s="12" t="n"/>
      <c r="AN377" s="12" t="n"/>
      <c r="AO377" s="12" t="n"/>
      <c r="AP377" s="12" t="n"/>
      <c r="AQ377" s="7">
        <f>IF(A377="","",IF(AP377&lt;&gt;"",AP377,IF(LEFT(Z377,11)="gads_marque","Google Search – Marque",IF(LEFT(Z377,12)="gads_mariage","Google Search – Mariage et privé",IF(LEFT(Z377,10)="gads_corpo","Google Search – Corporatif",IF(LEFT(Z377,5)="meta_","Meta – Leads",IF(LEFT(Z377,5)="msft_","Microsoft Ads",IF(LEFT(Z377,8)="chatgpt_","ChatGPT Ads – Test",IF(X377="gbp","Fiche Google (organique)","Autre / non payé")))))))))</f>
        <v/>
      </c>
      <c r="AR377" s="7">
        <f>IF(K377="","",IFERROR(VLOOKUP(K377,Listes!$F$3:$H$8,3,FALSE),""))</f>
        <v/>
      </c>
      <c r="AS377" s="7">
        <f>IF(O377="","",IF(AND(M377="Autre (plus de 40 km)",OR(O377="lt600",O377="600_999",O377="1000_2499")),"D",IF(OR(O377="lt600",AND(O377="600_999",K377&lt;&gt;"mariage",K377&lt;&gt;"prive")),"C",IF(OR(O377="2500_4999",O377="5000p",J377="entreprise",J377="organisme",J377="agence"),"A",IF(OR(O377="1000_2499",O377="600_999"),"B",IF(O377="inconnu",IF(OR(N377="75_149",N377="150p"),"A","B"),""))))))</f>
        <v/>
      </c>
      <c r="AT377" s="7">
        <f>IF(A377="","",IF(P377&lt;&gt;"",P377,AS377))</f>
        <v/>
      </c>
      <c r="AU377" s="7">
        <f>IF(A377="","",IF(OR(AT377="A",AT377="B"),1,0))</f>
        <v/>
      </c>
      <c r="AV377" s="7">
        <f>IF(A377="","",IF(OR(R377="Dépôt payé (gagné)",R377="Événement livré",R377="Avis obtenu"),1,0))</f>
        <v/>
      </c>
      <c r="AW377" s="7">
        <f>IF(A377="","",IF(Q377&gt;70,"Immédiat – propriétaire",IF(Q377&gt;=40,"15 min – personne de garde","Selon la route")))</f>
        <v/>
      </c>
      <c r="AX377" s="11">
        <f>IF(A377="","",IF(AT377="A",400,IF(AT377="B",150,0)))</f>
        <v/>
      </c>
      <c r="AY377" s="11">
        <f>IF(A377="","",IF(AV377=1,N(V377),IF(N(U377)&gt;0,ROUND(N(U377)*IFERROR(VLOOKUP(R377,Listes!$AE$3:$AG$12,2,FALSE),0),0),0)))</f>
        <v/>
      </c>
      <c r="AZ377" s="7">
        <f>IF(LEFT(A377,7)="EXEMPLE",1,0)</f>
        <v/>
      </c>
      <c r="BA377" s="7">
        <f>IF(AND(AV377=1,AZ377=0,AC377&lt;&gt;"",W377&lt;&gt;"",N(V377)&gt;0),COUNTIFS($AV$3:AV377,1,$AZ$3:AZ377,0,$AC$3:AC377,"&lt;&gt;",$W$3:W377,"&lt;&gt;",$V$3:V377,"&gt;0"),"")</f>
        <v/>
      </c>
    </row>
    <row r="378">
      <c r="A378" s="12" t="n"/>
      <c r="B378" s="13" t="n"/>
      <c r="C378" s="13" t="n"/>
      <c r="D378" s="7">
        <f>IF(OR(B378="",C378=""),"",ROUND((C378-B378)*1440,0))</f>
        <v/>
      </c>
      <c r="E378" s="12" t="n"/>
      <c r="F378" s="12" t="n"/>
      <c r="G378" s="12" t="n"/>
      <c r="H378" s="12" t="n"/>
      <c r="I378" s="12" t="n"/>
      <c r="J378" s="12" t="n"/>
      <c r="K378" s="12" t="n"/>
      <c r="L378" s="14" t="n"/>
      <c r="M378" s="12" t="n"/>
      <c r="N378" s="12" t="n"/>
      <c r="O378" s="12" t="n"/>
      <c r="P378" s="12" t="n"/>
      <c r="Q378" s="7">
        <f>IF(A378="","",IFERROR(VLOOKUP(O378,Listes!$R$3:$T$8,2,FALSE),0)+IFERROR(VLOOKUP(J378,Listes!$J$3:$L$6,2,FALSE),0)+IFERROR(VLOOKUP(N378,Listes!$N$3:$P$6,2,FALSE),0)+IF(OR(L378="",B378=""),0,IF(L378-INT(B378)&lt;10,8,IF(L378-INT(B378)&lt;=90,10,5)))+IFERROR(VLOOKUP(AN378,Listes!$V$3:$W$5,2,FALSE),0)+IFERROR(VLOOKUP(AO378,Listes!$Y$3:$Z$5,2,FALSE),0))</f>
        <v/>
      </c>
      <c r="R378" s="12" t="n"/>
      <c r="S378" s="12" t="n"/>
      <c r="T378" s="12" t="n"/>
      <c r="U378" s="15" t="n"/>
      <c r="V378" s="15" t="n"/>
      <c r="W378" s="13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3" t="n"/>
      <c r="AK378" s="12" t="n"/>
      <c r="AL378" s="12" t="n"/>
      <c r="AM378" s="12" t="n"/>
      <c r="AN378" s="12" t="n"/>
      <c r="AO378" s="12" t="n"/>
      <c r="AP378" s="12" t="n"/>
      <c r="AQ378" s="7">
        <f>IF(A378="","",IF(AP378&lt;&gt;"",AP378,IF(LEFT(Z378,11)="gads_marque","Google Search – Marque",IF(LEFT(Z378,12)="gads_mariage","Google Search – Mariage et privé",IF(LEFT(Z378,10)="gads_corpo","Google Search – Corporatif",IF(LEFT(Z378,5)="meta_","Meta – Leads",IF(LEFT(Z378,5)="msft_","Microsoft Ads",IF(LEFT(Z378,8)="chatgpt_","ChatGPT Ads – Test",IF(X378="gbp","Fiche Google (organique)","Autre / non payé")))))))))</f>
        <v/>
      </c>
      <c r="AR378" s="7">
        <f>IF(K378="","",IFERROR(VLOOKUP(K378,Listes!$F$3:$H$8,3,FALSE),""))</f>
        <v/>
      </c>
      <c r="AS378" s="7">
        <f>IF(O378="","",IF(AND(M378="Autre (plus de 40 km)",OR(O378="lt600",O378="600_999",O378="1000_2499")),"D",IF(OR(O378="lt600",AND(O378="600_999",K378&lt;&gt;"mariage",K378&lt;&gt;"prive")),"C",IF(OR(O378="2500_4999",O378="5000p",J378="entreprise",J378="organisme",J378="agence"),"A",IF(OR(O378="1000_2499",O378="600_999"),"B",IF(O378="inconnu",IF(OR(N378="75_149",N378="150p"),"A","B"),""))))))</f>
        <v/>
      </c>
      <c r="AT378" s="7">
        <f>IF(A378="","",IF(P378&lt;&gt;"",P378,AS378))</f>
        <v/>
      </c>
      <c r="AU378" s="7">
        <f>IF(A378="","",IF(OR(AT378="A",AT378="B"),1,0))</f>
        <v/>
      </c>
      <c r="AV378" s="7">
        <f>IF(A378="","",IF(OR(R378="Dépôt payé (gagné)",R378="Événement livré",R378="Avis obtenu"),1,0))</f>
        <v/>
      </c>
      <c r="AW378" s="7">
        <f>IF(A378="","",IF(Q378&gt;70,"Immédiat – propriétaire",IF(Q378&gt;=40,"15 min – personne de garde","Selon la route")))</f>
        <v/>
      </c>
      <c r="AX378" s="11">
        <f>IF(A378="","",IF(AT378="A",400,IF(AT378="B",150,0)))</f>
        <v/>
      </c>
      <c r="AY378" s="11">
        <f>IF(A378="","",IF(AV378=1,N(V378),IF(N(U378)&gt;0,ROUND(N(U378)*IFERROR(VLOOKUP(R378,Listes!$AE$3:$AG$12,2,FALSE),0),0),0)))</f>
        <v/>
      </c>
      <c r="AZ378" s="7">
        <f>IF(LEFT(A378,7)="EXEMPLE",1,0)</f>
        <v/>
      </c>
      <c r="BA378" s="7">
        <f>IF(AND(AV378=1,AZ378=0,AC378&lt;&gt;"",W378&lt;&gt;"",N(V378)&gt;0),COUNTIFS($AV$3:AV378,1,$AZ$3:AZ378,0,$AC$3:AC378,"&lt;&gt;",$W$3:W378,"&lt;&gt;",$V$3:V378,"&gt;0"),"")</f>
        <v/>
      </c>
    </row>
    <row r="379">
      <c r="A379" s="12" t="n"/>
      <c r="B379" s="13" t="n"/>
      <c r="C379" s="13" t="n"/>
      <c r="D379" s="7">
        <f>IF(OR(B379="",C379=""),"",ROUND((C379-B379)*1440,0))</f>
        <v/>
      </c>
      <c r="E379" s="12" t="n"/>
      <c r="F379" s="12" t="n"/>
      <c r="G379" s="12" t="n"/>
      <c r="H379" s="12" t="n"/>
      <c r="I379" s="12" t="n"/>
      <c r="J379" s="12" t="n"/>
      <c r="K379" s="12" t="n"/>
      <c r="L379" s="14" t="n"/>
      <c r="M379" s="12" t="n"/>
      <c r="N379" s="12" t="n"/>
      <c r="O379" s="12" t="n"/>
      <c r="P379" s="12" t="n"/>
      <c r="Q379" s="7">
        <f>IF(A379="","",IFERROR(VLOOKUP(O379,Listes!$R$3:$T$8,2,FALSE),0)+IFERROR(VLOOKUP(J379,Listes!$J$3:$L$6,2,FALSE),0)+IFERROR(VLOOKUP(N379,Listes!$N$3:$P$6,2,FALSE),0)+IF(OR(L379="",B379=""),0,IF(L379-INT(B379)&lt;10,8,IF(L379-INT(B379)&lt;=90,10,5)))+IFERROR(VLOOKUP(AN379,Listes!$V$3:$W$5,2,FALSE),0)+IFERROR(VLOOKUP(AO379,Listes!$Y$3:$Z$5,2,FALSE),0))</f>
        <v/>
      </c>
      <c r="R379" s="12" t="n"/>
      <c r="S379" s="12" t="n"/>
      <c r="T379" s="12" t="n"/>
      <c r="U379" s="15" t="n"/>
      <c r="V379" s="15" t="n"/>
      <c r="W379" s="13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3" t="n"/>
      <c r="AK379" s="12" t="n"/>
      <c r="AL379" s="12" t="n"/>
      <c r="AM379" s="12" t="n"/>
      <c r="AN379" s="12" t="n"/>
      <c r="AO379" s="12" t="n"/>
      <c r="AP379" s="12" t="n"/>
      <c r="AQ379" s="7">
        <f>IF(A379="","",IF(AP379&lt;&gt;"",AP379,IF(LEFT(Z379,11)="gads_marque","Google Search – Marque",IF(LEFT(Z379,12)="gads_mariage","Google Search – Mariage et privé",IF(LEFT(Z379,10)="gads_corpo","Google Search – Corporatif",IF(LEFT(Z379,5)="meta_","Meta – Leads",IF(LEFT(Z379,5)="msft_","Microsoft Ads",IF(LEFT(Z379,8)="chatgpt_","ChatGPT Ads – Test",IF(X379="gbp","Fiche Google (organique)","Autre / non payé")))))))))</f>
        <v/>
      </c>
      <c r="AR379" s="7">
        <f>IF(K379="","",IFERROR(VLOOKUP(K379,Listes!$F$3:$H$8,3,FALSE),""))</f>
        <v/>
      </c>
      <c r="AS379" s="7">
        <f>IF(O379="","",IF(AND(M379="Autre (plus de 40 km)",OR(O379="lt600",O379="600_999",O379="1000_2499")),"D",IF(OR(O379="lt600",AND(O379="600_999",K379&lt;&gt;"mariage",K379&lt;&gt;"prive")),"C",IF(OR(O379="2500_4999",O379="5000p",J379="entreprise",J379="organisme",J379="agence"),"A",IF(OR(O379="1000_2499",O379="600_999"),"B",IF(O379="inconnu",IF(OR(N379="75_149",N379="150p"),"A","B"),""))))))</f>
        <v/>
      </c>
      <c r="AT379" s="7">
        <f>IF(A379="","",IF(P379&lt;&gt;"",P379,AS379))</f>
        <v/>
      </c>
      <c r="AU379" s="7">
        <f>IF(A379="","",IF(OR(AT379="A",AT379="B"),1,0))</f>
        <v/>
      </c>
      <c r="AV379" s="7">
        <f>IF(A379="","",IF(OR(R379="Dépôt payé (gagné)",R379="Événement livré",R379="Avis obtenu"),1,0))</f>
        <v/>
      </c>
      <c r="AW379" s="7">
        <f>IF(A379="","",IF(Q379&gt;70,"Immédiat – propriétaire",IF(Q379&gt;=40,"15 min – personne de garde","Selon la route")))</f>
        <v/>
      </c>
      <c r="AX379" s="11">
        <f>IF(A379="","",IF(AT379="A",400,IF(AT379="B",150,0)))</f>
        <v/>
      </c>
      <c r="AY379" s="11">
        <f>IF(A379="","",IF(AV379=1,N(V379),IF(N(U379)&gt;0,ROUND(N(U379)*IFERROR(VLOOKUP(R379,Listes!$AE$3:$AG$12,2,FALSE),0),0),0)))</f>
        <v/>
      </c>
      <c r="AZ379" s="7">
        <f>IF(LEFT(A379,7)="EXEMPLE",1,0)</f>
        <v/>
      </c>
      <c r="BA379" s="7">
        <f>IF(AND(AV379=1,AZ379=0,AC379&lt;&gt;"",W379&lt;&gt;"",N(V379)&gt;0),COUNTIFS($AV$3:AV379,1,$AZ$3:AZ379,0,$AC$3:AC379,"&lt;&gt;",$W$3:W379,"&lt;&gt;",$V$3:V379,"&gt;0"),"")</f>
        <v/>
      </c>
    </row>
    <row r="380">
      <c r="A380" s="12" t="n"/>
      <c r="B380" s="13" t="n"/>
      <c r="C380" s="13" t="n"/>
      <c r="D380" s="7">
        <f>IF(OR(B380="",C380=""),"",ROUND((C380-B380)*1440,0))</f>
        <v/>
      </c>
      <c r="E380" s="12" t="n"/>
      <c r="F380" s="12" t="n"/>
      <c r="G380" s="12" t="n"/>
      <c r="H380" s="12" t="n"/>
      <c r="I380" s="12" t="n"/>
      <c r="J380" s="12" t="n"/>
      <c r="K380" s="12" t="n"/>
      <c r="L380" s="14" t="n"/>
      <c r="M380" s="12" t="n"/>
      <c r="N380" s="12" t="n"/>
      <c r="O380" s="12" t="n"/>
      <c r="P380" s="12" t="n"/>
      <c r="Q380" s="7">
        <f>IF(A380="","",IFERROR(VLOOKUP(O380,Listes!$R$3:$T$8,2,FALSE),0)+IFERROR(VLOOKUP(J380,Listes!$J$3:$L$6,2,FALSE),0)+IFERROR(VLOOKUP(N380,Listes!$N$3:$P$6,2,FALSE),0)+IF(OR(L380="",B380=""),0,IF(L380-INT(B380)&lt;10,8,IF(L380-INT(B380)&lt;=90,10,5)))+IFERROR(VLOOKUP(AN380,Listes!$V$3:$W$5,2,FALSE),0)+IFERROR(VLOOKUP(AO380,Listes!$Y$3:$Z$5,2,FALSE),0))</f>
        <v/>
      </c>
      <c r="R380" s="12" t="n"/>
      <c r="S380" s="12" t="n"/>
      <c r="T380" s="12" t="n"/>
      <c r="U380" s="15" t="n"/>
      <c r="V380" s="15" t="n"/>
      <c r="W380" s="13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3" t="n"/>
      <c r="AK380" s="12" t="n"/>
      <c r="AL380" s="12" t="n"/>
      <c r="AM380" s="12" t="n"/>
      <c r="AN380" s="12" t="n"/>
      <c r="AO380" s="12" t="n"/>
      <c r="AP380" s="12" t="n"/>
      <c r="AQ380" s="7">
        <f>IF(A380="","",IF(AP380&lt;&gt;"",AP380,IF(LEFT(Z380,11)="gads_marque","Google Search – Marque",IF(LEFT(Z380,12)="gads_mariage","Google Search – Mariage et privé",IF(LEFT(Z380,10)="gads_corpo","Google Search – Corporatif",IF(LEFT(Z380,5)="meta_","Meta – Leads",IF(LEFT(Z380,5)="msft_","Microsoft Ads",IF(LEFT(Z380,8)="chatgpt_","ChatGPT Ads – Test",IF(X380="gbp","Fiche Google (organique)","Autre / non payé")))))))))</f>
        <v/>
      </c>
      <c r="AR380" s="7">
        <f>IF(K380="","",IFERROR(VLOOKUP(K380,Listes!$F$3:$H$8,3,FALSE),""))</f>
        <v/>
      </c>
      <c r="AS380" s="7">
        <f>IF(O380="","",IF(AND(M380="Autre (plus de 40 km)",OR(O380="lt600",O380="600_999",O380="1000_2499")),"D",IF(OR(O380="lt600",AND(O380="600_999",K380&lt;&gt;"mariage",K380&lt;&gt;"prive")),"C",IF(OR(O380="2500_4999",O380="5000p",J380="entreprise",J380="organisme",J380="agence"),"A",IF(OR(O380="1000_2499",O380="600_999"),"B",IF(O380="inconnu",IF(OR(N380="75_149",N380="150p"),"A","B"),""))))))</f>
        <v/>
      </c>
      <c r="AT380" s="7">
        <f>IF(A380="","",IF(P380&lt;&gt;"",P380,AS380))</f>
        <v/>
      </c>
      <c r="AU380" s="7">
        <f>IF(A380="","",IF(OR(AT380="A",AT380="B"),1,0))</f>
        <v/>
      </c>
      <c r="AV380" s="7">
        <f>IF(A380="","",IF(OR(R380="Dépôt payé (gagné)",R380="Événement livré",R380="Avis obtenu"),1,0))</f>
        <v/>
      </c>
      <c r="AW380" s="7">
        <f>IF(A380="","",IF(Q380&gt;70,"Immédiat – propriétaire",IF(Q380&gt;=40,"15 min – personne de garde","Selon la route")))</f>
        <v/>
      </c>
      <c r="AX380" s="11">
        <f>IF(A380="","",IF(AT380="A",400,IF(AT380="B",150,0)))</f>
        <v/>
      </c>
      <c r="AY380" s="11">
        <f>IF(A380="","",IF(AV380=1,N(V380),IF(N(U380)&gt;0,ROUND(N(U380)*IFERROR(VLOOKUP(R380,Listes!$AE$3:$AG$12,2,FALSE),0),0),0)))</f>
        <v/>
      </c>
      <c r="AZ380" s="7">
        <f>IF(LEFT(A380,7)="EXEMPLE",1,0)</f>
        <v/>
      </c>
      <c r="BA380" s="7">
        <f>IF(AND(AV380=1,AZ380=0,AC380&lt;&gt;"",W380&lt;&gt;"",N(V380)&gt;0),COUNTIFS($AV$3:AV380,1,$AZ$3:AZ380,0,$AC$3:AC380,"&lt;&gt;",$W$3:W380,"&lt;&gt;",$V$3:V380,"&gt;0"),"")</f>
        <v/>
      </c>
    </row>
    <row r="381">
      <c r="A381" s="12" t="n"/>
      <c r="B381" s="13" t="n"/>
      <c r="C381" s="13" t="n"/>
      <c r="D381" s="7">
        <f>IF(OR(B381="",C381=""),"",ROUND((C381-B381)*1440,0))</f>
        <v/>
      </c>
      <c r="E381" s="12" t="n"/>
      <c r="F381" s="12" t="n"/>
      <c r="G381" s="12" t="n"/>
      <c r="H381" s="12" t="n"/>
      <c r="I381" s="12" t="n"/>
      <c r="J381" s="12" t="n"/>
      <c r="K381" s="12" t="n"/>
      <c r="L381" s="14" t="n"/>
      <c r="M381" s="12" t="n"/>
      <c r="N381" s="12" t="n"/>
      <c r="O381" s="12" t="n"/>
      <c r="P381" s="12" t="n"/>
      <c r="Q381" s="7">
        <f>IF(A381="","",IFERROR(VLOOKUP(O381,Listes!$R$3:$T$8,2,FALSE),0)+IFERROR(VLOOKUP(J381,Listes!$J$3:$L$6,2,FALSE),0)+IFERROR(VLOOKUP(N381,Listes!$N$3:$P$6,2,FALSE),0)+IF(OR(L381="",B381=""),0,IF(L381-INT(B381)&lt;10,8,IF(L381-INT(B381)&lt;=90,10,5)))+IFERROR(VLOOKUP(AN381,Listes!$V$3:$W$5,2,FALSE),0)+IFERROR(VLOOKUP(AO381,Listes!$Y$3:$Z$5,2,FALSE),0))</f>
        <v/>
      </c>
      <c r="R381" s="12" t="n"/>
      <c r="S381" s="12" t="n"/>
      <c r="T381" s="12" t="n"/>
      <c r="U381" s="15" t="n"/>
      <c r="V381" s="15" t="n"/>
      <c r="W381" s="13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3" t="n"/>
      <c r="AK381" s="12" t="n"/>
      <c r="AL381" s="12" t="n"/>
      <c r="AM381" s="12" t="n"/>
      <c r="AN381" s="12" t="n"/>
      <c r="AO381" s="12" t="n"/>
      <c r="AP381" s="12" t="n"/>
      <c r="AQ381" s="7">
        <f>IF(A381="","",IF(AP381&lt;&gt;"",AP381,IF(LEFT(Z381,11)="gads_marque","Google Search – Marque",IF(LEFT(Z381,12)="gads_mariage","Google Search – Mariage et privé",IF(LEFT(Z381,10)="gads_corpo","Google Search – Corporatif",IF(LEFT(Z381,5)="meta_","Meta – Leads",IF(LEFT(Z381,5)="msft_","Microsoft Ads",IF(LEFT(Z381,8)="chatgpt_","ChatGPT Ads – Test",IF(X381="gbp","Fiche Google (organique)","Autre / non payé")))))))))</f>
        <v/>
      </c>
      <c r="AR381" s="7">
        <f>IF(K381="","",IFERROR(VLOOKUP(K381,Listes!$F$3:$H$8,3,FALSE),""))</f>
        <v/>
      </c>
      <c r="AS381" s="7">
        <f>IF(O381="","",IF(AND(M381="Autre (plus de 40 km)",OR(O381="lt600",O381="600_999",O381="1000_2499")),"D",IF(OR(O381="lt600",AND(O381="600_999",K381&lt;&gt;"mariage",K381&lt;&gt;"prive")),"C",IF(OR(O381="2500_4999",O381="5000p",J381="entreprise",J381="organisme",J381="agence"),"A",IF(OR(O381="1000_2499",O381="600_999"),"B",IF(O381="inconnu",IF(OR(N381="75_149",N381="150p"),"A","B"),""))))))</f>
        <v/>
      </c>
      <c r="AT381" s="7">
        <f>IF(A381="","",IF(P381&lt;&gt;"",P381,AS381))</f>
        <v/>
      </c>
      <c r="AU381" s="7">
        <f>IF(A381="","",IF(OR(AT381="A",AT381="B"),1,0))</f>
        <v/>
      </c>
      <c r="AV381" s="7">
        <f>IF(A381="","",IF(OR(R381="Dépôt payé (gagné)",R381="Événement livré",R381="Avis obtenu"),1,0))</f>
        <v/>
      </c>
      <c r="AW381" s="7">
        <f>IF(A381="","",IF(Q381&gt;70,"Immédiat – propriétaire",IF(Q381&gt;=40,"15 min – personne de garde","Selon la route")))</f>
        <v/>
      </c>
      <c r="AX381" s="11">
        <f>IF(A381="","",IF(AT381="A",400,IF(AT381="B",150,0)))</f>
        <v/>
      </c>
      <c r="AY381" s="11">
        <f>IF(A381="","",IF(AV381=1,N(V381),IF(N(U381)&gt;0,ROUND(N(U381)*IFERROR(VLOOKUP(R381,Listes!$AE$3:$AG$12,2,FALSE),0),0),0)))</f>
        <v/>
      </c>
      <c r="AZ381" s="7">
        <f>IF(LEFT(A381,7)="EXEMPLE",1,0)</f>
        <v/>
      </c>
      <c r="BA381" s="7">
        <f>IF(AND(AV381=1,AZ381=0,AC381&lt;&gt;"",W381&lt;&gt;"",N(V381)&gt;0),COUNTIFS($AV$3:AV381,1,$AZ$3:AZ381,0,$AC$3:AC381,"&lt;&gt;",$W$3:W381,"&lt;&gt;",$V$3:V381,"&gt;0"),"")</f>
        <v/>
      </c>
    </row>
    <row r="382">
      <c r="A382" s="12" t="n"/>
      <c r="B382" s="13" t="n"/>
      <c r="C382" s="13" t="n"/>
      <c r="D382" s="7">
        <f>IF(OR(B382="",C382=""),"",ROUND((C382-B382)*1440,0))</f>
        <v/>
      </c>
      <c r="E382" s="12" t="n"/>
      <c r="F382" s="12" t="n"/>
      <c r="G382" s="12" t="n"/>
      <c r="H382" s="12" t="n"/>
      <c r="I382" s="12" t="n"/>
      <c r="J382" s="12" t="n"/>
      <c r="K382" s="12" t="n"/>
      <c r="L382" s="14" t="n"/>
      <c r="M382" s="12" t="n"/>
      <c r="N382" s="12" t="n"/>
      <c r="O382" s="12" t="n"/>
      <c r="P382" s="12" t="n"/>
      <c r="Q382" s="7">
        <f>IF(A382="","",IFERROR(VLOOKUP(O382,Listes!$R$3:$T$8,2,FALSE),0)+IFERROR(VLOOKUP(J382,Listes!$J$3:$L$6,2,FALSE),0)+IFERROR(VLOOKUP(N382,Listes!$N$3:$P$6,2,FALSE),0)+IF(OR(L382="",B382=""),0,IF(L382-INT(B382)&lt;10,8,IF(L382-INT(B382)&lt;=90,10,5)))+IFERROR(VLOOKUP(AN382,Listes!$V$3:$W$5,2,FALSE),0)+IFERROR(VLOOKUP(AO382,Listes!$Y$3:$Z$5,2,FALSE),0))</f>
        <v/>
      </c>
      <c r="R382" s="12" t="n"/>
      <c r="S382" s="12" t="n"/>
      <c r="T382" s="12" t="n"/>
      <c r="U382" s="15" t="n"/>
      <c r="V382" s="15" t="n"/>
      <c r="W382" s="13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3" t="n"/>
      <c r="AK382" s="12" t="n"/>
      <c r="AL382" s="12" t="n"/>
      <c r="AM382" s="12" t="n"/>
      <c r="AN382" s="12" t="n"/>
      <c r="AO382" s="12" t="n"/>
      <c r="AP382" s="12" t="n"/>
      <c r="AQ382" s="7">
        <f>IF(A382="","",IF(AP382&lt;&gt;"",AP382,IF(LEFT(Z382,11)="gads_marque","Google Search – Marque",IF(LEFT(Z382,12)="gads_mariage","Google Search – Mariage et privé",IF(LEFT(Z382,10)="gads_corpo","Google Search – Corporatif",IF(LEFT(Z382,5)="meta_","Meta – Leads",IF(LEFT(Z382,5)="msft_","Microsoft Ads",IF(LEFT(Z382,8)="chatgpt_","ChatGPT Ads – Test",IF(X382="gbp","Fiche Google (organique)","Autre / non payé")))))))))</f>
        <v/>
      </c>
      <c r="AR382" s="7">
        <f>IF(K382="","",IFERROR(VLOOKUP(K382,Listes!$F$3:$H$8,3,FALSE),""))</f>
        <v/>
      </c>
      <c r="AS382" s="7">
        <f>IF(O382="","",IF(AND(M382="Autre (plus de 40 km)",OR(O382="lt600",O382="600_999",O382="1000_2499")),"D",IF(OR(O382="lt600",AND(O382="600_999",K382&lt;&gt;"mariage",K382&lt;&gt;"prive")),"C",IF(OR(O382="2500_4999",O382="5000p",J382="entreprise",J382="organisme",J382="agence"),"A",IF(OR(O382="1000_2499",O382="600_999"),"B",IF(O382="inconnu",IF(OR(N382="75_149",N382="150p"),"A","B"),""))))))</f>
        <v/>
      </c>
      <c r="AT382" s="7">
        <f>IF(A382="","",IF(P382&lt;&gt;"",P382,AS382))</f>
        <v/>
      </c>
      <c r="AU382" s="7">
        <f>IF(A382="","",IF(OR(AT382="A",AT382="B"),1,0))</f>
        <v/>
      </c>
      <c r="AV382" s="7">
        <f>IF(A382="","",IF(OR(R382="Dépôt payé (gagné)",R382="Événement livré",R382="Avis obtenu"),1,0))</f>
        <v/>
      </c>
      <c r="AW382" s="7">
        <f>IF(A382="","",IF(Q382&gt;70,"Immédiat – propriétaire",IF(Q382&gt;=40,"15 min – personne de garde","Selon la route")))</f>
        <v/>
      </c>
      <c r="AX382" s="11">
        <f>IF(A382="","",IF(AT382="A",400,IF(AT382="B",150,0)))</f>
        <v/>
      </c>
      <c r="AY382" s="11">
        <f>IF(A382="","",IF(AV382=1,N(V382),IF(N(U382)&gt;0,ROUND(N(U382)*IFERROR(VLOOKUP(R382,Listes!$AE$3:$AG$12,2,FALSE),0),0),0)))</f>
        <v/>
      </c>
      <c r="AZ382" s="7">
        <f>IF(LEFT(A382,7)="EXEMPLE",1,0)</f>
        <v/>
      </c>
      <c r="BA382" s="7">
        <f>IF(AND(AV382=1,AZ382=0,AC382&lt;&gt;"",W382&lt;&gt;"",N(V382)&gt;0),COUNTIFS($AV$3:AV382,1,$AZ$3:AZ382,0,$AC$3:AC382,"&lt;&gt;",$W$3:W382,"&lt;&gt;",$V$3:V382,"&gt;0"),"")</f>
        <v/>
      </c>
    </row>
    <row r="383">
      <c r="A383" s="12" t="n"/>
      <c r="B383" s="13" t="n"/>
      <c r="C383" s="13" t="n"/>
      <c r="D383" s="7">
        <f>IF(OR(B383="",C383=""),"",ROUND((C383-B383)*1440,0))</f>
        <v/>
      </c>
      <c r="E383" s="12" t="n"/>
      <c r="F383" s="12" t="n"/>
      <c r="G383" s="12" t="n"/>
      <c r="H383" s="12" t="n"/>
      <c r="I383" s="12" t="n"/>
      <c r="J383" s="12" t="n"/>
      <c r="K383" s="12" t="n"/>
      <c r="L383" s="14" t="n"/>
      <c r="M383" s="12" t="n"/>
      <c r="N383" s="12" t="n"/>
      <c r="O383" s="12" t="n"/>
      <c r="P383" s="12" t="n"/>
      <c r="Q383" s="7">
        <f>IF(A383="","",IFERROR(VLOOKUP(O383,Listes!$R$3:$T$8,2,FALSE),0)+IFERROR(VLOOKUP(J383,Listes!$J$3:$L$6,2,FALSE),0)+IFERROR(VLOOKUP(N383,Listes!$N$3:$P$6,2,FALSE),0)+IF(OR(L383="",B383=""),0,IF(L383-INT(B383)&lt;10,8,IF(L383-INT(B383)&lt;=90,10,5)))+IFERROR(VLOOKUP(AN383,Listes!$V$3:$W$5,2,FALSE),0)+IFERROR(VLOOKUP(AO383,Listes!$Y$3:$Z$5,2,FALSE),0))</f>
        <v/>
      </c>
      <c r="R383" s="12" t="n"/>
      <c r="S383" s="12" t="n"/>
      <c r="T383" s="12" t="n"/>
      <c r="U383" s="15" t="n"/>
      <c r="V383" s="15" t="n"/>
      <c r="W383" s="13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3" t="n"/>
      <c r="AK383" s="12" t="n"/>
      <c r="AL383" s="12" t="n"/>
      <c r="AM383" s="12" t="n"/>
      <c r="AN383" s="12" t="n"/>
      <c r="AO383" s="12" t="n"/>
      <c r="AP383" s="12" t="n"/>
      <c r="AQ383" s="7">
        <f>IF(A383="","",IF(AP383&lt;&gt;"",AP383,IF(LEFT(Z383,11)="gads_marque","Google Search – Marque",IF(LEFT(Z383,12)="gads_mariage","Google Search – Mariage et privé",IF(LEFT(Z383,10)="gads_corpo","Google Search – Corporatif",IF(LEFT(Z383,5)="meta_","Meta – Leads",IF(LEFT(Z383,5)="msft_","Microsoft Ads",IF(LEFT(Z383,8)="chatgpt_","ChatGPT Ads – Test",IF(X383="gbp","Fiche Google (organique)","Autre / non payé")))))))))</f>
        <v/>
      </c>
      <c r="AR383" s="7">
        <f>IF(K383="","",IFERROR(VLOOKUP(K383,Listes!$F$3:$H$8,3,FALSE),""))</f>
        <v/>
      </c>
      <c r="AS383" s="7">
        <f>IF(O383="","",IF(AND(M383="Autre (plus de 40 km)",OR(O383="lt600",O383="600_999",O383="1000_2499")),"D",IF(OR(O383="lt600",AND(O383="600_999",K383&lt;&gt;"mariage",K383&lt;&gt;"prive")),"C",IF(OR(O383="2500_4999",O383="5000p",J383="entreprise",J383="organisme",J383="agence"),"A",IF(OR(O383="1000_2499",O383="600_999"),"B",IF(O383="inconnu",IF(OR(N383="75_149",N383="150p"),"A","B"),""))))))</f>
        <v/>
      </c>
      <c r="AT383" s="7">
        <f>IF(A383="","",IF(P383&lt;&gt;"",P383,AS383))</f>
        <v/>
      </c>
      <c r="AU383" s="7">
        <f>IF(A383="","",IF(OR(AT383="A",AT383="B"),1,0))</f>
        <v/>
      </c>
      <c r="AV383" s="7">
        <f>IF(A383="","",IF(OR(R383="Dépôt payé (gagné)",R383="Événement livré",R383="Avis obtenu"),1,0))</f>
        <v/>
      </c>
      <c r="AW383" s="7">
        <f>IF(A383="","",IF(Q383&gt;70,"Immédiat – propriétaire",IF(Q383&gt;=40,"15 min – personne de garde","Selon la route")))</f>
        <v/>
      </c>
      <c r="AX383" s="11">
        <f>IF(A383="","",IF(AT383="A",400,IF(AT383="B",150,0)))</f>
        <v/>
      </c>
      <c r="AY383" s="11">
        <f>IF(A383="","",IF(AV383=1,N(V383),IF(N(U383)&gt;0,ROUND(N(U383)*IFERROR(VLOOKUP(R383,Listes!$AE$3:$AG$12,2,FALSE),0),0),0)))</f>
        <v/>
      </c>
      <c r="AZ383" s="7">
        <f>IF(LEFT(A383,7)="EXEMPLE",1,0)</f>
        <v/>
      </c>
      <c r="BA383" s="7">
        <f>IF(AND(AV383=1,AZ383=0,AC383&lt;&gt;"",W383&lt;&gt;"",N(V383)&gt;0),COUNTIFS($AV$3:AV383,1,$AZ$3:AZ383,0,$AC$3:AC383,"&lt;&gt;",$W$3:W383,"&lt;&gt;",$V$3:V383,"&gt;0"),"")</f>
        <v/>
      </c>
    </row>
    <row r="384">
      <c r="A384" s="12" t="n"/>
      <c r="B384" s="13" t="n"/>
      <c r="C384" s="13" t="n"/>
      <c r="D384" s="7">
        <f>IF(OR(B384="",C384=""),"",ROUND((C384-B384)*1440,0))</f>
        <v/>
      </c>
      <c r="E384" s="12" t="n"/>
      <c r="F384" s="12" t="n"/>
      <c r="G384" s="12" t="n"/>
      <c r="H384" s="12" t="n"/>
      <c r="I384" s="12" t="n"/>
      <c r="J384" s="12" t="n"/>
      <c r="K384" s="12" t="n"/>
      <c r="L384" s="14" t="n"/>
      <c r="M384" s="12" t="n"/>
      <c r="N384" s="12" t="n"/>
      <c r="O384" s="12" t="n"/>
      <c r="P384" s="12" t="n"/>
      <c r="Q384" s="7">
        <f>IF(A384="","",IFERROR(VLOOKUP(O384,Listes!$R$3:$T$8,2,FALSE),0)+IFERROR(VLOOKUP(J384,Listes!$J$3:$L$6,2,FALSE),0)+IFERROR(VLOOKUP(N384,Listes!$N$3:$P$6,2,FALSE),0)+IF(OR(L384="",B384=""),0,IF(L384-INT(B384)&lt;10,8,IF(L384-INT(B384)&lt;=90,10,5)))+IFERROR(VLOOKUP(AN384,Listes!$V$3:$W$5,2,FALSE),0)+IFERROR(VLOOKUP(AO384,Listes!$Y$3:$Z$5,2,FALSE),0))</f>
        <v/>
      </c>
      <c r="R384" s="12" t="n"/>
      <c r="S384" s="12" t="n"/>
      <c r="T384" s="12" t="n"/>
      <c r="U384" s="15" t="n"/>
      <c r="V384" s="15" t="n"/>
      <c r="W384" s="13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3" t="n"/>
      <c r="AK384" s="12" t="n"/>
      <c r="AL384" s="12" t="n"/>
      <c r="AM384" s="12" t="n"/>
      <c r="AN384" s="12" t="n"/>
      <c r="AO384" s="12" t="n"/>
      <c r="AP384" s="12" t="n"/>
      <c r="AQ384" s="7">
        <f>IF(A384="","",IF(AP384&lt;&gt;"",AP384,IF(LEFT(Z384,11)="gads_marque","Google Search – Marque",IF(LEFT(Z384,12)="gads_mariage","Google Search – Mariage et privé",IF(LEFT(Z384,10)="gads_corpo","Google Search – Corporatif",IF(LEFT(Z384,5)="meta_","Meta – Leads",IF(LEFT(Z384,5)="msft_","Microsoft Ads",IF(LEFT(Z384,8)="chatgpt_","ChatGPT Ads – Test",IF(X384="gbp","Fiche Google (organique)","Autre / non payé")))))))))</f>
        <v/>
      </c>
      <c r="AR384" s="7">
        <f>IF(K384="","",IFERROR(VLOOKUP(K384,Listes!$F$3:$H$8,3,FALSE),""))</f>
        <v/>
      </c>
      <c r="AS384" s="7">
        <f>IF(O384="","",IF(AND(M384="Autre (plus de 40 km)",OR(O384="lt600",O384="600_999",O384="1000_2499")),"D",IF(OR(O384="lt600",AND(O384="600_999",K384&lt;&gt;"mariage",K384&lt;&gt;"prive")),"C",IF(OR(O384="2500_4999",O384="5000p",J384="entreprise",J384="organisme",J384="agence"),"A",IF(OR(O384="1000_2499",O384="600_999"),"B",IF(O384="inconnu",IF(OR(N384="75_149",N384="150p"),"A","B"),""))))))</f>
        <v/>
      </c>
      <c r="AT384" s="7">
        <f>IF(A384="","",IF(P384&lt;&gt;"",P384,AS384))</f>
        <v/>
      </c>
      <c r="AU384" s="7">
        <f>IF(A384="","",IF(OR(AT384="A",AT384="B"),1,0))</f>
        <v/>
      </c>
      <c r="AV384" s="7">
        <f>IF(A384="","",IF(OR(R384="Dépôt payé (gagné)",R384="Événement livré",R384="Avis obtenu"),1,0))</f>
        <v/>
      </c>
      <c r="AW384" s="7">
        <f>IF(A384="","",IF(Q384&gt;70,"Immédiat – propriétaire",IF(Q384&gt;=40,"15 min – personne de garde","Selon la route")))</f>
        <v/>
      </c>
      <c r="AX384" s="11">
        <f>IF(A384="","",IF(AT384="A",400,IF(AT384="B",150,0)))</f>
        <v/>
      </c>
      <c r="AY384" s="11">
        <f>IF(A384="","",IF(AV384=1,N(V384),IF(N(U384)&gt;0,ROUND(N(U384)*IFERROR(VLOOKUP(R384,Listes!$AE$3:$AG$12,2,FALSE),0),0),0)))</f>
        <v/>
      </c>
      <c r="AZ384" s="7">
        <f>IF(LEFT(A384,7)="EXEMPLE",1,0)</f>
        <v/>
      </c>
      <c r="BA384" s="7">
        <f>IF(AND(AV384=1,AZ384=0,AC384&lt;&gt;"",W384&lt;&gt;"",N(V384)&gt;0),COUNTIFS($AV$3:AV384,1,$AZ$3:AZ384,0,$AC$3:AC384,"&lt;&gt;",$W$3:W384,"&lt;&gt;",$V$3:V384,"&gt;0"),"")</f>
        <v/>
      </c>
    </row>
    <row r="385">
      <c r="A385" s="12" t="n"/>
      <c r="B385" s="13" t="n"/>
      <c r="C385" s="13" t="n"/>
      <c r="D385" s="7">
        <f>IF(OR(B385="",C385=""),"",ROUND((C385-B385)*1440,0))</f>
        <v/>
      </c>
      <c r="E385" s="12" t="n"/>
      <c r="F385" s="12" t="n"/>
      <c r="G385" s="12" t="n"/>
      <c r="H385" s="12" t="n"/>
      <c r="I385" s="12" t="n"/>
      <c r="J385" s="12" t="n"/>
      <c r="K385" s="12" t="n"/>
      <c r="L385" s="14" t="n"/>
      <c r="M385" s="12" t="n"/>
      <c r="N385" s="12" t="n"/>
      <c r="O385" s="12" t="n"/>
      <c r="P385" s="12" t="n"/>
      <c r="Q385" s="7">
        <f>IF(A385="","",IFERROR(VLOOKUP(O385,Listes!$R$3:$T$8,2,FALSE),0)+IFERROR(VLOOKUP(J385,Listes!$J$3:$L$6,2,FALSE),0)+IFERROR(VLOOKUP(N385,Listes!$N$3:$P$6,2,FALSE),0)+IF(OR(L385="",B385=""),0,IF(L385-INT(B385)&lt;10,8,IF(L385-INT(B385)&lt;=90,10,5)))+IFERROR(VLOOKUP(AN385,Listes!$V$3:$W$5,2,FALSE),0)+IFERROR(VLOOKUP(AO385,Listes!$Y$3:$Z$5,2,FALSE),0))</f>
        <v/>
      </c>
      <c r="R385" s="12" t="n"/>
      <c r="S385" s="12" t="n"/>
      <c r="T385" s="12" t="n"/>
      <c r="U385" s="15" t="n"/>
      <c r="V385" s="15" t="n"/>
      <c r="W385" s="13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3" t="n"/>
      <c r="AK385" s="12" t="n"/>
      <c r="AL385" s="12" t="n"/>
      <c r="AM385" s="12" t="n"/>
      <c r="AN385" s="12" t="n"/>
      <c r="AO385" s="12" t="n"/>
      <c r="AP385" s="12" t="n"/>
      <c r="AQ385" s="7">
        <f>IF(A385="","",IF(AP385&lt;&gt;"",AP385,IF(LEFT(Z385,11)="gads_marque","Google Search – Marque",IF(LEFT(Z385,12)="gads_mariage","Google Search – Mariage et privé",IF(LEFT(Z385,10)="gads_corpo","Google Search – Corporatif",IF(LEFT(Z385,5)="meta_","Meta – Leads",IF(LEFT(Z385,5)="msft_","Microsoft Ads",IF(LEFT(Z385,8)="chatgpt_","ChatGPT Ads – Test",IF(X385="gbp","Fiche Google (organique)","Autre / non payé")))))))))</f>
        <v/>
      </c>
      <c r="AR385" s="7">
        <f>IF(K385="","",IFERROR(VLOOKUP(K385,Listes!$F$3:$H$8,3,FALSE),""))</f>
        <v/>
      </c>
      <c r="AS385" s="7">
        <f>IF(O385="","",IF(AND(M385="Autre (plus de 40 km)",OR(O385="lt600",O385="600_999",O385="1000_2499")),"D",IF(OR(O385="lt600",AND(O385="600_999",K385&lt;&gt;"mariage",K385&lt;&gt;"prive")),"C",IF(OR(O385="2500_4999",O385="5000p",J385="entreprise",J385="organisme",J385="agence"),"A",IF(OR(O385="1000_2499",O385="600_999"),"B",IF(O385="inconnu",IF(OR(N385="75_149",N385="150p"),"A","B"),""))))))</f>
        <v/>
      </c>
      <c r="AT385" s="7">
        <f>IF(A385="","",IF(P385&lt;&gt;"",P385,AS385))</f>
        <v/>
      </c>
      <c r="AU385" s="7">
        <f>IF(A385="","",IF(OR(AT385="A",AT385="B"),1,0))</f>
        <v/>
      </c>
      <c r="AV385" s="7">
        <f>IF(A385="","",IF(OR(R385="Dépôt payé (gagné)",R385="Événement livré",R385="Avis obtenu"),1,0))</f>
        <v/>
      </c>
      <c r="AW385" s="7">
        <f>IF(A385="","",IF(Q385&gt;70,"Immédiat – propriétaire",IF(Q385&gt;=40,"15 min – personne de garde","Selon la route")))</f>
        <v/>
      </c>
      <c r="AX385" s="11">
        <f>IF(A385="","",IF(AT385="A",400,IF(AT385="B",150,0)))</f>
        <v/>
      </c>
      <c r="AY385" s="11">
        <f>IF(A385="","",IF(AV385=1,N(V385),IF(N(U385)&gt;0,ROUND(N(U385)*IFERROR(VLOOKUP(R385,Listes!$AE$3:$AG$12,2,FALSE),0),0),0)))</f>
        <v/>
      </c>
      <c r="AZ385" s="7">
        <f>IF(LEFT(A385,7)="EXEMPLE",1,0)</f>
        <v/>
      </c>
      <c r="BA385" s="7">
        <f>IF(AND(AV385=1,AZ385=0,AC385&lt;&gt;"",W385&lt;&gt;"",N(V385)&gt;0),COUNTIFS($AV$3:AV385,1,$AZ$3:AZ385,0,$AC$3:AC385,"&lt;&gt;",$W$3:W385,"&lt;&gt;",$V$3:V385,"&gt;0"),"")</f>
        <v/>
      </c>
    </row>
    <row r="386">
      <c r="A386" s="12" t="n"/>
      <c r="B386" s="13" t="n"/>
      <c r="C386" s="13" t="n"/>
      <c r="D386" s="7">
        <f>IF(OR(B386="",C386=""),"",ROUND((C386-B386)*1440,0))</f>
        <v/>
      </c>
      <c r="E386" s="12" t="n"/>
      <c r="F386" s="12" t="n"/>
      <c r="G386" s="12" t="n"/>
      <c r="H386" s="12" t="n"/>
      <c r="I386" s="12" t="n"/>
      <c r="J386" s="12" t="n"/>
      <c r="K386" s="12" t="n"/>
      <c r="L386" s="14" t="n"/>
      <c r="M386" s="12" t="n"/>
      <c r="N386" s="12" t="n"/>
      <c r="O386" s="12" t="n"/>
      <c r="P386" s="12" t="n"/>
      <c r="Q386" s="7">
        <f>IF(A386="","",IFERROR(VLOOKUP(O386,Listes!$R$3:$T$8,2,FALSE),0)+IFERROR(VLOOKUP(J386,Listes!$J$3:$L$6,2,FALSE),0)+IFERROR(VLOOKUP(N386,Listes!$N$3:$P$6,2,FALSE),0)+IF(OR(L386="",B386=""),0,IF(L386-INT(B386)&lt;10,8,IF(L386-INT(B386)&lt;=90,10,5)))+IFERROR(VLOOKUP(AN386,Listes!$V$3:$W$5,2,FALSE),0)+IFERROR(VLOOKUP(AO386,Listes!$Y$3:$Z$5,2,FALSE),0))</f>
        <v/>
      </c>
      <c r="R386" s="12" t="n"/>
      <c r="S386" s="12" t="n"/>
      <c r="T386" s="12" t="n"/>
      <c r="U386" s="15" t="n"/>
      <c r="V386" s="15" t="n"/>
      <c r="W386" s="13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3" t="n"/>
      <c r="AK386" s="12" t="n"/>
      <c r="AL386" s="12" t="n"/>
      <c r="AM386" s="12" t="n"/>
      <c r="AN386" s="12" t="n"/>
      <c r="AO386" s="12" t="n"/>
      <c r="AP386" s="12" t="n"/>
      <c r="AQ386" s="7">
        <f>IF(A386="","",IF(AP386&lt;&gt;"",AP386,IF(LEFT(Z386,11)="gads_marque","Google Search – Marque",IF(LEFT(Z386,12)="gads_mariage","Google Search – Mariage et privé",IF(LEFT(Z386,10)="gads_corpo","Google Search – Corporatif",IF(LEFT(Z386,5)="meta_","Meta – Leads",IF(LEFT(Z386,5)="msft_","Microsoft Ads",IF(LEFT(Z386,8)="chatgpt_","ChatGPT Ads – Test",IF(X386="gbp","Fiche Google (organique)","Autre / non payé")))))))))</f>
        <v/>
      </c>
      <c r="AR386" s="7">
        <f>IF(K386="","",IFERROR(VLOOKUP(K386,Listes!$F$3:$H$8,3,FALSE),""))</f>
        <v/>
      </c>
      <c r="AS386" s="7">
        <f>IF(O386="","",IF(AND(M386="Autre (plus de 40 km)",OR(O386="lt600",O386="600_999",O386="1000_2499")),"D",IF(OR(O386="lt600",AND(O386="600_999",K386&lt;&gt;"mariage",K386&lt;&gt;"prive")),"C",IF(OR(O386="2500_4999",O386="5000p",J386="entreprise",J386="organisme",J386="agence"),"A",IF(OR(O386="1000_2499",O386="600_999"),"B",IF(O386="inconnu",IF(OR(N386="75_149",N386="150p"),"A","B"),""))))))</f>
        <v/>
      </c>
      <c r="AT386" s="7">
        <f>IF(A386="","",IF(P386&lt;&gt;"",P386,AS386))</f>
        <v/>
      </c>
      <c r="AU386" s="7">
        <f>IF(A386="","",IF(OR(AT386="A",AT386="B"),1,0))</f>
        <v/>
      </c>
      <c r="AV386" s="7">
        <f>IF(A386="","",IF(OR(R386="Dépôt payé (gagné)",R386="Événement livré",R386="Avis obtenu"),1,0))</f>
        <v/>
      </c>
      <c r="AW386" s="7">
        <f>IF(A386="","",IF(Q386&gt;70,"Immédiat – propriétaire",IF(Q386&gt;=40,"15 min – personne de garde","Selon la route")))</f>
        <v/>
      </c>
      <c r="AX386" s="11">
        <f>IF(A386="","",IF(AT386="A",400,IF(AT386="B",150,0)))</f>
        <v/>
      </c>
      <c r="AY386" s="11">
        <f>IF(A386="","",IF(AV386=1,N(V386),IF(N(U386)&gt;0,ROUND(N(U386)*IFERROR(VLOOKUP(R386,Listes!$AE$3:$AG$12,2,FALSE),0),0),0)))</f>
        <v/>
      </c>
      <c r="AZ386" s="7">
        <f>IF(LEFT(A386,7)="EXEMPLE",1,0)</f>
        <v/>
      </c>
      <c r="BA386" s="7">
        <f>IF(AND(AV386=1,AZ386=0,AC386&lt;&gt;"",W386&lt;&gt;"",N(V386)&gt;0),COUNTIFS($AV$3:AV386,1,$AZ$3:AZ386,0,$AC$3:AC386,"&lt;&gt;",$W$3:W386,"&lt;&gt;",$V$3:V386,"&gt;0"),"")</f>
        <v/>
      </c>
    </row>
    <row r="387">
      <c r="A387" s="12" t="n"/>
      <c r="B387" s="13" t="n"/>
      <c r="C387" s="13" t="n"/>
      <c r="D387" s="7">
        <f>IF(OR(B387="",C387=""),"",ROUND((C387-B387)*1440,0))</f>
        <v/>
      </c>
      <c r="E387" s="12" t="n"/>
      <c r="F387" s="12" t="n"/>
      <c r="G387" s="12" t="n"/>
      <c r="H387" s="12" t="n"/>
      <c r="I387" s="12" t="n"/>
      <c r="J387" s="12" t="n"/>
      <c r="K387" s="12" t="n"/>
      <c r="L387" s="14" t="n"/>
      <c r="M387" s="12" t="n"/>
      <c r="N387" s="12" t="n"/>
      <c r="O387" s="12" t="n"/>
      <c r="P387" s="12" t="n"/>
      <c r="Q387" s="7">
        <f>IF(A387="","",IFERROR(VLOOKUP(O387,Listes!$R$3:$T$8,2,FALSE),0)+IFERROR(VLOOKUP(J387,Listes!$J$3:$L$6,2,FALSE),0)+IFERROR(VLOOKUP(N387,Listes!$N$3:$P$6,2,FALSE),0)+IF(OR(L387="",B387=""),0,IF(L387-INT(B387)&lt;10,8,IF(L387-INT(B387)&lt;=90,10,5)))+IFERROR(VLOOKUP(AN387,Listes!$V$3:$W$5,2,FALSE),0)+IFERROR(VLOOKUP(AO387,Listes!$Y$3:$Z$5,2,FALSE),0))</f>
        <v/>
      </c>
      <c r="R387" s="12" t="n"/>
      <c r="S387" s="12" t="n"/>
      <c r="T387" s="12" t="n"/>
      <c r="U387" s="15" t="n"/>
      <c r="V387" s="15" t="n"/>
      <c r="W387" s="13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3" t="n"/>
      <c r="AK387" s="12" t="n"/>
      <c r="AL387" s="12" t="n"/>
      <c r="AM387" s="12" t="n"/>
      <c r="AN387" s="12" t="n"/>
      <c r="AO387" s="12" t="n"/>
      <c r="AP387" s="12" t="n"/>
      <c r="AQ387" s="7">
        <f>IF(A387="","",IF(AP387&lt;&gt;"",AP387,IF(LEFT(Z387,11)="gads_marque","Google Search – Marque",IF(LEFT(Z387,12)="gads_mariage","Google Search – Mariage et privé",IF(LEFT(Z387,10)="gads_corpo","Google Search – Corporatif",IF(LEFT(Z387,5)="meta_","Meta – Leads",IF(LEFT(Z387,5)="msft_","Microsoft Ads",IF(LEFT(Z387,8)="chatgpt_","ChatGPT Ads – Test",IF(X387="gbp","Fiche Google (organique)","Autre / non payé")))))))))</f>
        <v/>
      </c>
      <c r="AR387" s="7">
        <f>IF(K387="","",IFERROR(VLOOKUP(K387,Listes!$F$3:$H$8,3,FALSE),""))</f>
        <v/>
      </c>
      <c r="AS387" s="7">
        <f>IF(O387="","",IF(AND(M387="Autre (plus de 40 km)",OR(O387="lt600",O387="600_999",O387="1000_2499")),"D",IF(OR(O387="lt600",AND(O387="600_999",K387&lt;&gt;"mariage",K387&lt;&gt;"prive")),"C",IF(OR(O387="2500_4999",O387="5000p",J387="entreprise",J387="organisme",J387="agence"),"A",IF(OR(O387="1000_2499",O387="600_999"),"B",IF(O387="inconnu",IF(OR(N387="75_149",N387="150p"),"A","B"),""))))))</f>
        <v/>
      </c>
      <c r="AT387" s="7">
        <f>IF(A387="","",IF(P387&lt;&gt;"",P387,AS387))</f>
        <v/>
      </c>
      <c r="AU387" s="7">
        <f>IF(A387="","",IF(OR(AT387="A",AT387="B"),1,0))</f>
        <v/>
      </c>
      <c r="AV387" s="7">
        <f>IF(A387="","",IF(OR(R387="Dépôt payé (gagné)",R387="Événement livré",R387="Avis obtenu"),1,0))</f>
        <v/>
      </c>
      <c r="AW387" s="7">
        <f>IF(A387="","",IF(Q387&gt;70,"Immédiat – propriétaire",IF(Q387&gt;=40,"15 min – personne de garde","Selon la route")))</f>
        <v/>
      </c>
      <c r="AX387" s="11">
        <f>IF(A387="","",IF(AT387="A",400,IF(AT387="B",150,0)))</f>
        <v/>
      </c>
      <c r="AY387" s="11">
        <f>IF(A387="","",IF(AV387=1,N(V387),IF(N(U387)&gt;0,ROUND(N(U387)*IFERROR(VLOOKUP(R387,Listes!$AE$3:$AG$12,2,FALSE),0),0),0)))</f>
        <v/>
      </c>
      <c r="AZ387" s="7">
        <f>IF(LEFT(A387,7)="EXEMPLE",1,0)</f>
        <v/>
      </c>
      <c r="BA387" s="7">
        <f>IF(AND(AV387=1,AZ387=0,AC387&lt;&gt;"",W387&lt;&gt;"",N(V387)&gt;0),COUNTIFS($AV$3:AV387,1,$AZ$3:AZ387,0,$AC$3:AC387,"&lt;&gt;",$W$3:W387,"&lt;&gt;",$V$3:V387,"&gt;0"),"")</f>
        <v/>
      </c>
    </row>
    <row r="388">
      <c r="A388" s="12" t="n"/>
      <c r="B388" s="13" t="n"/>
      <c r="C388" s="13" t="n"/>
      <c r="D388" s="7">
        <f>IF(OR(B388="",C388=""),"",ROUND((C388-B388)*1440,0))</f>
        <v/>
      </c>
      <c r="E388" s="12" t="n"/>
      <c r="F388" s="12" t="n"/>
      <c r="G388" s="12" t="n"/>
      <c r="H388" s="12" t="n"/>
      <c r="I388" s="12" t="n"/>
      <c r="J388" s="12" t="n"/>
      <c r="K388" s="12" t="n"/>
      <c r="L388" s="14" t="n"/>
      <c r="M388" s="12" t="n"/>
      <c r="N388" s="12" t="n"/>
      <c r="O388" s="12" t="n"/>
      <c r="P388" s="12" t="n"/>
      <c r="Q388" s="7">
        <f>IF(A388="","",IFERROR(VLOOKUP(O388,Listes!$R$3:$T$8,2,FALSE),0)+IFERROR(VLOOKUP(J388,Listes!$J$3:$L$6,2,FALSE),0)+IFERROR(VLOOKUP(N388,Listes!$N$3:$P$6,2,FALSE),0)+IF(OR(L388="",B388=""),0,IF(L388-INT(B388)&lt;10,8,IF(L388-INT(B388)&lt;=90,10,5)))+IFERROR(VLOOKUP(AN388,Listes!$V$3:$W$5,2,FALSE),0)+IFERROR(VLOOKUP(AO388,Listes!$Y$3:$Z$5,2,FALSE),0))</f>
        <v/>
      </c>
      <c r="R388" s="12" t="n"/>
      <c r="S388" s="12" t="n"/>
      <c r="T388" s="12" t="n"/>
      <c r="U388" s="15" t="n"/>
      <c r="V388" s="15" t="n"/>
      <c r="W388" s="13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3" t="n"/>
      <c r="AK388" s="12" t="n"/>
      <c r="AL388" s="12" t="n"/>
      <c r="AM388" s="12" t="n"/>
      <c r="AN388" s="12" t="n"/>
      <c r="AO388" s="12" t="n"/>
      <c r="AP388" s="12" t="n"/>
      <c r="AQ388" s="7">
        <f>IF(A388="","",IF(AP388&lt;&gt;"",AP388,IF(LEFT(Z388,11)="gads_marque","Google Search – Marque",IF(LEFT(Z388,12)="gads_mariage","Google Search – Mariage et privé",IF(LEFT(Z388,10)="gads_corpo","Google Search – Corporatif",IF(LEFT(Z388,5)="meta_","Meta – Leads",IF(LEFT(Z388,5)="msft_","Microsoft Ads",IF(LEFT(Z388,8)="chatgpt_","ChatGPT Ads – Test",IF(X388="gbp","Fiche Google (organique)","Autre / non payé")))))))))</f>
        <v/>
      </c>
      <c r="AR388" s="7">
        <f>IF(K388="","",IFERROR(VLOOKUP(K388,Listes!$F$3:$H$8,3,FALSE),""))</f>
        <v/>
      </c>
      <c r="AS388" s="7">
        <f>IF(O388="","",IF(AND(M388="Autre (plus de 40 km)",OR(O388="lt600",O388="600_999",O388="1000_2499")),"D",IF(OR(O388="lt600",AND(O388="600_999",K388&lt;&gt;"mariage",K388&lt;&gt;"prive")),"C",IF(OR(O388="2500_4999",O388="5000p",J388="entreprise",J388="organisme",J388="agence"),"A",IF(OR(O388="1000_2499",O388="600_999"),"B",IF(O388="inconnu",IF(OR(N388="75_149",N388="150p"),"A","B"),""))))))</f>
        <v/>
      </c>
      <c r="AT388" s="7">
        <f>IF(A388="","",IF(P388&lt;&gt;"",P388,AS388))</f>
        <v/>
      </c>
      <c r="AU388" s="7">
        <f>IF(A388="","",IF(OR(AT388="A",AT388="B"),1,0))</f>
        <v/>
      </c>
      <c r="AV388" s="7">
        <f>IF(A388="","",IF(OR(R388="Dépôt payé (gagné)",R388="Événement livré",R388="Avis obtenu"),1,0))</f>
        <v/>
      </c>
      <c r="AW388" s="7">
        <f>IF(A388="","",IF(Q388&gt;70,"Immédiat – propriétaire",IF(Q388&gt;=40,"15 min – personne de garde","Selon la route")))</f>
        <v/>
      </c>
      <c r="AX388" s="11">
        <f>IF(A388="","",IF(AT388="A",400,IF(AT388="B",150,0)))</f>
        <v/>
      </c>
      <c r="AY388" s="11">
        <f>IF(A388="","",IF(AV388=1,N(V388),IF(N(U388)&gt;0,ROUND(N(U388)*IFERROR(VLOOKUP(R388,Listes!$AE$3:$AG$12,2,FALSE),0),0),0)))</f>
        <v/>
      </c>
      <c r="AZ388" s="7">
        <f>IF(LEFT(A388,7)="EXEMPLE",1,0)</f>
        <v/>
      </c>
      <c r="BA388" s="7">
        <f>IF(AND(AV388=1,AZ388=0,AC388&lt;&gt;"",W388&lt;&gt;"",N(V388)&gt;0),COUNTIFS($AV$3:AV388,1,$AZ$3:AZ388,0,$AC$3:AC388,"&lt;&gt;",$W$3:W388,"&lt;&gt;",$V$3:V388,"&gt;0"),"")</f>
        <v/>
      </c>
    </row>
    <row r="389">
      <c r="A389" s="12" t="n"/>
      <c r="B389" s="13" t="n"/>
      <c r="C389" s="13" t="n"/>
      <c r="D389" s="7">
        <f>IF(OR(B389="",C389=""),"",ROUND((C389-B389)*1440,0))</f>
        <v/>
      </c>
      <c r="E389" s="12" t="n"/>
      <c r="F389" s="12" t="n"/>
      <c r="G389" s="12" t="n"/>
      <c r="H389" s="12" t="n"/>
      <c r="I389" s="12" t="n"/>
      <c r="J389" s="12" t="n"/>
      <c r="K389" s="12" t="n"/>
      <c r="L389" s="14" t="n"/>
      <c r="M389" s="12" t="n"/>
      <c r="N389" s="12" t="n"/>
      <c r="O389" s="12" t="n"/>
      <c r="P389" s="12" t="n"/>
      <c r="Q389" s="7">
        <f>IF(A389="","",IFERROR(VLOOKUP(O389,Listes!$R$3:$T$8,2,FALSE),0)+IFERROR(VLOOKUP(J389,Listes!$J$3:$L$6,2,FALSE),0)+IFERROR(VLOOKUP(N389,Listes!$N$3:$P$6,2,FALSE),0)+IF(OR(L389="",B389=""),0,IF(L389-INT(B389)&lt;10,8,IF(L389-INT(B389)&lt;=90,10,5)))+IFERROR(VLOOKUP(AN389,Listes!$V$3:$W$5,2,FALSE),0)+IFERROR(VLOOKUP(AO389,Listes!$Y$3:$Z$5,2,FALSE),0))</f>
        <v/>
      </c>
      <c r="R389" s="12" t="n"/>
      <c r="S389" s="12" t="n"/>
      <c r="T389" s="12" t="n"/>
      <c r="U389" s="15" t="n"/>
      <c r="V389" s="15" t="n"/>
      <c r="W389" s="13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3" t="n"/>
      <c r="AK389" s="12" t="n"/>
      <c r="AL389" s="12" t="n"/>
      <c r="AM389" s="12" t="n"/>
      <c r="AN389" s="12" t="n"/>
      <c r="AO389" s="12" t="n"/>
      <c r="AP389" s="12" t="n"/>
      <c r="AQ389" s="7">
        <f>IF(A389="","",IF(AP389&lt;&gt;"",AP389,IF(LEFT(Z389,11)="gads_marque","Google Search – Marque",IF(LEFT(Z389,12)="gads_mariage","Google Search – Mariage et privé",IF(LEFT(Z389,10)="gads_corpo","Google Search – Corporatif",IF(LEFT(Z389,5)="meta_","Meta – Leads",IF(LEFT(Z389,5)="msft_","Microsoft Ads",IF(LEFT(Z389,8)="chatgpt_","ChatGPT Ads – Test",IF(X389="gbp","Fiche Google (organique)","Autre / non payé")))))))))</f>
        <v/>
      </c>
      <c r="AR389" s="7">
        <f>IF(K389="","",IFERROR(VLOOKUP(K389,Listes!$F$3:$H$8,3,FALSE),""))</f>
        <v/>
      </c>
      <c r="AS389" s="7">
        <f>IF(O389="","",IF(AND(M389="Autre (plus de 40 km)",OR(O389="lt600",O389="600_999",O389="1000_2499")),"D",IF(OR(O389="lt600",AND(O389="600_999",K389&lt;&gt;"mariage",K389&lt;&gt;"prive")),"C",IF(OR(O389="2500_4999",O389="5000p",J389="entreprise",J389="organisme",J389="agence"),"A",IF(OR(O389="1000_2499",O389="600_999"),"B",IF(O389="inconnu",IF(OR(N389="75_149",N389="150p"),"A","B"),""))))))</f>
        <v/>
      </c>
      <c r="AT389" s="7">
        <f>IF(A389="","",IF(P389&lt;&gt;"",P389,AS389))</f>
        <v/>
      </c>
      <c r="AU389" s="7">
        <f>IF(A389="","",IF(OR(AT389="A",AT389="B"),1,0))</f>
        <v/>
      </c>
      <c r="AV389" s="7">
        <f>IF(A389="","",IF(OR(R389="Dépôt payé (gagné)",R389="Événement livré",R389="Avis obtenu"),1,0))</f>
        <v/>
      </c>
      <c r="AW389" s="7">
        <f>IF(A389="","",IF(Q389&gt;70,"Immédiat – propriétaire",IF(Q389&gt;=40,"15 min – personne de garde","Selon la route")))</f>
        <v/>
      </c>
      <c r="AX389" s="11">
        <f>IF(A389="","",IF(AT389="A",400,IF(AT389="B",150,0)))</f>
        <v/>
      </c>
      <c r="AY389" s="11">
        <f>IF(A389="","",IF(AV389=1,N(V389),IF(N(U389)&gt;0,ROUND(N(U389)*IFERROR(VLOOKUP(R389,Listes!$AE$3:$AG$12,2,FALSE),0),0),0)))</f>
        <v/>
      </c>
      <c r="AZ389" s="7">
        <f>IF(LEFT(A389,7)="EXEMPLE",1,0)</f>
        <v/>
      </c>
      <c r="BA389" s="7">
        <f>IF(AND(AV389=1,AZ389=0,AC389&lt;&gt;"",W389&lt;&gt;"",N(V389)&gt;0),COUNTIFS($AV$3:AV389,1,$AZ$3:AZ389,0,$AC$3:AC389,"&lt;&gt;",$W$3:W389,"&lt;&gt;",$V$3:V389,"&gt;0"),"")</f>
        <v/>
      </c>
    </row>
    <row r="390">
      <c r="A390" s="12" t="n"/>
      <c r="B390" s="13" t="n"/>
      <c r="C390" s="13" t="n"/>
      <c r="D390" s="7">
        <f>IF(OR(B390="",C390=""),"",ROUND((C390-B390)*1440,0))</f>
        <v/>
      </c>
      <c r="E390" s="12" t="n"/>
      <c r="F390" s="12" t="n"/>
      <c r="G390" s="12" t="n"/>
      <c r="H390" s="12" t="n"/>
      <c r="I390" s="12" t="n"/>
      <c r="J390" s="12" t="n"/>
      <c r="K390" s="12" t="n"/>
      <c r="L390" s="14" t="n"/>
      <c r="M390" s="12" t="n"/>
      <c r="N390" s="12" t="n"/>
      <c r="O390" s="12" t="n"/>
      <c r="P390" s="12" t="n"/>
      <c r="Q390" s="7">
        <f>IF(A390="","",IFERROR(VLOOKUP(O390,Listes!$R$3:$T$8,2,FALSE),0)+IFERROR(VLOOKUP(J390,Listes!$J$3:$L$6,2,FALSE),0)+IFERROR(VLOOKUP(N390,Listes!$N$3:$P$6,2,FALSE),0)+IF(OR(L390="",B390=""),0,IF(L390-INT(B390)&lt;10,8,IF(L390-INT(B390)&lt;=90,10,5)))+IFERROR(VLOOKUP(AN390,Listes!$V$3:$W$5,2,FALSE),0)+IFERROR(VLOOKUP(AO390,Listes!$Y$3:$Z$5,2,FALSE),0))</f>
        <v/>
      </c>
      <c r="R390" s="12" t="n"/>
      <c r="S390" s="12" t="n"/>
      <c r="T390" s="12" t="n"/>
      <c r="U390" s="15" t="n"/>
      <c r="V390" s="15" t="n"/>
      <c r="W390" s="13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3" t="n"/>
      <c r="AK390" s="12" t="n"/>
      <c r="AL390" s="12" t="n"/>
      <c r="AM390" s="12" t="n"/>
      <c r="AN390" s="12" t="n"/>
      <c r="AO390" s="12" t="n"/>
      <c r="AP390" s="12" t="n"/>
      <c r="AQ390" s="7">
        <f>IF(A390="","",IF(AP390&lt;&gt;"",AP390,IF(LEFT(Z390,11)="gads_marque","Google Search – Marque",IF(LEFT(Z390,12)="gads_mariage","Google Search – Mariage et privé",IF(LEFT(Z390,10)="gads_corpo","Google Search – Corporatif",IF(LEFT(Z390,5)="meta_","Meta – Leads",IF(LEFT(Z390,5)="msft_","Microsoft Ads",IF(LEFT(Z390,8)="chatgpt_","ChatGPT Ads – Test",IF(X390="gbp","Fiche Google (organique)","Autre / non payé")))))))))</f>
        <v/>
      </c>
      <c r="AR390" s="7">
        <f>IF(K390="","",IFERROR(VLOOKUP(K390,Listes!$F$3:$H$8,3,FALSE),""))</f>
        <v/>
      </c>
      <c r="AS390" s="7">
        <f>IF(O390="","",IF(AND(M390="Autre (plus de 40 km)",OR(O390="lt600",O390="600_999",O390="1000_2499")),"D",IF(OR(O390="lt600",AND(O390="600_999",K390&lt;&gt;"mariage",K390&lt;&gt;"prive")),"C",IF(OR(O390="2500_4999",O390="5000p",J390="entreprise",J390="organisme",J390="agence"),"A",IF(OR(O390="1000_2499",O390="600_999"),"B",IF(O390="inconnu",IF(OR(N390="75_149",N390="150p"),"A","B"),""))))))</f>
        <v/>
      </c>
      <c r="AT390" s="7">
        <f>IF(A390="","",IF(P390&lt;&gt;"",P390,AS390))</f>
        <v/>
      </c>
      <c r="AU390" s="7">
        <f>IF(A390="","",IF(OR(AT390="A",AT390="B"),1,0))</f>
        <v/>
      </c>
      <c r="AV390" s="7">
        <f>IF(A390="","",IF(OR(R390="Dépôt payé (gagné)",R390="Événement livré",R390="Avis obtenu"),1,0))</f>
        <v/>
      </c>
      <c r="AW390" s="7">
        <f>IF(A390="","",IF(Q390&gt;70,"Immédiat – propriétaire",IF(Q390&gt;=40,"15 min – personne de garde","Selon la route")))</f>
        <v/>
      </c>
      <c r="AX390" s="11">
        <f>IF(A390="","",IF(AT390="A",400,IF(AT390="B",150,0)))</f>
        <v/>
      </c>
      <c r="AY390" s="11">
        <f>IF(A390="","",IF(AV390=1,N(V390),IF(N(U390)&gt;0,ROUND(N(U390)*IFERROR(VLOOKUP(R390,Listes!$AE$3:$AG$12,2,FALSE),0),0),0)))</f>
        <v/>
      </c>
      <c r="AZ390" s="7">
        <f>IF(LEFT(A390,7)="EXEMPLE",1,0)</f>
        <v/>
      </c>
      <c r="BA390" s="7">
        <f>IF(AND(AV390=1,AZ390=0,AC390&lt;&gt;"",W390&lt;&gt;"",N(V390)&gt;0),COUNTIFS($AV$3:AV390,1,$AZ$3:AZ390,0,$AC$3:AC390,"&lt;&gt;",$W$3:W390,"&lt;&gt;",$V$3:V390,"&gt;0"),"")</f>
        <v/>
      </c>
    </row>
    <row r="391">
      <c r="A391" s="12" t="n"/>
      <c r="B391" s="13" t="n"/>
      <c r="C391" s="13" t="n"/>
      <c r="D391" s="7">
        <f>IF(OR(B391="",C391=""),"",ROUND((C391-B391)*1440,0))</f>
        <v/>
      </c>
      <c r="E391" s="12" t="n"/>
      <c r="F391" s="12" t="n"/>
      <c r="G391" s="12" t="n"/>
      <c r="H391" s="12" t="n"/>
      <c r="I391" s="12" t="n"/>
      <c r="J391" s="12" t="n"/>
      <c r="K391" s="12" t="n"/>
      <c r="L391" s="14" t="n"/>
      <c r="M391" s="12" t="n"/>
      <c r="N391" s="12" t="n"/>
      <c r="O391" s="12" t="n"/>
      <c r="P391" s="12" t="n"/>
      <c r="Q391" s="7">
        <f>IF(A391="","",IFERROR(VLOOKUP(O391,Listes!$R$3:$T$8,2,FALSE),0)+IFERROR(VLOOKUP(J391,Listes!$J$3:$L$6,2,FALSE),0)+IFERROR(VLOOKUP(N391,Listes!$N$3:$P$6,2,FALSE),0)+IF(OR(L391="",B391=""),0,IF(L391-INT(B391)&lt;10,8,IF(L391-INT(B391)&lt;=90,10,5)))+IFERROR(VLOOKUP(AN391,Listes!$V$3:$W$5,2,FALSE),0)+IFERROR(VLOOKUP(AO391,Listes!$Y$3:$Z$5,2,FALSE),0))</f>
        <v/>
      </c>
      <c r="R391" s="12" t="n"/>
      <c r="S391" s="12" t="n"/>
      <c r="T391" s="12" t="n"/>
      <c r="U391" s="15" t="n"/>
      <c r="V391" s="15" t="n"/>
      <c r="W391" s="13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3" t="n"/>
      <c r="AK391" s="12" t="n"/>
      <c r="AL391" s="12" t="n"/>
      <c r="AM391" s="12" t="n"/>
      <c r="AN391" s="12" t="n"/>
      <c r="AO391" s="12" t="n"/>
      <c r="AP391" s="12" t="n"/>
      <c r="AQ391" s="7">
        <f>IF(A391="","",IF(AP391&lt;&gt;"",AP391,IF(LEFT(Z391,11)="gads_marque","Google Search – Marque",IF(LEFT(Z391,12)="gads_mariage","Google Search – Mariage et privé",IF(LEFT(Z391,10)="gads_corpo","Google Search – Corporatif",IF(LEFT(Z391,5)="meta_","Meta – Leads",IF(LEFT(Z391,5)="msft_","Microsoft Ads",IF(LEFT(Z391,8)="chatgpt_","ChatGPT Ads – Test",IF(X391="gbp","Fiche Google (organique)","Autre / non payé")))))))))</f>
        <v/>
      </c>
      <c r="AR391" s="7">
        <f>IF(K391="","",IFERROR(VLOOKUP(K391,Listes!$F$3:$H$8,3,FALSE),""))</f>
        <v/>
      </c>
      <c r="AS391" s="7">
        <f>IF(O391="","",IF(AND(M391="Autre (plus de 40 km)",OR(O391="lt600",O391="600_999",O391="1000_2499")),"D",IF(OR(O391="lt600",AND(O391="600_999",K391&lt;&gt;"mariage",K391&lt;&gt;"prive")),"C",IF(OR(O391="2500_4999",O391="5000p",J391="entreprise",J391="organisme",J391="agence"),"A",IF(OR(O391="1000_2499",O391="600_999"),"B",IF(O391="inconnu",IF(OR(N391="75_149",N391="150p"),"A","B"),""))))))</f>
        <v/>
      </c>
      <c r="AT391" s="7">
        <f>IF(A391="","",IF(P391&lt;&gt;"",P391,AS391))</f>
        <v/>
      </c>
      <c r="AU391" s="7">
        <f>IF(A391="","",IF(OR(AT391="A",AT391="B"),1,0))</f>
        <v/>
      </c>
      <c r="AV391" s="7">
        <f>IF(A391="","",IF(OR(R391="Dépôt payé (gagné)",R391="Événement livré",R391="Avis obtenu"),1,0))</f>
        <v/>
      </c>
      <c r="AW391" s="7">
        <f>IF(A391="","",IF(Q391&gt;70,"Immédiat – propriétaire",IF(Q391&gt;=40,"15 min – personne de garde","Selon la route")))</f>
        <v/>
      </c>
      <c r="AX391" s="11">
        <f>IF(A391="","",IF(AT391="A",400,IF(AT391="B",150,0)))</f>
        <v/>
      </c>
      <c r="AY391" s="11">
        <f>IF(A391="","",IF(AV391=1,N(V391),IF(N(U391)&gt;0,ROUND(N(U391)*IFERROR(VLOOKUP(R391,Listes!$AE$3:$AG$12,2,FALSE),0),0),0)))</f>
        <v/>
      </c>
      <c r="AZ391" s="7">
        <f>IF(LEFT(A391,7)="EXEMPLE",1,0)</f>
        <v/>
      </c>
      <c r="BA391" s="7">
        <f>IF(AND(AV391=1,AZ391=0,AC391&lt;&gt;"",W391&lt;&gt;"",N(V391)&gt;0),COUNTIFS($AV$3:AV391,1,$AZ$3:AZ391,0,$AC$3:AC391,"&lt;&gt;",$W$3:W391,"&lt;&gt;",$V$3:V391,"&gt;0"),"")</f>
        <v/>
      </c>
    </row>
    <row r="392">
      <c r="A392" s="12" t="n"/>
      <c r="B392" s="13" t="n"/>
      <c r="C392" s="13" t="n"/>
      <c r="D392" s="7">
        <f>IF(OR(B392="",C392=""),"",ROUND((C392-B392)*1440,0))</f>
        <v/>
      </c>
      <c r="E392" s="12" t="n"/>
      <c r="F392" s="12" t="n"/>
      <c r="G392" s="12" t="n"/>
      <c r="H392" s="12" t="n"/>
      <c r="I392" s="12" t="n"/>
      <c r="J392" s="12" t="n"/>
      <c r="K392" s="12" t="n"/>
      <c r="L392" s="14" t="n"/>
      <c r="M392" s="12" t="n"/>
      <c r="N392" s="12" t="n"/>
      <c r="O392" s="12" t="n"/>
      <c r="P392" s="12" t="n"/>
      <c r="Q392" s="7">
        <f>IF(A392="","",IFERROR(VLOOKUP(O392,Listes!$R$3:$T$8,2,FALSE),0)+IFERROR(VLOOKUP(J392,Listes!$J$3:$L$6,2,FALSE),0)+IFERROR(VLOOKUP(N392,Listes!$N$3:$P$6,2,FALSE),0)+IF(OR(L392="",B392=""),0,IF(L392-INT(B392)&lt;10,8,IF(L392-INT(B392)&lt;=90,10,5)))+IFERROR(VLOOKUP(AN392,Listes!$V$3:$W$5,2,FALSE),0)+IFERROR(VLOOKUP(AO392,Listes!$Y$3:$Z$5,2,FALSE),0))</f>
        <v/>
      </c>
      <c r="R392" s="12" t="n"/>
      <c r="S392" s="12" t="n"/>
      <c r="T392" s="12" t="n"/>
      <c r="U392" s="15" t="n"/>
      <c r="V392" s="15" t="n"/>
      <c r="W392" s="13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3" t="n"/>
      <c r="AK392" s="12" t="n"/>
      <c r="AL392" s="12" t="n"/>
      <c r="AM392" s="12" t="n"/>
      <c r="AN392" s="12" t="n"/>
      <c r="AO392" s="12" t="n"/>
      <c r="AP392" s="12" t="n"/>
      <c r="AQ392" s="7">
        <f>IF(A392="","",IF(AP392&lt;&gt;"",AP392,IF(LEFT(Z392,11)="gads_marque","Google Search – Marque",IF(LEFT(Z392,12)="gads_mariage","Google Search – Mariage et privé",IF(LEFT(Z392,10)="gads_corpo","Google Search – Corporatif",IF(LEFT(Z392,5)="meta_","Meta – Leads",IF(LEFT(Z392,5)="msft_","Microsoft Ads",IF(LEFT(Z392,8)="chatgpt_","ChatGPT Ads – Test",IF(X392="gbp","Fiche Google (organique)","Autre / non payé")))))))))</f>
        <v/>
      </c>
      <c r="AR392" s="7">
        <f>IF(K392="","",IFERROR(VLOOKUP(K392,Listes!$F$3:$H$8,3,FALSE),""))</f>
        <v/>
      </c>
      <c r="AS392" s="7">
        <f>IF(O392="","",IF(AND(M392="Autre (plus de 40 km)",OR(O392="lt600",O392="600_999",O392="1000_2499")),"D",IF(OR(O392="lt600",AND(O392="600_999",K392&lt;&gt;"mariage",K392&lt;&gt;"prive")),"C",IF(OR(O392="2500_4999",O392="5000p",J392="entreprise",J392="organisme",J392="agence"),"A",IF(OR(O392="1000_2499",O392="600_999"),"B",IF(O392="inconnu",IF(OR(N392="75_149",N392="150p"),"A","B"),""))))))</f>
        <v/>
      </c>
      <c r="AT392" s="7">
        <f>IF(A392="","",IF(P392&lt;&gt;"",P392,AS392))</f>
        <v/>
      </c>
      <c r="AU392" s="7">
        <f>IF(A392="","",IF(OR(AT392="A",AT392="B"),1,0))</f>
        <v/>
      </c>
      <c r="AV392" s="7">
        <f>IF(A392="","",IF(OR(R392="Dépôt payé (gagné)",R392="Événement livré",R392="Avis obtenu"),1,0))</f>
        <v/>
      </c>
      <c r="AW392" s="7">
        <f>IF(A392="","",IF(Q392&gt;70,"Immédiat – propriétaire",IF(Q392&gt;=40,"15 min – personne de garde","Selon la route")))</f>
        <v/>
      </c>
      <c r="AX392" s="11">
        <f>IF(A392="","",IF(AT392="A",400,IF(AT392="B",150,0)))</f>
        <v/>
      </c>
      <c r="AY392" s="11">
        <f>IF(A392="","",IF(AV392=1,N(V392),IF(N(U392)&gt;0,ROUND(N(U392)*IFERROR(VLOOKUP(R392,Listes!$AE$3:$AG$12,2,FALSE),0),0),0)))</f>
        <v/>
      </c>
      <c r="AZ392" s="7">
        <f>IF(LEFT(A392,7)="EXEMPLE",1,0)</f>
        <v/>
      </c>
      <c r="BA392" s="7">
        <f>IF(AND(AV392=1,AZ392=0,AC392&lt;&gt;"",W392&lt;&gt;"",N(V392)&gt;0),COUNTIFS($AV$3:AV392,1,$AZ$3:AZ392,0,$AC$3:AC392,"&lt;&gt;",$W$3:W392,"&lt;&gt;",$V$3:V392,"&gt;0"),"")</f>
        <v/>
      </c>
    </row>
    <row r="393">
      <c r="A393" s="12" t="n"/>
      <c r="B393" s="13" t="n"/>
      <c r="C393" s="13" t="n"/>
      <c r="D393" s="7">
        <f>IF(OR(B393="",C393=""),"",ROUND((C393-B393)*1440,0))</f>
        <v/>
      </c>
      <c r="E393" s="12" t="n"/>
      <c r="F393" s="12" t="n"/>
      <c r="G393" s="12" t="n"/>
      <c r="H393" s="12" t="n"/>
      <c r="I393" s="12" t="n"/>
      <c r="J393" s="12" t="n"/>
      <c r="K393" s="12" t="n"/>
      <c r="L393" s="14" t="n"/>
      <c r="M393" s="12" t="n"/>
      <c r="N393" s="12" t="n"/>
      <c r="O393" s="12" t="n"/>
      <c r="P393" s="12" t="n"/>
      <c r="Q393" s="7">
        <f>IF(A393="","",IFERROR(VLOOKUP(O393,Listes!$R$3:$T$8,2,FALSE),0)+IFERROR(VLOOKUP(J393,Listes!$J$3:$L$6,2,FALSE),0)+IFERROR(VLOOKUP(N393,Listes!$N$3:$P$6,2,FALSE),0)+IF(OR(L393="",B393=""),0,IF(L393-INT(B393)&lt;10,8,IF(L393-INT(B393)&lt;=90,10,5)))+IFERROR(VLOOKUP(AN393,Listes!$V$3:$W$5,2,FALSE),0)+IFERROR(VLOOKUP(AO393,Listes!$Y$3:$Z$5,2,FALSE),0))</f>
        <v/>
      </c>
      <c r="R393" s="12" t="n"/>
      <c r="S393" s="12" t="n"/>
      <c r="T393" s="12" t="n"/>
      <c r="U393" s="15" t="n"/>
      <c r="V393" s="15" t="n"/>
      <c r="W393" s="13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3" t="n"/>
      <c r="AK393" s="12" t="n"/>
      <c r="AL393" s="12" t="n"/>
      <c r="AM393" s="12" t="n"/>
      <c r="AN393" s="12" t="n"/>
      <c r="AO393" s="12" t="n"/>
      <c r="AP393" s="12" t="n"/>
      <c r="AQ393" s="7">
        <f>IF(A393="","",IF(AP393&lt;&gt;"",AP393,IF(LEFT(Z393,11)="gads_marque","Google Search – Marque",IF(LEFT(Z393,12)="gads_mariage","Google Search – Mariage et privé",IF(LEFT(Z393,10)="gads_corpo","Google Search – Corporatif",IF(LEFT(Z393,5)="meta_","Meta – Leads",IF(LEFT(Z393,5)="msft_","Microsoft Ads",IF(LEFT(Z393,8)="chatgpt_","ChatGPT Ads – Test",IF(X393="gbp","Fiche Google (organique)","Autre / non payé")))))))))</f>
        <v/>
      </c>
      <c r="AR393" s="7">
        <f>IF(K393="","",IFERROR(VLOOKUP(K393,Listes!$F$3:$H$8,3,FALSE),""))</f>
        <v/>
      </c>
      <c r="AS393" s="7">
        <f>IF(O393="","",IF(AND(M393="Autre (plus de 40 km)",OR(O393="lt600",O393="600_999",O393="1000_2499")),"D",IF(OR(O393="lt600",AND(O393="600_999",K393&lt;&gt;"mariage",K393&lt;&gt;"prive")),"C",IF(OR(O393="2500_4999",O393="5000p",J393="entreprise",J393="organisme",J393="agence"),"A",IF(OR(O393="1000_2499",O393="600_999"),"B",IF(O393="inconnu",IF(OR(N393="75_149",N393="150p"),"A","B"),""))))))</f>
        <v/>
      </c>
      <c r="AT393" s="7">
        <f>IF(A393="","",IF(P393&lt;&gt;"",P393,AS393))</f>
        <v/>
      </c>
      <c r="AU393" s="7">
        <f>IF(A393="","",IF(OR(AT393="A",AT393="B"),1,0))</f>
        <v/>
      </c>
      <c r="AV393" s="7">
        <f>IF(A393="","",IF(OR(R393="Dépôt payé (gagné)",R393="Événement livré",R393="Avis obtenu"),1,0))</f>
        <v/>
      </c>
      <c r="AW393" s="7">
        <f>IF(A393="","",IF(Q393&gt;70,"Immédiat – propriétaire",IF(Q393&gt;=40,"15 min – personne de garde","Selon la route")))</f>
        <v/>
      </c>
      <c r="AX393" s="11">
        <f>IF(A393="","",IF(AT393="A",400,IF(AT393="B",150,0)))</f>
        <v/>
      </c>
      <c r="AY393" s="11">
        <f>IF(A393="","",IF(AV393=1,N(V393),IF(N(U393)&gt;0,ROUND(N(U393)*IFERROR(VLOOKUP(R393,Listes!$AE$3:$AG$12,2,FALSE),0),0),0)))</f>
        <v/>
      </c>
      <c r="AZ393" s="7">
        <f>IF(LEFT(A393,7)="EXEMPLE",1,0)</f>
        <v/>
      </c>
      <c r="BA393" s="7">
        <f>IF(AND(AV393=1,AZ393=0,AC393&lt;&gt;"",W393&lt;&gt;"",N(V393)&gt;0),COUNTIFS($AV$3:AV393,1,$AZ$3:AZ393,0,$AC$3:AC393,"&lt;&gt;",$W$3:W393,"&lt;&gt;",$V$3:V393,"&gt;0"),"")</f>
        <v/>
      </c>
    </row>
    <row r="394">
      <c r="A394" s="12" t="n"/>
      <c r="B394" s="13" t="n"/>
      <c r="C394" s="13" t="n"/>
      <c r="D394" s="7">
        <f>IF(OR(B394="",C394=""),"",ROUND((C394-B394)*1440,0))</f>
        <v/>
      </c>
      <c r="E394" s="12" t="n"/>
      <c r="F394" s="12" t="n"/>
      <c r="G394" s="12" t="n"/>
      <c r="H394" s="12" t="n"/>
      <c r="I394" s="12" t="n"/>
      <c r="J394" s="12" t="n"/>
      <c r="K394" s="12" t="n"/>
      <c r="L394" s="14" t="n"/>
      <c r="M394" s="12" t="n"/>
      <c r="N394" s="12" t="n"/>
      <c r="O394" s="12" t="n"/>
      <c r="P394" s="12" t="n"/>
      <c r="Q394" s="7">
        <f>IF(A394="","",IFERROR(VLOOKUP(O394,Listes!$R$3:$T$8,2,FALSE),0)+IFERROR(VLOOKUP(J394,Listes!$J$3:$L$6,2,FALSE),0)+IFERROR(VLOOKUP(N394,Listes!$N$3:$P$6,2,FALSE),0)+IF(OR(L394="",B394=""),0,IF(L394-INT(B394)&lt;10,8,IF(L394-INT(B394)&lt;=90,10,5)))+IFERROR(VLOOKUP(AN394,Listes!$V$3:$W$5,2,FALSE),0)+IFERROR(VLOOKUP(AO394,Listes!$Y$3:$Z$5,2,FALSE),0))</f>
        <v/>
      </c>
      <c r="R394" s="12" t="n"/>
      <c r="S394" s="12" t="n"/>
      <c r="T394" s="12" t="n"/>
      <c r="U394" s="15" t="n"/>
      <c r="V394" s="15" t="n"/>
      <c r="W394" s="13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3" t="n"/>
      <c r="AK394" s="12" t="n"/>
      <c r="AL394" s="12" t="n"/>
      <c r="AM394" s="12" t="n"/>
      <c r="AN394" s="12" t="n"/>
      <c r="AO394" s="12" t="n"/>
      <c r="AP394" s="12" t="n"/>
      <c r="AQ394" s="7">
        <f>IF(A394="","",IF(AP394&lt;&gt;"",AP394,IF(LEFT(Z394,11)="gads_marque","Google Search – Marque",IF(LEFT(Z394,12)="gads_mariage","Google Search – Mariage et privé",IF(LEFT(Z394,10)="gads_corpo","Google Search – Corporatif",IF(LEFT(Z394,5)="meta_","Meta – Leads",IF(LEFT(Z394,5)="msft_","Microsoft Ads",IF(LEFT(Z394,8)="chatgpt_","ChatGPT Ads – Test",IF(X394="gbp","Fiche Google (organique)","Autre / non payé")))))))))</f>
        <v/>
      </c>
      <c r="AR394" s="7">
        <f>IF(K394="","",IFERROR(VLOOKUP(K394,Listes!$F$3:$H$8,3,FALSE),""))</f>
        <v/>
      </c>
      <c r="AS394" s="7">
        <f>IF(O394="","",IF(AND(M394="Autre (plus de 40 km)",OR(O394="lt600",O394="600_999",O394="1000_2499")),"D",IF(OR(O394="lt600",AND(O394="600_999",K394&lt;&gt;"mariage",K394&lt;&gt;"prive")),"C",IF(OR(O394="2500_4999",O394="5000p",J394="entreprise",J394="organisme",J394="agence"),"A",IF(OR(O394="1000_2499",O394="600_999"),"B",IF(O394="inconnu",IF(OR(N394="75_149",N394="150p"),"A","B"),""))))))</f>
        <v/>
      </c>
      <c r="AT394" s="7">
        <f>IF(A394="","",IF(P394&lt;&gt;"",P394,AS394))</f>
        <v/>
      </c>
      <c r="AU394" s="7">
        <f>IF(A394="","",IF(OR(AT394="A",AT394="B"),1,0))</f>
        <v/>
      </c>
      <c r="AV394" s="7">
        <f>IF(A394="","",IF(OR(R394="Dépôt payé (gagné)",R394="Événement livré",R394="Avis obtenu"),1,0))</f>
        <v/>
      </c>
      <c r="AW394" s="7">
        <f>IF(A394="","",IF(Q394&gt;70,"Immédiat – propriétaire",IF(Q394&gt;=40,"15 min – personne de garde","Selon la route")))</f>
        <v/>
      </c>
      <c r="AX394" s="11">
        <f>IF(A394="","",IF(AT394="A",400,IF(AT394="B",150,0)))</f>
        <v/>
      </c>
      <c r="AY394" s="11">
        <f>IF(A394="","",IF(AV394=1,N(V394),IF(N(U394)&gt;0,ROUND(N(U394)*IFERROR(VLOOKUP(R394,Listes!$AE$3:$AG$12,2,FALSE),0),0),0)))</f>
        <v/>
      </c>
      <c r="AZ394" s="7">
        <f>IF(LEFT(A394,7)="EXEMPLE",1,0)</f>
        <v/>
      </c>
      <c r="BA394" s="7">
        <f>IF(AND(AV394=1,AZ394=0,AC394&lt;&gt;"",W394&lt;&gt;"",N(V394)&gt;0),COUNTIFS($AV$3:AV394,1,$AZ$3:AZ394,0,$AC$3:AC394,"&lt;&gt;",$W$3:W394,"&lt;&gt;",$V$3:V394,"&gt;0"),"")</f>
        <v/>
      </c>
    </row>
    <row r="395">
      <c r="A395" s="12" t="n"/>
      <c r="B395" s="13" t="n"/>
      <c r="C395" s="13" t="n"/>
      <c r="D395" s="7">
        <f>IF(OR(B395="",C395=""),"",ROUND((C395-B395)*1440,0))</f>
        <v/>
      </c>
      <c r="E395" s="12" t="n"/>
      <c r="F395" s="12" t="n"/>
      <c r="G395" s="12" t="n"/>
      <c r="H395" s="12" t="n"/>
      <c r="I395" s="12" t="n"/>
      <c r="J395" s="12" t="n"/>
      <c r="K395" s="12" t="n"/>
      <c r="L395" s="14" t="n"/>
      <c r="M395" s="12" t="n"/>
      <c r="N395" s="12" t="n"/>
      <c r="O395" s="12" t="n"/>
      <c r="P395" s="12" t="n"/>
      <c r="Q395" s="7">
        <f>IF(A395="","",IFERROR(VLOOKUP(O395,Listes!$R$3:$T$8,2,FALSE),0)+IFERROR(VLOOKUP(J395,Listes!$J$3:$L$6,2,FALSE),0)+IFERROR(VLOOKUP(N395,Listes!$N$3:$P$6,2,FALSE),0)+IF(OR(L395="",B395=""),0,IF(L395-INT(B395)&lt;10,8,IF(L395-INT(B395)&lt;=90,10,5)))+IFERROR(VLOOKUP(AN395,Listes!$V$3:$W$5,2,FALSE),0)+IFERROR(VLOOKUP(AO395,Listes!$Y$3:$Z$5,2,FALSE),0))</f>
        <v/>
      </c>
      <c r="R395" s="12" t="n"/>
      <c r="S395" s="12" t="n"/>
      <c r="T395" s="12" t="n"/>
      <c r="U395" s="15" t="n"/>
      <c r="V395" s="15" t="n"/>
      <c r="W395" s="13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3" t="n"/>
      <c r="AK395" s="12" t="n"/>
      <c r="AL395" s="12" t="n"/>
      <c r="AM395" s="12" t="n"/>
      <c r="AN395" s="12" t="n"/>
      <c r="AO395" s="12" t="n"/>
      <c r="AP395" s="12" t="n"/>
      <c r="AQ395" s="7">
        <f>IF(A395="","",IF(AP395&lt;&gt;"",AP395,IF(LEFT(Z395,11)="gads_marque","Google Search – Marque",IF(LEFT(Z395,12)="gads_mariage","Google Search – Mariage et privé",IF(LEFT(Z395,10)="gads_corpo","Google Search – Corporatif",IF(LEFT(Z395,5)="meta_","Meta – Leads",IF(LEFT(Z395,5)="msft_","Microsoft Ads",IF(LEFT(Z395,8)="chatgpt_","ChatGPT Ads – Test",IF(X395="gbp","Fiche Google (organique)","Autre / non payé")))))))))</f>
        <v/>
      </c>
      <c r="AR395" s="7">
        <f>IF(K395="","",IFERROR(VLOOKUP(K395,Listes!$F$3:$H$8,3,FALSE),""))</f>
        <v/>
      </c>
      <c r="AS395" s="7">
        <f>IF(O395="","",IF(AND(M395="Autre (plus de 40 km)",OR(O395="lt600",O395="600_999",O395="1000_2499")),"D",IF(OR(O395="lt600",AND(O395="600_999",K395&lt;&gt;"mariage",K395&lt;&gt;"prive")),"C",IF(OR(O395="2500_4999",O395="5000p",J395="entreprise",J395="organisme",J395="agence"),"A",IF(OR(O395="1000_2499",O395="600_999"),"B",IF(O395="inconnu",IF(OR(N395="75_149",N395="150p"),"A","B"),""))))))</f>
        <v/>
      </c>
      <c r="AT395" s="7">
        <f>IF(A395="","",IF(P395&lt;&gt;"",P395,AS395))</f>
        <v/>
      </c>
      <c r="AU395" s="7">
        <f>IF(A395="","",IF(OR(AT395="A",AT395="B"),1,0))</f>
        <v/>
      </c>
      <c r="AV395" s="7">
        <f>IF(A395="","",IF(OR(R395="Dépôt payé (gagné)",R395="Événement livré",R395="Avis obtenu"),1,0))</f>
        <v/>
      </c>
      <c r="AW395" s="7">
        <f>IF(A395="","",IF(Q395&gt;70,"Immédiat – propriétaire",IF(Q395&gt;=40,"15 min – personne de garde","Selon la route")))</f>
        <v/>
      </c>
      <c r="AX395" s="11">
        <f>IF(A395="","",IF(AT395="A",400,IF(AT395="B",150,0)))</f>
        <v/>
      </c>
      <c r="AY395" s="11">
        <f>IF(A395="","",IF(AV395=1,N(V395),IF(N(U395)&gt;0,ROUND(N(U395)*IFERROR(VLOOKUP(R395,Listes!$AE$3:$AG$12,2,FALSE),0),0),0)))</f>
        <v/>
      </c>
      <c r="AZ395" s="7">
        <f>IF(LEFT(A395,7)="EXEMPLE",1,0)</f>
        <v/>
      </c>
      <c r="BA395" s="7">
        <f>IF(AND(AV395=1,AZ395=0,AC395&lt;&gt;"",W395&lt;&gt;"",N(V395)&gt;0),COUNTIFS($AV$3:AV395,1,$AZ$3:AZ395,0,$AC$3:AC395,"&lt;&gt;",$W$3:W395,"&lt;&gt;",$V$3:V395,"&gt;0"),"")</f>
        <v/>
      </c>
    </row>
    <row r="396">
      <c r="A396" s="12" t="n"/>
      <c r="B396" s="13" t="n"/>
      <c r="C396" s="13" t="n"/>
      <c r="D396" s="7">
        <f>IF(OR(B396="",C396=""),"",ROUND((C396-B396)*1440,0))</f>
        <v/>
      </c>
      <c r="E396" s="12" t="n"/>
      <c r="F396" s="12" t="n"/>
      <c r="G396" s="12" t="n"/>
      <c r="H396" s="12" t="n"/>
      <c r="I396" s="12" t="n"/>
      <c r="J396" s="12" t="n"/>
      <c r="K396" s="12" t="n"/>
      <c r="L396" s="14" t="n"/>
      <c r="M396" s="12" t="n"/>
      <c r="N396" s="12" t="n"/>
      <c r="O396" s="12" t="n"/>
      <c r="P396" s="12" t="n"/>
      <c r="Q396" s="7">
        <f>IF(A396="","",IFERROR(VLOOKUP(O396,Listes!$R$3:$T$8,2,FALSE),0)+IFERROR(VLOOKUP(J396,Listes!$J$3:$L$6,2,FALSE),0)+IFERROR(VLOOKUP(N396,Listes!$N$3:$P$6,2,FALSE),0)+IF(OR(L396="",B396=""),0,IF(L396-INT(B396)&lt;10,8,IF(L396-INT(B396)&lt;=90,10,5)))+IFERROR(VLOOKUP(AN396,Listes!$V$3:$W$5,2,FALSE),0)+IFERROR(VLOOKUP(AO396,Listes!$Y$3:$Z$5,2,FALSE),0))</f>
        <v/>
      </c>
      <c r="R396" s="12" t="n"/>
      <c r="S396" s="12" t="n"/>
      <c r="T396" s="12" t="n"/>
      <c r="U396" s="15" t="n"/>
      <c r="V396" s="15" t="n"/>
      <c r="W396" s="13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3" t="n"/>
      <c r="AK396" s="12" t="n"/>
      <c r="AL396" s="12" t="n"/>
      <c r="AM396" s="12" t="n"/>
      <c r="AN396" s="12" t="n"/>
      <c r="AO396" s="12" t="n"/>
      <c r="AP396" s="12" t="n"/>
      <c r="AQ396" s="7">
        <f>IF(A396="","",IF(AP396&lt;&gt;"",AP396,IF(LEFT(Z396,11)="gads_marque","Google Search – Marque",IF(LEFT(Z396,12)="gads_mariage","Google Search – Mariage et privé",IF(LEFT(Z396,10)="gads_corpo","Google Search – Corporatif",IF(LEFT(Z396,5)="meta_","Meta – Leads",IF(LEFT(Z396,5)="msft_","Microsoft Ads",IF(LEFT(Z396,8)="chatgpt_","ChatGPT Ads – Test",IF(X396="gbp","Fiche Google (organique)","Autre / non payé")))))))))</f>
        <v/>
      </c>
      <c r="AR396" s="7">
        <f>IF(K396="","",IFERROR(VLOOKUP(K396,Listes!$F$3:$H$8,3,FALSE),""))</f>
        <v/>
      </c>
      <c r="AS396" s="7">
        <f>IF(O396="","",IF(AND(M396="Autre (plus de 40 km)",OR(O396="lt600",O396="600_999",O396="1000_2499")),"D",IF(OR(O396="lt600",AND(O396="600_999",K396&lt;&gt;"mariage",K396&lt;&gt;"prive")),"C",IF(OR(O396="2500_4999",O396="5000p",J396="entreprise",J396="organisme",J396="agence"),"A",IF(OR(O396="1000_2499",O396="600_999"),"B",IF(O396="inconnu",IF(OR(N396="75_149",N396="150p"),"A","B"),""))))))</f>
        <v/>
      </c>
      <c r="AT396" s="7">
        <f>IF(A396="","",IF(P396&lt;&gt;"",P396,AS396))</f>
        <v/>
      </c>
      <c r="AU396" s="7">
        <f>IF(A396="","",IF(OR(AT396="A",AT396="B"),1,0))</f>
        <v/>
      </c>
      <c r="AV396" s="7">
        <f>IF(A396="","",IF(OR(R396="Dépôt payé (gagné)",R396="Événement livré",R396="Avis obtenu"),1,0))</f>
        <v/>
      </c>
      <c r="AW396" s="7">
        <f>IF(A396="","",IF(Q396&gt;70,"Immédiat – propriétaire",IF(Q396&gt;=40,"15 min – personne de garde","Selon la route")))</f>
        <v/>
      </c>
      <c r="AX396" s="11">
        <f>IF(A396="","",IF(AT396="A",400,IF(AT396="B",150,0)))</f>
        <v/>
      </c>
      <c r="AY396" s="11">
        <f>IF(A396="","",IF(AV396=1,N(V396),IF(N(U396)&gt;0,ROUND(N(U396)*IFERROR(VLOOKUP(R396,Listes!$AE$3:$AG$12,2,FALSE),0),0),0)))</f>
        <v/>
      </c>
      <c r="AZ396" s="7">
        <f>IF(LEFT(A396,7)="EXEMPLE",1,0)</f>
        <v/>
      </c>
      <c r="BA396" s="7">
        <f>IF(AND(AV396=1,AZ396=0,AC396&lt;&gt;"",W396&lt;&gt;"",N(V396)&gt;0),COUNTIFS($AV$3:AV396,1,$AZ$3:AZ396,0,$AC$3:AC396,"&lt;&gt;",$W$3:W396,"&lt;&gt;",$V$3:V396,"&gt;0"),"")</f>
        <v/>
      </c>
    </row>
    <row r="397">
      <c r="A397" s="12" t="n"/>
      <c r="B397" s="13" t="n"/>
      <c r="C397" s="13" t="n"/>
      <c r="D397" s="7">
        <f>IF(OR(B397="",C397=""),"",ROUND((C397-B397)*1440,0))</f>
        <v/>
      </c>
      <c r="E397" s="12" t="n"/>
      <c r="F397" s="12" t="n"/>
      <c r="G397" s="12" t="n"/>
      <c r="H397" s="12" t="n"/>
      <c r="I397" s="12" t="n"/>
      <c r="J397" s="12" t="n"/>
      <c r="K397" s="12" t="n"/>
      <c r="L397" s="14" t="n"/>
      <c r="M397" s="12" t="n"/>
      <c r="N397" s="12" t="n"/>
      <c r="O397" s="12" t="n"/>
      <c r="P397" s="12" t="n"/>
      <c r="Q397" s="7">
        <f>IF(A397="","",IFERROR(VLOOKUP(O397,Listes!$R$3:$T$8,2,FALSE),0)+IFERROR(VLOOKUP(J397,Listes!$J$3:$L$6,2,FALSE),0)+IFERROR(VLOOKUP(N397,Listes!$N$3:$P$6,2,FALSE),0)+IF(OR(L397="",B397=""),0,IF(L397-INT(B397)&lt;10,8,IF(L397-INT(B397)&lt;=90,10,5)))+IFERROR(VLOOKUP(AN397,Listes!$V$3:$W$5,2,FALSE),0)+IFERROR(VLOOKUP(AO397,Listes!$Y$3:$Z$5,2,FALSE),0))</f>
        <v/>
      </c>
      <c r="R397" s="12" t="n"/>
      <c r="S397" s="12" t="n"/>
      <c r="T397" s="12" t="n"/>
      <c r="U397" s="15" t="n"/>
      <c r="V397" s="15" t="n"/>
      <c r="W397" s="13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3" t="n"/>
      <c r="AK397" s="12" t="n"/>
      <c r="AL397" s="12" t="n"/>
      <c r="AM397" s="12" t="n"/>
      <c r="AN397" s="12" t="n"/>
      <c r="AO397" s="12" t="n"/>
      <c r="AP397" s="12" t="n"/>
      <c r="AQ397" s="7">
        <f>IF(A397="","",IF(AP397&lt;&gt;"",AP397,IF(LEFT(Z397,11)="gads_marque","Google Search – Marque",IF(LEFT(Z397,12)="gads_mariage","Google Search – Mariage et privé",IF(LEFT(Z397,10)="gads_corpo","Google Search – Corporatif",IF(LEFT(Z397,5)="meta_","Meta – Leads",IF(LEFT(Z397,5)="msft_","Microsoft Ads",IF(LEFT(Z397,8)="chatgpt_","ChatGPT Ads – Test",IF(X397="gbp","Fiche Google (organique)","Autre / non payé")))))))))</f>
        <v/>
      </c>
      <c r="AR397" s="7">
        <f>IF(K397="","",IFERROR(VLOOKUP(K397,Listes!$F$3:$H$8,3,FALSE),""))</f>
        <v/>
      </c>
      <c r="AS397" s="7">
        <f>IF(O397="","",IF(AND(M397="Autre (plus de 40 km)",OR(O397="lt600",O397="600_999",O397="1000_2499")),"D",IF(OR(O397="lt600",AND(O397="600_999",K397&lt;&gt;"mariage",K397&lt;&gt;"prive")),"C",IF(OR(O397="2500_4999",O397="5000p",J397="entreprise",J397="organisme",J397="agence"),"A",IF(OR(O397="1000_2499",O397="600_999"),"B",IF(O397="inconnu",IF(OR(N397="75_149",N397="150p"),"A","B"),""))))))</f>
        <v/>
      </c>
      <c r="AT397" s="7">
        <f>IF(A397="","",IF(P397&lt;&gt;"",P397,AS397))</f>
        <v/>
      </c>
      <c r="AU397" s="7">
        <f>IF(A397="","",IF(OR(AT397="A",AT397="B"),1,0))</f>
        <v/>
      </c>
      <c r="AV397" s="7">
        <f>IF(A397="","",IF(OR(R397="Dépôt payé (gagné)",R397="Événement livré",R397="Avis obtenu"),1,0))</f>
        <v/>
      </c>
      <c r="AW397" s="7">
        <f>IF(A397="","",IF(Q397&gt;70,"Immédiat – propriétaire",IF(Q397&gt;=40,"15 min – personne de garde","Selon la route")))</f>
        <v/>
      </c>
      <c r="AX397" s="11">
        <f>IF(A397="","",IF(AT397="A",400,IF(AT397="B",150,0)))</f>
        <v/>
      </c>
      <c r="AY397" s="11">
        <f>IF(A397="","",IF(AV397=1,N(V397),IF(N(U397)&gt;0,ROUND(N(U397)*IFERROR(VLOOKUP(R397,Listes!$AE$3:$AG$12,2,FALSE),0),0),0)))</f>
        <v/>
      </c>
      <c r="AZ397" s="7">
        <f>IF(LEFT(A397,7)="EXEMPLE",1,0)</f>
        <v/>
      </c>
      <c r="BA397" s="7">
        <f>IF(AND(AV397=1,AZ397=0,AC397&lt;&gt;"",W397&lt;&gt;"",N(V397)&gt;0),COUNTIFS($AV$3:AV397,1,$AZ$3:AZ397,0,$AC$3:AC397,"&lt;&gt;",$W$3:W397,"&lt;&gt;",$V$3:V397,"&gt;0"),"")</f>
        <v/>
      </c>
    </row>
    <row r="398">
      <c r="A398" s="12" t="n"/>
      <c r="B398" s="13" t="n"/>
      <c r="C398" s="13" t="n"/>
      <c r="D398" s="7">
        <f>IF(OR(B398="",C398=""),"",ROUND((C398-B398)*1440,0))</f>
        <v/>
      </c>
      <c r="E398" s="12" t="n"/>
      <c r="F398" s="12" t="n"/>
      <c r="G398" s="12" t="n"/>
      <c r="H398" s="12" t="n"/>
      <c r="I398" s="12" t="n"/>
      <c r="J398" s="12" t="n"/>
      <c r="K398" s="12" t="n"/>
      <c r="L398" s="14" t="n"/>
      <c r="M398" s="12" t="n"/>
      <c r="N398" s="12" t="n"/>
      <c r="O398" s="12" t="n"/>
      <c r="P398" s="12" t="n"/>
      <c r="Q398" s="7">
        <f>IF(A398="","",IFERROR(VLOOKUP(O398,Listes!$R$3:$T$8,2,FALSE),0)+IFERROR(VLOOKUP(J398,Listes!$J$3:$L$6,2,FALSE),0)+IFERROR(VLOOKUP(N398,Listes!$N$3:$P$6,2,FALSE),0)+IF(OR(L398="",B398=""),0,IF(L398-INT(B398)&lt;10,8,IF(L398-INT(B398)&lt;=90,10,5)))+IFERROR(VLOOKUP(AN398,Listes!$V$3:$W$5,2,FALSE),0)+IFERROR(VLOOKUP(AO398,Listes!$Y$3:$Z$5,2,FALSE),0))</f>
        <v/>
      </c>
      <c r="R398" s="12" t="n"/>
      <c r="S398" s="12" t="n"/>
      <c r="T398" s="12" t="n"/>
      <c r="U398" s="15" t="n"/>
      <c r="V398" s="15" t="n"/>
      <c r="W398" s="13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3" t="n"/>
      <c r="AK398" s="12" t="n"/>
      <c r="AL398" s="12" t="n"/>
      <c r="AM398" s="12" t="n"/>
      <c r="AN398" s="12" t="n"/>
      <c r="AO398" s="12" t="n"/>
      <c r="AP398" s="12" t="n"/>
      <c r="AQ398" s="7">
        <f>IF(A398="","",IF(AP398&lt;&gt;"",AP398,IF(LEFT(Z398,11)="gads_marque","Google Search – Marque",IF(LEFT(Z398,12)="gads_mariage","Google Search – Mariage et privé",IF(LEFT(Z398,10)="gads_corpo","Google Search – Corporatif",IF(LEFT(Z398,5)="meta_","Meta – Leads",IF(LEFT(Z398,5)="msft_","Microsoft Ads",IF(LEFT(Z398,8)="chatgpt_","ChatGPT Ads – Test",IF(X398="gbp","Fiche Google (organique)","Autre / non payé")))))))))</f>
        <v/>
      </c>
      <c r="AR398" s="7">
        <f>IF(K398="","",IFERROR(VLOOKUP(K398,Listes!$F$3:$H$8,3,FALSE),""))</f>
        <v/>
      </c>
      <c r="AS398" s="7">
        <f>IF(O398="","",IF(AND(M398="Autre (plus de 40 km)",OR(O398="lt600",O398="600_999",O398="1000_2499")),"D",IF(OR(O398="lt600",AND(O398="600_999",K398&lt;&gt;"mariage",K398&lt;&gt;"prive")),"C",IF(OR(O398="2500_4999",O398="5000p",J398="entreprise",J398="organisme",J398="agence"),"A",IF(OR(O398="1000_2499",O398="600_999"),"B",IF(O398="inconnu",IF(OR(N398="75_149",N398="150p"),"A","B"),""))))))</f>
        <v/>
      </c>
      <c r="AT398" s="7">
        <f>IF(A398="","",IF(P398&lt;&gt;"",P398,AS398))</f>
        <v/>
      </c>
      <c r="AU398" s="7">
        <f>IF(A398="","",IF(OR(AT398="A",AT398="B"),1,0))</f>
        <v/>
      </c>
      <c r="AV398" s="7">
        <f>IF(A398="","",IF(OR(R398="Dépôt payé (gagné)",R398="Événement livré",R398="Avis obtenu"),1,0))</f>
        <v/>
      </c>
      <c r="AW398" s="7">
        <f>IF(A398="","",IF(Q398&gt;70,"Immédiat – propriétaire",IF(Q398&gt;=40,"15 min – personne de garde","Selon la route")))</f>
        <v/>
      </c>
      <c r="AX398" s="11">
        <f>IF(A398="","",IF(AT398="A",400,IF(AT398="B",150,0)))</f>
        <v/>
      </c>
      <c r="AY398" s="11">
        <f>IF(A398="","",IF(AV398=1,N(V398),IF(N(U398)&gt;0,ROUND(N(U398)*IFERROR(VLOOKUP(R398,Listes!$AE$3:$AG$12,2,FALSE),0),0),0)))</f>
        <v/>
      </c>
      <c r="AZ398" s="7">
        <f>IF(LEFT(A398,7)="EXEMPLE",1,0)</f>
        <v/>
      </c>
      <c r="BA398" s="7">
        <f>IF(AND(AV398=1,AZ398=0,AC398&lt;&gt;"",W398&lt;&gt;"",N(V398)&gt;0),COUNTIFS($AV$3:AV398,1,$AZ$3:AZ398,0,$AC$3:AC398,"&lt;&gt;",$W$3:W398,"&lt;&gt;",$V$3:V398,"&gt;0"),"")</f>
        <v/>
      </c>
    </row>
    <row r="399">
      <c r="A399" s="12" t="n"/>
      <c r="B399" s="13" t="n"/>
      <c r="C399" s="13" t="n"/>
      <c r="D399" s="7">
        <f>IF(OR(B399="",C399=""),"",ROUND((C399-B399)*1440,0))</f>
        <v/>
      </c>
      <c r="E399" s="12" t="n"/>
      <c r="F399" s="12" t="n"/>
      <c r="G399" s="12" t="n"/>
      <c r="H399" s="12" t="n"/>
      <c r="I399" s="12" t="n"/>
      <c r="J399" s="12" t="n"/>
      <c r="K399" s="12" t="n"/>
      <c r="L399" s="14" t="n"/>
      <c r="M399" s="12" t="n"/>
      <c r="N399" s="12" t="n"/>
      <c r="O399" s="12" t="n"/>
      <c r="P399" s="12" t="n"/>
      <c r="Q399" s="7">
        <f>IF(A399="","",IFERROR(VLOOKUP(O399,Listes!$R$3:$T$8,2,FALSE),0)+IFERROR(VLOOKUP(J399,Listes!$J$3:$L$6,2,FALSE),0)+IFERROR(VLOOKUP(N399,Listes!$N$3:$P$6,2,FALSE),0)+IF(OR(L399="",B399=""),0,IF(L399-INT(B399)&lt;10,8,IF(L399-INT(B399)&lt;=90,10,5)))+IFERROR(VLOOKUP(AN399,Listes!$V$3:$W$5,2,FALSE),0)+IFERROR(VLOOKUP(AO399,Listes!$Y$3:$Z$5,2,FALSE),0))</f>
        <v/>
      </c>
      <c r="R399" s="12" t="n"/>
      <c r="S399" s="12" t="n"/>
      <c r="T399" s="12" t="n"/>
      <c r="U399" s="15" t="n"/>
      <c r="V399" s="15" t="n"/>
      <c r="W399" s="13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3" t="n"/>
      <c r="AK399" s="12" t="n"/>
      <c r="AL399" s="12" t="n"/>
      <c r="AM399" s="12" t="n"/>
      <c r="AN399" s="12" t="n"/>
      <c r="AO399" s="12" t="n"/>
      <c r="AP399" s="12" t="n"/>
      <c r="AQ399" s="7">
        <f>IF(A399="","",IF(AP399&lt;&gt;"",AP399,IF(LEFT(Z399,11)="gads_marque","Google Search – Marque",IF(LEFT(Z399,12)="gads_mariage","Google Search – Mariage et privé",IF(LEFT(Z399,10)="gads_corpo","Google Search – Corporatif",IF(LEFT(Z399,5)="meta_","Meta – Leads",IF(LEFT(Z399,5)="msft_","Microsoft Ads",IF(LEFT(Z399,8)="chatgpt_","ChatGPT Ads – Test",IF(X399="gbp","Fiche Google (organique)","Autre / non payé")))))))))</f>
        <v/>
      </c>
      <c r="AR399" s="7">
        <f>IF(K399="","",IFERROR(VLOOKUP(K399,Listes!$F$3:$H$8,3,FALSE),""))</f>
        <v/>
      </c>
      <c r="AS399" s="7">
        <f>IF(O399="","",IF(AND(M399="Autre (plus de 40 km)",OR(O399="lt600",O399="600_999",O399="1000_2499")),"D",IF(OR(O399="lt600",AND(O399="600_999",K399&lt;&gt;"mariage",K399&lt;&gt;"prive")),"C",IF(OR(O399="2500_4999",O399="5000p",J399="entreprise",J399="organisme",J399="agence"),"A",IF(OR(O399="1000_2499",O399="600_999"),"B",IF(O399="inconnu",IF(OR(N399="75_149",N399="150p"),"A","B"),""))))))</f>
        <v/>
      </c>
      <c r="AT399" s="7">
        <f>IF(A399="","",IF(P399&lt;&gt;"",P399,AS399))</f>
        <v/>
      </c>
      <c r="AU399" s="7">
        <f>IF(A399="","",IF(OR(AT399="A",AT399="B"),1,0))</f>
        <v/>
      </c>
      <c r="AV399" s="7">
        <f>IF(A399="","",IF(OR(R399="Dépôt payé (gagné)",R399="Événement livré",R399="Avis obtenu"),1,0))</f>
        <v/>
      </c>
      <c r="AW399" s="7">
        <f>IF(A399="","",IF(Q399&gt;70,"Immédiat – propriétaire",IF(Q399&gt;=40,"15 min – personne de garde","Selon la route")))</f>
        <v/>
      </c>
      <c r="AX399" s="11">
        <f>IF(A399="","",IF(AT399="A",400,IF(AT399="B",150,0)))</f>
        <v/>
      </c>
      <c r="AY399" s="11">
        <f>IF(A399="","",IF(AV399=1,N(V399),IF(N(U399)&gt;0,ROUND(N(U399)*IFERROR(VLOOKUP(R399,Listes!$AE$3:$AG$12,2,FALSE),0),0),0)))</f>
        <v/>
      </c>
      <c r="AZ399" s="7">
        <f>IF(LEFT(A399,7)="EXEMPLE",1,0)</f>
        <v/>
      </c>
      <c r="BA399" s="7">
        <f>IF(AND(AV399=1,AZ399=0,AC399&lt;&gt;"",W399&lt;&gt;"",N(V399)&gt;0),COUNTIFS($AV$3:AV399,1,$AZ$3:AZ399,0,$AC$3:AC399,"&lt;&gt;",$W$3:W399,"&lt;&gt;",$V$3:V399,"&gt;0"),"")</f>
        <v/>
      </c>
    </row>
    <row r="400">
      <c r="A400" s="12" t="n"/>
      <c r="B400" s="13" t="n"/>
      <c r="C400" s="13" t="n"/>
      <c r="D400" s="7">
        <f>IF(OR(B400="",C400=""),"",ROUND((C400-B400)*1440,0))</f>
        <v/>
      </c>
      <c r="E400" s="12" t="n"/>
      <c r="F400" s="12" t="n"/>
      <c r="G400" s="12" t="n"/>
      <c r="H400" s="12" t="n"/>
      <c r="I400" s="12" t="n"/>
      <c r="J400" s="12" t="n"/>
      <c r="K400" s="12" t="n"/>
      <c r="L400" s="14" t="n"/>
      <c r="M400" s="12" t="n"/>
      <c r="N400" s="12" t="n"/>
      <c r="O400" s="12" t="n"/>
      <c r="P400" s="12" t="n"/>
      <c r="Q400" s="7">
        <f>IF(A400="","",IFERROR(VLOOKUP(O400,Listes!$R$3:$T$8,2,FALSE),0)+IFERROR(VLOOKUP(J400,Listes!$J$3:$L$6,2,FALSE),0)+IFERROR(VLOOKUP(N400,Listes!$N$3:$P$6,2,FALSE),0)+IF(OR(L400="",B400=""),0,IF(L400-INT(B400)&lt;10,8,IF(L400-INT(B400)&lt;=90,10,5)))+IFERROR(VLOOKUP(AN400,Listes!$V$3:$W$5,2,FALSE),0)+IFERROR(VLOOKUP(AO400,Listes!$Y$3:$Z$5,2,FALSE),0))</f>
        <v/>
      </c>
      <c r="R400" s="12" t="n"/>
      <c r="S400" s="12" t="n"/>
      <c r="T400" s="12" t="n"/>
      <c r="U400" s="15" t="n"/>
      <c r="V400" s="15" t="n"/>
      <c r="W400" s="13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3" t="n"/>
      <c r="AK400" s="12" t="n"/>
      <c r="AL400" s="12" t="n"/>
      <c r="AM400" s="12" t="n"/>
      <c r="AN400" s="12" t="n"/>
      <c r="AO400" s="12" t="n"/>
      <c r="AP400" s="12" t="n"/>
      <c r="AQ400" s="7">
        <f>IF(A400="","",IF(AP400&lt;&gt;"",AP400,IF(LEFT(Z400,11)="gads_marque","Google Search – Marque",IF(LEFT(Z400,12)="gads_mariage","Google Search – Mariage et privé",IF(LEFT(Z400,10)="gads_corpo","Google Search – Corporatif",IF(LEFT(Z400,5)="meta_","Meta – Leads",IF(LEFT(Z400,5)="msft_","Microsoft Ads",IF(LEFT(Z400,8)="chatgpt_","ChatGPT Ads – Test",IF(X400="gbp","Fiche Google (organique)","Autre / non payé")))))))))</f>
        <v/>
      </c>
      <c r="AR400" s="7">
        <f>IF(K400="","",IFERROR(VLOOKUP(K400,Listes!$F$3:$H$8,3,FALSE),""))</f>
        <v/>
      </c>
      <c r="AS400" s="7">
        <f>IF(O400="","",IF(AND(M400="Autre (plus de 40 km)",OR(O400="lt600",O400="600_999",O400="1000_2499")),"D",IF(OR(O400="lt600",AND(O400="600_999",K400&lt;&gt;"mariage",K400&lt;&gt;"prive")),"C",IF(OR(O400="2500_4999",O400="5000p",J400="entreprise",J400="organisme",J400="agence"),"A",IF(OR(O400="1000_2499",O400="600_999"),"B",IF(O400="inconnu",IF(OR(N400="75_149",N400="150p"),"A","B"),""))))))</f>
        <v/>
      </c>
      <c r="AT400" s="7">
        <f>IF(A400="","",IF(P400&lt;&gt;"",P400,AS400))</f>
        <v/>
      </c>
      <c r="AU400" s="7">
        <f>IF(A400="","",IF(OR(AT400="A",AT400="B"),1,0))</f>
        <v/>
      </c>
      <c r="AV400" s="7">
        <f>IF(A400="","",IF(OR(R400="Dépôt payé (gagné)",R400="Événement livré",R400="Avis obtenu"),1,0))</f>
        <v/>
      </c>
      <c r="AW400" s="7">
        <f>IF(A400="","",IF(Q400&gt;70,"Immédiat – propriétaire",IF(Q400&gt;=40,"15 min – personne de garde","Selon la route")))</f>
        <v/>
      </c>
      <c r="AX400" s="11">
        <f>IF(A400="","",IF(AT400="A",400,IF(AT400="B",150,0)))</f>
        <v/>
      </c>
      <c r="AY400" s="11">
        <f>IF(A400="","",IF(AV400=1,N(V400),IF(N(U400)&gt;0,ROUND(N(U400)*IFERROR(VLOOKUP(R400,Listes!$AE$3:$AG$12,2,FALSE),0),0),0)))</f>
        <v/>
      </c>
      <c r="AZ400" s="7">
        <f>IF(LEFT(A400,7)="EXEMPLE",1,0)</f>
        <v/>
      </c>
      <c r="BA400" s="7">
        <f>IF(AND(AV400=1,AZ400=0,AC400&lt;&gt;"",W400&lt;&gt;"",N(V400)&gt;0),COUNTIFS($AV$3:AV400,1,$AZ$3:AZ400,0,$AC$3:AC400,"&lt;&gt;",$W$3:W400,"&lt;&gt;",$V$3:V400,"&gt;0"),"")</f>
        <v/>
      </c>
    </row>
    <row r="401">
      <c r="A401" s="12" t="n"/>
      <c r="B401" s="13" t="n"/>
      <c r="C401" s="13" t="n"/>
      <c r="D401" s="7">
        <f>IF(OR(B401="",C401=""),"",ROUND((C401-B401)*1440,0))</f>
        <v/>
      </c>
      <c r="E401" s="12" t="n"/>
      <c r="F401" s="12" t="n"/>
      <c r="G401" s="12" t="n"/>
      <c r="H401" s="12" t="n"/>
      <c r="I401" s="12" t="n"/>
      <c r="J401" s="12" t="n"/>
      <c r="K401" s="12" t="n"/>
      <c r="L401" s="14" t="n"/>
      <c r="M401" s="12" t="n"/>
      <c r="N401" s="12" t="n"/>
      <c r="O401" s="12" t="n"/>
      <c r="P401" s="12" t="n"/>
      <c r="Q401" s="7">
        <f>IF(A401="","",IFERROR(VLOOKUP(O401,Listes!$R$3:$T$8,2,FALSE),0)+IFERROR(VLOOKUP(J401,Listes!$J$3:$L$6,2,FALSE),0)+IFERROR(VLOOKUP(N401,Listes!$N$3:$P$6,2,FALSE),0)+IF(OR(L401="",B401=""),0,IF(L401-INT(B401)&lt;10,8,IF(L401-INT(B401)&lt;=90,10,5)))+IFERROR(VLOOKUP(AN401,Listes!$V$3:$W$5,2,FALSE),0)+IFERROR(VLOOKUP(AO401,Listes!$Y$3:$Z$5,2,FALSE),0))</f>
        <v/>
      </c>
      <c r="R401" s="12" t="n"/>
      <c r="S401" s="12" t="n"/>
      <c r="T401" s="12" t="n"/>
      <c r="U401" s="15" t="n"/>
      <c r="V401" s="15" t="n"/>
      <c r="W401" s="13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3" t="n"/>
      <c r="AK401" s="12" t="n"/>
      <c r="AL401" s="12" t="n"/>
      <c r="AM401" s="12" t="n"/>
      <c r="AN401" s="12" t="n"/>
      <c r="AO401" s="12" t="n"/>
      <c r="AP401" s="12" t="n"/>
      <c r="AQ401" s="7">
        <f>IF(A401="","",IF(AP401&lt;&gt;"",AP401,IF(LEFT(Z401,11)="gads_marque","Google Search – Marque",IF(LEFT(Z401,12)="gads_mariage","Google Search – Mariage et privé",IF(LEFT(Z401,10)="gads_corpo","Google Search – Corporatif",IF(LEFT(Z401,5)="meta_","Meta – Leads",IF(LEFT(Z401,5)="msft_","Microsoft Ads",IF(LEFT(Z401,8)="chatgpt_","ChatGPT Ads – Test",IF(X401="gbp","Fiche Google (organique)","Autre / non payé")))))))))</f>
        <v/>
      </c>
      <c r="AR401" s="7">
        <f>IF(K401="","",IFERROR(VLOOKUP(K401,Listes!$F$3:$H$8,3,FALSE),""))</f>
        <v/>
      </c>
      <c r="AS401" s="7">
        <f>IF(O401="","",IF(AND(M401="Autre (plus de 40 km)",OR(O401="lt600",O401="600_999",O401="1000_2499")),"D",IF(OR(O401="lt600",AND(O401="600_999",K401&lt;&gt;"mariage",K401&lt;&gt;"prive")),"C",IF(OR(O401="2500_4999",O401="5000p",J401="entreprise",J401="organisme",J401="agence"),"A",IF(OR(O401="1000_2499",O401="600_999"),"B",IF(O401="inconnu",IF(OR(N401="75_149",N401="150p"),"A","B"),""))))))</f>
        <v/>
      </c>
      <c r="AT401" s="7">
        <f>IF(A401="","",IF(P401&lt;&gt;"",P401,AS401))</f>
        <v/>
      </c>
      <c r="AU401" s="7">
        <f>IF(A401="","",IF(OR(AT401="A",AT401="B"),1,0))</f>
        <v/>
      </c>
      <c r="AV401" s="7">
        <f>IF(A401="","",IF(OR(R401="Dépôt payé (gagné)",R401="Événement livré",R401="Avis obtenu"),1,0))</f>
        <v/>
      </c>
      <c r="AW401" s="7">
        <f>IF(A401="","",IF(Q401&gt;70,"Immédiat – propriétaire",IF(Q401&gt;=40,"15 min – personne de garde","Selon la route")))</f>
        <v/>
      </c>
      <c r="AX401" s="11">
        <f>IF(A401="","",IF(AT401="A",400,IF(AT401="B",150,0)))</f>
        <v/>
      </c>
      <c r="AY401" s="11">
        <f>IF(A401="","",IF(AV401=1,N(V401),IF(N(U401)&gt;0,ROUND(N(U401)*IFERROR(VLOOKUP(R401,Listes!$AE$3:$AG$12,2,FALSE),0),0),0)))</f>
        <v/>
      </c>
      <c r="AZ401" s="7">
        <f>IF(LEFT(A401,7)="EXEMPLE",1,0)</f>
        <v/>
      </c>
      <c r="BA401" s="7">
        <f>IF(AND(AV401=1,AZ401=0,AC401&lt;&gt;"",W401&lt;&gt;"",N(V401)&gt;0),COUNTIFS($AV$3:AV401,1,$AZ$3:AZ401,0,$AC$3:AC401,"&lt;&gt;",$W$3:W401,"&lt;&gt;",$V$3:V401,"&gt;0"),"")</f>
        <v/>
      </c>
    </row>
    <row r="402">
      <c r="A402" s="12" t="n"/>
      <c r="B402" s="13" t="n"/>
      <c r="C402" s="13" t="n"/>
      <c r="D402" s="7">
        <f>IF(OR(B402="",C402=""),"",ROUND((C402-B402)*1440,0))</f>
        <v/>
      </c>
      <c r="E402" s="12" t="n"/>
      <c r="F402" s="12" t="n"/>
      <c r="G402" s="12" t="n"/>
      <c r="H402" s="12" t="n"/>
      <c r="I402" s="12" t="n"/>
      <c r="J402" s="12" t="n"/>
      <c r="K402" s="12" t="n"/>
      <c r="L402" s="14" t="n"/>
      <c r="M402" s="12" t="n"/>
      <c r="N402" s="12" t="n"/>
      <c r="O402" s="12" t="n"/>
      <c r="P402" s="12" t="n"/>
      <c r="Q402" s="7">
        <f>IF(A402="","",IFERROR(VLOOKUP(O402,Listes!$R$3:$T$8,2,FALSE),0)+IFERROR(VLOOKUP(J402,Listes!$J$3:$L$6,2,FALSE),0)+IFERROR(VLOOKUP(N402,Listes!$N$3:$P$6,2,FALSE),0)+IF(OR(L402="",B402=""),0,IF(L402-INT(B402)&lt;10,8,IF(L402-INT(B402)&lt;=90,10,5)))+IFERROR(VLOOKUP(AN402,Listes!$V$3:$W$5,2,FALSE),0)+IFERROR(VLOOKUP(AO402,Listes!$Y$3:$Z$5,2,FALSE),0))</f>
        <v/>
      </c>
      <c r="R402" s="12" t="n"/>
      <c r="S402" s="12" t="n"/>
      <c r="T402" s="12" t="n"/>
      <c r="U402" s="15" t="n"/>
      <c r="V402" s="15" t="n"/>
      <c r="W402" s="13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3" t="n"/>
      <c r="AK402" s="12" t="n"/>
      <c r="AL402" s="12" t="n"/>
      <c r="AM402" s="12" t="n"/>
      <c r="AN402" s="12" t="n"/>
      <c r="AO402" s="12" t="n"/>
      <c r="AP402" s="12" t="n"/>
      <c r="AQ402" s="7">
        <f>IF(A402="","",IF(AP402&lt;&gt;"",AP402,IF(LEFT(Z402,11)="gads_marque","Google Search – Marque",IF(LEFT(Z402,12)="gads_mariage","Google Search – Mariage et privé",IF(LEFT(Z402,10)="gads_corpo","Google Search – Corporatif",IF(LEFT(Z402,5)="meta_","Meta – Leads",IF(LEFT(Z402,5)="msft_","Microsoft Ads",IF(LEFT(Z402,8)="chatgpt_","ChatGPT Ads – Test",IF(X402="gbp","Fiche Google (organique)","Autre / non payé")))))))))</f>
        <v/>
      </c>
      <c r="AR402" s="7">
        <f>IF(K402="","",IFERROR(VLOOKUP(K402,Listes!$F$3:$H$8,3,FALSE),""))</f>
        <v/>
      </c>
      <c r="AS402" s="7">
        <f>IF(O402="","",IF(AND(M402="Autre (plus de 40 km)",OR(O402="lt600",O402="600_999",O402="1000_2499")),"D",IF(OR(O402="lt600",AND(O402="600_999",K402&lt;&gt;"mariage",K402&lt;&gt;"prive")),"C",IF(OR(O402="2500_4999",O402="5000p",J402="entreprise",J402="organisme",J402="agence"),"A",IF(OR(O402="1000_2499",O402="600_999"),"B",IF(O402="inconnu",IF(OR(N402="75_149",N402="150p"),"A","B"),""))))))</f>
        <v/>
      </c>
      <c r="AT402" s="7">
        <f>IF(A402="","",IF(P402&lt;&gt;"",P402,AS402))</f>
        <v/>
      </c>
      <c r="AU402" s="7">
        <f>IF(A402="","",IF(OR(AT402="A",AT402="B"),1,0))</f>
        <v/>
      </c>
      <c r="AV402" s="7">
        <f>IF(A402="","",IF(OR(R402="Dépôt payé (gagné)",R402="Événement livré",R402="Avis obtenu"),1,0))</f>
        <v/>
      </c>
      <c r="AW402" s="7">
        <f>IF(A402="","",IF(Q402&gt;70,"Immédiat – propriétaire",IF(Q402&gt;=40,"15 min – personne de garde","Selon la route")))</f>
        <v/>
      </c>
      <c r="AX402" s="11">
        <f>IF(A402="","",IF(AT402="A",400,IF(AT402="B",150,0)))</f>
        <v/>
      </c>
      <c r="AY402" s="11">
        <f>IF(A402="","",IF(AV402=1,N(V402),IF(N(U402)&gt;0,ROUND(N(U402)*IFERROR(VLOOKUP(R402,Listes!$AE$3:$AG$12,2,FALSE),0),0),0)))</f>
        <v/>
      </c>
      <c r="AZ402" s="7">
        <f>IF(LEFT(A402,7)="EXEMPLE",1,0)</f>
        <v/>
      </c>
      <c r="BA402" s="7">
        <f>IF(AND(AV402=1,AZ402=0,AC402&lt;&gt;"",W402&lt;&gt;"",N(V402)&gt;0),COUNTIFS($AV$3:AV402,1,$AZ$3:AZ402,0,$AC$3:AC402,"&lt;&gt;",$W$3:W402,"&lt;&gt;",$V$3:V402,"&gt;0"),"")</f>
        <v/>
      </c>
    </row>
    <row r="403">
      <c r="A403" s="12" t="n"/>
      <c r="B403" s="13" t="n"/>
      <c r="C403" s="13" t="n"/>
      <c r="D403" s="7">
        <f>IF(OR(B403="",C403=""),"",ROUND((C403-B403)*1440,0))</f>
        <v/>
      </c>
      <c r="E403" s="12" t="n"/>
      <c r="F403" s="12" t="n"/>
      <c r="G403" s="12" t="n"/>
      <c r="H403" s="12" t="n"/>
      <c r="I403" s="12" t="n"/>
      <c r="J403" s="12" t="n"/>
      <c r="K403" s="12" t="n"/>
      <c r="L403" s="14" t="n"/>
      <c r="M403" s="12" t="n"/>
      <c r="N403" s="12" t="n"/>
      <c r="O403" s="12" t="n"/>
      <c r="P403" s="12" t="n"/>
      <c r="Q403" s="7">
        <f>IF(A403="","",IFERROR(VLOOKUP(O403,Listes!$R$3:$T$8,2,FALSE),0)+IFERROR(VLOOKUP(J403,Listes!$J$3:$L$6,2,FALSE),0)+IFERROR(VLOOKUP(N403,Listes!$N$3:$P$6,2,FALSE),0)+IF(OR(L403="",B403=""),0,IF(L403-INT(B403)&lt;10,8,IF(L403-INT(B403)&lt;=90,10,5)))+IFERROR(VLOOKUP(AN403,Listes!$V$3:$W$5,2,FALSE),0)+IFERROR(VLOOKUP(AO403,Listes!$Y$3:$Z$5,2,FALSE),0))</f>
        <v/>
      </c>
      <c r="R403" s="12" t="n"/>
      <c r="S403" s="12" t="n"/>
      <c r="T403" s="12" t="n"/>
      <c r="U403" s="15" t="n"/>
      <c r="V403" s="15" t="n"/>
      <c r="W403" s="13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3" t="n"/>
      <c r="AK403" s="12" t="n"/>
      <c r="AL403" s="12" t="n"/>
      <c r="AM403" s="12" t="n"/>
      <c r="AN403" s="12" t="n"/>
      <c r="AO403" s="12" t="n"/>
      <c r="AP403" s="12" t="n"/>
      <c r="AQ403" s="7">
        <f>IF(A403="","",IF(AP403&lt;&gt;"",AP403,IF(LEFT(Z403,11)="gads_marque","Google Search – Marque",IF(LEFT(Z403,12)="gads_mariage","Google Search – Mariage et privé",IF(LEFT(Z403,10)="gads_corpo","Google Search – Corporatif",IF(LEFT(Z403,5)="meta_","Meta – Leads",IF(LEFT(Z403,5)="msft_","Microsoft Ads",IF(LEFT(Z403,8)="chatgpt_","ChatGPT Ads – Test",IF(X403="gbp","Fiche Google (organique)","Autre / non payé")))))))))</f>
        <v/>
      </c>
      <c r="AR403" s="7">
        <f>IF(K403="","",IFERROR(VLOOKUP(K403,Listes!$F$3:$H$8,3,FALSE),""))</f>
        <v/>
      </c>
      <c r="AS403" s="7">
        <f>IF(O403="","",IF(AND(M403="Autre (plus de 40 km)",OR(O403="lt600",O403="600_999",O403="1000_2499")),"D",IF(OR(O403="lt600",AND(O403="600_999",K403&lt;&gt;"mariage",K403&lt;&gt;"prive")),"C",IF(OR(O403="2500_4999",O403="5000p",J403="entreprise",J403="organisme",J403="agence"),"A",IF(OR(O403="1000_2499",O403="600_999"),"B",IF(O403="inconnu",IF(OR(N403="75_149",N403="150p"),"A","B"),""))))))</f>
        <v/>
      </c>
      <c r="AT403" s="7">
        <f>IF(A403="","",IF(P403&lt;&gt;"",P403,AS403))</f>
        <v/>
      </c>
      <c r="AU403" s="7">
        <f>IF(A403="","",IF(OR(AT403="A",AT403="B"),1,0))</f>
        <v/>
      </c>
      <c r="AV403" s="7">
        <f>IF(A403="","",IF(OR(R403="Dépôt payé (gagné)",R403="Événement livré",R403="Avis obtenu"),1,0))</f>
        <v/>
      </c>
      <c r="AW403" s="7">
        <f>IF(A403="","",IF(Q403&gt;70,"Immédiat – propriétaire",IF(Q403&gt;=40,"15 min – personne de garde","Selon la route")))</f>
        <v/>
      </c>
      <c r="AX403" s="11">
        <f>IF(A403="","",IF(AT403="A",400,IF(AT403="B",150,0)))</f>
        <v/>
      </c>
      <c r="AY403" s="11">
        <f>IF(A403="","",IF(AV403=1,N(V403),IF(N(U403)&gt;0,ROUND(N(U403)*IFERROR(VLOOKUP(R403,Listes!$AE$3:$AG$12,2,FALSE),0),0),0)))</f>
        <v/>
      </c>
      <c r="AZ403" s="7">
        <f>IF(LEFT(A403,7)="EXEMPLE",1,0)</f>
        <v/>
      </c>
      <c r="BA403" s="7">
        <f>IF(AND(AV403=1,AZ403=0,AC403&lt;&gt;"",W403&lt;&gt;"",N(V403)&gt;0),COUNTIFS($AV$3:AV403,1,$AZ$3:AZ403,0,$AC$3:AC403,"&lt;&gt;",$W$3:W403,"&lt;&gt;",$V$3:V403,"&gt;0"),"")</f>
        <v/>
      </c>
    </row>
    <row r="404">
      <c r="A404" s="12" t="n"/>
      <c r="B404" s="13" t="n"/>
      <c r="C404" s="13" t="n"/>
      <c r="D404" s="7">
        <f>IF(OR(B404="",C404=""),"",ROUND((C404-B404)*1440,0))</f>
        <v/>
      </c>
      <c r="E404" s="12" t="n"/>
      <c r="F404" s="12" t="n"/>
      <c r="G404" s="12" t="n"/>
      <c r="H404" s="12" t="n"/>
      <c r="I404" s="12" t="n"/>
      <c r="J404" s="12" t="n"/>
      <c r="K404" s="12" t="n"/>
      <c r="L404" s="14" t="n"/>
      <c r="M404" s="12" t="n"/>
      <c r="N404" s="12" t="n"/>
      <c r="O404" s="12" t="n"/>
      <c r="P404" s="12" t="n"/>
      <c r="Q404" s="7">
        <f>IF(A404="","",IFERROR(VLOOKUP(O404,Listes!$R$3:$T$8,2,FALSE),0)+IFERROR(VLOOKUP(J404,Listes!$J$3:$L$6,2,FALSE),0)+IFERROR(VLOOKUP(N404,Listes!$N$3:$P$6,2,FALSE),0)+IF(OR(L404="",B404=""),0,IF(L404-INT(B404)&lt;10,8,IF(L404-INT(B404)&lt;=90,10,5)))+IFERROR(VLOOKUP(AN404,Listes!$V$3:$W$5,2,FALSE),0)+IFERROR(VLOOKUP(AO404,Listes!$Y$3:$Z$5,2,FALSE),0))</f>
        <v/>
      </c>
      <c r="R404" s="12" t="n"/>
      <c r="S404" s="12" t="n"/>
      <c r="T404" s="12" t="n"/>
      <c r="U404" s="15" t="n"/>
      <c r="V404" s="15" t="n"/>
      <c r="W404" s="13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3" t="n"/>
      <c r="AK404" s="12" t="n"/>
      <c r="AL404" s="12" t="n"/>
      <c r="AM404" s="12" t="n"/>
      <c r="AN404" s="12" t="n"/>
      <c r="AO404" s="12" t="n"/>
      <c r="AP404" s="12" t="n"/>
      <c r="AQ404" s="7">
        <f>IF(A404="","",IF(AP404&lt;&gt;"",AP404,IF(LEFT(Z404,11)="gads_marque","Google Search – Marque",IF(LEFT(Z404,12)="gads_mariage","Google Search – Mariage et privé",IF(LEFT(Z404,10)="gads_corpo","Google Search – Corporatif",IF(LEFT(Z404,5)="meta_","Meta – Leads",IF(LEFT(Z404,5)="msft_","Microsoft Ads",IF(LEFT(Z404,8)="chatgpt_","ChatGPT Ads – Test",IF(X404="gbp","Fiche Google (organique)","Autre / non payé")))))))))</f>
        <v/>
      </c>
      <c r="AR404" s="7">
        <f>IF(K404="","",IFERROR(VLOOKUP(K404,Listes!$F$3:$H$8,3,FALSE),""))</f>
        <v/>
      </c>
      <c r="AS404" s="7">
        <f>IF(O404="","",IF(AND(M404="Autre (plus de 40 km)",OR(O404="lt600",O404="600_999",O404="1000_2499")),"D",IF(OR(O404="lt600",AND(O404="600_999",K404&lt;&gt;"mariage",K404&lt;&gt;"prive")),"C",IF(OR(O404="2500_4999",O404="5000p",J404="entreprise",J404="organisme",J404="agence"),"A",IF(OR(O404="1000_2499",O404="600_999"),"B",IF(O404="inconnu",IF(OR(N404="75_149",N404="150p"),"A","B"),""))))))</f>
        <v/>
      </c>
      <c r="AT404" s="7">
        <f>IF(A404="","",IF(P404&lt;&gt;"",P404,AS404))</f>
        <v/>
      </c>
      <c r="AU404" s="7">
        <f>IF(A404="","",IF(OR(AT404="A",AT404="B"),1,0))</f>
        <v/>
      </c>
      <c r="AV404" s="7">
        <f>IF(A404="","",IF(OR(R404="Dépôt payé (gagné)",R404="Événement livré",R404="Avis obtenu"),1,0))</f>
        <v/>
      </c>
      <c r="AW404" s="7">
        <f>IF(A404="","",IF(Q404&gt;70,"Immédiat – propriétaire",IF(Q404&gt;=40,"15 min – personne de garde","Selon la route")))</f>
        <v/>
      </c>
      <c r="AX404" s="11">
        <f>IF(A404="","",IF(AT404="A",400,IF(AT404="B",150,0)))</f>
        <v/>
      </c>
      <c r="AY404" s="11">
        <f>IF(A404="","",IF(AV404=1,N(V404),IF(N(U404)&gt;0,ROUND(N(U404)*IFERROR(VLOOKUP(R404,Listes!$AE$3:$AG$12,2,FALSE),0),0),0)))</f>
        <v/>
      </c>
      <c r="AZ404" s="7">
        <f>IF(LEFT(A404,7)="EXEMPLE",1,0)</f>
        <v/>
      </c>
      <c r="BA404" s="7">
        <f>IF(AND(AV404=1,AZ404=0,AC404&lt;&gt;"",W404&lt;&gt;"",N(V404)&gt;0),COUNTIFS($AV$3:AV404,1,$AZ$3:AZ404,0,$AC$3:AC404,"&lt;&gt;",$W$3:W404,"&lt;&gt;",$V$3:V404,"&gt;0"),"")</f>
        <v/>
      </c>
    </row>
    <row r="405">
      <c r="A405" s="12" t="n"/>
      <c r="B405" s="13" t="n"/>
      <c r="C405" s="13" t="n"/>
      <c r="D405" s="7">
        <f>IF(OR(B405="",C405=""),"",ROUND((C405-B405)*1440,0))</f>
        <v/>
      </c>
      <c r="E405" s="12" t="n"/>
      <c r="F405" s="12" t="n"/>
      <c r="G405" s="12" t="n"/>
      <c r="H405" s="12" t="n"/>
      <c r="I405" s="12" t="n"/>
      <c r="J405" s="12" t="n"/>
      <c r="K405" s="12" t="n"/>
      <c r="L405" s="14" t="n"/>
      <c r="M405" s="12" t="n"/>
      <c r="N405" s="12" t="n"/>
      <c r="O405" s="12" t="n"/>
      <c r="P405" s="12" t="n"/>
      <c r="Q405" s="7">
        <f>IF(A405="","",IFERROR(VLOOKUP(O405,Listes!$R$3:$T$8,2,FALSE),0)+IFERROR(VLOOKUP(J405,Listes!$J$3:$L$6,2,FALSE),0)+IFERROR(VLOOKUP(N405,Listes!$N$3:$P$6,2,FALSE),0)+IF(OR(L405="",B405=""),0,IF(L405-INT(B405)&lt;10,8,IF(L405-INT(B405)&lt;=90,10,5)))+IFERROR(VLOOKUP(AN405,Listes!$V$3:$W$5,2,FALSE),0)+IFERROR(VLOOKUP(AO405,Listes!$Y$3:$Z$5,2,FALSE),0))</f>
        <v/>
      </c>
      <c r="R405" s="12" t="n"/>
      <c r="S405" s="12" t="n"/>
      <c r="T405" s="12" t="n"/>
      <c r="U405" s="15" t="n"/>
      <c r="V405" s="15" t="n"/>
      <c r="W405" s="13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3" t="n"/>
      <c r="AK405" s="12" t="n"/>
      <c r="AL405" s="12" t="n"/>
      <c r="AM405" s="12" t="n"/>
      <c r="AN405" s="12" t="n"/>
      <c r="AO405" s="12" t="n"/>
      <c r="AP405" s="12" t="n"/>
      <c r="AQ405" s="7">
        <f>IF(A405="","",IF(AP405&lt;&gt;"",AP405,IF(LEFT(Z405,11)="gads_marque","Google Search – Marque",IF(LEFT(Z405,12)="gads_mariage","Google Search – Mariage et privé",IF(LEFT(Z405,10)="gads_corpo","Google Search – Corporatif",IF(LEFT(Z405,5)="meta_","Meta – Leads",IF(LEFT(Z405,5)="msft_","Microsoft Ads",IF(LEFT(Z405,8)="chatgpt_","ChatGPT Ads – Test",IF(X405="gbp","Fiche Google (organique)","Autre / non payé")))))))))</f>
        <v/>
      </c>
      <c r="AR405" s="7">
        <f>IF(K405="","",IFERROR(VLOOKUP(K405,Listes!$F$3:$H$8,3,FALSE),""))</f>
        <v/>
      </c>
      <c r="AS405" s="7">
        <f>IF(O405="","",IF(AND(M405="Autre (plus de 40 km)",OR(O405="lt600",O405="600_999",O405="1000_2499")),"D",IF(OR(O405="lt600",AND(O405="600_999",K405&lt;&gt;"mariage",K405&lt;&gt;"prive")),"C",IF(OR(O405="2500_4999",O405="5000p",J405="entreprise",J405="organisme",J405="agence"),"A",IF(OR(O405="1000_2499",O405="600_999"),"B",IF(O405="inconnu",IF(OR(N405="75_149",N405="150p"),"A","B"),""))))))</f>
        <v/>
      </c>
      <c r="AT405" s="7">
        <f>IF(A405="","",IF(P405&lt;&gt;"",P405,AS405))</f>
        <v/>
      </c>
      <c r="AU405" s="7">
        <f>IF(A405="","",IF(OR(AT405="A",AT405="B"),1,0))</f>
        <v/>
      </c>
      <c r="AV405" s="7">
        <f>IF(A405="","",IF(OR(R405="Dépôt payé (gagné)",R405="Événement livré",R405="Avis obtenu"),1,0))</f>
        <v/>
      </c>
      <c r="AW405" s="7">
        <f>IF(A405="","",IF(Q405&gt;70,"Immédiat – propriétaire",IF(Q405&gt;=40,"15 min – personne de garde","Selon la route")))</f>
        <v/>
      </c>
      <c r="AX405" s="11">
        <f>IF(A405="","",IF(AT405="A",400,IF(AT405="B",150,0)))</f>
        <v/>
      </c>
      <c r="AY405" s="11">
        <f>IF(A405="","",IF(AV405=1,N(V405),IF(N(U405)&gt;0,ROUND(N(U405)*IFERROR(VLOOKUP(R405,Listes!$AE$3:$AG$12,2,FALSE),0),0),0)))</f>
        <v/>
      </c>
      <c r="AZ405" s="7">
        <f>IF(LEFT(A405,7)="EXEMPLE",1,0)</f>
        <v/>
      </c>
      <c r="BA405" s="7">
        <f>IF(AND(AV405=1,AZ405=0,AC405&lt;&gt;"",W405&lt;&gt;"",N(V405)&gt;0),COUNTIFS($AV$3:AV405,1,$AZ$3:AZ405,0,$AC$3:AC405,"&lt;&gt;",$W$3:W405,"&lt;&gt;",$V$3:V405,"&gt;0"),"")</f>
        <v/>
      </c>
    </row>
    <row r="406">
      <c r="A406" s="12" t="n"/>
      <c r="B406" s="13" t="n"/>
      <c r="C406" s="13" t="n"/>
      <c r="D406" s="7">
        <f>IF(OR(B406="",C406=""),"",ROUND((C406-B406)*1440,0))</f>
        <v/>
      </c>
      <c r="E406" s="12" t="n"/>
      <c r="F406" s="12" t="n"/>
      <c r="G406" s="12" t="n"/>
      <c r="H406" s="12" t="n"/>
      <c r="I406" s="12" t="n"/>
      <c r="J406" s="12" t="n"/>
      <c r="K406" s="12" t="n"/>
      <c r="L406" s="14" t="n"/>
      <c r="M406" s="12" t="n"/>
      <c r="N406" s="12" t="n"/>
      <c r="O406" s="12" t="n"/>
      <c r="P406" s="12" t="n"/>
      <c r="Q406" s="7">
        <f>IF(A406="","",IFERROR(VLOOKUP(O406,Listes!$R$3:$T$8,2,FALSE),0)+IFERROR(VLOOKUP(J406,Listes!$J$3:$L$6,2,FALSE),0)+IFERROR(VLOOKUP(N406,Listes!$N$3:$P$6,2,FALSE),0)+IF(OR(L406="",B406=""),0,IF(L406-INT(B406)&lt;10,8,IF(L406-INT(B406)&lt;=90,10,5)))+IFERROR(VLOOKUP(AN406,Listes!$V$3:$W$5,2,FALSE),0)+IFERROR(VLOOKUP(AO406,Listes!$Y$3:$Z$5,2,FALSE),0))</f>
        <v/>
      </c>
      <c r="R406" s="12" t="n"/>
      <c r="S406" s="12" t="n"/>
      <c r="T406" s="12" t="n"/>
      <c r="U406" s="15" t="n"/>
      <c r="V406" s="15" t="n"/>
      <c r="W406" s="13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3" t="n"/>
      <c r="AK406" s="12" t="n"/>
      <c r="AL406" s="12" t="n"/>
      <c r="AM406" s="12" t="n"/>
      <c r="AN406" s="12" t="n"/>
      <c r="AO406" s="12" t="n"/>
      <c r="AP406" s="12" t="n"/>
      <c r="AQ406" s="7">
        <f>IF(A406="","",IF(AP406&lt;&gt;"",AP406,IF(LEFT(Z406,11)="gads_marque","Google Search – Marque",IF(LEFT(Z406,12)="gads_mariage","Google Search – Mariage et privé",IF(LEFT(Z406,10)="gads_corpo","Google Search – Corporatif",IF(LEFT(Z406,5)="meta_","Meta – Leads",IF(LEFT(Z406,5)="msft_","Microsoft Ads",IF(LEFT(Z406,8)="chatgpt_","ChatGPT Ads – Test",IF(X406="gbp","Fiche Google (organique)","Autre / non payé")))))))))</f>
        <v/>
      </c>
      <c r="AR406" s="7">
        <f>IF(K406="","",IFERROR(VLOOKUP(K406,Listes!$F$3:$H$8,3,FALSE),""))</f>
        <v/>
      </c>
      <c r="AS406" s="7">
        <f>IF(O406="","",IF(AND(M406="Autre (plus de 40 km)",OR(O406="lt600",O406="600_999",O406="1000_2499")),"D",IF(OR(O406="lt600",AND(O406="600_999",K406&lt;&gt;"mariage",K406&lt;&gt;"prive")),"C",IF(OR(O406="2500_4999",O406="5000p",J406="entreprise",J406="organisme",J406="agence"),"A",IF(OR(O406="1000_2499",O406="600_999"),"B",IF(O406="inconnu",IF(OR(N406="75_149",N406="150p"),"A","B"),""))))))</f>
        <v/>
      </c>
      <c r="AT406" s="7">
        <f>IF(A406="","",IF(P406&lt;&gt;"",P406,AS406))</f>
        <v/>
      </c>
      <c r="AU406" s="7">
        <f>IF(A406="","",IF(OR(AT406="A",AT406="B"),1,0))</f>
        <v/>
      </c>
      <c r="AV406" s="7">
        <f>IF(A406="","",IF(OR(R406="Dépôt payé (gagné)",R406="Événement livré",R406="Avis obtenu"),1,0))</f>
        <v/>
      </c>
      <c r="AW406" s="7">
        <f>IF(A406="","",IF(Q406&gt;70,"Immédiat – propriétaire",IF(Q406&gt;=40,"15 min – personne de garde","Selon la route")))</f>
        <v/>
      </c>
      <c r="AX406" s="11">
        <f>IF(A406="","",IF(AT406="A",400,IF(AT406="B",150,0)))</f>
        <v/>
      </c>
      <c r="AY406" s="11">
        <f>IF(A406="","",IF(AV406=1,N(V406),IF(N(U406)&gt;0,ROUND(N(U406)*IFERROR(VLOOKUP(R406,Listes!$AE$3:$AG$12,2,FALSE),0),0),0)))</f>
        <v/>
      </c>
      <c r="AZ406" s="7">
        <f>IF(LEFT(A406,7)="EXEMPLE",1,0)</f>
        <v/>
      </c>
      <c r="BA406" s="7">
        <f>IF(AND(AV406=1,AZ406=0,AC406&lt;&gt;"",W406&lt;&gt;"",N(V406)&gt;0),COUNTIFS($AV$3:AV406,1,$AZ$3:AZ406,0,$AC$3:AC406,"&lt;&gt;",$W$3:W406,"&lt;&gt;",$V$3:V406,"&gt;0"),"")</f>
        <v/>
      </c>
    </row>
    <row r="407">
      <c r="A407" s="12" t="n"/>
      <c r="B407" s="13" t="n"/>
      <c r="C407" s="13" t="n"/>
      <c r="D407" s="7">
        <f>IF(OR(B407="",C407=""),"",ROUND((C407-B407)*1440,0))</f>
        <v/>
      </c>
      <c r="E407" s="12" t="n"/>
      <c r="F407" s="12" t="n"/>
      <c r="G407" s="12" t="n"/>
      <c r="H407" s="12" t="n"/>
      <c r="I407" s="12" t="n"/>
      <c r="J407" s="12" t="n"/>
      <c r="K407" s="12" t="n"/>
      <c r="L407" s="14" t="n"/>
      <c r="M407" s="12" t="n"/>
      <c r="N407" s="12" t="n"/>
      <c r="O407" s="12" t="n"/>
      <c r="P407" s="12" t="n"/>
      <c r="Q407" s="7">
        <f>IF(A407="","",IFERROR(VLOOKUP(O407,Listes!$R$3:$T$8,2,FALSE),0)+IFERROR(VLOOKUP(J407,Listes!$J$3:$L$6,2,FALSE),0)+IFERROR(VLOOKUP(N407,Listes!$N$3:$P$6,2,FALSE),0)+IF(OR(L407="",B407=""),0,IF(L407-INT(B407)&lt;10,8,IF(L407-INT(B407)&lt;=90,10,5)))+IFERROR(VLOOKUP(AN407,Listes!$V$3:$W$5,2,FALSE),0)+IFERROR(VLOOKUP(AO407,Listes!$Y$3:$Z$5,2,FALSE),0))</f>
        <v/>
      </c>
      <c r="R407" s="12" t="n"/>
      <c r="S407" s="12" t="n"/>
      <c r="T407" s="12" t="n"/>
      <c r="U407" s="15" t="n"/>
      <c r="V407" s="15" t="n"/>
      <c r="W407" s="13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3" t="n"/>
      <c r="AK407" s="12" t="n"/>
      <c r="AL407" s="12" t="n"/>
      <c r="AM407" s="12" t="n"/>
      <c r="AN407" s="12" t="n"/>
      <c r="AO407" s="12" t="n"/>
      <c r="AP407" s="12" t="n"/>
      <c r="AQ407" s="7">
        <f>IF(A407="","",IF(AP407&lt;&gt;"",AP407,IF(LEFT(Z407,11)="gads_marque","Google Search – Marque",IF(LEFT(Z407,12)="gads_mariage","Google Search – Mariage et privé",IF(LEFT(Z407,10)="gads_corpo","Google Search – Corporatif",IF(LEFT(Z407,5)="meta_","Meta – Leads",IF(LEFT(Z407,5)="msft_","Microsoft Ads",IF(LEFT(Z407,8)="chatgpt_","ChatGPT Ads – Test",IF(X407="gbp","Fiche Google (organique)","Autre / non payé")))))))))</f>
        <v/>
      </c>
      <c r="AR407" s="7">
        <f>IF(K407="","",IFERROR(VLOOKUP(K407,Listes!$F$3:$H$8,3,FALSE),""))</f>
        <v/>
      </c>
      <c r="AS407" s="7">
        <f>IF(O407="","",IF(AND(M407="Autre (plus de 40 km)",OR(O407="lt600",O407="600_999",O407="1000_2499")),"D",IF(OR(O407="lt600",AND(O407="600_999",K407&lt;&gt;"mariage",K407&lt;&gt;"prive")),"C",IF(OR(O407="2500_4999",O407="5000p",J407="entreprise",J407="organisme",J407="agence"),"A",IF(OR(O407="1000_2499",O407="600_999"),"B",IF(O407="inconnu",IF(OR(N407="75_149",N407="150p"),"A","B"),""))))))</f>
        <v/>
      </c>
      <c r="AT407" s="7">
        <f>IF(A407="","",IF(P407&lt;&gt;"",P407,AS407))</f>
        <v/>
      </c>
      <c r="AU407" s="7">
        <f>IF(A407="","",IF(OR(AT407="A",AT407="B"),1,0))</f>
        <v/>
      </c>
      <c r="AV407" s="7">
        <f>IF(A407="","",IF(OR(R407="Dépôt payé (gagné)",R407="Événement livré",R407="Avis obtenu"),1,0))</f>
        <v/>
      </c>
      <c r="AW407" s="7">
        <f>IF(A407="","",IF(Q407&gt;70,"Immédiat – propriétaire",IF(Q407&gt;=40,"15 min – personne de garde","Selon la route")))</f>
        <v/>
      </c>
      <c r="AX407" s="11">
        <f>IF(A407="","",IF(AT407="A",400,IF(AT407="B",150,0)))</f>
        <v/>
      </c>
      <c r="AY407" s="11">
        <f>IF(A407="","",IF(AV407=1,N(V407),IF(N(U407)&gt;0,ROUND(N(U407)*IFERROR(VLOOKUP(R407,Listes!$AE$3:$AG$12,2,FALSE),0),0),0)))</f>
        <v/>
      </c>
      <c r="AZ407" s="7">
        <f>IF(LEFT(A407,7)="EXEMPLE",1,0)</f>
        <v/>
      </c>
      <c r="BA407" s="7">
        <f>IF(AND(AV407=1,AZ407=0,AC407&lt;&gt;"",W407&lt;&gt;"",N(V407)&gt;0),COUNTIFS($AV$3:AV407,1,$AZ$3:AZ407,0,$AC$3:AC407,"&lt;&gt;",$W$3:W407,"&lt;&gt;",$V$3:V407,"&gt;0"),"")</f>
        <v/>
      </c>
    </row>
    <row r="408">
      <c r="A408" s="12" t="n"/>
      <c r="B408" s="13" t="n"/>
      <c r="C408" s="13" t="n"/>
      <c r="D408" s="7">
        <f>IF(OR(B408="",C408=""),"",ROUND((C408-B408)*1440,0))</f>
        <v/>
      </c>
      <c r="E408" s="12" t="n"/>
      <c r="F408" s="12" t="n"/>
      <c r="G408" s="12" t="n"/>
      <c r="H408" s="12" t="n"/>
      <c r="I408" s="12" t="n"/>
      <c r="J408" s="12" t="n"/>
      <c r="K408" s="12" t="n"/>
      <c r="L408" s="14" t="n"/>
      <c r="M408" s="12" t="n"/>
      <c r="N408" s="12" t="n"/>
      <c r="O408" s="12" t="n"/>
      <c r="P408" s="12" t="n"/>
      <c r="Q408" s="7">
        <f>IF(A408="","",IFERROR(VLOOKUP(O408,Listes!$R$3:$T$8,2,FALSE),0)+IFERROR(VLOOKUP(J408,Listes!$J$3:$L$6,2,FALSE),0)+IFERROR(VLOOKUP(N408,Listes!$N$3:$P$6,2,FALSE),0)+IF(OR(L408="",B408=""),0,IF(L408-INT(B408)&lt;10,8,IF(L408-INT(B408)&lt;=90,10,5)))+IFERROR(VLOOKUP(AN408,Listes!$V$3:$W$5,2,FALSE),0)+IFERROR(VLOOKUP(AO408,Listes!$Y$3:$Z$5,2,FALSE),0))</f>
        <v/>
      </c>
      <c r="R408" s="12" t="n"/>
      <c r="S408" s="12" t="n"/>
      <c r="T408" s="12" t="n"/>
      <c r="U408" s="15" t="n"/>
      <c r="V408" s="15" t="n"/>
      <c r="W408" s="13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3" t="n"/>
      <c r="AK408" s="12" t="n"/>
      <c r="AL408" s="12" t="n"/>
      <c r="AM408" s="12" t="n"/>
      <c r="AN408" s="12" t="n"/>
      <c r="AO408" s="12" t="n"/>
      <c r="AP408" s="12" t="n"/>
      <c r="AQ408" s="7">
        <f>IF(A408="","",IF(AP408&lt;&gt;"",AP408,IF(LEFT(Z408,11)="gads_marque","Google Search – Marque",IF(LEFT(Z408,12)="gads_mariage","Google Search – Mariage et privé",IF(LEFT(Z408,10)="gads_corpo","Google Search – Corporatif",IF(LEFT(Z408,5)="meta_","Meta – Leads",IF(LEFT(Z408,5)="msft_","Microsoft Ads",IF(LEFT(Z408,8)="chatgpt_","ChatGPT Ads – Test",IF(X408="gbp","Fiche Google (organique)","Autre / non payé")))))))))</f>
        <v/>
      </c>
      <c r="AR408" s="7">
        <f>IF(K408="","",IFERROR(VLOOKUP(K408,Listes!$F$3:$H$8,3,FALSE),""))</f>
        <v/>
      </c>
      <c r="AS408" s="7">
        <f>IF(O408="","",IF(AND(M408="Autre (plus de 40 km)",OR(O408="lt600",O408="600_999",O408="1000_2499")),"D",IF(OR(O408="lt600",AND(O408="600_999",K408&lt;&gt;"mariage",K408&lt;&gt;"prive")),"C",IF(OR(O408="2500_4999",O408="5000p",J408="entreprise",J408="organisme",J408="agence"),"A",IF(OR(O408="1000_2499",O408="600_999"),"B",IF(O408="inconnu",IF(OR(N408="75_149",N408="150p"),"A","B"),""))))))</f>
        <v/>
      </c>
      <c r="AT408" s="7">
        <f>IF(A408="","",IF(P408&lt;&gt;"",P408,AS408))</f>
        <v/>
      </c>
      <c r="AU408" s="7">
        <f>IF(A408="","",IF(OR(AT408="A",AT408="B"),1,0))</f>
        <v/>
      </c>
      <c r="AV408" s="7">
        <f>IF(A408="","",IF(OR(R408="Dépôt payé (gagné)",R408="Événement livré",R408="Avis obtenu"),1,0))</f>
        <v/>
      </c>
      <c r="AW408" s="7">
        <f>IF(A408="","",IF(Q408&gt;70,"Immédiat – propriétaire",IF(Q408&gt;=40,"15 min – personne de garde","Selon la route")))</f>
        <v/>
      </c>
      <c r="AX408" s="11">
        <f>IF(A408="","",IF(AT408="A",400,IF(AT408="B",150,0)))</f>
        <v/>
      </c>
      <c r="AY408" s="11">
        <f>IF(A408="","",IF(AV408=1,N(V408),IF(N(U408)&gt;0,ROUND(N(U408)*IFERROR(VLOOKUP(R408,Listes!$AE$3:$AG$12,2,FALSE),0),0),0)))</f>
        <v/>
      </c>
      <c r="AZ408" s="7">
        <f>IF(LEFT(A408,7)="EXEMPLE",1,0)</f>
        <v/>
      </c>
      <c r="BA408" s="7">
        <f>IF(AND(AV408=1,AZ408=0,AC408&lt;&gt;"",W408&lt;&gt;"",N(V408)&gt;0),COUNTIFS($AV$3:AV408,1,$AZ$3:AZ408,0,$AC$3:AC408,"&lt;&gt;",$W$3:W408,"&lt;&gt;",$V$3:V408,"&gt;0"),"")</f>
        <v/>
      </c>
    </row>
    <row r="409">
      <c r="A409" s="12" t="n"/>
      <c r="B409" s="13" t="n"/>
      <c r="C409" s="13" t="n"/>
      <c r="D409" s="7">
        <f>IF(OR(B409="",C409=""),"",ROUND((C409-B409)*1440,0))</f>
        <v/>
      </c>
      <c r="E409" s="12" t="n"/>
      <c r="F409" s="12" t="n"/>
      <c r="G409" s="12" t="n"/>
      <c r="H409" s="12" t="n"/>
      <c r="I409" s="12" t="n"/>
      <c r="J409" s="12" t="n"/>
      <c r="K409" s="12" t="n"/>
      <c r="L409" s="14" t="n"/>
      <c r="M409" s="12" t="n"/>
      <c r="N409" s="12" t="n"/>
      <c r="O409" s="12" t="n"/>
      <c r="P409" s="12" t="n"/>
      <c r="Q409" s="7">
        <f>IF(A409="","",IFERROR(VLOOKUP(O409,Listes!$R$3:$T$8,2,FALSE),0)+IFERROR(VLOOKUP(J409,Listes!$J$3:$L$6,2,FALSE),0)+IFERROR(VLOOKUP(N409,Listes!$N$3:$P$6,2,FALSE),0)+IF(OR(L409="",B409=""),0,IF(L409-INT(B409)&lt;10,8,IF(L409-INT(B409)&lt;=90,10,5)))+IFERROR(VLOOKUP(AN409,Listes!$V$3:$W$5,2,FALSE),0)+IFERROR(VLOOKUP(AO409,Listes!$Y$3:$Z$5,2,FALSE),0))</f>
        <v/>
      </c>
      <c r="R409" s="12" t="n"/>
      <c r="S409" s="12" t="n"/>
      <c r="T409" s="12" t="n"/>
      <c r="U409" s="15" t="n"/>
      <c r="V409" s="15" t="n"/>
      <c r="W409" s="13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3" t="n"/>
      <c r="AK409" s="12" t="n"/>
      <c r="AL409" s="12" t="n"/>
      <c r="AM409" s="12" t="n"/>
      <c r="AN409" s="12" t="n"/>
      <c r="AO409" s="12" t="n"/>
      <c r="AP409" s="12" t="n"/>
      <c r="AQ409" s="7">
        <f>IF(A409="","",IF(AP409&lt;&gt;"",AP409,IF(LEFT(Z409,11)="gads_marque","Google Search – Marque",IF(LEFT(Z409,12)="gads_mariage","Google Search – Mariage et privé",IF(LEFT(Z409,10)="gads_corpo","Google Search – Corporatif",IF(LEFT(Z409,5)="meta_","Meta – Leads",IF(LEFT(Z409,5)="msft_","Microsoft Ads",IF(LEFT(Z409,8)="chatgpt_","ChatGPT Ads – Test",IF(X409="gbp","Fiche Google (organique)","Autre / non payé")))))))))</f>
        <v/>
      </c>
      <c r="AR409" s="7">
        <f>IF(K409="","",IFERROR(VLOOKUP(K409,Listes!$F$3:$H$8,3,FALSE),""))</f>
        <v/>
      </c>
      <c r="AS409" s="7">
        <f>IF(O409="","",IF(AND(M409="Autre (plus de 40 km)",OR(O409="lt600",O409="600_999",O409="1000_2499")),"D",IF(OR(O409="lt600",AND(O409="600_999",K409&lt;&gt;"mariage",K409&lt;&gt;"prive")),"C",IF(OR(O409="2500_4999",O409="5000p",J409="entreprise",J409="organisme",J409="agence"),"A",IF(OR(O409="1000_2499",O409="600_999"),"B",IF(O409="inconnu",IF(OR(N409="75_149",N409="150p"),"A","B"),""))))))</f>
        <v/>
      </c>
      <c r="AT409" s="7">
        <f>IF(A409="","",IF(P409&lt;&gt;"",P409,AS409))</f>
        <v/>
      </c>
      <c r="AU409" s="7">
        <f>IF(A409="","",IF(OR(AT409="A",AT409="B"),1,0))</f>
        <v/>
      </c>
      <c r="AV409" s="7">
        <f>IF(A409="","",IF(OR(R409="Dépôt payé (gagné)",R409="Événement livré",R409="Avis obtenu"),1,0))</f>
        <v/>
      </c>
      <c r="AW409" s="7">
        <f>IF(A409="","",IF(Q409&gt;70,"Immédiat – propriétaire",IF(Q409&gt;=40,"15 min – personne de garde","Selon la route")))</f>
        <v/>
      </c>
      <c r="AX409" s="11">
        <f>IF(A409="","",IF(AT409="A",400,IF(AT409="B",150,0)))</f>
        <v/>
      </c>
      <c r="AY409" s="11">
        <f>IF(A409="","",IF(AV409=1,N(V409),IF(N(U409)&gt;0,ROUND(N(U409)*IFERROR(VLOOKUP(R409,Listes!$AE$3:$AG$12,2,FALSE),0),0),0)))</f>
        <v/>
      </c>
      <c r="AZ409" s="7">
        <f>IF(LEFT(A409,7)="EXEMPLE",1,0)</f>
        <v/>
      </c>
      <c r="BA409" s="7">
        <f>IF(AND(AV409=1,AZ409=0,AC409&lt;&gt;"",W409&lt;&gt;"",N(V409)&gt;0),COUNTIFS($AV$3:AV409,1,$AZ$3:AZ409,0,$AC$3:AC409,"&lt;&gt;",$W$3:W409,"&lt;&gt;",$V$3:V409,"&gt;0"),"")</f>
        <v/>
      </c>
    </row>
    <row r="410">
      <c r="A410" s="12" t="n"/>
      <c r="B410" s="13" t="n"/>
      <c r="C410" s="13" t="n"/>
      <c r="D410" s="7">
        <f>IF(OR(B410="",C410=""),"",ROUND((C410-B410)*1440,0))</f>
        <v/>
      </c>
      <c r="E410" s="12" t="n"/>
      <c r="F410" s="12" t="n"/>
      <c r="G410" s="12" t="n"/>
      <c r="H410" s="12" t="n"/>
      <c r="I410" s="12" t="n"/>
      <c r="J410" s="12" t="n"/>
      <c r="K410" s="12" t="n"/>
      <c r="L410" s="14" t="n"/>
      <c r="M410" s="12" t="n"/>
      <c r="N410" s="12" t="n"/>
      <c r="O410" s="12" t="n"/>
      <c r="P410" s="12" t="n"/>
      <c r="Q410" s="7">
        <f>IF(A410="","",IFERROR(VLOOKUP(O410,Listes!$R$3:$T$8,2,FALSE),0)+IFERROR(VLOOKUP(J410,Listes!$J$3:$L$6,2,FALSE),0)+IFERROR(VLOOKUP(N410,Listes!$N$3:$P$6,2,FALSE),0)+IF(OR(L410="",B410=""),0,IF(L410-INT(B410)&lt;10,8,IF(L410-INT(B410)&lt;=90,10,5)))+IFERROR(VLOOKUP(AN410,Listes!$V$3:$W$5,2,FALSE),0)+IFERROR(VLOOKUP(AO410,Listes!$Y$3:$Z$5,2,FALSE),0))</f>
        <v/>
      </c>
      <c r="R410" s="12" t="n"/>
      <c r="S410" s="12" t="n"/>
      <c r="T410" s="12" t="n"/>
      <c r="U410" s="15" t="n"/>
      <c r="V410" s="15" t="n"/>
      <c r="W410" s="13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3" t="n"/>
      <c r="AK410" s="12" t="n"/>
      <c r="AL410" s="12" t="n"/>
      <c r="AM410" s="12" t="n"/>
      <c r="AN410" s="12" t="n"/>
      <c r="AO410" s="12" t="n"/>
      <c r="AP410" s="12" t="n"/>
      <c r="AQ410" s="7">
        <f>IF(A410="","",IF(AP410&lt;&gt;"",AP410,IF(LEFT(Z410,11)="gads_marque","Google Search – Marque",IF(LEFT(Z410,12)="gads_mariage","Google Search – Mariage et privé",IF(LEFT(Z410,10)="gads_corpo","Google Search – Corporatif",IF(LEFT(Z410,5)="meta_","Meta – Leads",IF(LEFT(Z410,5)="msft_","Microsoft Ads",IF(LEFT(Z410,8)="chatgpt_","ChatGPT Ads – Test",IF(X410="gbp","Fiche Google (organique)","Autre / non payé")))))))))</f>
        <v/>
      </c>
      <c r="AR410" s="7">
        <f>IF(K410="","",IFERROR(VLOOKUP(K410,Listes!$F$3:$H$8,3,FALSE),""))</f>
        <v/>
      </c>
      <c r="AS410" s="7">
        <f>IF(O410="","",IF(AND(M410="Autre (plus de 40 km)",OR(O410="lt600",O410="600_999",O410="1000_2499")),"D",IF(OR(O410="lt600",AND(O410="600_999",K410&lt;&gt;"mariage",K410&lt;&gt;"prive")),"C",IF(OR(O410="2500_4999",O410="5000p",J410="entreprise",J410="organisme",J410="agence"),"A",IF(OR(O410="1000_2499",O410="600_999"),"B",IF(O410="inconnu",IF(OR(N410="75_149",N410="150p"),"A","B"),""))))))</f>
        <v/>
      </c>
      <c r="AT410" s="7">
        <f>IF(A410="","",IF(P410&lt;&gt;"",P410,AS410))</f>
        <v/>
      </c>
      <c r="AU410" s="7">
        <f>IF(A410="","",IF(OR(AT410="A",AT410="B"),1,0))</f>
        <v/>
      </c>
      <c r="AV410" s="7">
        <f>IF(A410="","",IF(OR(R410="Dépôt payé (gagné)",R410="Événement livré",R410="Avis obtenu"),1,0))</f>
        <v/>
      </c>
      <c r="AW410" s="7">
        <f>IF(A410="","",IF(Q410&gt;70,"Immédiat – propriétaire",IF(Q410&gt;=40,"15 min – personne de garde","Selon la route")))</f>
        <v/>
      </c>
      <c r="AX410" s="11">
        <f>IF(A410="","",IF(AT410="A",400,IF(AT410="B",150,0)))</f>
        <v/>
      </c>
      <c r="AY410" s="11">
        <f>IF(A410="","",IF(AV410=1,N(V410),IF(N(U410)&gt;0,ROUND(N(U410)*IFERROR(VLOOKUP(R410,Listes!$AE$3:$AG$12,2,FALSE),0),0),0)))</f>
        <v/>
      </c>
      <c r="AZ410" s="7">
        <f>IF(LEFT(A410,7)="EXEMPLE",1,0)</f>
        <v/>
      </c>
      <c r="BA410" s="7">
        <f>IF(AND(AV410=1,AZ410=0,AC410&lt;&gt;"",W410&lt;&gt;"",N(V410)&gt;0),COUNTIFS($AV$3:AV410,1,$AZ$3:AZ410,0,$AC$3:AC410,"&lt;&gt;",$W$3:W410,"&lt;&gt;",$V$3:V410,"&gt;0"),"")</f>
        <v/>
      </c>
    </row>
    <row r="411">
      <c r="A411" s="12" t="n"/>
      <c r="B411" s="13" t="n"/>
      <c r="C411" s="13" t="n"/>
      <c r="D411" s="7">
        <f>IF(OR(B411="",C411=""),"",ROUND((C411-B411)*1440,0))</f>
        <v/>
      </c>
      <c r="E411" s="12" t="n"/>
      <c r="F411" s="12" t="n"/>
      <c r="G411" s="12" t="n"/>
      <c r="H411" s="12" t="n"/>
      <c r="I411" s="12" t="n"/>
      <c r="J411" s="12" t="n"/>
      <c r="K411" s="12" t="n"/>
      <c r="L411" s="14" t="n"/>
      <c r="M411" s="12" t="n"/>
      <c r="N411" s="12" t="n"/>
      <c r="O411" s="12" t="n"/>
      <c r="P411" s="12" t="n"/>
      <c r="Q411" s="7">
        <f>IF(A411="","",IFERROR(VLOOKUP(O411,Listes!$R$3:$T$8,2,FALSE),0)+IFERROR(VLOOKUP(J411,Listes!$J$3:$L$6,2,FALSE),0)+IFERROR(VLOOKUP(N411,Listes!$N$3:$P$6,2,FALSE),0)+IF(OR(L411="",B411=""),0,IF(L411-INT(B411)&lt;10,8,IF(L411-INT(B411)&lt;=90,10,5)))+IFERROR(VLOOKUP(AN411,Listes!$V$3:$W$5,2,FALSE),0)+IFERROR(VLOOKUP(AO411,Listes!$Y$3:$Z$5,2,FALSE),0))</f>
        <v/>
      </c>
      <c r="R411" s="12" t="n"/>
      <c r="S411" s="12" t="n"/>
      <c r="T411" s="12" t="n"/>
      <c r="U411" s="15" t="n"/>
      <c r="V411" s="15" t="n"/>
      <c r="W411" s="13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3" t="n"/>
      <c r="AK411" s="12" t="n"/>
      <c r="AL411" s="12" t="n"/>
      <c r="AM411" s="12" t="n"/>
      <c r="AN411" s="12" t="n"/>
      <c r="AO411" s="12" t="n"/>
      <c r="AP411" s="12" t="n"/>
      <c r="AQ411" s="7">
        <f>IF(A411="","",IF(AP411&lt;&gt;"",AP411,IF(LEFT(Z411,11)="gads_marque","Google Search – Marque",IF(LEFT(Z411,12)="gads_mariage","Google Search – Mariage et privé",IF(LEFT(Z411,10)="gads_corpo","Google Search – Corporatif",IF(LEFT(Z411,5)="meta_","Meta – Leads",IF(LEFT(Z411,5)="msft_","Microsoft Ads",IF(LEFT(Z411,8)="chatgpt_","ChatGPT Ads – Test",IF(X411="gbp","Fiche Google (organique)","Autre / non payé")))))))))</f>
        <v/>
      </c>
      <c r="AR411" s="7">
        <f>IF(K411="","",IFERROR(VLOOKUP(K411,Listes!$F$3:$H$8,3,FALSE),""))</f>
        <v/>
      </c>
      <c r="AS411" s="7">
        <f>IF(O411="","",IF(AND(M411="Autre (plus de 40 km)",OR(O411="lt600",O411="600_999",O411="1000_2499")),"D",IF(OR(O411="lt600",AND(O411="600_999",K411&lt;&gt;"mariage",K411&lt;&gt;"prive")),"C",IF(OR(O411="2500_4999",O411="5000p",J411="entreprise",J411="organisme",J411="agence"),"A",IF(OR(O411="1000_2499",O411="600_999"),"B",IF(O411="inconnu",IF(OR(N411="75_149",N411="150p"),"A","B"),""))))))</f>
        <v/>
      </c>
      <c r="AT411" s="7">
        <f>IF(A411="","",IF(P411&lt;&gt;"",P411,AS411))</f>
        <v/>
      </c>
      <c r="AU411" s="7">
        <f>IF(A411="","",IF(OR(AT411="A",AT411="B"),1,0))</f>
        <v/>
      </c>
      <c r="AV411" s="7">
        <f>IF(A411="","",IF(OR(R411="Dépôt payé (gagné)",R411="Événement livré",R411="Avis obtenu"),1,0))</f>
        <v/>
      </c>
      <c r="AW411" s="7">
        <f>IF(A411="","",IF(Q411&gt;70,"Immédiat – propriétaire",IF(Q411&gt;=40,"15 min – personne de garde","Selon la route")))</f>
        <v/>
      </c>
      <c r="AX411" s="11">
        <f>IF(A411="","",IF(AT411="A",400,IF(AT411="B",150,0)))</f>
        <v/>
      </c>
      <c r="AY411" s="11">
        <f>IF(A411="","",IF(AV411=1,N(V411),IF(N(U411)&gt;0,ROUND(N(U411)*IFERROR(VLOOKUP(R411,Listes!$AE$3:$AG$12,2,FALSE),0),0),0)))</f>
        <v/>
      </c>
      <c r="AZ411" s="7">
        <f>IF(LEFT(A411,7)="EXEMPLE",1,0)</f>
        <v/>
      </c>
      <c r="BA411" s="7">
        <f>IF(AND(AV411=1,AZ411=0,AC411&lt;&gt;"",W411&lt;&gt;"",N(V411)&gt;0),COUNTIFS($AV$3:AV411,1,$AZ$3:AZ411,0,$AC$3:AC411,"&lt;&gt;",$W$3:W411,"&lt;&gt;",$V$3:V411,"&gt;0"),"")</f>
        <v/>
      </c>
    </row>
    <row r="412">
      <c r="A412" s="12" t="n"/>
      <c r="B412" s="13" t="n"/>
      <c r="C412" s="13" t="n"/>
      <c r="D412" s="7">
        <f>IF(OR(B412="",C412=""),"",ROUND((C412-B412)*1440,0))</f>
        <v/>
      </c>
      <c r="E412" s="12" t="n"/>
      <c r="F412" s="12" t="n"/>
      <c r="G412" s="12" t="n"/>
      <c r="H412" s="12" t="n"/>
      <c r="I412" s="12" t="n"/>
      <c r="J412" s="12" t="n"/>
      <c r="K412" s="12" t="n"/>
      <c r="L412" s="14" t="n"/>
      <c r="M412" s="12" t="n"/>
      <c r="N412" s="12" t="n"/>
      <c r="O412" s="12" t="n"/>
      <c r="P412" s="12" t="n"/>
      <c r="Q412" s="7">
        <f>IF(A412="","",IFERROR(VLOOKUP(O412,Listes!$R$3:$T$8,2,FALSE),0)+IFERROR(VLOOKUP(J412,Listes!$J$3:$L$6,2,FALSE),0)+IFERROR(VLOOKUP(N412,Listes!$N$3:$P$6,2,FALSE),0)+IF(OR(L412="",B412=""),0,IF(L412-INT(B412)&lt;10,8,IF(L412-INT(B412)&lt;=90,10,5)))+IFERROR(VLOOKUP(AN412,Listes!$V$3:$W$5,2,FALSE),0)+IFERROR(VLOOKUP(AO412,Listes!$Y$3:$Z$5,2,FALSE),0))</f>
        <v/>
      </c>
      <c r="R412" s="12" t="n"/>
      <c r="S412" s="12" t="n"/>
      <c r="T412" s="12" t="n"/>
      <c r="U412" s="15" t="n"/>
      <c r="V412" s="15" t="n"/>
      <c r="W412" s="13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3" t="n"/>
      <c r="AK412" s="12" t="n"/>
      <c r="AL412" s="12" t="n"/>
      <c r="AM412" s="12" t="n"/>
      <c r="AN412" s="12" t="n"/>
      <c r="AO412" s="12" t="n"/>
      <c r="AP412" s="12" t="n"/>
      <c r="AQ412" s="7">
        <f>IF(A412="","",IF(AP412&lt;&gt;"",AP412,IF(LEFT(Z412,11)="gads_marque","Google Search – Marque",IF(LEFT(Z412,12)="gads_mariage","Google Search – Mariage et privé",IF(LEFT(Z412,10)="gads_corpo","Google Search – Corporatif",IF(LEFT(Z412,5)="meta_","Meta – Leads",IF(LEFT(Z412,5)="msft_","Microsoft Ads",IF(LEFT(Z412,8)="chatgpt_","ChatGPT Ads – Test",IF(X412="gbp","Fiche Google (organique)","Autre / non payé")))))))))</f>
        <v/>
      </c>
      <c r="AR412" s="7">
        <f>IF(K412="","",IFERROR(VLOOKUP(K412,Listes!$F$3:$H$8,3,FALSE),""))</f>
        <v/>
      </c>
      <c r="AS412" s="7">
        <f>IF(O412="","",IF(AND(M412="Autre (plus de 40 km)",OR(O412="lt600",O412="600_999",O412="1000_2499")),"D",IF(OR(O412="lt600",AND(O412="600_999",K412&lt;&gt;"mariage",K412&lt;&gt;"prive")),"C",IF(OR(O412="2500_4999",O412="5000p",J412="entreprise",J412="organisme",J412="agence"),"A",IF(OR(O412="1000_2499",O412="600_999"),"B",IF(O412="inconnu",IF(OR(N412="75_149",N412="150p"),"A","B"),""))))))</f>
        <v/>
      </c>
      <c r="AT412" s="7">
        <f>IF(A412="","",IF(P412&lt;&gt;"",P412,AS412))</f>
        <v/>
      </c>
      <c r="AU412" s="7">
        <f>IF(A412="","",IF(OR(AT412="A",AT412="B"),1,0))</f>
        <v/>
      </c>
      <c r="AV412" s="7">
        <f>IF(A412="","",IF(OR(R412="Dépôt payé (gagné)",R412="Événement livré",R412="Avis obtenu"),1,0))</f>
        <v/>
      </c>
      <c r="AW412" s="7">
        <f>IF(A412="","",IF(Q412&gt;70,"Immédiat – propriétaire",IF(Q412&gt;=40,"15 min – personne de garde","Selon la route")))</f>
        <v/>
      </c>
      <c r="AX412" s="11">
        <f>IF(A412="","",IF(AT412="A",400,IF(AT412="B",150,0)))</f>
        <v/>
      </c>
      <c r="AY412" s="11">
        <f>IF(A412="","",IF(AV412=1,N(V412),IF(N(U412)&gt;0,ROUND(N(U412)*IFERROR(VLOOKUP(R412,Listes!$AE$3:$AG$12,2,FALSE),0),0),0)))</f>
        <v/>
      </c>
      <c r="AZ412" s="7">
        <f>IF(LEFT(A412,7)="EXEMPLE",1,0)</f>
        <v/>
      </c>
      <c r="BA412" s="7">
        <f>IF(AND(AV412=1,AZ412=0,AC412&lt;&gt;"",W412&lt;&gt;"",N(V412)&gt;0),COUNTIFS($AV$3:AV412,1,$AZ$3:AZ412,0,$AC$3:AC412,"&lt;&gt;",$W$3:W412,"&lt;&gt;",$V$3:V412,"&gt;0"),"")</f>
        <v/>
      </c>
    </row>
    <row r="413">
      <c r="A413" s="12" t="n"/>
      <c r="B413" s="13" t="n"/>
      <c r="C413" s="13" t="n"/>
      <c r="D413" s="7">
        <f>IF(OR(B413="",C413=""),"",ROUND((C413-B413)*1440,0))</f>
        <v/>
      </c>
      <c r="E413" s="12" t="n"/>
      <c r="F413" s="12" t="n"/>
      <c r="G413" s="12" t="n"/>
      <c r="H413" s="12" t="n"/>
      <c r="I413" s="12" t="n"/>
      <c r="J413" s="12" t="n"/>
      <c r="K413" s="12" t="n"/>
      <c r="L413" s="14" t="n"/>
      <c r="M413" s="12" t="n"/>
      <c r="N413" s="12" t="n"/>
      <c r="O413" s="12" t="n"/>
      <c r="P413" s="12" t="n"/>
      <c r="Q413" s="7">
        <f>IF(A413="","",IFERROR(VLOOKUP(O413,Listes!$R$3:$T$8,2,FALSE),0)+IFERROR(VLOOKUP(J413,Listes!$J$3:$L$6,2,FALSE),0)+IFERROR(VLOOKUP(N413,Listes!$N$3:$P$6,2,FALSE),0)+IF(OR(L413="",B413=""),0,IF(L413-INT(B413)&lt;10,8,IF(L413-INT(B413)&lt;=90,10,5)))+IFERROR(VLOOKUP(AN413,Listes!$V$3:$W$5,2,FALSE),0)+IFERROR(VLOOKUP(AO413,Listes!$Y$3:$Z$5,2,FALSE),0))</f>
        <v/>
      </c>
      <c r="R413" s="12" t="n"/>
      <c r="S413" s="12" t="n"/>
      <c r="T413" s="12" t="n"/>
      <c r="U413" s="15" t="n"/>
      <c r="V413" s="15" t="n"/>
      <c r="W413" s="13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3" t="n"/>
      <c r="AK413" s="12" t="n"/>
      <c r="AL413" s="12" t="n"/>
      <c r="AM413" s="12" t="n"/>
      <c r="AN413" s="12" t="n"/>
      <c r="AO413" s="12" t="n"/>
      <c r="AP413" s="12" t="n"/>
      <c r="AQ413" s="7">
        <f>IF(A413="","",IF(AP413&lt;&gt;"",AP413,IF(LEFT(Z413,11)="gads_marque","Google Search – Marque",IF(LEFT(Z413,12)="gads_mariage","Google Search – Mariage et privé",IF(LEFT(Z413,10)="gads_corpo","Google Search – Corporatif",IF(LEFT(Z413,5)="meta_","Meta – Leads",IF(LEFT(Z413,5)="msft_","Microsoft Ads",IF(LEFT(Z413,8)="chatgpt_","ChatGPT Ads – Test",IF(X413="gbp","Fiche Google (organique)","Autre / non payé")))))))))</f>
        <v/>
      </c>
      <c r="AR413" s="7">
        <f>IF(K413="","",IFERROR(VLOOKUP(K413,Listes!$F$3:$H$8,3,FALSE),""))</f>
        <v/>
      </c>
      <c r="AS413" s="7">
        <f>IF(O413="","",IF(AND(M413="Autre (plus de 40 km)",OR(O413="lt600",O413="600_999",O413="1000_2499")),"D",IF(OR(O413="lt600",AND(O413="600_999",K413&lt;&gt;"mariage",K413&lt;&gt;"prive")),"C",IF(OR(O413="2500_4999",O413="5000p",J413="entreprise",J413="organisme",J413="agence"),"A",IF(OR(O413="1000_2499",O413="600_999"),"B",IF(O413="inconnu",IF(OR(N413="75_149",N413="150p"),"A","B"),""))))))</f>
        <v/>
      </c>
      <c r="AT413" s="7">
        <f>IF(A413="","",IF(P413&lt;&gt;"",P413,AS413))</f>
        <v/>
      </c>
      <c r="AU413" s="7">
        <f>IF(A413="","",IF(OR(AT413="A",AT413="B"),1,0))</f>
        <v/>
      </c>
      <c r="AV413" s="7">
        <f>IF(A413="","",IF(OR(R413="Dépôt payé (gagné)",R413="Événement livré",R413="Avis obtenu"),1,0))</f>
        <v/>
      </c>
      <c r="AW413" s="7">
        <f>IF(A413="","",IF(Q413&gt;70,"Immédiat – propriétaire",IF(Q413&gt;=40,"15 min – personne de garde","Selon la route")))</f>
        <v/>
      </c>
      <c r="AX413" s="11">
        <f>IF(A413="","",IF(AT413="A",400,IF(AT413="B",150,0)))</f>
        <v/>
      </c>
      <c r="AY413" s="11">
        <f>IF(A413="","",IF(AV413=1,N(V413),IF(N(U413)&gt;0,ROUND(N(U413)*IFERROR(VLOOKUP(R413,Listes!$AE$3:$AG$12,2,FALSE),0),0),0)))</f>
        <v/>
      </c>
      <c r="AZ413" s="7">
        <f>IF(LEFT(A413,7)="EXEMPLE",1,0)</f>
        <v/>
      </c>
      <c r="BA413" s="7">
        <f>IF(AND(AV413=1,AZ413=0,AC413&lt;&gt;"",W413&lt;&gt;"",N(V413)&gt;0),COUNTIFS($AV$3:AV413,1,$AZ$3:AZ413,0,$AC$3:AC413,"&lt;&gt;",$W$3:W413,"&lt;&gt;",$V$3:V413,"&gt;0"),"")</f>
        <v/>
      </c>
    </row>
    <row r="414">
      <c r="A414" s="12" t="n"/>
      <c r="B414" s="13" t="n"/>
      <c r="C414" s="13" t="n"/>
      <c r="D414" s="7">
        <f>IF(OR(B414="",C414=""),"",ROUND((C414-B414)*1440,0))</f>
        <v/>
      </c>
      <c r="E414" s="12" t="n"/>
      <c r="F414" s="12" t="n"/>
      <c r="G414" s="12" t="n"/>
      <c r="H414" s="12" t="n"/>
      <c r="I414" s="12" t="n"/>
      <c r="J414" s="12" t="n"/>
      <c r="K414" s="12" t="n"/>
      <c r="L414" s="14" t="n"/>
      <c r="M414" s="12" t="n"/>
      <c r="N414" s="12" t="n"/>
      <c r="O414" s="12" t="n"/>
      <c r="P414" s="12" t="n"/>
      <c r="Q414" s="7">
        <f>IF(A414="","",IFERROR(VLOOKUP(O414,Listes!$R$3:$T$8,2,FALSE),0)+IFERROR(VLOOKUP(J414,Listes!$J$3:$L$6,2,FALSE),0)+IFERROR(VLOOKUP(N414,Listes!$N$3:$P$6,2,FALSE),0)+IF(OR(L414="",B414=""),0,IF(L414-INT(B414)&lt;10,8,IF(L414-INT(B414)&lt;=90,10,5)))+IFERROR(VLOOKUP(AN414,Listes!$V$3:$W$5,2,FALSE),0)+IFERROR(VLOOKUP(AO414,Listes!$Y$3:$Z$5,2,FALSE),0))</f>
        <v/>
      </c>
      <c r="R414" s="12" t="n"/>
      <c r="S414" s="12" t="n"/>
      <c r="T414" s="12" t="n"/>
      <c r="U414" s="15" t="n"/>
      <c r="V414" s="15" t="n"/>
      <c r="W414" s="13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3" t="n"/>
      <c r="AK414" s="12" t="n"/>
      <c r="AL414" s="12" t="n"/>
      <c r="AM414" s="12" t="n"/>
      <c r="AN414" s="12" t="n"/>
      <c r="AO414" s="12" t="n"/>
      <c r="AP414" s="12" t="n"/>
      <c r="AQ414" s="7">
        <f>IF(A414="","",IF(AP414&lt;&gt;"",AP414,IF(LEFT(Z414,11)="gads_marque","Google Search – Marque",IF(LEFT(Z414,12)="gads_mariage","Google Search – Mariage et privé",IF(LEFT(Z414,10)="gads_corpo","Google Search – Corporatif",IF(LEFT(Z414,5)="meta_","Meta – Leads",IF(LEFT(Z414,5)="msft_","Microsoft Ads",IF(LEFT(Z414,8)="chatgpt_","ChatGPT Ads – Test",IF(X414="gbp","Fiche Google (organique)","Autre / non payé")))))))))</f>
        <v/>
      </c>
      <c r="AR414" s="7">
        <f>IF(K414="","",IFERROR(VLOOKUP(K414,Listes!$F$3:$H$8,3,FALSE),""))</f>
        <v/>
      </c>
      <c r="AS414" s="7">
        <f>IF(O414="","",IF(AND(M414="Autre (plus de 40 km)",OR(O414="lt600",O414="600_999",O414="1000_2499")),"D",IF(OR(O414="lt600",AND(O414="600_999",K414&lt;&gt;"mariage",K414&lt;&gt;"prive")),"C",IF(OR(O414="2500_4999",O414="5000p",J414="entreprise",J414="organisme",J414="agence"),"A",IF(OR(O414="1000_2499",O414="600_999"),"B",IF(O414="inconnu",IF(OR(N414="75_149",N414="150p"),"A","B"),""))))))</f>
        <v/>
      </c>
      <c r="AT414" s="7">
        <f>IF(A414="","",IF(P414&lt;&gt;"",P414,AS414))</f>
        <v/>
      </c>
      <c r="AU414" s="7">
        <f>IF(A414="","",IF(OR(AT414="A",AT414="B"),1,0))</f>
        <v/>
      </c>
      <c r="AV414" s="7">
        <f>IF(A414="","",IF(OR(R414="Dépôt payé (gagné)",R414="Événement livré",R414="Avis obtenu"),1,0))</f>
        <v/>
      </c>
      <c r="AW414" s="7">
        <f>IF(A414="","",IF(Q414&gt;70,"Immédiat – propriétaire",IF(Q414&gt;=40,"15 min – personne de garde","Selon la route")))</f>
        <v/>
      </c>
      <c r="AX414" s="11">
        <f>IF(A414="","",IF(AT414="A",400,IF(AT414="B",150,0)))</f>
        <v/>
      </c>
      <c r="AY414" s="11">
        <f>IF(A414="","",IF(AV414=1,N(V414),IF(N(U414)&gt;0,ROUND(N(U414)*IFERROR(VLOOKUP(R414,Listes!$AE$3:$AG$12,2,FALSE),0),0),0)))</f>
        <v/>
      </c>
      <c r="AZ414" s="7">
        <f>IF(LEFT(A414,7)="EXEMPLE",1,0)</f>
        <v/>
      </c>
      <c r="BA414" s="7">
        <f>IF(AND(AV414=1,AZ414=0,AC414&lt;&gt;"",W414&lt;&gt;"",N(V414)&gt;0),COUNTIFS($AV$3:AV414,1,$AZ$3:AZ414,0,$AC$3:AC414,"&lt;&gt;",$W$3:W414,"&lt;&gt;",$V$3:V414,"&gt;0"),"")</f>
        <v/>
      </c>
    </row>
    <row r="415">
      <c r="A415" s="12" t="n"/>
      <c r="B415" s="13" t="n"/>
      <c r="C415" s="13" t="n"/>
      <c r="D415" s="7">
        <f>IF(OR(B415="",C415=""),"",ROUND((C415-B415)*1440,0))</f>
        <v/>
      </c>
      <c r="E415" s="12" t="n"/>
      <c r="F415" s="12" t="n"/>
      <c r="G415" s="12" t="n"/>
      <c r="H415" s="12" t="n"/>
      <c r="I415" s="12" t="n"/>
      <c r="J415" s="12" t="n"/>
      <c r="K415" s="12" t="n"/>
      <c r="L415" s="14" t="n"/>
      <c r="M415" s="12" t="n"/>
      <c r="N415" s="12" t="n"/>
      <c r="O415" s="12" t="n"/>
      <c r="P415" s="12" t="n"/>
      <c r="Q415" s="7">
        <f>IF(A415="","",IFERROR(VLOOKUP(O415,Listes!$R$3:$T$8,2,FALSE),0)+IFERROR(VLOOKUP(J415,Listes!$J$3:$L$6,2,FALSE),0)+IFERROR(VLOOKUP(N415,Listes!$N$3:$P$6,2,FALSE),0)+IF(OR(L415="",B415=""),0,IF(L415-INT(B415)&lt;10,8,IF(L415-INT(B415)&lt;=90,10,5)))+IFERROR(VLOOKUP(AN415,Listes!$V$3:$W$5,2,FALSE),0)+IFERROR(VLOOKUP(AO415,Listes!$Y$3:$Z$5,2,FALSE),0))</f>
        <v/>
      </c>
      <c r="R415" s="12" t="n"/>
      <c r="S415" s="12" t="n"/>
      <c r="T415" s="12" t="n"/>
      <c r="U415" s="15" t="n"/>
      <c r="V415" s="15" t="n"/>
      <c r="W415" s="13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3" t="n"/>
      <c r="AK415" s="12" t="n"/>
      <c r="AL415" s="12" t="n"/>
      <c r="AM415" s="12" t="n"/>
      <c r="AN415" s="12" t="n"/>
      <c r="AO415" s="12" t="n"/>
      <c r="AP415" s="12" t="n"/>
      <c r="AQ415" s="7">
        <f>IF(A415="","",IF(AP415&lt;&gt;"",AP415,IF(LEFT(Z415,11)="gads_marque","Google Search – Marque",IF(LEFT(Z415,12)="gads_mariage","Google Search – Mariage et privé",IF(LEFT(Z415,10)="gads_corpo","Google Search – Corporatif",IF(LEFT(Z415,5)="meta_","Meta – Leads",IF(LEFT(Z415,5)="msft_","Microsoft Ads",IF(LEFT(Z415,8)="chatgpt_","ChatGPT Ads – Test",IF(X415="gbp","Fiche Google (organique)","Autre / non payé")))))))))</f>
        <v/>
      </c>
      <c r="AR415" s="7">
        <f>IF(K415="","",IFERROR(VLOOKUP(K415,Listes!$F$3:$H$8,3,FALSE),""))</f>
        <v/>
      </c>
      <c r="AS415" s="7">
        <f>IF(O415="","",IF(AND(M415="Autre (plus de 40 km)",OR(O415="lt600",O415="600_999",O415="1000_2499")),"D",IF(OR(O415="lt600",AND(O415="600_999",K415&lt;&gt;"mariage",K415&lt;&gt;"prive")),"C",IF(OR(O415="2500_4999",O415="5000p",J415="entreprise",J415="organisme",J415="agence"),"A",IF(OR(O415="1000_2499",O415="600_999"),"B",IF(O415="inconnu",IF(OR(N415="75_149",N415="150p"),"A","B"),""))))))</f>
        <v/>
      </c>
      <c r="AT415" s="7">
        <f>IF(A415="","",IF(P415&lt;&gt;"",P415,AS415))</f>
        <v/>
      </c>
      <c r="AU415" s="7">
        <f>IF(A415="","",IF(OR(AT415="A",AT415="B"),1,0))</f>
        <v/>
      </c>
      <c r="AV415" s="7">
        <f>IF(A415="","",IF(OR(R415="Dépôt payé (gagné)",R415="Événement livré",R415="Avis obtenu"),1,0))</f>
        <v/>
      </c>
      <c r="AW415" s="7">
        <f>IF(A415="","",IF(Q415&gt;70,"Immédiat – propriétaire",IF(Q415&gt;=40,"15 min – personne de garde","Selon la route")))</f>
        <v/>
      </c>
      <c r="AX415" s="11">
        <f>IF(A415="","",IF(AT415="A",400,IF(AT415="B",150,0)))</f>
        <v/>
      </c>
      <c r="AY415" s="11">
        <f>IF(A415="","",IF(AV415=1,N(V415),IF(N(U415)&gt;0,ROUND(N(U415)*IFERROR(VLOOKUP(R415,Listes!$AE$3:$AG$12,2,FALSE),0),0),0)))</f>
        <v/>
      </c>
      <c r="AZ415" s="7">
        <f>IF(LEFT(A415,7)="EXEMPLE",1,0)</f>
        <v/>
      </c>
      <c r="BA415" s="7">
        <f>IF(AND(AV415=1,AZ415=0,AC415&lt;&gt;"",W415&lt;&gt;"",N(V415)&gt;0),COUNTIFS($AV$3:AV415,1,$AZ$3:AZ415,0,$AC$3:AC415,"&lt;&gt;",$W$3:W415,"&lt;&gt;",$V$3:V415,"&gt;0"),"")</f>
        <v/>
      </c>
    </row>
    <row r="416">
      <c r="A416" s="12" t="n"/>
      <c r="B416" s="13" t="n"/>
      <c r="C416" s="13" t="n"/>
      <c r="D416" s="7">
        <f>IF(OR(B416="",C416=""),"",ROUND((C416-B416)*1440,0))</f>
        <v/>
      </c>
      <c r="E416" s="12" t="n"/>
      <c r="F416" s="12" t="n"/>
      <c r="G416" s="12" t="n"/>
      <c r="H416" s="12" t="n"/>
      <c r="I416" s="12" t="n"/>
      <c r="J416" s="12" t="n"/>
      <c r="K416" s="12" t="n"/>
      <c r="L416" s="14" t="n"/>
      <c r="M416" s="12" t="n"/>
      <c r="N416" s="12" t="n"/>
      <c r="O416" s="12" t="n"/>
      <c r="P416" s="12" t="n"/>
      <c r="Q416" s="7">
        <f>IF(A416="","",IFERROR(VLOOKUP(O416,Listes!$R$3:$T$8,2,FALSE),0)+IFERROR(VLOOKUP(J416,Listes!$J$3:$L$6,2,FALSE),0)+IFERROR(VLOOKUP(N416,Listes!$N$3:$P$6,2,FALSE),0)+IF(OR(L416="",B416=""),0,IF(L416-INT(B416)&lt;10,8,IF(L416-INT(B416)&lt;=90,10,5)))+IFERROR(VLOOKUP(AN416,Listes!$V$3:$W$5,2,FALSE),0)+IFERROR(VLOOKUP(AO416,Listes!$Y$3:$Z$5,2,FALSE),0))</f>
        <v/>
      </c>
      <c r="R416" s="12" t="n"/>
      <c r="S416" s="12" t="n"/>
      <c r="T416" s="12" t="n"/>
      <c r="U416" s="15" t="n"/>
      <c r="V416" s="15" t="n"/>
      <c r="W416" s="13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3" t="n"/>
      <c r="AK416" s="12" t="n"/>
      <c r="AL416" s="12" t="n"/>
      <c r="AM416" s="12" t="n"/>
      <c r="AN416" s="12" t="n"/>
      <c r="AO416" s="12" t="n"/>
      <c r="AP416" s="12" t="n"/>
      <c r="AQ416" s="7">
        <f>IF(A416="","",IF(AP416&lt;&gt;"",AP416,IF(LEFT(Z416,11)="gads_marque","Google Search – Marque",IF(LEFT(Z416,12)="gads_mariage","Google Search – Mariage et privé",IF(LEFT(Z416,10)="gads_corpo","Google Search – Corporatif",IF(LEFT(Z416,5)="meta_","Meta – Leads",IF(LEFT(Z416,5)="msft_","Microsoft Ads",IF(LEFT(Z416,8)="chatgpt_","ChatGPT Ads – Test",IF(X416="gbp","Fiche Google (organique)","Autre / non payé")))))))))</f>
        <v/>
      </c>
      <c r="AR416" s="7">
        <f>IF(K416="","",IFERROR(VLOOKUP(K416,Listes!$F$3:$H$8,3,FALSE),""))</f>
        <v/>
      </c>
      <c r="AS416" s="7">
        <f>IF(O416="","",IF(AND(M416="Autre (plus de 40 km)",OR(O416="lt600",O416="600_999",O416="1000_2499")),"D",IF(OR(O416="lt600",AND(O416="600_999",K416&lt;&gt;"mariage",K416&lt;&gt;"prive")),"C",IF(OR(O416="2500_4999",O416="5000p",J416="entreprise",J416="organisme",J416="agence"),"A",IF(OR(O416="1000_2499",O416="600_999"),"B",IF(O416="inconnu",IF(OR(N416="75_149",N416="150p"),"A","B"),""))))))</f>
        <v/>
      </c>
      <c r="AT416" s="7">
        <f>IF(A416="","",IF(P416&lt;&gt;"",P416,AS416))</f>
        <v/>
      </c>
      <c r="AU416" s="7">
        <f>IF(A416="","",IF(OR(AT416="A",AT416="B"),1,0))</f>
        <v/>
      </c>
      <c r="AV416" s="7">
        <f>IF(A416="","",IF(OR(R416="Dépôt payé (gagné)",R416="Événement livré",R416="Avis obtenu"),1,0))</f>
        <v/>
      </c>
      <c r="AW416" s="7">
        <f>IF(A416="","",IF(Q416&gt;70,"Immédiat – propriétaire",IF(Q416&gt;=40,"15 min – personne de garde","Selon la route")))</f>
        <v/>
      </c>
      <c r="AX416" s="11">
        <f>IF(A416="","",IF(AT416="A",400,IF(AT416="B",150,0)))</f>
        <v/>
      </c>
      <c r="AY416" s="11">
        <f>IF(A416="","",IF(AV416=1,N(V416),IF(N(U416)&gt;0,ROUND(N(U416)*IFERROR(VLOOKUP(R416,Listes!$AE$3:$AG$12,2,FALSE),0),0),0)))</f>
        <v/>
      </c>
      <c r="AZ416" s="7">
        <f>IF(LEFT(A416,7)="EXEMPLE",1,0)</f>
        <v/>
      </c>
      <c r="BA416" s="7">
        <f>IF(AND(AV416=1,AZ416=0,AC416&lt;&gt;"",W416&lt;&gt;"",N(V416)&gt;0),COUNTIFS($AV$3:AV416,1,$AZ$3:AZ416,0,$AC$3:AC416,"&lt;&gt;",$W$3:W416,"&lt;&gt;",$V$3:V416,"&gt;0"),"")</f>
        <v/>
      </c>
    </row>
    <row r="417">
      <c r="A417" s="12" t="n"/>
      <c r="B417" s="13" t="n"/>
      <c r="C417" s="13" t="n"/>
      <c r="D417" s="7">
        <f>IF(OR(B417="",C417=""),"",ROUND((C417-B417)*1440,0))</f>
        <v/>
      </c>
      <c r="E417" s="12" t="n"/>
      <c r="F417" s="12" t="n"/>
      <c r="G417" s="12" t="n"/>
      <c r="H417" s="12" t="n"/>
      <c r="I417" s="12" t="n"/>
      <c r="J417" s="12" t="n"/>
      <c r="K417" s="12" t="n"/>
      <c r="L417" s="14" t="n"/>
      <c r="M417" s="12" t="n"/>
      <c r="N417" s="12" t="n"/>
      <c r="O417" s="12" t="n"/>
      <c r="P417" s="12" t="n"/>
      <c r="Q417" s="7">
        <f>IF(A417="","",IFERROR(VLOOKUP(O417,Listes!$R$3:$T$8,2,FALSE),0)+IFERROR(VLOOKUP(J417,Listes!$J$3:$L$6,2,FALSE),0)+IFERROR(VLOOKUP(N417,Listes!$N$3:$P$6,2,FALSE),0)+IF(OR(L417="",B417=""),0,IF(L417-INT(B417)&lt;10,8,IF(L417-INT(B417)&lt;=90,10,5)))+IFERROR(VLOOKUP(AN417,Listes!$V$3:$W$5,2,FALSE),0)+IFERROR(VLOOKUP(AO417,Listes!$Y$3:$Z$5,2,FALSE),0))</f>
        <v/>
      </c>
      <c r="R417" s="12" t="n"/>
      <c r="S417" s="12" t="n"/>
      <c r="T417" s="12" t="n"/>
      <c r="U417" s="15" t="n"/>
      <c r="V417" s="15" t="n"/>
      <c r="W417" s="13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3" t="n"/>
      <c r="AK417" s="12" t="n"/>
      <c r="AL417" s="12" t="n"/>
      <c r="AM417" s="12" t="n"/>
      <c r="AN417" s="12" t="n"/>
      <c r="AO417" s="12" t="n"/>
      <c r="AP417" s="12" t="n"/>
      <c r="AQ417" s="7">
        <f>IF(A417="","",IF(AP417&lt;&gt;"",AP417,IF(LEFT(Z417,11)="gads_marque","Google Search – Marque",IF(LEFT(Z417,12)="gads_mariage","Google Search – Mariage et privé",IF(LEFT(Z417,10)="gads_corpo","Google Search – Corporatif",IF(LEFT(Z417,5)="meta_","Meta – Leads",IF(LEFT(Z417,5)="msft_","Microsoft Ads",IF(LEFT(Z417,8)="chatgpt_","ChatGPT Ads – Test",IF(X417="gbp","Fiche Google (organique)","Autre / non payé")))))))))</f>
        <v/>
      </c>
      <c r="AR417" s="7">
        <f>IF(K417="","",IFERROR(VLOOKUP(K417,Listes!$F$3:$H$8,3,FALSE),""))</f>
        <v/>
      </c>
      <c r="AS417" s="7">
        <f>IF(O417="","",IF(AND(M417="Autre (plus de 40 km)",OR(O417="lt600",O417="600_999",O417="1000_2499")),"D",IF(OR(O417="lt600",AND(O417="600_999",K417&lt;&gt;"mariage",K417&lt;&gt;"prive")),"C",IF(OR(O417="2500_4999",O417="5000p",J417="entreprise",J417="organisme",J417="agence"),"A",IF(OR(O417="1000_2499",O417="600_999"),"B",IF(O417="inconnu",IF(OR(N417="75_149",N417="150p"),"A","B"),""))))))</f>
        <v/>
      </c>
      <c r="AT417" s="7">
        <f>IF(A417="","",IF(P417&lt;&gt;"",P417,AS417))</f>
        <v/>
      </c>
      <c r="AU417" s="7">
        <f>IF(A417="","",IF(OR(AT417="A",AT417="B"),1,0))</f>
        <v/>
      </c>
      <c r="AV417" s="7">
        <f>IF(A417="","",IF(OR(R417="Dépôt payé (gagné)",R417="Événement livré",R417="Avis obtenu"),1,0))</f>
        <v/>
      </c>
      <c r="AW417" s="7">
        <f>IF(A417="","",IF(Q417&gt;70,"Immédiat – propriétaire",IF(Q417&gt;=40,"15 min – personne de garde","Selon la route")))</f>
        <v/>
      </c>
      <c r="AX417" s="11">
        <f>IF(A417="","",IF(AT417="A",400,IF(AT417="B",150,0)))</f>
        <v/>
      </c>
      <c r="AY417" s="11">
        <f>IF(A417="","",IF(AV417=1,N(V417),IF(N(U417)&gt;0,ROUND(N(U417)*IFERROR(VLOOKUP(R417,Listes!$AE$3:$AG$12,2,FALSE),0),0),0)))</f>
        <v/>
      </c>
      <c r="AZ417" s="7">
        <f>IF(LEFT(A417,7)="EXEMPLE",1,0)</f>
        <v/>
      </c>
      <c r="BA417" s="7">
        <f>IF(AND(AV417=1,AZ417=0,AC417&lt;&gt;"",W417&lt;&gt;"",N(V417)&gt;0),COUNTIFS($AV$3:AV417,1,$AZ$3:AZ417,0,$AC$3:AC417,"&lt;&gt;",$W$3:W417,"&lt;&gt;",$V$3:V417,"&gt;0"),"")</f>
        <v/>
      </c>
    </row>
    <row r="418">
      <c r="A418" s="12" t="n"/>
      <c r="B418" s="13" t="n"/>
      <c r="C418" s="13" t="n"/>
      <c r="D418" s="7">
        <f>IF(OR(B418="",C418=""),"",ROUND((C418-B418)*1440,0))</f>
        <v/>
      </c>
      <c r="E418" s="12" t="n"/>
      <c r="F418" s="12" t="n"/>
      <c r="G418" s="12" t="n"/>
      <c r="H418" s="12" t="n"/>
      <c r="I418" s="12" t="n"/>
      <c r="J418" s="12" t="n"/>
      <c r="K418" s="12" t="n"/>
      <c r="L418" s="14" t="n"/>
      <c r="M418" s="12" t="n"/>
      <c r="N418" s="12" t="n"/>
      <c r="O418" s="12" t="n"/>
      <c r="P418" s="12" t="n"/>
      <c r="Q418" s="7">
        <f>IF(A418="","",IFERROR(VLOOKUP(O418,Listes!$R$3:$T$8,2,FALSE),0)+IFERROR(VLOOKUP(J418,Listes!$J$3:$L$6,2,FALSE),0)+IFERROR(VLOOKUP(N418,Listes!$N$3:$P$6,2,FALSE),0)+IF(OR(L418="",B418=""),0,IF(L418-INT(B418)&lt;10,8,IF(L418-INT(B418)&lt;=90,10,5)))+IFERROR(VLOOKUP(AN418,Listes!$V$3:$W$5,2,FALSE),0)+IFERROR(VLOOKUP(AO418,Listes!$Y$3:$Z$5,2,FALSE),0))</f>
        <v/>
      </c>
      <c r="R418" s="12" t="n"/>
      <c r="S418" s="12" t="n"/>
      <c r="T418" s="12" t="n"/>
      <c r="U418" s="15" t="n"/>
      <c r="V418" s="15" t="n"/>
      <c r="W418" s="13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3" t="n"/>
      <c r="AK418" s="12" t="n"/>
      <c r="AL418" s="12" t="n"/>
      <c r="AM418" s="12" t="n"/>
      <c r="AN418" s="12" t="n"/>
      <c r="AO418" s="12" t="n"/>
      <c r="AP418" s="12" t="n"/>
      <c r="AQ418" s="7">
        <f>IF(A418="","",IF(AP418&lt;&gt;"",AP418,IF(LEFT(Z418,11)="gads_marque","Google Search – Marque",IF(LEFT(Z418,12)="gads_mariage","Google Search – Mariage et privé",IF(LEFT(Z418,10)="gads_corpo","Google Search – Corporatif",IF(LEFT(Z418,5)="meta_","Meta – Leads",IF(LEFT(Z418,5)="msft_","Microsoft Ads",IF(LEFT(Z418,8)="chatgpt_","ChatGPT Ads – Test",IF(X418="gbp","Fiche Google (organique)","Autre / non payé")))))))))</f>
        <v/>
      </c>
      <c r="AR418" s="7">
        <f>IF(K418="","",IFERROR(VLOOKUP(K418,Listes!$F$3:$H$8,3,FALSE),""))</f>
        <v/>
      </c>
      <c r="AS418" s="7">
        <f>IF(O418="","",IF(AND(M418="Autre (plus de 40 km)",OR(O418="lt600",O418="600_999",O418="1000_2499")),"D",IF(OR(O418="lt600",AND(O418="600_999",K418&lt;&gt;"mariage",K418&lt;&gt;"prive")),"C",IF(OR(O418="2500_4999",O418="5000p",J418="entreprise",J418="organisme",J418="agence"),"A",IF(OR(O418="1000_2499",O418="600_999"),"B",IF(O418="inconnu",IF(OR(N418="75_149",N418="150p"),"A","B"),""))))))</f>
        <v/>
      </c>
      <c r="AT418" s="7">
        <f>IF(A418="","",IF(P418&lt;&gt;"",P418,AS418))</f>
        <v/>
      </c>
      <c r="AU418" s="7">
        <f>IF(A418="","",IF(OR(AT418="A",AT418="B"),1,0))</f>
        <v/>
      </c>
      <c r="AV418" s="7">
        <f>IF(A418="","",IF(OR(R418="Dépôt payé (gagné)",R418="Événement livré",R418="Avis obtenu"),1,0))</f>
        <v/>
      </c>
      <c r="AW418" s="7">
        <f>IF(A418="","",IF(Q418&gt;70,"Immédiat – propriétaire",IF(Q418&gt;=40,"15 min – personne de garde","Selon la route")))</f>
        <v/>
      </c>
      <c r="AX418" s="11">
        <f>IF(A418="","",IF(AT418="A",400,IF(AT418="B",150,0)))</f>
        <v/>
      </c>
      <c r="AY418" s="11">
        <f>IF(A418="","",IF(AV418=1,N(V418),IF(N(U418)&gt;0,ROUND(N(U418)*IFERROR(VLOOKUP(R418,Listes!$AE$3:$AG$12,2,FALSE),0),0),0)))</f>
        <v/>
      </c>
      <c r="AZ418" s="7">
        <f>IF(LEFT(A418,7)="EXEMPLE",1,0)</f>
        <v/>
      </c>
      <c r="BA418" s="7">
        <f>IF(AND(AV418=1,AZ418=0,AC418&lt;&gt;"",W418&lt;&gt;"",N(V418)&gt;0),COUNTIFS($AV$3:AV418,1,$AZ$3:AZ418,0,$AC$3:AC418,"&lt;&gt;",$W$3:W418,"&lt;&gt;",$V$3:V418,"&gt;0"),"")</f>
        <v/>
      </c>
    </row>
    <row r="419">
      <c r="A419" s="12" t="n"/>
      <c r="B419" s="13" t="n"/>
      <c r="C419" s="13" t="n"/>
      <c r="D419" s="7">
        <f>IF(OR(B419="",C419=""),"",ROUND((C419-B419)*1440,0))</f>
        <v/>
      </c>
      <c r="E419" s="12" t="n"/>
      <c r="F419" s="12" t="n"/>
      <c r="G419" s="12" t="n"/>
      <c r="H419" s="12" t="n"/>
      <c r="I419" s="12" t="n"/>
      <c r="J419" s="12" t="n"/>
      <c r="K419" s="12" t="n"/>
      <c r="L419" s="14" t="n"/>
      <c r="M419" s="12" t="n"/>
      <c r="N419" s="12" t="n"/>
      <c r="O419" s="12" t="n"/>
      <c r="P419" s="12" t="n"/>
      <c r="Q419" s="7">
        <f>IF(A419="","",IFERROR(VLOOKUP(O419,Listes!$R$3:$T$8,2,FALSE),0)+IFERROR(VLOOKUP(J419,Listes!$J$3:$L$6,2,FALSE),0)+IFERROR(VLOOKUP(N419,Listes!$N$3:$P$6,2,FALSE),0)+IF(OR(L419="",B419=""),0,IF(L419-INT(B419)&lt;10,8,IF(L419-INT(B419)&lt;=90,10,5)))+IFERROR(VLOOKUP(AN419,Listes!$V$3:$W$5,2,FALSE),0)+IFERROR(VLOOKUP(AO419,Listes!$Y$3:$Z$5,2,FALSE),0))</f>
        <v/>
      </c>
      <c r="R419" s="12" t="n"/>
      <c r="S419" s="12" t="n"/>
      <c r="T419" s="12" t="n"/>
      <c r="U419" s="15" t="n"/>
      <c r="V419" s="15" t="n"/>
      <c r="W419" s="13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3" t="n"/>
      <c r="AK419" s="12" t="n"/>
      <c r="AL419" s="12" t="n"/>
      <c r="AM419" s="12" t="n"/>
      <c r="AN419" s="12" t="n"/>
      <c r="AO419" s="12" t="n"/>
      <c r="AP419" s="12" t="n"/>
      <c r="AQ419" s="7">
        <f>IF(A419="","",IF(AP419&lt;&gt;"",AP419,IF(LEFT(Z419,11)="gads_marque","Google Search – Marque",IF(LEFT(Z419,12)="gads_mariage","Google Search – Mariage et privé",IF(LEFT(Z419,10)="gads_corpo","Google Search – Corporatif",IF(LEFT(Z419,5)="meta_","Meta – Leads",IF(LEFT(Z419,5)="msft_","Microsoft Ads",IF(LEFT(Z419,8)="chatgpt_","ChatGPT Ads – Test",IF(X419="gbp","Fiche Google (organique)","Autre / non payé")))))))))</f>
        <v/>
      </c>
      <c r="AR419" s="7">
        <f>IF(K419="","",IFERROR(VLOOKUP(K419,Listes!$F$3:$H$8,3,FALSE),""))</f>
        <v/>
      </c>
      <c r="AS419" s="7">
        <f>IF(O419="","",IF(AND(M419="Autre (plus de 40 km)",OR(O419="lt600",O419="600_999",O419="1000_2499")),"D",IF(OR(O419="lt600",AND(O419="600_999",K419&lt;&gt;"mariage",K419&lt;&gt;"prive")),"C",IF(OR(O419="2500_4999",O419="5000p",J419="entreprise",J419="organisme",J419="agence"),"A",IF(OR(O419="1000_2499",O419="600_999"),"B",IF(O419="inconnu",IF(OR(N419="75_149",N419="150p"),"A","B"),""))))))</f>
        <v/>
      </c>
      <c r="AT419" s="7">
        <f>IF(A419="","",IF(P419&lt;&gt;"",P419,AS419))</f>
        <v/>
      </c>
      <c r="AU419" s="7">
        <f>IF(A419="","",IF(OR(AT419="A",AT419="B"),1,0))</f>
        <v/>
      </c>
      <c r="AV419" s="7">
        <f>IF(A419="","",IF(OR(R419="Dépôt payé (gagné)",R419="Événement livré",R419="Avis obtenu"),1,0))</f>
        <v/>
      </c>
      <c r="AW419" s="7">
        <f>IF(A419="","",IF(Q419&gt;70,"Immédiat – propriétaire",IF(Q419&gt;=40,"15 min – personne de garde","Selon la route")))</f>
        <v/>
      </c>
      <c r="AX419" s="11">
        <f>IF(A419="","",IF(AT419="A",400,IF(AT419="B",150,0)))</f>
        <v/>
      </c>
      <c r="AY419" s="11">
        <f>IF(A419="","",IF(AV419=1,N(V419),IF(N(U419)&gt;0,ROUND(N(U419)*IFERROR(VLOOKUP(R419,Listes!$AE$3:$AG$12,2,FALSE),0),0),0)))</f>
        <v/>
      </c>
      <c r="AZ419" s="7">
        <f>IF(LEFT(A419,7)="EXEMPLE",1,0)</f>
        <v/>
      </c>
      <c r="BA419" s="7">
        <f>IF(AND(AV419=1,AZ419=0,AC419&lt;&gt;"",W419&lt;&gt;"",N(V419)&gt;0),COUNTIFS($AV$3:AV419,1,$AZ$3:AZ419,0,$AC$3:AC419,"&lt;&gt;",$W$3:W419,"&lt;&gt;",$V$3:V419,"&gt;0"),"")</f>
        <v/>
      </c>
    </row>
    <row r="420">
      <c r="A420" s="12" t="n"/>
      <c r="B420" s="13" t="n"/>
      <c r="C420" s="13" t="n"/>
      <c r="D420" s="7">
        <f>IF(OR(B420="",C420=""),"",ROUND((C420-B420)*1440,0))</f>
        <v/>
      </c>
      <c r="E420" s="12" t="n"/>
      <c r="F420" s="12" t="n"/>
      <c r="G420" s="12" t="n"/>
      <c r="H420" s="12" t="n"/>
      <c r="I420" s="12" t="n"/>
      <c r="J420" s="12" t="n"/>
      <c r="K420" s="12" t="n"/>
      <c r="L420" s="14" t="n"/>
      <c r="M420" s="12" t="n"/>
      <c r="N420" s="12" t="n"/>
      <c r="O420" s="12" t="n"/>
      <c r="P420" s="12" t="n"/>
      <c r="Q420" s="7">
        <f>IF(A420="","",IFERROR(VLOOKUP(O420,Listes!$R$3:$T$8,2,FALSE),0)+IFERROR(VLOOKUP(J420,Listes!$J$3:$L$6,2,FALSE),0)+IFERROR(VLOOKUP(N420,Listes!$N$3:$P$6,2,FALSE),0)+IF(OR(L420="",B420=""),0,IF(L420-INT(B420)&lt;10,8,IF(L420-INT(B420)&lt;=90,10,5)))+IFERROR(VLOOKUP(AN420,Listes!$V$3:$W$5,2,FALSE),0)+IFERROR(VLOOKUP(AO420,Listes!$Y$3:$Z$5,2,FALSE),0))</f>
        <v/>
      </c>
      <c r="R420" s="12" t="n"/>
      <c r="S420" s="12" t="n"/>
      <c r="T420" s="12" t="n"/>
      <c r="U420" s="15" t="n"/>
      <c r="V420" s="15" t="n"/>
      <c r="W420" s="13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3" t="n"/>
      <c r="AK420" s="12" t="n"/>
      <c r="AL420" s="12" t="n"/>
      <c r="AM420" s="12" t="n"/>
      <c r="AN420" s="12" t="n"/>
      <c r="AO420" s="12" t="n"/>
      <c r="AP420" s="12" t="n"/>
      <c r="AQ420" s="7">
        <f>IF(A420="","",IF(AP420&lt;&gt;"",AP420,IF(LEFT(Z420,11)="gads_marque","Google Search – Marque",IF(LEFT(Z420,12)="gads_mariage","Google Search – Mariage et privé",IF(LEFT(Z420,10)="gads_corpo","Google Search – Corporatif",IF(LEFT(Z420,5)="meta_","Meta – Leads",IF(LEFT(Z420,5)="msft_","Microsoft Ads",IF(LEFT(Z420,8)="chatgpt_","ChatGPT Ads – Test",IF(X420="gbp","Fiche Google (organique)","Autre / non payé")))))))))</f>
        <v/>
      </c>
      <c r="AR420" s="7">
        <f>IF(K420="","",IFERROR(VLOOKUP(K420,Listes!$F$3:$H$8,3,FALSE),""))</f>
        <v/>
      </c>
      <c r="AS420" s="7">
        <f>IF(O420="","",IF(AND(M420="Autre (plus de 40 km)",OR(O420="lt600",O420="600_999",O420="1000_2499")),"D",IF(OR(O420="lt600",AND(O420="600_999",K420&lt;&gt;"mariage",K420&lt;&gt;"prive")),"C",IF(OR(O420="2500_4999",O420="5000p",J420="entreprise",J420="organisme",J420="agence"),"A",IF(OR(O420="1000_2499",O420="600_999"),"B",IF(O420="inconnu",IF(OR(N420="75_149",N420="150p"),"A","B"),""))))))</f>
        <v/>
      </c>
      <c r="AT420" s="7">
        <f>IF(A420="","",IF(P420&lt;&gt;"",P420,AS420))</f>
        <v/>
      </c>
      <c r="AU420" s="7">
        <f>IF(A420="","",IF(OR(AT420="A",AT420="B"),1,0))</f>
        <v/>
      </c>
      <c r="AV420" s="7">
        <f>IF(A420="","",IF(OR(R420="Dépôt payé (gagné)",R420="Événement livré",R420="Avis obtenu"),1,0))</f>
        <v/>
      </c>
      <c r="AW420" s="7">
        <f>IF(A420="","",IF(Q420&gt;70,"Immédiat – propriétaire",IF(Q420&gt;=40,"15 min – personne de garde","Selon la route")))</f>
        <v/>
      </c>
      <c r="AX420" s="11">
        <f>IF(A420="","",IF(AT420="A",400,IF(AT420="B",150,0)))</f>
        <v/>
      </c>
      <c r="AY420" s="11">
        <f>IF(A420="","",IF(AV420=1,N(V420),IF(N(U420)&gt;0,ROUND(N(U420)*IFERROR(VLOOKUP(R420,Listes!$AE$3:$AG$12,2,FALSE),0),0),0)))</f>
        <v/>
      </c>
      <c r="AZ420" s="7">
        <f>IF(LEFT(A420,7)="EXEMPLE",1,0)</f>
        <v/>
      </c>
      <c r="BA420" s="7">
        <f>IF(AND(AV420=1,AZ420=0,AC420&lt;&gt;"",W420&lt;&gt;"",N(V420)&gt;0),COUNTIFS($AV$3:AV420,1,$AZ$3:AZ420,0,$AC$3:AC420,"&lt;&gt;",$W$3:W420,"&lt;&gt;",$V$3:V420,"&gt;0"),"")</f>
        <v/>
      </c>
    </row>
    <row r="421">
      <c r="A421" s="12" t="n"/>
      <c r="B421" s="13" t="n"/>
      <c r="C421" s="13" t="n"/>
      <c r="D421" s="7">
        <f>IF(OR(B421="",C421=""),"",ROUND((C421-B421)*1440,0))</f>
        <v/>
      </c>
      <c r="E421" s="12" t="n"/>
      <c r="F421" s="12" t="n"/>
      <c r="G421" s="12" t="n"/>
      <c r="H421" s="12" t="n"/>
      <c r="I421" s="12" t="n"/>
      <c r="J421" s="12" t="n"/>
      <c r="K421" s="12" t="n"/>
      <c r="L421" s="14" t="n"/>
      <c r="M421" s="12" t="n"/>
      <c r="N421" s="12" t="n"/>
      <c r="O421" s="12" t="n"/>
      <c r="P421" s="12" t="n"/>
      <c r="Q421" s="7">
        <f>IF(A421="","",IFERROR(VLOOKUP(O421,Listes!$R$3:$T$8,2,FALSE),0)+IFERROR(VLOOKUP(J421,Listes!$J$3:$L$6,2,FALSE),0)+IFERROR(VLOOKUP(N421,Listes!$N$3:$P$6,2,FALSE),0)+IF(OR(L421="",B421=""),0,IF(L421-INT(B421)&lt;10,8,IF(L421-INT(B421)&lt;=90,10,5)))+IFERROR(VLOOKUP(AN421,Listes!$V$3:$W$5,2,FALSE),0)+IFERROR(VLOOKUP(AO421,Listes!$Y$3:$Z$5,2,FALSE),0))</f>
        <v/>
      </c>
      <c r="R421" s="12" t="n"/>
      <c r="S421" s="12" t="n"/>
      <c r="T421" s="12" t="n"/>
      <c r="U421" s="15" t="n"/>
      <c r="V421" s="15" t="n"/>
      <c r="W421" s="13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3" t="n"/>
      <c r="AK421" s="12" t="n"/>
      <c r="AL421" s="12" t="n"/>
      <c r="AM421" s="12" t="n"/>
      <c r="AN421" s="12" t="n"/>
      <c r="AO421" s="12" t="n"/>
      <c r="AP421" s="12" t="n"/>
      <c r="AQ421" s="7">
        <f>IF(A421="","",IF(AP421&lt;&gt;"",AP421,IF(LEFT(Z421,11)="gads_marque","Google Search – Marque",IF(LEFT(Z421,12)="gads_mariage","Google Search – Mariage et privé",IF(LEFT(Z421,10)="gads_corpo","Google Search – Corporatif",IF(LEFT(Z421,5)="meta_","Meta – Leads",IF(LEFT(Z421,5)="msft_","Microsoft Ads",IF(LEFT(Z421,8)="chatgpt_","ChatGPT Ads – Test",IF(X421="gbp","Fiche Google (organique)","Autre / non payé")))))))))</f>
        <v/>
      </c>
      <c r="AR421" s="7">
        <f>IF(K421="","",IFERROR(VLOOKUP(K421,Listes!$F$3:$H$8,3,FALSE),""))</f>
        <v/>
      </c>
      <c r="AS421" s="7">
        <f>IF(O421="","",IF(AND(M421="Autre (plus de 40 km)",OR(O421="lt600",O421="600_999",O421="1000_2499")),"D",IF(OR(O421="lt600",AND(O421="600_999",K421&lt;&gt;"mariage",K421&lt;&gt;"prive")),"C",IF(OR(O421="2500_4999",O421="5000p",J421="entreprise",J421="organisme",J421="agence"),"A",IF(OR(O421="1000_2499",O421="600_999"),"B",IF(O421="inconnu",IF(OR(N421="75_149",N421="150p"),"A","B"),""))))))</f>
        <v/>
      </c>
      <c r="AT421" s="7">
        <f>IF(A421="","",IF(P421&lt;&gt;"",P421,AS421))</f>
        <v/>
      </c>
      <c r="AU421" s="7">
        <f>IF(A421="","",IF(OR(AT421="A",AT421="B"),1,0))</f>
        <v/>
      </c>
      <c r="AV421" s="7">
        <f>IF(A421="","",IF(OR(R421="Dépôt payé (gagné)",R421="Événement livré",R421="Avis obtenu"),1,0))</f>
        <v/>
      </c>
      <c r="AW421" s="7">
        <f>IF(A421="","",IF(Q421&gt;70,"Immédiat – propriétaire",IF(Q421&gt;=40,"15 min – personne de garde","Selon la route")))</f>
        <v/>
      </c>
      <c r="AX421" s="11">
        <f>IF(A421="","",IF(AT421="A",400,IF(AT421="B",150,0)))</f>
        <v/>
      </c>
      <c r="AY421" s="11">
        <f>IF(A421="","",IF(AV421=1,N(V421),IF(N(U421)&gt;0,ROUND(N(U421)*IFERROR(VLOOKUP(R421,Listes!$AE$3:$AG$12,2,FALSE),0),0),0)))</f>
        <v/>
      </c>
      <c r="AZ421" s="7">
        <f>IF(LEFT(A421,7)="EXEMPLE",1,0)</f>
        <v/>
      </c>
      <c r="BA421" s="7">
        <f>IF(AND(AV421=1,AZ421=0,AC421&lt;&gt;"",W421&lt;&gt;"",N(V421)&gt;0),COUNTIFS($AV$3:AV421,1,$AZ$3:AZ421,0,$AC$3:AC421,"&lt;&gt;",$W$3:W421,"&lt;&gt;",$V$3:V421,"&gt;0"),"")</f>
        <v/>
      </c>
    </row>
    <row r="422">
      <c r="A422" s="12" t="n"/>
      <c r="B422" s="13" t="n"/>
      <c r="C422" s="13" t="n"/>
      <c r="D422" s="7">
        <f>IF(OR(B422="",C422=""),"",ROUND((C422-B422)*1440,0))</f>
        <v/>
      </c>
      <c r="E422" s="12" t="n"/>
      <c r="F422" s="12" t="n"/>
      <c r="G422" s="12" t="n"/>
      <c r="H422" s="12" t="n"/>
      <c r="I422" s="12" t="n"/>
      <c r="J422" s="12" t="n"/>
      <c r="K422" s="12" t="n"/>
      <c r="L422" s="14" t="n"/>
      <c r="M422" s="12" t="n"/>
      <c r="N422" s="12" t="n"/>
      <c r="O422" s="12" t="n"/>
      <c r="P422" s="12" t="n"/>
      <c r="Q422" s="7">
        <f>IF(A422="","",IFERROR(VLOOKUP(O422,Listes!$R$3:$T$8,2,FALSE),0)+IFERROR(VLOOKUP(J422,Listes!$J$3:$L$6,2,FALSE),0)+IFERROR(VLOOKUP(N422,Listes!$N$3:$P$6,2,FALSE),0)+IF(OR(L422="",B422=""),0,IF(L422-INT(B422)&lt;10,8,IF(L422-INT(B422)&lt;=90,10,5)))+IFERROR(VLOOKUP(AN422,Listes!$V$3:$W$5,2,FALSE),0)+IFERROR(VLOOKUP(AO422,Listes!$Y$3:$Z$5,2,FALSE),0))</f>
        <v/>
      </c>
      <c r="R422" s="12" t="n"/>
      <c r="S422" s="12" t="n"/>
      <c r="T422" s="12" t="n"/>
      <c r="U422" s="15" t="n"/>
      <c r="V422" s="15" t="n"/>
      <c r="W422" s="13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3" t="n"/>
      <c r="AK422" s="12" t="n"/>
      <c r="AL422" s="12" t="n"/>
      <c r="AM422" s="12" t="n"/>
      <c r="AN422" s="12" t="n"/>
      <c r="AO422" s="12" t="n"/>
      <c r="AP422" s="12" t="n"/>
      <c r="AQ422" s="7">
        <f>IF(A422="","",IF(AP422&lt;&gt;"",AP422,IF(LEFT(Z422,11)="gads_marque","Google Search – Marque",IF(LEFT(Z422,12)="gads_mariage","Google Search – Mariage et privé",IF(LEFT(Z422,10)="gads_corpo","Google Search – Corporatif",IF(LEFT(Z422,5)="meta_","Meta – Leads",IF(LEFT(Z422,5)="msft_","Microsoft Ads",IF(LEFT(Z422,8)="chatgpt_","ChatGPT Ads – Test",IF(X422="gbp","Fiche Google (organique)","Autre / non payé")))))))))</f>
        <v/>
      </c>
      <c r="AR422" s="7">
        <f>IF(K422="","",IFERROR(VLOOKUP(K422,Listes!$F$3:$H$8,3,FALSE),""))</f>
        <v/>
      </c>
      <c r="AS422" s="7">
        <f>IF(O422="","",IF(AND(M422="Autre (plus de 40 km)",OR(O422="lt600",O422="600_999",O422="1000_2499")),"D",IF(OR(O422="lt600",AND(O422="600_999",K422&lt;&gt;"mariage",K422&lt;&gt;"prive")),"C",IF(OR(O422="2500_4999",O422="5000p",J422="entreprise",J422="organisme",J422="agence"),"A",IF(OR(O422="1000_2499",O422="600_999"),"B",IF(O422="inconnu",IF(OR(N422="75_149",N422="150p"),"A","B"),""))))))</f>
        <v/>
      </c>
      <c r="AT422" s="7">
        <f>IF(A422="","",IF(P422&lt;&gt;"",P422,AS422))</f>
        <v/>
      </c>
      <c r="AU422" s="7">
        <f>IF(A422="","",IF(OR(AT422="A",AT422="B"),1,0))</f>
        <v/>
      </c>
      <c r="AV422" s="7">
        <f>IF(A422="","",IF(OR(R422="Dépôt payé (gagné)",R422="Événement livré",R422="Avis obtenu"),1,0))</f>
        <v/>
      </c>
      <c r="AW422" s="7">
        <f>IF(A422="","",IF(Q422&gt;70,"Immédiat – propriétaire",IF(Q422&gt;=40,"15 min – personne de garde","Selon la route")))</f>
        <v/>
      </c>
      <c r="AX422" s="11">
        <f>IF(A422="","",IF(AT422="A",400,IF(AT422="B",150,0)))</f>
        <v/>
      </c>
      <c r="AY422" s="11">
        <f>IF(A422="","",IF(AV422=1,N(V422),IF(N(U422)&gt;0,ROUND(N(U422)*IFERROR(VLOOKUP(R422,Listes!$AE$3:$AG$12,2,FALSE),0),0),0)))</f>
        <v/>
      </c>
      <c r="AZ422" s="7">
        <f>IF(LEFT(A422,7)="EXEMPLE",1,0)</f>
        <v/>
      </c>
      <c r="BA422" s="7">
        <f>IF(AND(AV422=1,AZ422=0,AC422&lt;&gt;"",W422&lt;&gt;"",N(V422)&gt;0),COUNTIFS($AV$3:AV422,1,$AZ$3:AZ422,0,$AC$3:AC422,"&lt;&gt;",$W$3:W422,"&lt;&gt;",$V$3:V422,"&gt;0"),"")</f>
        <v/>
      </c>
    </row>
    <row r="423">
      <c r="A423" s="12" t="n"/>
      <c r="B423" s="13" t="n"/>
      <c r="C423" s="13" t="n"/>
      <c r="D423" s="7">
        <f>IF(OR(B423="",C423=""),"",ROUND((C423-B423)*1440,0))</f>
        <v/>
      </c>
      <c r="E423" s="12" t="n"/>
      <c r="F423" s="12" t="n"/>
      <c r="G423" s="12" t="n"/>
      <c r="H423" s="12" t="n"/>
      <c r="I423" s="12" t="n"/>
      <c r="J423" s="12" t="n"/>
      <c r="K423" s="12" t="n"/>
      <c r="L423" s="14" t="n"/>
      <c r="M423" s="12" t="n"/>
      <c r="N423" s="12" t="n"/>
      <c r="O423" s="12" t="n"/>
      <c r="P423" s="12" t="n"/>
      <c r="Q423" s="7">
        <f>IF(A423="","",IFERROR(VLOOKUP(O423,Listes!$R$3:$T$8,2,FALSE),0)+IFERROR(VLOOKUP(J423,Listes!$J$3:$L$6,2,FALSE),0)+IFERROR(VLOOKUP(N423,Listes!$N$3:$P$6,2,FALSE),0)+IF(OR(L423="",B423=""),0,IF(L423-INT(B423)&lt;10,8,IF(L423-INT(B423)&lt;=90,10,5)))+IFERROR(VLOOKUP(AN423,Listes!$V$3:$W$5,2,FALSE),0)+IFERROR(VLOOKUP(AO423,Listes!$Y$3:$Z$5,2,FALSE),0))</f>
        <v/>
      </c>
      <c r="R423" s="12" t="n"/>
      <c r="S423" s="12" t="n"/>
      <c r="T423" s="12" t="n"/>
      <c r="U423" s="15" t="n"/>
      <c r="V423" s="15" t="n"/>
      <c r="W423" s="13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3" t="n"/>
      <c r="AK423" s="12" t="n"/>
      <c r="AL423" s="12" t="n"/>
      <c r="AM423" s="12" t="n"/>
      <c r="AN423" s="12" t="n"/>
      <c r="AO423" s="12" t="n"/>
      <c r="AP423" s="12" t="n"/>
      <c r="AQ423" s="7">
        <f>IF(A423="","",IF(AP423&lt;&gt;"",AP423,IF(LEFT(Z423,11)="gads_marque","Google Search – Marque",IF(LEFT(Z423,12)="gads_mariage","Google Search – Mariage et privé",IF(LEFT(Z423,10)="gads_corpo","Google Search – Corporatif",IF(LEFT(Z423,5)="meta_","Meta – Leads",IF(LEFT(Z423,5)="msft_","Microsoft Ads",IF(LEFT(Z423,8)="chatgpt_","ChatGPT Ads – Test",IF(X423="gbp","Fiche Google (organique)","Autre / non payé")))))))))</f>
        <v/>
      </c>
      <c r="AR423" s="7">
        <f>IF(K423="","",IFERROR(VLOOKUP(K423,Listes!$F$3:$H$8,3,FALSE),""))</f>
        <v/>
      </c>
      <c r="AS423" s="7">
        <f>IF(O423="","",IF(AND(M423="Autre (plus de 40 km)",OR(O423="lt600",O423="600_999",O423="1000_2499")),"D",IF(OR(O423="lt600",AND(O423="600_999",K423&lt;&gt;"mariage",K423&lt;&gt;"prive")),"C",IF(OR(O423="2500_4999",O423="5000p",J423="entreprise",J423="organisme",J423="agence"),"A",IF(OR(O423="1000_2499",O423="600_999"),"B",IF(O423="inconnu",IF(OR(N423="75_149",N423="150p"),"A","B"),""))))))</f>
        <v/>
      </c>
      <c r="AT423" s="7">
        <f>IF(A423="","",IF(P423&lt;&gt;"",P423,AS423))</f>
        <v/>
      </c>
      <c r="AU423" s="7">
        <f>IF(A423="","",IF(OR(AT423="A",AT423="B"),1,0))</f>
        <v/>
      </c>
      <c r="AV423" s="7">
        <f>IF(A423="","",IF(OR(R423="Dépôt payé (gagné)",R423="Événement livré",R423="Avis obtenu"),1,0))</f>
        <v/>
      </c>
      <c r="AW423" s="7">
        <f>IF(A423="","",IF(Q423&gt;70,"Immédiat – propriétaire",IF(Q423&gt;=40,"15 min – personne de garde","Selon la route")))</f>
        <v/>
      </c>
      <c r="AX423" s="11">
        <f>IF(A423="","",IF(AT423="A",400,IF(AT423="B",150,0)))</f>
        <v/>
      </c>
      <c r="AY423" s="11">
        <f>IF(A423="","",IF(AV423=1,N(V423),IF(N(U423)&gt;0,ROUND(N(U423)*IFERROR(VLOOKUP(R423,Listes!$AE$3:$AG$12,2,FALSE),0),0),0)))</f>
        <v/>
      </c>
      <c r="AZ423" s="7">
        <f>IF(LEFT(A423,7)="EXEMPLE",1,0)</f>
        <v/>
      </c>
      <c r="BA423" s="7">
        <f>IF(AND(AV423=1,AZ423=0,AC423&lt;&gt;"",W423&lt;&gt;"",N(V423)&gt;0),COUNTIFS($AV$3:AV423,1,$AZ$3:AZ423,0,$AC$3:AC423,"&lt;&gt;",$W$3:W423,"&lt;&gt;",$V$3:V423,"&gt;0"),"")</f>
        <v/>
      </c>
    </row>
    <row r="424">
      <c r="A424" s="12" t="n"/>
      <c r="B424" s="13" t="n"/>
      <c r="C424" s="13" t="n"/>
      <c r="D424" s="7">
        <f>IF(OR(B424="",C424=""),"",ROUND((C424-B424)*1440,0))</f>
        <v/>
      </c>
      <c r="E424" s="12" t="n"/>
      <c r="F424" s="12" t="n"/>
      <c r="G424" s="12" t="n"/>
      <c r="H424" s="12" t="n"/>
      <c r="I424" s="12" t="n"/>
      <c r="J424" s="12" t="n"/>
      <c r="K424" s="12" t="n"/>
      <c r="L424" s="14" t="n"/>
      <c r="M424" s="12" t="n"/>
      <c r="N424" s="12" t="n"/>
      <c r="O424" s="12" t="n"/>
      <c r="P424" s="12" t="n"/>
      <c r="Q424" s="7">
        <f>IF(A424="","",IFERROR(VLOOKUP(O424,Listes!$R$3:$T$8,2,FALSE),0)+IFERROR(VLOOKUP(J424,Listes!$J$3:$L$6,2,FALSE),0)+IFERROR(VLOOKUP(N424,Listes!$N$3:$P$6,2,FALSE),0)+IF(OR(L424="",B424=""),0,IF(L424-INT(B424)&lt;10,8,IF(L424-INT(B424)&lt;=90,10,5)))+IFERROR(VLOOKUP(AN424,Listes!$V$3:$W$5,2,FALSE),0)+IFERROR(VLOOKUP(AO424,Listes!$Y$3:$Z$5,2,FALSE),0))</f>
        <v/>
      </c>
      <c r="R424" s="12" t="n"/>
      <c r="S424" s="12" t="n"/>
      <c r="T424" s="12" t="n"/>
      <c r="U424" s="15" t="n"/>
      <c r="V424" s="15" t="n"/>
      <c r="W424" s="13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3" t="n"/>
      <c r="AK424" s="12" t="n"/>
      <c r="AL424" s="12" t="n"/>
      <c r="AM424" s="12" t="n"/>
      <c r="AN424" s="12" t="n"/>
      <c r="AO424" s="12" t="n"/>
      <c r="AP424" s="12" t="n"/>
      <c r="AQ424" s="7">
        <f>IF(A424="","",IF(AP424&lt;&gt;"",AP424,IF(LEFT(Z424,11)="gads_marque","Google Search – Marque",IF(LEFT(Z424,12)="gads_mariage","Google Search – Mariage et privé",IF(LEFT(Z424,10)="gads_corpo","Google Search – Corporatif",IF(LEFT(Z424,5)="meta_","Meta – Leads",IF(LEFT(Z424,5)="msft_","Microsoft Ads",IF(LEFT(Z424,8)="chatgpt_","ChatGPT Ads – Test",IF(X424="gbp","Fiche Google (organique)","Autre / non payé")))))))))</f>
        <v/>
      </c>
      <c r="AR424" s="7">
        <f>IF(K424="","",IFERROR(VLOOKUP(K424,Listes!$F$3:$H$8,3,FALSE),""))</f>
        <v/>
      </c>
      <c r="AS424" s="7">
        <f>IF(O424="","",IF(AND(M424="Autre (plus de 40 km)",OR(O424="lt600",O424="600_999",O424="1000_2499")),"D",IF(OR(O424="lt600",AND(O424="600_999",K424&lt;&gt;"mariage",K424&lt;&gt;"prive")),"C",IF(OR(O424="2500_4999",O424="5000p",J424="entreprise",J424="organisme",J424="agence"),"A",IF(OR(O424="1000_2499",O424="600_999"),"B",IF(O424="inconnu",IF(OR(N424="75_149",N424="150p"),"A","B"),""))))))</f>
        <v/>
      </c>
      <c r="AT424" s="7">
        <f>IF(A424="","",IF(P424&lt;&gt;"",P424,AS424))</f>
        <v/>
      </c>
      <c r="AU424" s="7">
        <f>IF(A424="","",IF(OR(AT424="A",AT424="B"),1,0))</f>
        <v/>
      </c>
      <c r="AV424" s="7">
        <f>IF(A424="","",IF(OR(R424="Dépôt payé (gagné)",R424="Événement livré",R424="Avis obtenu"),1,0))</f>
        <v/>
      </c>
      <c r="AW424" s="7">
        <f>IF(A424="","",IF(Q424&gt;70,"Immédiat – propriétaire",IF(Q424&gt;=40,"15 min – personne de garde","Selon la route")))</f>
        <v/>
      </c>
      <c r="AX424" s="11">
        <f>IF(A424="","",IF(AT424="A",400,IF(AT424="B",150,0)))</f>
        <v/>
      </c>
      <c r="AY424" s="11">
        <f>IF(A424="","",IF(AV424=1,N(V424),IF(N(U424)&gt;0,ROUND(N(U424)*IFERROR(VLOOKUP(R424,Listes!$AE$3:$AG$12,2,FALSE),0),0),0)))</f>
        <v/>
      </c>
      <c r="AZ424" s="7">
        <f>IF(LEFT(A424,7)="EXEMPLE",1,0)</f>
        <v/>
      </c>
      <c r="BA424" s="7">
        <f>IF(AND(AV424=1,AZ424=0,AC424&lt;&gt;"",W424&lt;&gt;"",N(V424)&gt;0),COUNTIFS($AV$3:AV424,1,$AZ$3:AZ424,0,$AC$3:AC424,"&lt;&gt;",$W$3:W424,"&lt;&gt;",$V$3:V424,"&gt;0"),"")</f>
        <v/>
      </c>
    </row>
    <row r="425">
      <c r="A425" s="12" t="n"/>
      <c r="B425" s="13" t="n"/>
      <c r="C425" s="13" t="n"/>
      <c r="D425" s="7">
        <f>IF(OR(B425="",C425=""),"",ROUND((C425-B425)*1440,0))</f>
        <v/>
      </c>
      <c r="E425" s="12" t="n"/>
      <c r="F425" s="12" t="n"/>
      <c r="G425" s="12" t="n"/>
      <c r="H425" s="12" t="n"/>
      <c r="I425" s="12" t="n"/>
      <c r="J425" s="12" t="n"/>
      <c r="K425" s="12" t="n"/>
      <c r="L425" s="14" t="n"/>
      <c r="M425" s="12" t="n"/>
      <c r="N425" s="12" t="n"/>
      <c r="O425" s="12" t="n"/>
      <c r="P425" s="12" t="n"/>
      <c r="Q425" s="7">
        <f>IF(A425="","",IFERROR(VLOOKUP(O425,Listes!$R$3:$T$8,2,FALSE),0)+IFERROR(VLOOKUP(J425,Listes!$J$3:$L$6,2,FALSE),0)+IFERROR(VLOOKUP(N425,Listes!$N$3:$P$6,2,FALSE),0)+IF(OR(L425="",B425=""),0,IF(L425-INT(B425)&lt;10,8,IF(L425-INT(B425)&lt;=90,10,5)))+IFERROR(VLOOKUP(AN425,Listes!$V$3:$W$5,2,FALSE),0)+IFERROR(VLOOKUP(AO425,Listes!$Y$3:$Z$5,2,FALSE),0))</f>
        <v/>
      </c>
      <c r="R425" s="12" t="n"/>
      <c r="S425" s="12" t="n"/>
      <c r="T425" s="12" t="n"/>
      <c r="U425" s="15" t="n"/>
      <c r="V425" s="15" t="n"/>
      <c r="W425" s="13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3" t="n"/>
      <c r="AK425" s="12" t="n"/>
      <c r="AL425" s="12" t="n"/>
      <c r="AM425" s="12" t="n"/>
      <c r="AN425" s="12" t="n"/>
      <c r="AO425" s="12" t="n"/>
      <c r="AP425" s="12" t="n"/>
      <c r="AQ425" s="7">
        <f>IF(A425="","",IF(AP425&lt;&gt;"",AP425,IF(LEFT(Z425,11)="gads_marque","Google Search – Marque",IF(LEFT(Z425,12)="gads_mariage","Google Search – Mariage et privé",IF(LEFT(Z425,10)="gads_corpo","Google Search – Corporatif",IF(LEFT(Z425,5)="meta_","Meta – Leads",IF(LEFT(Z425,5)="msft_","Microsoft Ads",IF(LEFT(Z425,8)="chatgpt_","ChatGPT Ads – Test",IF(X425="gbp","Fiche Google (organique)","Autre / non payé")))))))))</f>
        <v/>
      </c>
      <c r="AR425" s="7">
        <f>IF(K425="","",IFERROR(VLOOKUP(K425,Listes!$F$3:$H$8,3,FALSE),""))</f>
        <v/>
      </c>
      <c r="AS425" s="7">
        <f>IF(O425="","",IF(AND(M425="Autre (plus de 40 km)",OR(O425="lt600",O425="600_999",O425="1000_2499")),"D",IF(OR(O425="lt600",AND(O425="600_999",K425&lt;&gt;"mariage",K425&lt;&gt;"prive")),"C",IF(OR(O425="2500_4999",O425="5000p",J425="entreprise",J425="organisme",J425="agence"),"A",IF(OR(O425="1000_2499",O425="600_999"),"B",IF(O425="inconnu",IF(OR(N425="75_149",N425="150p"),"A","B"),""))))))</f>
        <v/>
      </c>
      <c r="AT425" s="7">
        <f>IF(A425="","",IF(P425&lt;&gt;"",P425,AS425))</f>
        <v/>
      </c>
      <c r="AU425" s="7">
        <f>IF(A425="","",IF(OR(AT425="A",AT425="B"),1,0))</f>
        <v/>
      </c>
      <c r="AV425" s="7">
        <f>IF(A425="","",IF(OR(R425="Dépôt payé (gagné)",R425="Événement livré",R425="Avis obtenu"),1,0))</f>
        <v/>
      </c>
      <c r="AW425" s="7">
        <f>IF(A425="","",IF(Q425&gt;70,"Immédiat – propriétaire",IF(Q425&gt;=40,"15 min – personne de garde","Selon la route")))</f>
        <v/>
      </c>
      <c r="AX425" s="11">
        <f>IF(A425="","",IF(AT425="A",400,IF(AT425="B",150,0)))</f>
        <v/>
      </c>
      <c r="AY425" s="11">
        <f>IF(A425="","",IF(AV425=1,N(V425),IF(N(U425)&gt;0,ROUND(N(U425)*IFERROR(VLOOKUP(R425,Listes!$AE$3:$AG$12,2,FALSE),0),0),0)))</f>
        <v/>
      </c>
      <c r="AZ425" s="7">
        <f>IF(LEFT(A425,7)="EXEMPLE",1,0)</f>
        <v/>
      </c>
      <c r="BA425" s="7">
        <f>IF(AND(AV425=1,AZ425=0,AC425&lt;&gt;"",W425&lt;&gt;"",N(V425)&gt;0),COUNTIFS($AV$3:AV425,1,$AZ$3:AZ425,0,$AC$3:AC425,"&lt;&gt;",$W$3:W425,"&lt;&gt;",$V$3:V425,"&gt;0"),"")</f>
        <v/>
      </c>
    </row>
    <row r="426">
      <c r="A426" s="12" t="n"/>
      <c r="B426" s="13" t="n"/>
      <c r="C426" s="13" t="n"/>
      <c r="D426" s="7">
        <f>IF(OR(B426="",C426=""),"",ROUND((C426-B426)*1440,0))</f>
        <v/>
      </c>
      <c r="E426" s="12" t="n"/>
      <c r="F426" s="12" t="n"/>
      <c r="G426" s="12" t="n"/>
      <c r="H426" s="12" t="n"/>
      <c r="I426" s="12" t="n"/>
      <c r="J426" s="12" t="n"/>
      <c r="K426" s="12" t="n"/>
      <c r="L426" s="14" t="n"/>
      <c r="M426" s="12" t="n"/>
      <c r="N426" s="12" t="n"/>
      <c r="O426" s="12" t="n"/>
      <c r="P426" s="12" t="n"/>
      <c r="Q426" s="7">
        <f>IF(A426="","",IFERROR(VLOOKUP(O426,Listes!$R$3:$T$8,2,FALSE),0)+IFERROR(VLOOKUP(J426,Listes!$J$3:$L$6,2,FALSE),0)+IFERROR(VLOOKUP(N426,Listes!$N$3:$P$6,2,FALSE),0)+IF(OR(L426="",B426=""),0,IF(L426-INT(B426)&lt;10,8,IF(L426-INT(B426)&lt;=90,10,5)))+IFERROR(VLOOKUP(AN426,Listes!$V$3:$W$5,2,FALSE),0)+IFERROR(VLOOKUP(AO426,Listes!$Y$3:$Z$5,2,FALSE),0))</f>
        <v/>
      </c>
      <c r="R426" s="12" t="n"/>
      <c r="S426" s="12" t="n"/>
      <c r="T426" s="12" t="n"/>
      <c r="U426" s="15" t="n"/>
      <c r="V426" s="15" t="n"/>
      <c r="W426" s="13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3" t="n"/>
      <c r="AK426" s="12" t="n"/>
      <c r="AL426" s="12" t="n"/>
      <c r="AM426" s="12" t="n"/>
      <c r="AN426" s="12" t="n"/>
      <c r="AO426" s="12" t="n"/>
      <c r="AP426" s="12" t="n"/>
      <c r="AQ426" s="7">
        <f>IF(A426="","",IF(AP426&lt;&gt;"",AP426,IF(LEFT(Z426,11)="gads_marque","Google Search – Marque",IF(LEFT(Z426,12)="gads_mariage","Google Search – Mariage et privé",IF(LEFT(Z426,10)="gads_corpo","Google Search – Corporatif",IF(LEFT(Z426,5)="meta_","Meta – Leads",IF(LEFT(Z426,5)="msft_","Microsoft Ads",IF(LEFT(Z426,8)="chatgpt_","ChatGPT Ads – Test",IF(X426="gbp","Fiche Google (organique)","Autre / non payé")))))))))</f>
        <v/>
      </c>
      <c r="AR426" s="7">
        <f>IF(K426="","",IFERROR(VLOOKUP(K426,Listes!$F$3:$H$8,3,FALSE),""))</f>
        <v/>
      </c>
      <c r="AS426" s="7">
        <f>IF(O426="","",IF(AND(M426="Autre (plus de 40 km)",OR(O426="lt600",O426="600_999",O426="1000_2499")),"D",IF(OR(O426="lt600",AND(O426="600_999",K426&lt;&gt;"mariage",K426&lt;&gt;"prive")),"C",IF(OR(O426="2500_4999",O426="5000p",J426="entreprise",J426="organisme",J426="agence"),"A",IF(OR(O426="1000_2499",O426="600_999"),"B",IF(O426="inconnu",IF(OR(N426="75_149",N426="150p"),"A","B"),""))))))</f>
        <v/>
      </c>
      <c r="AT426" s="7">
        <f>IF(A426="","",IF(P426&lt;&gt;"",P426,AS426))</f>
        <v/>
      </c>
      <c r="AU426" s="7">
        <f>IF(A426="","",IF(OR(AT426="A",AT426="B"),1,0))</f>
        <v/>
      </c>
      <c r="AV426" s="7">
        <f>IF(A426="","",IF(OR(R426="Dépôt payé (gagné)",R426="Événement livré",R426="Avis obtenu"),1,0))</f>
        <v/>
      </c>
      <c r="AW426" s="7">
        <f>IF(A426="","",IF(Q426&gt;70,"Immédiat – propriétaire",IF(Q426&gt;=40,"15 min – personne de garde","Selon la route")))</f>
        <v/>
      </c>
      <c r="AX426" s="11">
        <f>IF(A426="","",IF(AT426="A",400,IF(AT426="B",150,0)))</f>
        <v/>
      </c>
      <c r="AY426" s="11">
        <f>IF(A426="","",IF(AV426=1,N(V426),IF(N(U426)&gt;0,ROUND(N(U426)*IFERROR(VLOOKUP(R426,Listes!$AE$3:$AG$12,2,FALSE),0),0),0)))</f>
        <v/>
      </c>
      <c r="AZ426" s="7">
        <f>IF(LEFT(A426,7)="EXEMPLE",1,0)</f>
        <v/>
      </c>
      <c r="BA426" s="7">
        <f>IF(AND(AV426=1,AZ426=0,AC426&lt;&gt;"",W426&lt;&gt;"",N(V426)&gt;0),COUNTIFS($AV$3:AV426,1,$AZ$3:AZ426,0,$AC$3:AC426,"&lt;&gt;",$W$3:W426,"&lt;&gt;",$V$3:V426,"&gt;0"),"")</f>
        <v/>
      </c>
    </row>
    <row r="427">
      <c r="A427" s="12" t="n"/>
      <c r="B427" s="13" t="n"/>
      <c r="C427" s="13" t="n"/>
      <c r="D427" s="7">
        <f>IF(OR(B427="",C427=""),"",ROUND((C427-B427)*1440,0))</f>
        <v/>
      </c>
      <c r="E427" s="12" t="n"/>
      <c r="F427" s="12" t="n"/>
      <c r="G427" s="12" t="n"/>
      <c r="H427" s="12" t="n"/>
      <c r="I427" s="12" t="n"/>
      <c r="J427" s="12" t="n"/>
      <c r="K427" s="12" t="n"/>
      <c r="L427" s="14" t="n"/>
      <c r="M427" s="12" t="n"/>
      <c r="N427" s="12" t="n"/>
      <c r="O427" s="12" t="n"/>
      <c r="P427" s="12" t="n"/>
      <c r="Q427" s="7">
        <f>IF(A427="","",IFERROR(VLOOKUP(O427,Listes!$R$3:$T$8,2,FALSE),0)+IFERROR(VLOOKUP(J427,Listes!$J$3:$L$6,2,FALSE),0)+IFERROR(VLOOKUP(N427,Listes!$N$3:$P$6,2,FALSE),0)+IF(OR(L427="",B427=""),0,IF(L427-INT(B427)&lt;10,8,IF(L427-INT(B427)&lt;=90,10,5)))+IFERROR(VLOOKUP(AN427,Listes!$V$3:$W$5,2,FALSE),0)+IFERROR(VLOOKUP(AO427,Listes!$Y$3:$Z$5,2,FALSE),0))</f>
        <v/>
      </c>
      <c r="R427" s="12" t="n"/>
      <c r="S427" s="12" t="n"/>
      <c r="T427" s="12" t="n"/>
      <c r="U427" s="15" t="n"/>
      <c r="V427" s="15" t="n"/>
      <c r="W427" s="13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3" t="n"/>
      <c r="AK427" s="12" t="n"/>
      <c r="AL427" s="12" t="n"/>
      <c r="AM427" s="12" t="n"/>
      <c r="AN427" s="12" t="n"/>
      <c r="AO427" s="12" t="n"/>
      <c r="AP427" s="12" t="n"/>
      <c r="AQ427" s="7">
        <f>IF(A427="","",IF(AP427&lt;&gt;"",AP427,IF(LEFT(Z427,11)="gads_marque","Google Search – Marque",IF(LEFT(Z427,12)="gads_mariage","Google Search – Mariage et privé",IF(LEFT(Z427,10)="gads_corpo","Google Search – Corporatif",IF(LEFT(Z427,5)="meta_","Meta – Leads",IF(LEFT(Z427,5)="msft_","Microsoft Ads",IF(LEFT(Z427,8)="chatgpt_","ChatGPT Ads – Test",IF(X427="gbp","Fiche Google (organique)","Autre / non payé")))))))))</f>
        <v/>
      </c>
      <c r="AR427" s="7">
        <f>IF(K427="","",IFERROR(VLOOKUP(K427,Listes!$F$3:$H$8,3,FALSE),""))</f>
        <v/>
      </c>
      <c r="AS427" s="7">
        <f>IF(O427="","",IF(AND(M427="Autre (plus de 40 km)",OR(O427="lt600",O427="600_999",O427="1000_2499")),"D",IF(OR(O427="lt600",AND(O427="600_999",K427&lt;&gt;"mariage",K427&lt;&gt;"prive")),"C",IF(OR(O427="2500_4999",O427="5000p",J427="entreprise",J427="organisme",J427="agence"),"A",IF(OR(O427="1000_2499",O427="600_999"),"B",IF(O427="inconnu",IF(OR(N427="75_149",N427="150p"),"A","B"),""))))))</f>
        <v/>
      </c>
      <c r="AT427" s="7">
        <f>IF(A427="","",IF(P427&lt;&gt;"",P427,AS427))</f>
        <v/>
      </c>
      <c r="AU427" s="7">
        <f>IF(A427="","",IF(OR(AT427="A",AT427="B"),1,0))</f>
        <v/>
      </c>
      <c r="AV427" s="7">
        <f>IF(A427="","",IF(OR(R427="Dépôt payé (gagné)",R427="Événement livré",R427="Avis obtenu"),1,0))</f>
        <v/>
      </c>
      <c r="AW427" s="7">
        <f>IF(A427="","",IF(Q427&gt;70,"Immédiat – propriétaire",IF(Q427&gt;=40,"15 min – personne de garde","Selon la route")))</f>
        <v/>
      </c>
      <c r="AX427" s="11">
        <f>IF(A427="","",IF(AT427="A",400,IF(AT427="B",150,0)))</f>
        <v/>
      </c>
      <c r="AY427" s="11">
        <f>IF(A427="","",IF(AV427=1,N(V427),IF(N(U427)&gt;0,ROUND(N(U427)*IFERROR(VLOOKUP(R427,Listes!$AE$3:$AG$12,2,FALSE),0),0),0)))</f>
        <v/>
      </c>
      <c r="AZ427" s="7">
        <f>IF(LEFT(A427,7)="EXEMPLE",1,0)</f>
        <v/>
      </c>
      <c r="BA427" s="7">
        <f>IF(AND(AV427=1,AZ427=0,AC427&lt;&gt;"",W427&lt;&gt;"",N(V427)&gt;0),COUNTIFS($AV$3:AV427,1,$AZ$3:AZ427,0,$AC$3:AC427,"&lt;&gt;",$W$3:W427,"&lt;&gt;",$V$3:V427,"&gt;0"),"")</f>
        <v/>
      </c>
    </row>
    <row r="428">
      <c r="A428" s="12" t="n"/>
      <c r="B428" s="13" t="n"/>
      <c r="C428" s="13" t="n"/>
      <c r="D428" s="7">
        <f>IF(OR(B428="",C428=""),"",ROUND((C428-B428)*1440,0))</f>
        <v/>
      </c>
      <c r="E428" s="12" t="n"/>
      <c r="F428" s="12" t="n"/>
      <c r="G428" s="12" t="n"/>
      <c r="H428" s="12" t="n"/>
      <c r="I428" s="12" t="n"/>
      <c r="J428" s="12" t="n"/>
      <c r="K428" s="12" t="n"/>
      <c r="L428" s="14" t="n"/>
      <c r="M428" s="12" t="n"/>
      <c r="N428" s="12" t="n"/>
      <c r="O428" s="12" t="n"/>
      <c r="P428" s="12" t="n"/>
      <c r="Q428" s="7">
        <f>IF(A428="","",IFERROR(VLOOKUP(O428,Listes!$R$3:$T$8,2,FALSE),0)+IFERROR(VLOOKUP(J428,Listes!$J$3:$L$6,2,FALSE),0)+IFERROR(VLOOKUP(N428,Listes!$N$3:$P$6,2,FALSE),0)+IF(OR(L428="",B428=""),0,IF(L428-INT(B428)&lt;10,8,IF(L428-INT(B428)&lt;=90,10,5)))+IFERROR(VLOOKUP(AN428,Listes!$V$3:$W$5,2,FALSE),0)+IFERROR(VLOOKUP(AO428,Listes!$Y$3:$Z$5,2,FALSE),0))</f>
        <v/>
      </c>
      <c r="R428" s="12" t="n"/>
      <c r="S428" s="12" t="n"/>
      <c r="T428" s="12" t="n"/>
      <c r="U428" s="15" t="n"/>
      <c r="V428" s="15" t="n"/>
      <c r="W428" s="13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3" t="n"/>
      <c r="AK428" s="12" t="n"/>
      <c r="AL428" s="12" t="n"/>
      <c r="AM428" s="12" t="n"/>
      <c r="AN428" s="12" t="n"/>
      <c r="AO428" s="12" t="n"/>
      <c r="AP428" s="12" t="n"/>
      <c r="AQ428" s="7">
        <f>IF(A428="","",IF(AP428&lt;&gt;"",AP428,IF(LEFT(Z428,11)="gads_marque","Google Search – Marque",IF(LEFT(Z428,12)="gads_mariage","Google Search – Mariage et privé",IF(LEFT(Z428,10)="gads_corpo","Google Search – Corporatif",IF(LEFT(Z428,5)="meta_","Meta – Leads",IF(LEFT(Z428,5)="msft_","Microsoft Ads",IF(LEFT(Z428,8)="chatgpt_","ChatGPT Ads – Test",IF(X428="gbp","Fiche Google (organique)","Autre / non payé")))))))))</f>
        <v/>
      </c>
      <c r="AR428" s="7">
        <f>IF(K428="","",IFERROR(VLOOKUP(K428,Listes!$F$3:$H$8,3,FALSE),""))</f>
        <v/>
      </c>
      <c r="AS428" s="7">
        <f>IF(O428="","",IF(AND(M428="Autre (plus de 40 km)",OR(O428="lt600",O428="600_999",O428="1000_2499")),"D",IF(OR(O428="lt600",AND(O428="600_999",K428&lt;&gt;"mariage",K428&lt;&gt;"prive")),"C",IF(OR(O428="2500_4999",O428="5000p",J428="entreprise",J428="organisme",J428="agence"),"A",IF(OR(O428="1000_2499",O428="600_999"),"B",IF(O428="inconnu",IF(OR(N428="75_149",N428="150p"),"A","B"),""))))))</f>
        <v/>
      </c>
      <c r="AT428" s="7">
        <f>IF(A428="","",IF(P428&lt;&gt;"",P428,AS428))</f>
        <v/>
      </c>
      <c r="AU428" s="7">
        <f>IF(A428="","",IF(OR(AT428="A",AT428="B"),1,0))</f>
        <v/>
      </c>
      <c r="AV428" s="7">
        <f>IF(A428="","",IF(OR(R428="Dépôt payé (gagné)",R428="Événement livré",R428="Avis obtenu"),1,0))</f>
        <v/>
      </c>
      <c r="AW428" s="7">
        <f>IF(A428="","",IF(Q428&gt;70,"Immédiat – propriétaire",IF(Q428&gt;=40,"15 min – personne de garde","Selon la route")))</f>
        <v/>
      </c>
      <c r="AX428" s="11">
        <f>IF(A428="","",IF(AT428="A",400,IF(AT428="B",150,0)))</f>
        <v/>
      </c>
      <c r="AY428" s="11">
        <f>IF(A428="","",IF(AV428=1,N(V428),IF(N(U428)&gt;0,ROUND(N(U428)*IFERROR(VLOOKUP(R428,Listes!$AE$3:$AG$12,2,FALSE),0),0),0)))</f>
        <v/>
      </c>
      <c r="AZ428" s="7">
        <f>IF(LEFT(A428,7)="EXEMPLE",1,0)</f>
        <v/>
      </c>
      <c r="BA428" s="7">
        <f>IF(AND(AV428=1,AZ428=0,AC428&lt;&gt;"",W428&lt;&gt;"",N(V428)&gt;0),COUNTIFS($AV$3:AV428,1,$AZ$3:AZ428,0,$AC$3:AC428,"&lt;&gt;",$W$3:W428,"&lt;&gt;",$V$3:V428,"&gt;0"),"")</f>
        <v/>
      </c>
    </row>
    <row r="429">
      <c r="A429" s="12" t="n"/>
      <c r="B429" s="13" t="n"/>
      <c r="C429" s="13" t="n"/>
      <c r="D429" s="7">
        <f>IF(OR(B429="",C429=""),"",ROUND((C429-B429)*1440,0))</f>
        <v/>
      </c>
      <c r="E429" s="12" t="n"/>
      <c r="F429" s="12" t="n"/>
      <c r="G429" s="12" t="n"/>
      <c r="H429" s="12" t="n"/>
      <c r="I429" s="12" t="n"/>
      <c r="J429" s="12" t="n"/>
      <c r="K429" s="12" t="n"/>
      <c r="L429" s="14" t="n"/>
      <c r="M429" s="12" t="n"/>
      <c r="N429" s="12" t="n"/>
      <c r="O429" s="12" t="n"/>
      <c r="P429" s="12" t="n"/>
      <c r="Q429" s="7">
        <f>IF(A429="","",IFERROR(VLOOKUP(O429,Listes!$R$3:$T$8,2,FALSE),0)+IFERROR(VLOOKUP(J429,Listes!$J$3:$L$6,2,FALSE),0)+IFERROR(VLOOKUP(N429,Listes!$N$3:$P$6,2,FALSE),0)+IF(OR(L429="",B429=""),0,IF(L429-INT(B429)&lt;10,8,IF(L429-INT(B429)&lt;=90,10,5)))+IFERROR(VLOOKUP(AN429,Listes!$V$3:$W$5,2,FALSE),0)+IFERROR(VLOOKUP(AO429,Listes!$Y$3:$Z$5,2,FALSE),0))</f>
        <v/>
      </c>
      <c r="R429" s="12" t="n"/>
      <c r="S429" s="12" t="n"/>
      <c r="T429" s="12" t="n"/>
      <c r="U429" s="15" t="n"/>
      <c r="V429" s="15" t="n"/>
      <c r="W429" s="13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3" t="n"/>
      <c r="AK429" s="12" t="n"/>
      <c r="AL429" s="12" t="n"/>
      <c r="AM429" s="12" t="n"/>
      <c r="AN429" s="12" t="n"/>
      <c r="AO429" s="12" t="n"/>
      <c r="AP429" s="12" t="n"/>
      <c r="AQ429" s="7">
        <f>IF(A429="","",IF(AP429&lt;&gt;"",AP429,IF(LEFT(Z429,11)="gads_marque","Google Search – Marque",IF(LEFT(Z429,12)="gads_mariage","Google Search – Mariage et privé",IF(LEFT(Z429,10)="gads_corpo","Google Search – Corporatif",IF(LEFT(Z429,5)="meta_","Meta – Leads",IF(LEFT(Z429,5)="msft_","Microsoft Ads",IF(LEFT(Z429,8)="chatgpt_","ChatGPT Ads – Test",IF(X429="gbp","Fiche Google (organique)","Autre / non payé")))))))))</f>
        <v/>
      </c>
      <c r="AR429" s="7">
        <f>IF(K429="","",IFERROR(VLOOKUP(K429,Listes!$F$3:$H$8,3,FALSE),""))</f>
        <v/>
      </c>
      <c r="AS429" s="7">
        <f>IF(O429="","",IF(AND(M429="Autre (plus de 40 km)",OR(O429="lt600",O429="600_999",O429="1000_2499")),"D",IF(OR(O429="lt600",AND(O429="600_999",K429&lt;&gt;"mariage",K429&lt;&gt;"prive")),"C",IF(OR(O429="2500_4999",O429="5000p",J429="entreprise",J429="organisme",J429="agence"),"A",IF(OR(O429="1000_2499",O429="600_999"),"B",IF(O429="inconnu",IF(OR(N429="75_149",N429="150p"),"A","B"),""))))))</f>
        <v/>
      </c>
      <c r="AT429" s="7">
        <f>IF(A429="","",IF(P429&lt;&gt;"",P429,AS429))</f>
        <v/>
      </c>
      <c r="AU429" s="7">
        <f>IF(A429="","",IF(OR(AT429="A",AT429="B"),1,0))</f>
        <v/>
      </c>
      <c r="AV429" s="7">
        <f>IF(A429="","",IF(OR(R429="Dépôt payé (gagné)",R429="Événement livré",R429="Avis obtenu"),1,0))</f>
        <v/>
      </c>
      <c r="AW429" s="7">
        <f>IF(A429="","",IF(Q429&gt;70,"Immédiat – propriétaire",IF(Q429&gt;=40,"15 min – personne de garde","Selon la route")))</f>
        <v/>
      </c>
      <c r="AX429" s="11">
        <f>IF(A429="","",IF(AT429="A",400,IF(AT429="B",150,0)))</f>
        <v/>
      </c>
      <c r="AY429" s="11">
        <f>IF(A429="","",IF(AV429=1,N(V429),IF(N(U429)&gt;0,ROUND(N(U429)*IFERROR(VLOOKUP(R429,Listes!$AE$3:$AG$12,2,FALSE),0),0),0)))</f>
        <v/>
      </c>
      <c r="AZ429" s="7">
        <f>IF(LEFT(A429,7)="EXEMPLE",1,0)</f>
        <v/>
      </c>
      <c r="BA429" s="7">
        <f>IF(AND(AV429=1,AZ429=0,AC429&lt;&gt;"",W429&lt;&gt;"",N(V429)&gt;0),COUNTIFS($AV$3:AV429,1,$AZ$3:AZ429,0,$AC$3:AC429,"&lt;&gt;",$W$3:W429,"&lt;&gt;",$V$3:V429,"&gt;0"),"")</f>
        <v/>
      </c>
    </row>
    <row r="430">
      <c r="A430" s="12" t="n"/>
      <c r="B430" s="13" t="n"/>
      <c r="C430" s="13" t="n"/>
      <c r="D430" s="7">
        <f>IF(OR(B430="",C430=""),"",ROUND((C430-B430)*1440,0))</f>
        <v/>
      </c>
      <c r="E430" s="12" t="n"/>
      <c r="F430" s="12" t="n"/>
      <c r="G430" s="12" t="n"/>
      <c r="H430" s="12" t="n"/>
      <c r="I430" s="12" t="n"/>
      <c r="J430" s="12" t="n"/>
      <c r="K430" s="12" t="n"/>
      <c r="L430" s="14" t="n"/>
      <c r="M430" s="12" t="n"/>
      <c r="N430" s="12" t="n"/>
      <c r="O430" s="12" t="n"/>
      <c r="P430" s="12" t="n"/>
      <c r="Q430" s="7">
        <f>IF(A430="","",IFERROR(VLOOKUP(O430,Listes!$R$3:$T$8,2,FALSE),0)+IFERROR(VLOOKUP(J430,Listes!$J$3:$L$6,2,FALSE),0)+IFERROR(VLOOKUP(N430,Listes!$N$3:$P$6,2,FALSE),0)+IF(OR(L430="",B430=""),0,IF(L430-INT(B430)&lt;10,8,IF(L430-INT(B430)&lt;=90,10,5)))+IFERROR(VLOOKUP(AN430,Listes!$V$3:$W$5,2,FALSE),0)+IFERROR(VLOOKUP(AO430,Listes!$Y$3:$Z$5,2,FALSE),0))</f>
        <v/>
      </c>
      <c r="R430" s="12" t="n"/>
      <c r="S430" s="12" t="n"/>
      <c r="T430" s="12" t="n"/>
      <c r="U430" s="15" t="n"/>
      <c r="V430" s="15" t="n"/>
      <c r="W430" s="13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3" t="n"/>
      <c r="AK430" s="12" t="n"/>
      <c r="AL430" s="12" t="n"/>
      <c r="AM430" s="12" t="n"/>
      <c r="AN430" s="12" t="n"/>
      <c r="AO430" s="12" t="n"/>
      <c r="AP430" s="12" t="n"/>
      <c r="AQ430" s="7">
        <f>IF(A430="","",IF(AP430&lt;&gt;"",AP430,IF(LEFT(Z430,11)="gads_marque","Google Search – Marque",IF(LEFT(Z430,12)="gads_mariage","Google Search – Mariage et privé",IF(LEFT(Z430,10)="gads_corpo","Google Search – Corporatif",IF(LEFT(Z430,5)="meta_","Meta – Leads",IF(LEFT(Z430,5)="msft_","Microsoft Ads",IF(LEFT(Z430,8)="chatgpt_","ChatGPT Ads – Test",IF(X430="gbp","Fiche Google (organique)","Autre / non payé")))))))))</f>
        <v/>
      </c>
      <c r="AR430" s="7">
        <f>IF(K430="","",IFERROR(VLOOKUP(K430,Listes!$F$3:$H$8,3,FALSE),""))</f>
        <v/>
      </c>
      <c r="AS430" s="7">
        <f>IF(O430="","",IF(AND(M430="Autre (plus de 40 km)",OR(O430="lt600",O430="600_999",O430="1000_2499")),"D",IF(OR(O430="lt600",AND(O430="600_999",K430&lt;&gt;"mariage",K430&lt;&gt;"prive")),"C",IF(OR(O430="2500_4999",O430="5000p",J430="entreprise",J430="organisme",J430="agence"),"A",IF(OR(O430="1000_2499",O430="600_999"),"B",IF(O430="inconnu",IF(OR(N430="75_149",N430="150p"),"A","B"),""))))))</f>
        <v/>
      </c>
      <c r="AT430" s="7">
        <f>IF(A430="","",IF(P430&lt;&gt;"",P430,AS430))</f>
        <v/>
      </c>
      <c r="AU430" s="7">
        <f>IF(A430="","",IF(OR(AT430="A",AT430="B"),1,0))</f>
        <v/>
      </c>
      <c r="AV430" s="7">
        <f>IF(A430="","",IF(OR(R430="Dépôt payé (gagné)",R430="Événement livré",R430="Avis obtenu"),1,0))</f>
        <v/>
      </c>
      <c r="AW430" s="7">
        <f>IF(A430="","",IF(Q430&gt;70,"Immédiat – propriétaire",IF(Q430&gt;=40,"15 min – personne de garde","Selon la route")))</f>
        <v/>
      </c>
      <c r="AX430" s="11">
        <f>IF(A430="","",IF(AT430="A",400,IF(AT430="B",150,0)))</f>
        <v/>
      </c>
      <c r="AY430" s="11">
        <f>IF(A430="","",IF(AV430=1,N(V430),IF(N(U430)&gt;0,ROUND(N(U430)*IFERROR(VLOOKUP(R430,Listes!$AE$3:$AG$12,2,FALSE),0),0),0)))</f>
        <v/>
      </c>
      <c r="AZ430" s="7">
        <f>IF(LEFT(A430,7)="EXEMPLE",1,0)</f>
        <v/>
      </c>
      <c r="BA430" s="7">
        <f>IF(AND(AV430=1,AZ430=0,AC430&lt;&gt;"",W430&lt;&gt;"",N(V430)&gt;0),COUNTIFS($AV$3:AV430,1,$AZ$3:AZ430,0,$AC$3:AC430,"&lt;&gt;",$W$3:W430,"&lt;&gt;",$V$3:V430,"&gt;0"),"")</f>
        <v/>
      </c>
    </row>
    <row r="431">
      <c r="A431" s="12" t="n"/>
      <c r="B431" s="13" t="n"/>
      <c r="C431" s="13" t="n"/>
      <c r="D431" s="7">
        <f>IF(OR(B431="",C431=""),"",ROUND((C431-B431)*1440,0))</f>
        <v/>
      </c>
      <c r="E431" s="12" t="n"/>
      <c r="F431" s="12" t="n"/>
      <c r="G431" s="12" t="n"/>
      <c r="H431" s="12" t="n"/>
      <c r="I431" s="12" t="n"/>
      <c r="J431" s="12" t="n"/>
      <c r="K431" s="12" t="n"/>
      <c r="L431" s="14" t="n"/>
      <c r="M431" s="12" t="n"/>
      <c r="N431" s="12" t="n"/>
      <c r="O431" s="12" t="n"/>
      <c r="P431" s="12" t="n"/>
      <c r="Q431" s="7">
        <f>IF(A431="","",IFERROR(VLOOKUP(O431,Listes!$R$3:$T$8,2,FALSE),0)+IFERROR(VLOOKUP(J431,Listes!$J$3:$L$6,2,FALSE),0)+IFERROR(VLOOKUP(N431,Listes!$N$3:$P$6,2,FALSE),0)+IF(OR(L431="",B431=""),0,IF(L431-INT(B431)&lt;10,8,IF(L431-INT(B431)&lt;=90,10,5)))+IFERROR(VLOOKUP(AN431,Listes!$V$3:$W$5,2,FALSE),0)+IFERROR(VLOOKUP(AO431,Listes!$Y$3:$Z$5,2,FALSE),0))</f>
        <v/>
      </c>
      <c r="R431" s="12" t="n"/>
      <c r="S431" s="12" t="n"/>
      <c r="T431" s="12" t="n"/>
      <c r="U431" s="15" t="n"/>
      <c r="V431" s="15" t="n"/>
      <c r="W431" s="13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3" t="n"/>
      <c r="AK431" s="12" t="n"/>
      <c r="AL431" s="12" t="n"/>
      <c r="AM431" s="12" t="n"/>
      <c r="AN431" s="12" t="n"/>
      <c r="AO431" s="12" t="n"/>
      <c r="AP431" s="12" t="n"/>
      <c r="AQ431" s="7">
        <f>IF(A431="","",IF(AP431&lt;&gt;"",AP431,IF(LEFT(Z431,11)="gads_marque","Google Search – Marque",IF(LEFT(Z431,12)="gads_mariage","Google Search – Mariage et privé",IF(LEFT(Z431,10)="gads_corpo","Google Search – Corporatif",IF(LEFT(Z431,5)="meta_","Meta – Leads",IF(LEFT(Z431,5)="msft_","Microsoft Ads",IF(LEFT(Z431,8)="chatgpt_","ChatGPT Ads – Test",IF(X431="gbp","Fiche Google (organique)","Autre / non payé")))))))))</f>
        <v/>
      </c>
      <c r="AR431" s="7">
        <f>IF(K431="","",IFERROR(VLOOKUP(K431,Listes!$F$3:$H$8,3,FALSE),""))</f>
        <v/>
      </c>
      <c r="AS431" s="7">
        <f>IF(O431="","",IF(AND(M431="Autre (plus de 40 km)",OR(O431="lt600",O431="600_999",O431="1000_2499")),"D",IF(OR(O431="lt600",AND(O431="600_999",K431&lt;&gt;"mariage",K431&lt;&gt;"prive")),"C",IF(OR(O431="2500_4999",O431="5000p",J431="entreprise",J431="organisme",J431="agence"),"A",IF(OR(O431="1000_2499",O431="600_999"),"B",IF(O431="inconnu",IF(OR(N431="75_149",N431="150p"),"A","B"),""))))))</f>
        <v/>
      </c>
      <c r="AT431" s="7">
        <f>IF(A431="","",IF(P431&lt;&gt;"",P431,AS431))</f>
        <v/>
      </c>
      <c r="AU431" s="7">
        <f>IF(A431="","",IF(OR(AT431="A",AT431="B"),1,0))</f>
        <v/>
      </c>
      <c r="AV431" s="7">
        <f>IF(A431="","",IF(OR(R431="Dépôt payé (gagné)",R431="Événement livré",R431="Avis obtenu"),1,0))</f>
        <v/>
      </c>
      <c r="AW431" s="7">
        <f>IF(A431="","",IF(Q431&gt;70,"Immédiat – propriétaire",IF(Q431&gt;=40,"15 min – personne de garde","Selon la route")))</f>
        <v/>
      </c>
      <c r="AX431" s="11">
        <f>IF(A431="","",IF(AT431="A",400,IF(AT431="B",150,0)))</f>
        <v/>
      </c>
      <c r="AY431" s="11">
        <f>IF(A431="","",IF(AV431=1,N(V431),IF(N(U431)&gt;0,ROUND(N(U431)*IFERROR(VLOOKUP(R431,Listes!$AE$3:$AG$12,2,FALSE),0),0),0)))</f>
        <v/>
      </c>
      <c r="AZ431" s="7">
        <f>IF(LEFT(A431,7)="EXEMPLE",1,0)</f>
        <v/>
      </c>
      <c r="BA431" s="7">
        <f>IF(AND(AV431=1,AZ431=0,AC431&lt;&gt;"",W431&lt;&gt;"",N(V431)&gt;0),COUNTIFS($AV$3:AV431,1,$AZ$3:AZ431,0,$AC$3:AC431,"&lt;&gt;",$W$3:W431,"&lt;&gt;",$V$3:V431,"&gt;0"),"")</f>
        <v/>
      </c>
    </row>
    <row r="432">
      <c r="A432" s="12" t="n"/>
      <c r="B432" s="13" t="n"/>
      <c r="C432" s="13" t="n"/>
      <c r="D432" s="7">
        <f>IF(OR(B432="",C432=""),"",ROUND((C432-B432)*1440,0))</f>
        <v/>
      </c>
      <c r="E432" s="12" t="n"/>
      <c r="F432" s="12" t="n"/>
      <c r="G432" s="12" t="n"/>
      <c r="H432" s="12" t="n"/>
      <c r="I432" s="12" t="n"/>
      <c r="J432" s="12" t="n"/>
      <c r="K432" s="12" t="n"/>
      <c r="L432" s="14" t="n"/>
      <c r="M432" s="12" t="n"/>
      <c r="N432" s="12" t="n"/>
      <c r="O432" s="12" t="n"/>
      <c r="P432" s="12" t="n"/>
      <c r="Q432" s="7">
        <f>IF(A432="","",IFERROR(VLOOKUP(O432,Listes!$R$3:$T$8,2,FALSE),0)+IFERROR(VLOOKUP(J432,Listes!$J$3:$L$6,2,FALSE),0)+IFERROR(VLOOKUP(N432,Listes!$N$3:$P$6,2,FALSE),0)+IF(OR(L432="",B432=""),0,IF(L432-INT(B432)&lt;10,8,IF(L432-INT(B432)&lt;=90,10,5)))+IFERROR(VLOOKUP(AN432,Listes!$V$3:$W$5,2,FALSE),0)+IFERROR(VLOOKUP(AO432,Listes!$Y$3:$Z$5,2,FALSE),0))</f>
        <v/>
      </c>
      <c r="R432" s="12" t="n"/>
      <c r="S432" s="12" t="n"/>
      <c r="T432" s="12" t="n"/>
      <c r="U432" s="15" t="n"/>
      <c r="V432" s="15" t="n"/>
      <c r="W432" s="13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3" t="n"/>
      <c r="AK432" s="12" t="n"/>
      <c r="AL432" s="12" t="n"/>
      <c r="AM432" s="12" t="n"/>
      <c r="AN432" s="12" t="n"/>
      <c r="AO432" s="12" t="n"/>
      <c r="AP432" s="12" t="n"/>
      <c r="AQ432" s="7">
        <f>IF(A432="","",IF(AP432&lt;&gt;"",AP432,IF(LEFT(Z432,11)="gads_marque","Google Search – Marque",IF(LEFT(Z432,12)="gads_mariage","Google Search – Mariage et privé",IF(LEFT(Z432,10)="gads_corpo","Google Search – Corporatif",IF(LEFT(Z432,5)="meta_","Meta – Leads",IF(LEFT(Z432,5)="msft_","Microsoft Ads",IF(LEFT(Z432,8)="chatgpt_","ChatGPT Ads – Test",IF(X432="gbp","Fiche Google (organique)","Autre / non payé")))))))))</f>
        <v/>
      </c>
      <c r="AR432" s="7">
        <f>IF(K432="","",IFERROR(VLOOKUP(K432,Listes!$F$3:$H$8,3,FALSE),""))</f>
        <v/>
      </c>
      <c r="AS432" s="7">
        <f>IF(O432="","",IF(AND(M432="Autre (plus de 40 km)",OR(O432="lt600",O432="600_999",O432="1000_2499")),"D",IF(OR(O432="lt600",AND(O432="600_999",K432&lt;&gt;"mariage",K432&lt;&gt;"prive")),"C",IF(OR(O432="2500_4999",O432="5000p",J432="entreprise",J432="organisme",J432="agence"),"A",IF(OR(O432="1000_2499",O432="600_999"),"B",IF(O432="inconnu",IF(OR(N432="75_149",N432="150p"),"A","B"),""))))))</f>
        <v/>
      </c>
      <c r="AT432" s="7">
        <f>IF(A432="","",IF(P432&lt;&gt;"",P432,AS432))</f>
        <v/>
      </c>
      <c r="AU432" s="7">
        <f>IF(A432="","",IF(OR(AT432="A",AT432="B"),1,0))</f>
        <v/>
      </c>
      <c r="AV432" s="7">
        <f>IF(A432="","",IF(OR(R432="Dépôt payé (gagné)",R432="Événement livré",R432="Avis obtenu"),1,0))</f>
        <v/>
      </c>
      <c r="AW432" s="7">
        <f>IF(A432="","",IF(Q432&gt;70,"Immédiat – propriétaire",IF(Q432&gt;=40,"15 min – personne de garde","Selon la route")))</f>
        <v/>
      </c>
      <c r="AX432" s="11">
        <f>IF(A432="","",IF(AT432="A",400,IF(AT432="B",150,0)))</f>
        <v/>
      </c>
      <c r="AY432" s="11">
        <f>IF(A432="","",IF(AV432=1,N(V432),IF(N(U432)&gt;0,ROUND(N(U432)*IFERROR(VLOOKUP(R432,Listes!$AE$3:$AG$12,2,FALSE),0),0),0)))</f>
        <v/>
      </c>
      <c r="AZ432" s="7">
        <f>IF(LEFT(A432,7)="EXEMPLE",1,0)</f>
        <v/>
      </c>
      <c r="BA432" s="7">
        <f>IF(AND(AV432=1,AZ432=0,AC432&lt;&gt;"",W432&lt;&gt;"",N(V432)&gt;0),COUNTIFS($AV$3:AV432,1,$AZ$3:AZ432,0,$AC$3:AC432,"&lt;&gt;",$W$3:W432,"&lt;&gt;",$V$3:V432,"&gt;0"),"")</f>
        <v/>
      </c>
    </row>
    <row r="433">
      <c r="A433" s="12" t="n"/>
      <c r="B433" s="13" t="n"/>
      <c r="C433" s="13" t="n"/>
      <c r="D433" s="7">
        <f>IF(OR(B433="",C433=""),"",ROUND((C433-B433)*1440,0))</f>
        <v/>
      </c>
      <c r="E433" s="12" t="n"/>
      <c r="F433" s="12" t="n"/>
      <c r="G433" s="12" t="n"/>
      <c r="H433" s="12" t="n"/>
      <c r="I433" s="12" t="n"/>
      <c r="J433" s="12" t="n"/>
      <c r="K433" s="12" t="n"/>
      <c r="L433" s="14" t="n"/>
      <c r="M433" s="12" t="n"/>
      <c r="N433" s="12" t="n"/>
      <c r="O433" s="12" t="n"/>
      <c r="P433" s="12" t="n"/>
      <c r="Q433" s="7">
        <f>IF(A433="","",IFERROR(VLOOKUP(O433,Listes!$R$3:$T$8,2,FALSE),0)+IFERROR(VLOOKUP(J433,Listes!$J$3:$L$6,2,FALSE),0)+IFERROR(VLOOKUP(N433,Listes!$N$3:$P$6,2,FALSE),0)+IF(OR(L433="",B433=""),0,IF(L433-INT(B433)&lt;10,8,IF(L433-INT(B433)&lt;=90,10,5)))+IFERROR(VLOOKUP(AN433,Listes!$V$3:$W$5,2,FALSE),0)+IFERROR(VLOOKUP(AO433,Listes!$Y$3:$Z$5,2,FALSE),0))</f>
        <v/>
      </c>
      <c r="R433" s="12" t="n"/>
      <c r="S433" s="12" t="n"/>
      <c r="T433" s="12" t="n"/>
      <c r="U433" s="15" t="n"/>
      <c r="V433" s="15" t="n"/>
      <c r="W433" s="13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3" t="n"/>
      <c r="AK433" s="12" t="n"/>
      <c r="AL433" s="12" t="n"/>
      <c r="AM433" s="12" t="n"/>
      <c r="AN433" s="12" t="n"/>
      <c r="AO433" s="12" t="n"/>
      <c r="AP433" s="12" t="n"/>
      <c r="AQ433" s="7">
        <f>IF(A433="","",IF(AP433&lt;&gt;"",AP433,IF(LEFT(Z433,11)="gads_marque","Google Search – Marque",IF(LEFT(Z433,12)="gads_mariage","Google Search – Mariage et privé",IF(LEFT(Z433,10)="gads_corpo","Google Search – Corporatif",IF(LEFT(Z433,5)="meta_","Meta – Leads",IF(LEFT(Z433,5)="msft_","Microsoft Ads",IF(LEFT(Z433,8)="chatgpt_","ChatGPT Ads – Test",IF(X433="gbp","Fiche Google (organique)","Autre / non payé")))))))))</f>
        <v/>
      </c>
      <c r="AR433" s="7">
        <f>IF(K433="","",IFERROR(VLOOKUP(K433,Listes!$F$3:$H$8,3,FALSE),""))</f>
        <v/>
      </c>
      <c r="AS433" s="7">
        <f>IF(O433="","",IF(AND(M433="Autre (plus de 40 km)",OR(O433="lt600",O433="600_999",O433="1000_2499")),"D",IF(OR(O433="lt600",AND(O433="600_999",K433&lt;&gt;"mariage",K433&lt;&gt;"prive")),"C",IF(OR(O433="2500_4999",O433="5000p",J433="entreprise",J433="organisme",J433="agence"),"A",IF(OR(O433="1000_2499",O433="600_999"),"B",IF(O433="inconnu",IF(OR(N433="75_149",N433="150p"),"A","B"),""))))))</f>
        <v/>
      </c>
      <c r="AT433" s="7">
        <f>IF(A433="","",IF(P433&lt;&gt;"",P433,AS433))</f>
        <v/>
      </c>
      <c r="AU433" s="7">
        <f>IF(A433="","",IF(OR(AT433="A",AT433="B"),1,0))</f>
        <v/>
      </c>
      <c r="AV433" s="7">
        <f>IF(A433="","",IF(OR(R433="Dépôt payé (gagné)",R433="Événement livré",R433="Avis obtenu"),1,0))</f>
        <v/>
      </c>
      <c r="AW433" s="7">
        <f>IF(A433="","",IF(Q433&gt;70,"Immédiat – propriétaire",IF(Q433&gt;=40,"15 min – personne de garde","Selon la route")))</f>
        <v/>
      </c>
      <c r="AX433" s="11">
        <f>IF(A433="","",IF(AT433="A",400,IF(AT433="B",150,0)))</f>
        <v/>
      </c>
      <c r="AY433" s="11">
        <f>IF(A433="","",IF(AV433=1,N(V433),IF(N(U433)&gt;0,ROUND(N(U433)*IFERROR(VLOOKUP(R433,Listes!$AE$3:$AG$12,2,FALSE),0),0),0)))</f>
        <v/>
      </c>
      <c r="AZ433" s="7">
        <f>IF(LEFT(A433,7)="EXEMPLE",1,0)</f>
        <v/>
      </c>
      <c r="BA433" s="7">
        <f>IF(AND(AV433=1,AZ433=0,AC433&lt;&gt;"",W433&lt;&gt;"",N(V433)&gt;0),COUNTIFS($AV$3:AV433,1,$AZ$3:AZ433,0,$AC$3:AC433,"&lt;&gt;",$W$3:W433,"&lt;&gt;",$V$3:V433,"&gt;0"),"")</f>
        <v/>
      </c>
    </row>
    <row r="434">
      <c r="A434" s="12" t="n"/>
      <c r="B434" s="13" t="n"/>
      <c r="C434" s="13" t="n"/>
      <c r="D434" s="7">
        <f>IF(OR(B434="",C434=""),"",ROUND((C434-B434)*1440,0))</f>
        <v/>
      </c>
      <c r="E434" s="12" t="n"/>
      <c r="F434" s="12" t="n"/>
      <c r="G434" s="12" t="n"/>
      <c r="H434" s="12" t="n"/>
      <c r="I434" s="12" t="n"/>
      <c r="J434" s="12" t="n"/>
      <c r="K434" s="12" t="n"/>
      <c r="L434" s="14" t="n"/>
      <c r="M434" s="12" t="n"/>
      <c r="N434" s="12" t="n"/>
      <c r="O434" s="12" t="n"/>
      <c r="P434" s="12" t="n"/>
      <c r="Q434" s="7">
        <f>IF(A434="","",IFERROR(VLOOKUP(O434,Listes!$R$3:$T$8,2,FALSE),0)+IFERROR(VLOOKUP(J434,Listes!$J$3:$L$6,2,FALSE),0)+IFERROR(VLOOKUP(N434,Listes!$N$3:$P$6,2,FALSE),0)+IF(OR(L434="",B434=""),0,IF(L434-INT(B434)&lt;10,8,IF(L434-INT(B434)&lt;=90,10,5)))+IFERROR(VLOOKUP(AN434,Listes!$V$3:$W$5,2,FALSE),0)+IFERROR(VLOOKUP(AO434,Listes!$Y$3:$Z$5,2,FALSE),0))</f>
        <v/>
      </c>
      <c r="R434" s="12" t="n"/>
      <c r="S434" s="12" t="n"/>
      <c r="T434" s="12" t="n"/>
      <c r="U434" s="15" t="n"/>
      <c r="V434" s="15" t="n"/>
      <c r="W434" s="13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3" t="n"/>
      <c r="AK434" s="12" t="n"/>
      <c r="AL434" s="12" t="n"/>
      <c r="AM434" s="12" t="n"/>
      <c r="AN434" s="12" t="n"/>
      <c r="AO434" s="12" t="n"/>
      <c r="AP434" s="12" t="n"/>
      <c r="AQ434" s="7">
        <f>IF(A434="","",IF(AP434&lt;&gt;"",AP434,IF(LEFT(Z434,11)="gads_marque","Google Search – Marque",IF(LEFT(Z434,12)="gads_mariage","Google Search – Mariage et privé",IF(LEFT(Z434,10)="gads_corpo","Google Search – Corporatif",IF(LEFT(Z434,5)="meta_","Meta – Leads",IF(LEFT(Z434,5)="msft_","Microsoft Ads",IF(LEFT(Z434,8)="chatgpt_","ChatGPT Ads – Test",IF(X434="gbp","Fiche Google (organique)","Autre / non payé")))))))))</f>
        <v/>
      </c>
      <c r="AR434" s="7">
        <f>IF(K434="","",IFERROR(VLOOKUP(K434,Listes!$F$3:$H$8,3,FALSE),""))</f>
        <v/>
      </c>
      <c r="AS434" s="7">
        <f>IF(O434="","",IF(AND(M434="Autre (plus de 40 km)",OR(O434="lt600",O434="600_999",O434="1000_2499")),"D",IF(OR(O434="lt600",AND(O434="600_999",K434&lt;&gt;"mariage",K434&lt;&gt;"prive")),"C",IF(OR(O434="2500_4999",O434="5000p",J434="entreprise",J434="organisme",J434="agence"),"A",IF(OR(O434="1000_2499",O434="600_999"),"B",IF(O434="inconnu",IF(OR(N434="75_149",N434="150p"),"A","B"),""))))))</f>
        <v/>
      </c>
      <c r="AT434" s="7">
        <f>IF(A434="","",IF(P434&lt;&gt;"",P434,AS434))</f>
        <v/>
      </c>
      <c r="AU434" s="7">
        <f>IF(A434="","",IF(OR(AT434="A",AT434="B"),1,0))</f>
        <v/>
      </c>
      <c r="AV434" s="7">
        <f>IF(A434="","",IF(OR(R434="Dépôt payé (gagné)",R434="Événement livré",R434="Avis obtenu"),1,0))</f>
        <v/>
      </c>
      <c r="AW434" s="7">
        <f>IF(A434="","",IF(Q434&gt;70,"Immédiat – propriétaire",IF(Q434&gt;=40,"15 min – personne de garde","Selon la route")))</f>
        <v/>
      </c>
      <c r="AX434" s="11">
        <f>IF(A434="","",IF(AT434="A",400,IF(AT434="B",150,0)))</f>
        <v/>
      </c>
      <c r="AY434" s="11">
        <f>IF(A434="","",IF(AV434=1,N(V434),IF(N(U434)&gt;0,ROUND(N(U434)*IFERROR(VLOOKUP(R434,Listes!$AE$3:$AG$12,2,FALSE),0),0),0)))</f>
        <v/>
      </c>
      <c r="AZ434" s="7">
        <f>IF(LEFT(A434,7)="EXEMPLE",1,0)</f>
        <v/>
      </c>
      <c r="BA434" s="7">
        <f>IF(AND(AV434=1,AZ434=0,AC434&lt;&gt;"",W434&lt;&gt;"",N(V434)&gt;0),COUNTIFS($AV$3:AV434,1,$AZ$3:AZ434,0,$AC$3:AC434,"&lt;&gt;",$W$3:W434,"&lt;&gt;",$V$3:V434,"&gt;0"),"")</f>
        <v/>
      </c>
    </row>
    <row r="435">
      <c r="A435" s="12" t="n"/>
      <c r="B435" s="13" t="n"/>
      <c r="C435" s="13" t="n"/>
      <c r="D435" s="7">
        <f>IF(OR(B435="",C435=""),"",ROUND((C435-B435)*1440,0))</f>
        <v/>
      </c>
      <c r="E435" s="12" t="n"/>
      <c r="F435" s="12" t="n"/>
      <c r="G435" s="12" t="n"/>
      <c r="H435" s="12" t="n"/>
      <c r="I435" s="12" t="n"/>
      <c r="J435" s="12" t="n"/>
      <c r="K435" s="12" t="n"/>
      <c r="L435" s="14" t="n"/>
      <c r="M435" s="12" t="n"/>
      <c r="N435" s="12" t="n"/>
      <c r="O435" s="12" t="n"/>
      <c r="P435" s="12" t="n"/>
      <c r="Q435" s="7">
        <f>IF(A435="","",IFERROR(VLOOKUP(O435,Listes!$R$3:$T$8,2,FALSE),0)+IFERROR(VLOOKUP(J435,Listes!$J$3:$L$6,2,FALSE),0)+IFERROR(VLOOKUP(N435,Listes!$N$3:$P$6,2,FALSE),0)+IF(OR(L435="",B435=""),0,IF(L435-INT(B435)&lt;10,8,IF(L435-INT(B435)&lt;=90,10,5)))+IFERROR(VLOOKUP(AN435,Listes!$V$3:$W$5,2,FALSE),0)+IFERROR(VLOOKUP(AO435,Listes!$Y$3:$Z$5,2,FALSE),0))</f>
        <v/>
      </c>
      <c r="R435" s="12" t="n"/>
      <c r="S435" s="12" t="n"/>
      <c r="T435" s="12" t="n"/>
      <c r="U435" s="15" t="n"/>
      <c r="V435" s="15" t="n"/>
      <c r="W435" s="13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3" t="n"/>
      <c r="AK435" s="12" t="n"/>
      <c r="AL435" s="12" t="n"/>
      <c r="AM435" s="12" t="n"/>
      <c r="AN435" s="12" t="n"/>
      <c r="AO435" s="12" t="n"/>
      <c r="AP435" s="12" t="n"/>
      <c r="AQ435" s="7">
        <f>IF(A435="","",IF(AP435&lt;&gt;"",AP435,IF(LEFT(Z435,11)="gads_marque","Google Search – Marque",IF(LEFT(Z435,12)="gads_mariage","Google Search – Mariage et privé",IF(LEFT(Z435,10)="gads_corpo","Google Search – Corporatif",IF(LEFT(Z435,5)="meta_","Meta – Leads",IF(LEFT(Z435,5)="msft_","Microsoft Ads",IF(LEFT(Z435,8)="chatgpt_","ChatGPT Ads – Test",IF(X435="gbp","Fiche Google (organique)","Autre / non payé")))))))))</f>
        <v/>
      </c>
      <c r="AR435" s="7">
        <f>IF(K435="","",IFERROR(VLOOKUP(K435,Listes!$F$3:$H$8,3,FALSE),""))</f>
        <v/>
      </c>
      <c r="AS435" s="7">
        <f>IF(O435="","",IF(AND(M435="Autre (plus de 40 km)",OR(O435="lt600",O435="600_999",O435="1000_2499")),"D",IF(OR(O435="lt600",AND(O435="600_999",K435&lt;&gt;"mariage",K435&lt;&gt;"prive")),"C",IF(OR(O435="2500_4999",O435="5000p",J435="entreprise",J435="organisme",J435="agence"),"A",IF(OR(O435="1000_2499",O435="600_999"),"B",IF(O435="inconnu",IF(OR(N435="75_149",N435="150p"),"A","B"),""))))))</f>
        <v/>
      </c>
      <c r="AT435" s="7">
        <f>IF(A435="","",IF(P435&lt;&gt;"",P435,AS435))</f>
        <v/>
      </c>
      <c r="AU435" s="7">
        <f>IF(A435="","",IF(OR(AT435="A",AT435="B"),1,0))</f>
        <v/>
      </c>
      <c r="AV435" s="7">
        <f>IF(A435="","",IF(OR(R435="Dépôt payé (gagné)",R435="Événement livré",R435="Avis obtenu"),1,0))</f>
        <v/>
      </c>
      <c r="AW435" s="7">
        <f>IF(A435="","",IF(Q435&gt;70,"Immédiat – propriétaire",IF(Q435&gt;=40,"15 min – personne de garde","Selon la route")))</f>
        <v/>
      </c>
      <c r="AX435" s="11">
        <f>IF(A435="","",IF(AT435="A",400,IF(AT435="B",150,0)))</f>
        <v/>
      </c>
      <c r="AY435" s="11">
        <f>IF(A435="","",IF(AV435=1,N(V435),IF(N(U435)&gt;0,ROUND(N(U435)*IFERROR(VLOOKUP(R435,Listes!$AE$3:$AG$12,2,FALSE),0),0),0)))</f>
        <v/>
      </c>
      <c r="AZ435" s="7">
        <f>IF(LEFT(A435,7)="EXEMPLE",1,0)</f>
        <v/>
      </c>
      <c r="BA435" s="7">
        <f>IF(AND(AV435=1,AZ435=0,AC435&lt;&gt;"",W435&lt;&gt;"",N(V435)&gt;0),COUNTIFS($AV$3:AV435,1,$AZ$3:AZ435,0,$AC$3:AC435,"&lt;&gt;",$W$3:W435,"&lt;&gt;",$V$3:V435,"&gt;0"),"")</f>
        <v/>
      </c>
    </row>
    <row r="436">
      <c r="A436" s="12" t="n"/>
      <c r="B436" s="13" t="n"/>
      <c r="C436" s="13" t="n"/>
      <c r="D436" s="7">
        <f>IF(OR(B436="",C436=""),"",ROUND((C436-B436)*1440,0))</f>
        <v/>
      </c>
      <c r="E436" s="12" t="n"/>
      <c r="F436" s="12" t="n"/>
      <c r="G436" s="12" t="n"/>
      <c r="H436" s="12" t="n"/>
      <c r="I436" s="12" t="n"/>
      <c r="J436" s="12" t="n"/>
      <c r="K436" s="12" t="n"/>
      <c r="L436" s="14" t="n"/>
      <c r="M436" s="12" t="n"/>
      <c r="N436" s="12" t="n"/>
      <c r="O436" s="12" t="n"/>
      <c r="P436" s="12" t="n"/>
      <c r="Q436" s="7">
        <f>IF(A436="","",IFERROR(VLOOKUP(O436,Listes!$R$3:$T$8,2,FALSE),0)+IFERROR(VLOOKUP(J436,Listes!$J$3:$L$6,2,FALSE),0)+IFERROR(VLOOKUP(N436,Listes!$N$3:$P$6,2,FALSE),0)+IF(OR(L436="",B436=""),0,IF(L436-INT(B436)&lt;10,8,IF(L436-INT(B436)&lt;=90,10,5)))+IFERROR(VLOOKUP(AN436,Listes!$V$3:$W$5,2,FALSE),0)+IFERROR(VLOOKUP(AO436,Listes!$Y$3:$Z$5,2,FALSE),0))</f>
        <v/>
      </c>
      <c r="R436" s="12" t="n"/>
      <c r="S436" s="12" t="n"/>
      <c r="T436" s="12" t="n"/>
      <c r="U436" s="15" t="n"/>
      <c r="V436" s="15" t="n"/>
      <c r="W436" s="13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3" t="n"/>
      <c r="AK436" s="12" t="n"/>
      <c r="AL436" s="12" t="n"/>
      <c r="AM436" s="12" t="n"/>
      <c r="AN436" s="12" t="n"/>
      <c r="AO436" s="12" t="n"/>
      <c r="AP436" s="12" t="n"/>
      <c r="AQ436" s="7">
        <f>IF(A436="","",IF(AP436&lt;&gt;"",AP436,IF(LEFT(Z436,11)="gads_marque","Google Search – Marque",IF(LEFT(Z436,12)="gads_mariage","Google Search – Mariage et privé",IF(LEFT(Z436,10)="gads_corpo","Google Search – Corporatif",IF(LEFT(Z436,5)="meta_","Meta – Leads",IF(LEFT(Z436,5)="msft_","Microsoft Ads",IF(LEFT(Z436,8)="chatgpt_","ChatGPT Ads – Test",IF(X436="gbp","Fiche Google (organique)","Autre / non payé")))))))))</f>
        <v/>
      </c>
      <c r="AR436" s="7">
        <f>IF(K436="","",IFERROR(VLOOKUP(K436,Listes!$F$3:$H$8,3,FALSE),""))</f>
        <v/>
      </c>
      <c r="AS436" s="7">
        <f>IF(O436="","",IF(AND(M436="Autre (plus de 40 km)",OR(O436="lt600",O436="600_999",O436="1000_2499")),"D",IF(OR(O436="lt600",AND(O436="600_999",K436&lt;&gt;"mariage",K436&lt;&gt;"prive")),"C",IF(OR(O436="2500_4999",O436="5000p",J436="entreprise",J436="organisme",J436="agence"),"A",IF(OR(O436="1000_2499",O436="600_999"),"B",IF(O436="inconnu",IF(OR(N436="75_149",N436="150p"),"A","B"),""))))))</f>
        <v/>
      </c>
      <c r="AT436" s="7">
        <f>IF(A436="","",IF(P436&lt;&gt;"",P436,AS436))</f>
        <v/>
      </c>
      <c r="AU436" s="7">
        <f>IF(A436="","",IF(OR(AT436="A",AT436="B"),1,0))</f>
        <v/>
      </c>
      <c r="AV436" s="7">
        <f>IF(A436="","",IF(OR(R436="Dépôt payé (gagné)",R436="Événement livré",R436="Avis obtenu"),1,0))</f>
        <v/>
      </c>
      <c r="AW436" s="7">
        <f>IF(A436="","",IF(Q436&gt;70,"Immédiat – propriétaire",IF(Q436&gt;=40,"15 min – personne de garde","Selon la route")))</f>
        <v/>
      </c>
      <c r="AX436" s="11">
        <f>IF(A436="","",IF(AT436="A",400,IF(AT436="B",150,0)))</f>
        <v/>
      </c>
      <c r="AY436" s="11">
        <f>IF(A436="","",IF(AV436=1,N(V436),IF(N(U436)&gt;0,ROUND(N(U436)*IFERROR(VLOOKUP(R436,Listes!$AE$3:$AG$12,2,FALSE),0),0),0)))</f>
        <v/>
      </c>
      <c r="AZ436" s="7">
        <f>IF(LEFT(A436,7)="EXEMPLE",1,0)</f>
        <v/>
      </c>
      <c r="BA436" s="7">
        <f>IF(AND(AV436=1,AZ436=0,AC436&lt;&gt;"",W436&lt;&gt;"",N(V436)&gt;0),COUNTIFS($AV$3:AV436,1,$AZ$3:AZ436,0,$AC$3:AC436,"&lt;&gt;",$W$3:W436,"&lt;&gt;",$V$3:V436,"&gt;0"),"")</f>
        <v/>
      </c>
    </row>
    <row r="437">
      <c r="A437" s="12" t="n"/>
      <c r="B437" s="13" t="n"/>
      <c r="C437" s="13" t="n"/>
      <c r="D437" s="7">
        <f>IF(OR(B437="",C437=""),"",ROUND((C437-B437)*1440,0))</f>
        <v/>
      </c>
      <c r="E437" s="12" t="n"/>
      <c r="F437" s="12" t="n"/>
      <c r="G437" s="12" t="n"/>
      <c r="H437" s="12" t="n"/>
      <c r="I437" s="12" t="n"/>
      <c r="J437" s="12" t="n"/>
      <c r="K437" s="12" t="n"/>
      <c r="L437" s="14" t="n"/>
      <c r="M437" s="12" t="n"/>
      <c r="N437" s="12" t="n"/>
      <c r="O437" s="12" t="n"/>
      <c r="P437" s="12" t="n"/>
      <c r="Q437" s="7">
        <f>IF(A437="","",IFERROR(VLOOKUP(O437,Listes!$R$3:$T$8,2,FALSE),0)+IFERROR(VLOOKUP(J437,Listes!$J$3:$L$6,2,FALSE),0)+IFERROR(VLOOKUP(N437,Listes!$N$3:$P$6,2,FALSE),0)+IF(OR(L437="",B437=""),0,IF(L437-INT(B437)&lt;10,8,IF(L437-INT(B437)&lt;=90,10,5)))+IFERROR(VLOOKUP(AN437,Listes!$V$3:$W$5,2,FALSE),0)+IFERROR(VLOOKUP(AO437,Listes!$Y$3:$Z$5,2,FALSE),0))</f>
        <v/>
      </c>
      <c r="R437" s="12" t="n"/>
      <c r="S437" s="12" t="n"/>
      <c r="T437" s="12" t="n"/>
      <c r="U437" s="15" t="n"/>
      <c r="V437" s="15" t="n"/>
      <c r="W437" s="13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3" t="n"/>
      <c r="AK437" s="12" t="n"/>
      <c r="AL437" s="12" t="n"/>
      <c r="AM437" s="12" t="n"/>
      <c r="AN437" s="12" t="n"/>
      <c r="AO437" s="12" t="n"/>
      <c r="AP437" s="12" t="n"/>
      <c r="AQ437" s="7">
        <f>IF(A437="","",IF(AP437&lt;&gt;"",AP437,IF(LEFT(Z437,11)="gads_marque","Google Search – Marque",IF(LEFT(Z437,12)="gads_mariage","Google Search – Mariage et privé",IF(LEFT(Z437,10)="gads_corpo","Google Search – Corporatif",IF(LEFT(Z437,5)="meta_","Meta – Leads",IF(LEFT(Z437,5)="msft_","Microsoft Ads",IF(LEFT(Z437,8)="chatgpt_","ChatGPT Ads – Test",IF(X437="gbp","Fiche Google (organique)","Autre / non payé")))))))))</f>
        <v/>
      </c>
      <c r="AR437" s="7">
        <f>IF(K437="","",IFERROR(VLOOKUP(K437,Listes!$F$3:$H$8,3,FALSE),""))</f>
        <v/>
      </c>
      <c r="AS437" s="7">
        <f>IF(O437="","",IF(AND(M437="Autre (plus de 40 km)",OR(O437="lt600",O437="600_999",O437="1000_2499")),"D",IF(OR(O437="lt600",AND(O437="600_999",K437&lt;&gt;"mariage",K437&lt;&gt;"prive")),"C",IF(OR(O437="2500_4999",O437="5000p",J437="entreprise",J437="organisme",J437="agence"),"A",IF(OR(O437="1000_2499",O437="600_999"),"B",IF(O437="inconnu",IF(OR(N437="75_149",N437="150p"),"A","B"),""))))))</f>
        <v/>
      </c>
      <c r="AT437" s="7">
        <f>IF(A437="","",IF(P437&lt;&gt;"",P437,AS437))</f>
        <v/>
      </c>
      <c r="AU437" s="7">
        <f>IF(A437="","",IF(OR(AT437="A",AT437="B"),1,0))</f>
        <v/>
      </c>
      <c r="AV437" s="7">
        <f>IF(A437="","",IF(OR(R437="Dépôt payé (gagné)",R437="Événement livré",R437="Avis obtenu"),1,0))</f>
        <v/>
      </c>
      <c r="AW437" s="7">
        <f>IF(A437="","",IF(Q437&gt;70,"Immédiat – propriétaire",IF(Q437&gt;=40,"15 min – personne de garde","Selon la route")))</f>
        <v/>
      </c>
      <c r="AX437" s="11">
        <f>IF(A437="","",IF(AT437="A",400,IF(AT437="B",150,0)))</f>
        <v/>
      </c>
      <c r="AY437" s="11">
        <f>IF(A437="","",IF(AV437=1,N(V437),IF(N(U437)&gt;0,ROUND(N(U437)*IFERROR(VLOOKUP(R437,Listes!$AE$3:$AG$12,2,FALSE),0),0),0)))</f>
        <v/>
      </c>
      <c r="AZ437" s="7">
        <f>IF(LEFT(A437,7)="EXEMPLE",1,0)</f>
        <v/>
      </c>
      <c r="BA437" s="7">
        <f>IF(AND(AV437=1,AZ437=0,AC437&lt;&gt;"",W437&lt;&gt;"",N(V437)&gt;0),COUNTIFS($AV$3:AV437,1,$AZ$3:AZ437,0,$AC$3:AC437,"&lt;&gt;",$W$3:W437,"&lt;&gt;",$V$3:V437,"&gt;0"),"")</f>
        <v/>
      </c>
    </row>
    <row r="438">
      <c r="A438" s="12" t="n"/>
      <c r="B438" s="13" t="n"/>
      <c r="C438" s="13" t="n"/>
      <c r="D438" s="7">
        <f>IF(OR(B438="",C438=""),"",ROUND((C438-B438)*1440,0))</f>
        <v/>
      </c>
      <c r="E438" s="12" t="n"/>
      <c r="F438" s="12" t="n"/>
      <c r="G438" s="12" t="n"/>
      <c r="H438" s="12" t="n"/>
      <c r="I438" s="12" t="n"/>
      <c r="J438" s="12" t="n"/>
      <c r="K438" s="12" t="n"/>
      <c r="L438" s="14" t="n"/>
      <c r="M438" s="12" t="n"/>
      <c r="N438" s="12" t="n"/>
      <c r="O438" s="12" t="n"/>
      <c r="P438" s="12" t="n"/>
      <c r="Q438" s="7">
        <f>IF(A438="","",IFERROR(VLOOKUP(O438,Listes!$R$3:$T$8,2,FALSE),0)+IFERROR(VLOOKUP(J438,Listes!$J$3:$L$6,2,FALSE),0)+IFERROR(VLOOKUP(N438,Listes!$N$3:$P$6,2,FALSE),0)+IF(OR(L438="",B438=""),0,IF(L438-INT(B438)&lt;10,8,IF(L438-INT(B438)&lt;=90,10,5)))+IFERROR(VLOOKUP(AN438,Listes!$V$3:$W$5,2,FALSE),0)+IFERROR(VLOOKUP(AO438,Listes!$Y$3:$Z$5,2,FALSE),0))</f>
        <v/>
      </c>
      <c r="R438" s="12" t="n"/>
      <c r="S438" s="12" t="n"/>
      <c r="T438" s="12" t="n"/>
      <c r="U438" s="15" t="n"/>
      <c r="V438" s="15" t="n"/>
      <c r="W438" s="13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3" t="n"/>
      <c r="AK438" s="12" t="n"/>
      <c r="AL438" s="12" t="n"/>
      <c r="AM438" s="12" t="n"/>
      <c r="AN438" s="12" t="n"/>
      <c r="AO438" s="12" t="n"/>
      <c r="AP438" s="12" t="n"/>
      <c r="AQ438" s="7">
        <f>IF(A438="","",IF(AP438&lt;&gt;"",AP438,IF(LEFT(Z438,11)="gads_marque","Google Search – Marque",IF(LEFT(Z438,12)="gads_mariage","Google Search – Mariage et privé",IF(LEFT(Z438,10)="gads_corpo","Google Search – Corporatif",IF(LEFT(Z438,5)="meta_","Meta – Leads",IF(LEFT(Z438,5)="msft_","Microsoft Ads",IF(LEFT(Z438,8)="chatgpt_","ChatGPT Ads – Test",IF(X438="gbp","Fiche Google (organique)","Autre / non payé")))))))))</f>
        <v/>
      </c>
      <c r="AR438" s="7">
        <f>IF(K438="","",IFERROR(VLOOKUP(K438,Listes!$F$3:$H$8,3,FALSE),""))</f>
        <v/>
      </c>
      <c r="AS438" s="7">
        <f>IF(O438="","",IF(AND(M438="Autre (plus de 40 km)",OR(O438="lt600",O438="600_999",O438="1000_2499")),"D",IF(OR(O438="lt600",AND(O438="600_999",K438&lt;&gt;"mariage",K438&lt;&gt;"prive")),"C",IF(OR(O438="2500_4999",O438="5000p",J438="entreprise",J438="organisme",J438="agence"),"A",IF(OR(O438="1000_2499",O438="600_999"),"B",IF(O438="inconnu",IF(OR(N438="75_149",N438="150p"),"A","B"),""))))))</f>
        <v/>
      </c>
      <c r="AT438" s="7">
        <f>IF(A438="","",IF(P438&lt;&gt;"",P438,AS438))</f>
        <v/>
      </c>
      <c r="AU438" s="7">
        <f>IF(A438="","",IF(OR(AT438="A",AT438="B"),1,0))</f>
        <v/>
      </c>
      <c r="AV438" s="7">
        <f>IF(A438="","",IF(OR(R438="Dépôt payé (gagné)",R438="Événement livré",R438="Avis obtenu"),1,0))</f>
        <v/>
      </c>
      <c r="AW438" s="7">
        <f>IF(A438="","",IF(Q438&gt;70,"Immédiat – propriétaire",IF(Q438&gt;=40,"15 min – personne de garde","Selon la route")))</f>
        <v/>
      </c>
      <c r="AX438" s="11">
        <f>IF(A438="","",IF(AT438="A",400,IF(AT438="B",150,0)))</f>
        <v/>
      </c>
      <c r="AY438" s="11">
        <f>IF(A438="","",IF(AV438=1,N(V438),IF(N(U438)&gt;0,ROUND(N(U438)*IFERROR(VLOOKUP(R438,Listes!$AE$3:$AG$12,2,FALSE),0),0),0)))</f>
        <v/>
      </c>
      <c r="AZ438" s="7">
        <f>IF(LEFT(A438,7)="EXEMPLE",1,0)</f>
        <v/>
      </c>
      <c r="BA438" s="7">
        <f>IF(AND(AV438=1,AZ438=0,AC438&lt;&gt;"",W438&lt;&gt;"",N(V438)&gt;0),COUNTIFS($AV$3:AV438,1,$AZ$3:AZ438,0,$AC$3:AC438,"&lt;&gt;",$W$3:W438,"&lt;&gt;",$V$3:V438,"&gt;0"),"")</f>
        <v/>
      </c>
    </row>
    <row r="439">
      <c r="A439" s="12" t="n"/>
      <c r="B439" s="13" t="n"/>
      <c r="C439" s="13" t="n"/>
      <c r="D439" s="7">
        <f>IF(OR(B439="",C439=""),"",ROUND((C439-B439)*1440,0))</f>
        <v/>
      </c>
      <c r="E439" s="12" t="n"/>
      <c r="F439" s="12" t="n"/>
      <c r="G439" s="12" t="n"/>
      <c r="H439" s="12" t="n"/>
      <c r="I439" s="12" t="n"/>
      <c r="J439" s="12" t="n"/>
      <c r="K439" s="12" t="n"/>
      <c r="L439" s="14" t="n"/>
      <c r="M439" s="12" t="n"/>
      <c r="N439" s="12" t="n"/>
      <c r="O439" s="12" t="n"/>
      <c r="P439" s="12" t="n"/>
      <c r="Q439" s="7">
        <f>IF(A439="","",IFERROR(VLOOKUP(O439,Listes!$R$3:$T$8,2,FALSE),0)+IFERROR(VLOOKUP(J439,Listes!$J$3:$L$6,2,FALSE),0)+IFERROR(VLOOKUP(N439,Listes!$N$3:$P$6,2,FALSE),0)+IF(OR(L439="",B439=""),0,IF(L439-INT(B439)&lt;10,8,IF(L439-INT(B439)&lt;=90,10,5)))+IFERROR(VLOOKUP(AN439,Listes!$V$3:$W$5,2,FALSE),0)+IFERROR(VLOOKUP(AO439,Listes!$Y$3:$Z$5,2,FALSE),0))</f>
        <v/>
      </c>
      <c r="R439" s="12" t="n"/>
      <c r="S439" s="12" t="n"/>
      <c r="T439" s="12" t="n"/>
      <c r="U439" s="15" t="n"/>
      <c r="V439" s="15" t="n"/>
      <c r="W439" s="13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3" t="n"/>
      <c r="AK439" s="12" t="n"/>
      <c r="AL439" s="12" t="n"/>
      <c r="AM439" s="12" t="n"/>
      <c r="AN439" s="12" t="n"/>
      <c r="AO439" s="12" t="n"/>
      <c r="AP439" s="12" t="n"/>
      <c r="AQ439" s="7">
        <f>IF(A439="","",IF(AP439&lt;&gt;"",AP439,IF(LEFT(Z439,11)="gads_marque","Google Search – Marque",IF(LEFT(Z439,12)="gads_mariage","Google Search – Mariage et privé",IF(LEFT(Z439,10)="gads_corpo","Google Search – Corporatif",IF(LEFT(Z439,5)="meta_","Meta – Leads",IF(LEFT(Z439,5)="msft_","Microsoft Ads",IF(LEFT(Z439,8)="chatgpt_","ChatGPT Ads – Test",IF(X439="gbp","Fiche Google (organique)","Autre / non payé")))))))))</f>
        <v/>
      </c>
      <c r="AR439" s="7">
        <f>IF(K439="","",IFERROR(VLOOKUP(K439,Listes!$F$3:$H$8,3,FALSE),""))</f>
        <v/>
      </c>
      <c r="AS439" s="7">
        <f>IF(O439="","",IF(AND(M439="Autre (plus de 40 km)",OR(O439="lt600",O439="600_999",O439="1000_2499")),"D",IF(OR(O439="lt600",AND(O439="600_999",K439&lt;&gt;"mariage",K439&lt;&gt;"prive")),"C",IF(OR(O439="2500_4999",O439="5000p",J439="entreprise",J439="organisme",J439="agence"),"A",IF(OR(O439="1000_2499",O439="600_999"),"B",IF(O439="inconnu",IF(OR(N439="75_149",N439="150p"),"A","B"),""))))))</f>
        <v/>
      </c>
      <c r="AT439" s="7">
        <f>IF(A439="","",IF(P439&lt;&gt;"",P439,AS439))</f>
        <v/>
      </c>
      <c r="AU439" s="7">
        <f>IF(A439="","",IF(OR(AT439="A",AT439="B"),1,0))</f>
        <v/>
      </c>
      <c r="AV439" s="7">
        <f>IF(A439="","",IF(OR(R439="Dépôt payé (gagné)",R439="Événement livré",R439="Avis obtenu"),1,0))</f>
        <v/>
      </c>
      <c r="AW439" s="7">
        <f>IF(A439="","",IF(Q439&gt;70,"Immédiat – propriétaire",IF(Q439&gt;=40,"15 min – personne de garde","Selon la route")))</f>
        <v/>
      </c>
      <c r="AX439" s="11">
        <f>IF(A439="","",IF(AT439="A",400,IF(AT439="B",150,0)))</f>
        <v/>
      </c>
      <c r="AY439" s="11">
        <f>IF(A439="","",IF(AV439=1,N(V439),IF(N(U439)&gt;0,ROUND(N(U439)*IFERROR(VLOOKUP(R439,Listes!$AE$3:$AG$12,2,FALSE),0),0),0)))</f>
        <v/>
      </c>
      <c r="AZ439" s="7">
        <f>IF(LEFT(A439,7)="EXEMPLE",1,0)</f>
        <v/>
      </c>
      <c r="BA439" s="7">
        <f>IF(AND(AV439=1,AZ439=0,AC439&lt;&gt;"",W439&lt;&gt;"",N(V439)&gt;0),COUNTIFS($AV$3:AV439,1,$AZ$3:AZ439,0,$AC$3:AC439,"&lt;&gt;",$W$3:W439,"&lt;&gt;",$V$3:V439,"&gt;0"),"")</f>
        <v/>
      </c>
    </row>
    <row r="440">
      <c r="A440" s="12" t="n"/>
      <c r="B440" s="13" t="n"/>
      <c r="C440" s="13" t="n"/>
      <c r="D440" s="7">
        <f>IF(OR(B440="",C440=""),"",ROUND((C440-B440)*1440,0))</f>
        <v/>
      </c>
      <c r="E440" s="12" t="n"/>
      <c r="F440" s="12" t="n"/>
      <c r="G440" s="12" t="n"/>
      <c r="H440" s="12" t="n"/>
      <c r="I440" s="12" t="n"/>
      <c r="J440" s="12" t="n"/>
      <c r="K440" s="12" t="n"/>
      <c r="L440" s="14" t="n"/>
      <c r="M440" s="12" t="n"/>
      <c r="N440" s="12" t="n"/>
      <c r="O440" s="12" t="n"/>
      <c r="P440" s="12" t="n"/>
      <c r="Q440" s="7">
        <f>IF(A440="","",IFERROR(VLOOKUP(O440,Listes!$R$3:$T$8,2,FALSE),0)+IFERROR(VLOOKUP(J440,Listes!$J$3:$L$6,2,FALSE),0)+IFERROR(VLOOKUP(N440,Listes!$N$3:$P$6,2,FALSE),0)+IF(OR(L440="",B440=""),0,IF(L440-INT(B440)&lt;10,8,IF(L440-INT(B440)&lt;=90,10,5)))+IFERROR(VLOOKUP(AN440,Listes!$V$3:$W$5,2,FALSE),0)+IFERROR(VLOOKUP(AO440,Listes!$Y$3:$Z$5,2,FALSE),0))</f>
        <v/>
      </c>
      <c r="R440" s="12" t="n"/>
      <c r="S440" s="12" t="n"/>
      <c r="T440" s="12" t="n"/>
      <c r="U440" s="15" t="n"/>
      <c r="V440" s="15" t="n"/>
      <c r="W440" s="13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3" t="n"/>
      <c r="AK440" s="12" t="n"/>
      <c r="AL440" s="12" t="n"/>
      <c r="AM440" s="12" t="n"/>
      <c r="AN440" s="12" t="n"/>
      <c r="AO440" s="12" t="n"/>
      <c r="AP440" s="12" t="n"/>
      <c r="AQ440" s="7">
        <f>IF(A440="","",IF(AP440&lt;&gt;"",AP440,IF(LEFT(Z440,11)="gads_marque","Google Search – Marque",IF(LEFT(Z440,12)="gads_mariage","Google Search – Mariage et privé",IF(LEFT(Z440,10)="gads_corpo","Google Search – Corporatif",IF(LEFT(Z440,5)="meta_","Meta – Leads",IF(LEFT(Z440,5)="msft_","Microsoft Ads",IF(LEFT(Z440,8)="chatgpt_","ChatGPT Ads – Test",IF(X440="gbp","Fiche Google (organique)","Autre / non payé")))))))))</f>
        <v/>
      </c>
      <c r="AR440" s="7">
        <f>IF(K440="","",IFERROR(VLOOKUP(K440,Listes!$F$3:$H$8,3,FALSE),""))</f>
        <v/>
      </c>
      <c r="AS440" s="7">
        <f>IF(O440="","",IF(AND(M440="Autre (plus de 40 km)",OR(O440="lt600",O440="600_999",O440="1000_2499")),"D",IF(OR(O440="lt600",AND(O440="600_999",K440&lt;&gt;"mariage",K440&lt;&gt;"prive")),"C",IF(OR(O440="2500_4999",O440="5000p",J440="entreprise",J440="organisme",J440="agence"),"A",IF(OR(O440="1000_2499",O440="600_999"),"B",IF(O440="inconnu",IF(OR(N440="75_149",N440="150p"),"A","B"),""))))))</f>
        <v/>
      </c>
      <c r="AT440" s="7">
        <f>IF(A440="","",IF(P440&lt;&gt;"",P440,AS440))</f>
        <v/>
      </c>
      <c r="AU440" s="7">
        <f>IF(A440="","",IF(OR(AT440="A",AT440="B"),1,0))</f>
        <v/>
      </c>
      <c r="AV440" s="7">
        <f>IF(A440="","",IF(OR(R440="Dépôt payé (gagné)",R440="Événement livré",R440="Avis obtenu"),1,0))</f>
        <v/>
      </c>
      <c r="AW440" s="7">
        <f>IF(A440="","",IF(Q440&gt;70,"Immédiat – propriétaire",IF(Q440&gt;=40,"15 min – personne de garde","Selon la route")))</f>
        <v/>
      </c>
      <c r="AX440" s="11">
        <f>IF(A440="","",IF(AT440="A",400,IF(AT440="B",150,0)))</f>
        <v/>
      </c>
      <c r="AY440" s="11">
        <f>IF(A440="","",IF(AV440=1,N(V440),IF(N(U440)&gt;0,ROUND(N(U440)*IFERROR(VLOOKUP(R440,Listes!$AE$3:$AG$12,2,FALSE),0),0),0)))</f>
        <v/>
      </c>
      <c r="AZ440" s="7">
        <f>IF(LEFT(A440,7)="EXEMPLE",1,0)</f>
        <v/>
      </c>
      <c r="BA440" s="7">
        <f>IF(AND(AV440=1,AZ440=0,AC440&lt;&gt;"",W440&lt;&gt;"",N(V440)&gt;0),COUNTIFS($AV$3:AV440,1,$AZ$3:AZ440,0,$AC$3:AC440,"&lt;&gt;",$W$3:W440,"&lt;&gt;",$V$3:V440,"&gt;0"),"")</f>
        <v/>
      </c>
    </row>
    <row r="441">
      <c r="A441" s="12" t="n"/>
      <c r="B441" s="13" t="n"/>
      <c r="C441" s="13" t="n"/>
      <c r="D441" s="7">
        <f>IF(OR(B441="",C441=""),"",ROUND((C441-B441)*1440,0))</f>
        <v/>
      </c>
      <c r="E441" s="12" t="n"/>
      <c r="F441" s="12" t="n"/>
      <c r="G441" s="12" t="n"/>
      <c r="H441" s="12" t="n"/>
      <c r="I441" s="12" t="n"/>
      <c r="J441" s="12" t="n"/>
      <c r="K441" s="12" t="n"/>
      <c r="L441" s="14" t="n"/>
      <c r="M441" s="12" t="n"/>
      <c r="N441" s="12" t="n"/>
      <c r="O441" s="12" t="n"/>
      <c r="P441" s="12" t="n"/>
      <c r="Q441" s="7">
        <f>IF(A441="","",IFERROR(VLOOKUP(O441,Listes!$R$3:$T$8,2,FALSE),0)+IFERROR(VLOOKUP(J441,Listes!$J$3:$L$6,2,FALSE),0)+IFERROR(VLOOKUP(N441,Listes!$N$3:$P$6,2,FALSE),0)+IF(OR(L441="",B441=""),0,IF(L441-INT(B441)&lt;10,8,IF(L441-INT(B441)&lt;=90,10,5)))+IFERROR(VLOOKUP(AN441,Listes!$V$3:$W$5,2,FALSE),0)+IFERROR(VLOOKUP(AO441,Listes!$Y$3:$Z$5,2,FALSE),0))</f>
        <v/>
      </c>
      <c r="R441" s="12" t="n"/>
      <c r="S441" s="12" t="n"/>
      <c r="T441" s="12" t="n"/>
      <c r="U441" s="15" t="n"/>
      <c r="V441" s="15" t="n"/>
      <c r="W441" s="13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3" t="n"/>
      <c r="AK441" s="12" t="n"/>
      <c r="AL441" s="12" t="n"/>
      <c r="AM441" s="12" t="n"/>
      <c r="AN441" s="12" t="n"/>
      <c r="AO441" s="12" t="n"/>
      <c r="AP441" s="12" t="n"/>
      <c r="AQ441" s="7">
        <f>IF(A441="","",IF(AP441&lt;&gt;"",AP441,IF(LEFT(Z441,11)="gads_marque","Google Search – Marque",IF(LEFT(Z441,12)="gads_mariage","Google Search – Mariage et privé",IF(LEFT(Z441,10)="gads_corpo","Google Search – Corporatif",IF(LEFT(Z441,5)="meta_","Meta – Leads",IF(LEFT(Z441,5)="msft_","Microsoft Ads",IF(LEFT(Z441,8)="chatgpt_","ChatGPT Ads – Test",IF(X441="gbp","Fiche Google (organique)","Autre / non payé")))))))))</f>
        <v/>
      </c>
      <c r="AR441" s="7">
        <f>IF(K441="","",IFERROR(VLOOKUP(K441,Listes!$F$3:$H$8,3,FALSE),""))</f>
        <v/>
      </c>
      <c r="AS441" s="7">
        <f>IF(O441="","",IF(AND(M441="Autre (plus de 40 km)",OR(O441="lt600",O441="600_999",O441="1000_2499")),"D",IF(OR(O441="lt600",AND(O441="600_999",K441&lt;&gt;"mariage",K441&lt;&gt;"prive")),"C",IF(OR(O441="2500_4999",O441="5000p",J441="entreprise",J441="organisme",J441="agence"),"A",IF(OR(O441="1000_2499",O441="600_999"),"B",IF(O441="inconnu",IF(OR(N441="75_149",N441="150p"),"A","B"),""))))))</f>
        <v/>
      </c>
      <c r="AT441" s="7">
        <f>IF(A441="","",IF(P441&lt;&gt;"",P441,AS441))</f>
        <v/>
      </c>
      <c r="AU441" s="7">
        <f>IF(A441="","",IF(OR(AT441="A",AT441="B"),1,0))</f>
        <v/>
      </c>
      <c r="AV441" s="7">
        <f>IF(A441="","",IF(OR(R441="Dépôt payé (gagné)",R441="Événement livré",R441="Avis obtenu"),1,0))</f>
        <v/>
      </c>
      <c r="AW441" s="7">
        <f>IF(A441="","",IF(Q441&gt;70,"Immédiat – propriétaire",IF(Q441&gt;=40,"15 min – personne de garde","Selon la route")))</f>
        <v/>
      </c>
      <c r="AX441" s="11">
        <f>IF(A441="","",IF(AT441="A",400,IF(AT441="B",150,0)))</f>
        <v/>
      </c>
      <c r="AY441" s="11">
        <f>IF(A441="","",IF(AV441=1,N(V441),IF(N(U441)&gt;0,ROUND(N(U441)*IFERROR(VLOOKUP(R441,Listes!$AE$3:$AG$12,2,FALSE),0),0),0)))</f>
        <v/>
      </c>
      <c r="AZ441" s="7">
        <f>IF(LEFT(A441,7)="EXEMPLE",1,0)</f>
        <v/>
      </c>
      <c r="BA441" s="7">
        <f>IF(AND(AV441=1,AZ441=0,AC441&lt;&gt;"",W441&lt;&gt;"",N(V441)&gt;0),COUNTIFS($AV$3:AV441,1,$AZ$3:AZ441,0,$AC$3:AC441,"&lt;&gt;",$W$3:W441,"&lt;&gt;",$V$3:V441,"&gt;0"),"")</f>
        <v/>
      </c>
    </row>
    <row r="442">
      <c r="A442" s="12" t="n"/>
      <c r="B442" s="13" t="n"/>
      <c r="C442" s="13" t="n"/>
      <c r="D442" s="7">
        <f>IF(OR(B442="",C442=""),"",ROUND((C442-B442)*1440,0))</f>
        <v/>
      </c>
      <c r="E442" s="12" t="n"/>
      <c r="F442" s="12" t="n"/>
      <c r="G442" s="12" t="n"/>
      <c r="H442" s="12" t="n"/>
      <c r="I442" s="12" t="n"/>
      <c r="J442" s="12" t="n"/>
      <c r="K442" s="12" t="n"/>
      <c r="L442" s="14" t="n"/>
      <c r="M442" s="12" t="n"/>
      <c r="N442" s="12" t="n"/>
      <c r="O442" s="12" t="n"/>
      <c r="P442" s="12" t="n"/>
      <c r="Q442" s="7">
        <f>IF(A442="","",IFERROR(VLOOKUP(O442,Listes!$R$3:$T$8,2,FALSE),0)+IFERROR(VLOOKUP(J442,Listes!$J$3:$L$6,2,FALSE),0)+IFERROR(VLOOKUP(N442,Listes!$N$3:$P$6,2,FALSE),0)+IF(OR(L442="",B442=""),0,IF(L442-INT(B442)&lt;10,8,IF(L442-INT(B442)&lt;=90,10,5)))+IFERROR(VLOOKUP(AN442,Listes!$V$3:$W$5,2,FALSE),0)+IFERROR(VLOOKUP(AO442,Listes!$Y$3:$Z$5,2,FALSE),0))</f>
        <v/>
      </c>
      <c r="R442" s="12" t="n"/>
      <c r="S442" s="12" t="n"/>
      <c r="T442" s="12" t="n"/>
      <c r="U442" s="15" t="n"/>
      <c r="V442" s="15" t="n"/>
      <c r="W442" s="13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3" t="n"/>
      <c r="AK442" s="12" t="n"/>
      <c r="AL442" s="12" t="n"/>
      <c r="AM442" s="12" t="n"/>
      <c r="AN442" s="12" t="n"/>
      <c r="AO442" s="12" t="n"/>
      <c r="AP442" s="12" t="n"/>
      <c r="AQ442" s="7">
        <f>IF(A442="","",IF(AP442&lt;&gt;"",AP442,IF(LEFT(Z442,11)="gads_marque","Google Search – Marque",IF(LEFT(Z442,12)="gads_mariage","Google Search – Mariage et privé",IF(LEFT(Z442,10)="gads_corpo","Google Search – Corporatif",IF(LEFT(Z442,5)="meta_","Meta – Leads",IF(LEFT(Z442,5)="msft_","Microsoft Ads",IF(LEFT(Z442,8)="chatgpt_","ChatGPT Ads – Test",IF(X442="gbp","Fiche Google (organique)","Autre / non payé")))))))))</f>
        <v/>
      </c>
      <c r="AR442" s="7">
        <f>IF(K442="","",IFERROR(VLOOKUP(K442,Listes!$F$3:$H$8,3,FALSE),""))</f>
        <v/>
      </c>
      <c r="AS442" s="7">
        <f>IF(O442="","",IF(AND(M442="Autre (plus de 40 km)",OR(O442="lt600",O442="600_999",O442="1000_2499")),"D",IF(OR(O442="lt600",AND(O442="600_999",K442&lt;&gt;"mariage",K442&lt;&gt;"prive")),"C",IF(OR(O442="2500_4999",O442="5000p",J442="entreprise",J442="organisme",J442="agence"),"A",IF(OR(O442="1000_2499",O442="600_999"),"B",IF(O442="inconnu",IF(OR(N442="75_149",N442="150p"),"A","B"),""))))))</f>
        <v/>
      </c>
      <c r="AT442" s="7">
        <f>IF(A442="","",IF(P442&lt;&gt;"",P442,AS442))</f>
        <v/>
      </c>
      <c r="AU442" s="7">
        <f>IF(A442="","",IF(OR(AT442="A",AT442="B"),1,0))</f>
        <v/>
      </c>
      <c r="AV442" s="7">
        <f>IF(A442="","",IF(OR(R442="Dépôt payé (gagné)",R442="Événement livré",R442="Avis obtenu"),1,0))</f>
        <v/>
      </c>
      <c r="AW442" s="7">
        <f>IF(A442="","",IF(Q442&gt;70,"Immédiat – propriétaire",IF(Q442&gt;=40,"15 min – personne de garde","Selon la route")))</f>
        <v/>
      </c>
      <c r="AX442" s="11">
        <f>IF(A442="","",IF(AT442="A",400,IF(AT442="B",150,0)))</f>
        <v/>
      </c>
      <c r="AY442" s="11">
        <f>IF(A442="","",IF(AV442=1,N(V442),IF(N(U442)&gt;0,ROUND(N(U442)*IFERROR(VLOOKUP(R442,Listes!$AE$3:$AG$12,2,FALSE),0),0),0)))</f>
        <v/>
      </c>
      <c r="AZ442" s="7">
        <f>IF(LEFT(A442,7)="EXEMPLE",1,0)</f>
        <v/>
      </c>
      <c r="BA442" s="7">
        <f>IF(AND(AV442=1,AZ442=0,AC442&lt;&gt;"",W442&lt;&gt;"",N(V442)&gt;0),COUNTIFS($AV$3:AV442,1,$AZ$3:AZ442,0,$AC$3:AC442,"&lt;&gt;",$W$3:W442,"&lt;&gt;",$V$3:V442,"&gt;0"),"")</f>
        <v/>
      </c>
    </row>
    <row r="443">
      <c r="A443" s="12" t="n"/>
      <c r="B443" s="13" t="n"/>
      <c r="C443" s="13" t="n"/>
      <c r="D443" s="7">
        <f>IF(OR(B443="",C443=""),"",ROUND((C443-B443)*1440,0))</f>
        <v/>
      </c>
      <c r="E443" s="12" t="n"/>
      <c r="F443" s="12" t="n"/>
      <c r="G443" s="12" t="n"/>
      <c r="H443" s="12" t="n"/>
      <c r="I443" s="12" t="n"/>
      <c r="J443" s="12" t="n"/>
      <c r="K443" s="12" t="n"/>
      <c r="L443" s="14" t="n"/>
      <c r="M443" s="12" t="n"/>
      <c r="N443" s="12" t="n"/>
      <c r="O443" s="12" t="n"/>
      <c r="P443" s="12" t="n"/>
      <c r="Q443" s="7">
        <f>IF(A443="","",IFERROR(VLOOKUP(O443,Listes!$R$3:$T$8,2,FALSE),0)+IFERROR(VLOOKUP(J443,Listes!$J$3:$L$6,2,FALSE),0)+IFERROR(VLOOKUP(N443,Listes!$N$3:$P$6,2,FALSE),0)+IF(OR(L443="",B443=""),0,IF(L443-INT(B443)&lt;10,8,IF(L443-INT(B443)&lt;=90,10,5)))+IFERROR(VLOOKUP(AN443,Listes!$V$3:$W$5,2,FALSE),0)+IFERROR(VLOOKUP(AO443,Listes!$Y$3:$Z$5,2,FALSE),0))</f>
        <v/>
      </c>
      <c r="R443" s="12" t="n"/>
      <c r="S443" s="12" t="n"/>
      <c r="T443" s="12" t="n"/>
      <c r="U443" s="15" t="n"/>
      <c r="V443" s="15" t="n"/>
      <c r="W443" s="13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3" t="n"/>
      <c r="AK443" s="12" t="n"/>
      <c r="AL443" s="12" t="n"/>
      <c r="AM443" s="12" t="n"/>
      <c r="AN443" s="12" t="n"/>
      <c r="AO443" s="12" t="n"/>
      <c r="AP443" s="12" t="n"/>
      <c r="AQ443" s="7">
        <f>IF(A443="","",IF(AP443&lt;&gt;"",AP443,IF(LEFT(Z443,11)="gads_marque","Google Search – Marque",IF(LEFT(Z443,12)="gads_mariage","Google Search – Mariage et privé",IF(LEFT(Z443,10)="gads_corpo","Google Search – Corporatif",IF(LEFT(Z443,5)="meta_","Meta – Leads",IF(LEFT(Z443,5)="msft_","Microsoft Ads",IF(LEFT(Z443,8)="chatgpt_","ChatGPT Ads – Test",IF(X443="gbp","Fiche Google (organique)","Autre / non payé")))))))))</f>
        <v/>
      </c>
      <c r="AR443" s="7">
        <f>IF(K443="","",IFERROR(VLOOKUP(K443,Listes!$F$3:$H$8,3,FALSE),""))</f>
        <v/>
      </c>
      <c r="AS443" s="7">
        <f>IF(O443="","",IF(AND(M443="Autre (plus de 40 km)",OR(O443="lt600",O443="600_999",O443="1000_2499")),"D",IF(OR(O443="lt600",AND(O443="600_999",K443&lt;&gt;"mariage",K443&lt;&gt;"prive")),"C",IF(OR(O443="2500_4999",O443="5000p",J443="entreprise",J443="organisme",J443="agence"),"A",IF(OR(O443="1000_2499",O443="600_999"),"B",IF(O443="inconnu",IF(OR(N443="75_149",N443="150p"),"A","B"),""))))))</f>
        <v/>
      </c>
      <c r="AT443" s="7">
        <f>IF(A443="","",IF(P443&lt;&gt;"",P443,AS443))</f>
        <v/>
      </c>
      <c r="AU443" s="7">
        <f>IF(A443="","",IF(OR(AT443="A",AT443="B"),1,0))</f>
        <v/>
      </c>
      <c r="AV443" s="7">
        <f>IF(A443="","",IF(OR(R443="Dépôt payé (gagné)",R443="Événement livré",R443="Avis obtenu"),1,0))</f>
        <v/>
      </c>
      <c r="AW443" s="7">
        <f>IF(A443="","",IF(Q443&gt;70,"Immédiat – propriétaire",IF(Q443&gt;=40,"15 min – personne de garde","Selon la route")))</f>
        <v/>
      </c>
      <c r="AX443" s="11">
        <f>IF(A443="","",IF(AT443="A",400,IF(AT443="B",150,0)))</f>
        <v/>
      </c>
      <c r="AY443" s="11">
        <f>IF(A443="","",IF(AV443=1,N(V443),IF(N(U443)&gt;0,ROUND(N(U443)*IFERROR(VLOOKUP(R443,Listes!$AE$3:$AG$12,2,FALSE),0),0),0)))</f>
        <v/>
      </c>
      <c r="AZ443" s="7">
        <f>IF(LEFT(A443,7)="EXEMPLE",1,0)</f>
        <v/>
      </c>
      <c r="BA443" s="7">
        <f>IF(AND(AV443=1,AZ443=0,AC443&lt;&gt;"",W443&lt;&gt;"",N(V443)&gt;0),COUNTIFS($AV$3:AV443,1,$AZ$3:AZ443,0,$AC$3:AC443,"&lt;&gt;",$W$3:W443,"&lt;&gt;",$V$3:V443,"&gt;0"),"")</f>
        <v/>
      </c>
    </row>
    <row r="444">
      <c r="A444" s="12" t="n"/>
      <c r="B444" s="13" t="n"/>
      <c r="C444" s="13" t="n"/>
      <c r="D444" s="7">
        <f>IF(OR(B444="",C444=""),"",ROUND((C444-B444)*1440,0))</f>
        <v/>
      </c>
      <c r="E444" s="12" t="n"/>
      <c r="F444" s="12" t="n"/>
      <c r="G444" s="12" t="n"/>
      <c r="H444" s="12" t="n"/>
      <c r="I444" s="12" t="n"/>
      <c r="J444" s="12" t="n"/>
      <c r="K444" s="12" t="n"/>
      <c r="L444" s="14" t="n"/>
      <c r="M444" s="12" t="n"/>
      <c r="N444" s="12" t="n"/>
      <c r="O444" s="12" t="n"/>
      <c r="P444" s="12" t="n"/>
      <c r="Q444" s="7">
        <f>IF(A444="","",IFERROR(VLOOKUP(O444,Listes!$R$3:$T$8,2,FALSE),0)+IFERROR(VLOOKUP(J444,Listes!$J$3:$L$6,2,FALSE),0)+IFERROR(VLOOKUP(N444,Listes!$N$3:$P$6,2,FALSE),0)+IF(OR(L444="",B444=""),0,IF(L444-INT(B444)&lt;10,8,IF(L444-INT(B444)&lt;=90,10,5)))+IFERROR(VLOOKUP(AN444,Listes!$V$3:$W$5,2,FALSE),0)+IFERROR(VLOOKUP(AO444,Listes!$Y$3:$Z$5,2,FALSE),0))</f>
        <v/>
      </c>
      <c r="R444" s="12" t="n"/>
      <c r="S444" s="12" t="n"/>
      <c r="T444" s="12" t="n"/>
      <c r="U444" s="15" t="n"/>
      <c r="V444" s="15" t="n"/>
      <c r="W444" s="13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3" t="n"/>
      <c r="AK444" s="12" t="n"/>
      <c r="AL444" s="12" t="n"/>
      <c r="AM444" s="12" t="n"/>
      <c r="AN444" s="12" t="n"/>
      <c r="AO444" s="12" t="n"/>
      <c r="AP444" s="12" t="n"/>
      <c r="AQ444" s="7">
        <f>IF(A444="","",IF(AP444&lt;&gt;"",AP444,IF(LEFT(Z444,11)="gads_marque","Google Search – Marque",IF(LEFT(Z444,12)="gads_mariage","Google Search – Mariage et privé",IF(LEFT(Z444,10)="gads_corpo","Google Search – Corporatif",IF(LEFT(Z444,5)="meta_","Meta – Leads",IF(LEFT(Z444,5)="msft_","Microsoft Ads",IF(LEFT(Z444,8)="chatgpt_","ChatGPT Ads – Test",IF(X444="gbp","Fiche Google (organique)","Autre / non payé")))))))))</f>
        <v/>
      </c>
      <c r="AR444" s="7">
        <f>IF(K444="","",IFERROR(VLOOKUP(K444,Listes!$F$3:$H$8,3,FALSE),""))</f>
        <v/>
      </c>
      <c r="AS444" s="7">
        <f>IF(O444="","",IF(AND(M444="Autre (plus de 40 km)",OR(O444="lt600",O444="600_999",O444="1000_2499")),"D",IF(OR(O444="lt600",AND(O444="600_999",K444&lt;&gt;"mariage",K444&lt;&gt;"prive")),"C",IF(OR(O444="2500_4999",O444="5000p",J444="entreprise",J444="organisme",J444="agence"),"A",IF(OR(O444="1000_2499",O444="600_999"),"B",IF(O444="inconnu",IF(OR(N444="75_149",N444="150p"),"A","B"),""))))))</f>
        <v/>
      </c>
      <c r="AT444" s="7">
        <f>IF(A444="","",IF(P444&lt;&gt;"",P444,AS444))</f>
        <v/>
      </c>
      <c r="AU444" s="7">
        <f>IF(A444="","",IF(OR(AT444="A",AT444="B"),1,0))</f>
        <v/>
      </c>
      <c r="AV444" s="7">
        <f>IF(A444="","",IF(OR(R444="Dépôt payé (gagné)",R444="Événement livré",R444="Avis obtenu"),1,0))</f>
        <v/>
      </c>
      <c r="AW444" s="7">
        <f>IF(A444="","",IF(Q444&gt;70,"Immédiat – propriétaire",IF(Q444&gt;=40,"15 min – personne de garde","Selon la route")))</f>
        <v/>
      </c>
      <c r="AX444" s="11">
        <f>IF(A444="","",IF(AT444="A",400,IF(AT444="B",150,0)))</f>
        <v/>
      </c>
      <c r="AY444" s="11">
        <f>IF(A444="","",IF(AV444=1,N(V444),IF(N(U444)&gt;0,ROUND(N(U444)*IFERROR(VLOOKUP(R444,Listes!$AE$3:$AG$12,2,FALSE),0),0),0)))</f>
        <v/>
      </c>
      <c r="AZ444" s="7">
        <f>IF(LEFT(A444,7)="EXEMPLE",1,0)</f>
        <v/>
      </c>
      <c r="BA444" s="7">
        <f>IF(AND(AV444=1,AZ444=0,AC444&lt;&gt;"",W444&lt;&gt;"",N(V444)&gt;0),COUNTIFS($AV$3:AV444,1,$AZ$3:AZ444,0,$AC$3:AC444,"&lt;&gt;",$W$3:W444,"&lt;&gt;",$V$3:V444,"&gt;0"),"")</f>
        <v/>
      </c>
    </row>
    <row r="445">
      <c r="A445" s="12" t="n"/>
      <c r="B445" s="13" t="n"/>
      <c r="C445" s="13" t="n"/>
      <c r="D445" s="7">
        <f>IF(OR(B445="",C445=""),"",ROUND((C445-B445)*1440,0))</f>
        <v/>
      </c>
      <c r="E445" s="12" t="n"/>
      <c r="F445" s="12" t="n"/>
      <c r="G445" s="12" t="n"/>
      <c r="H445" s="12" t="n"/>
      <c r="I445" s="12" t="n"/>
      <c r="J445" s="12" t="n"/>
      <c r="K445" s="12" t="n"/>
      <c r="L445" s="14" t="n"/>
      <c r="M445" s="12" t="n"/>
      <c r="N445" s="12" t="n"/>
      <c r="O445" s="12" t="n"/>
      <c r="P445" s="12" t="n"/>
      <c r="Q445" s="7">
        <f>IF(A445="","",IFERROR(VLOOKUP(O445,Listes!$R$3:$T$8,2,FALSE),0)+IFERROR(VLOOKUP(J445,Listes!$J$3:$L$6,2,FALSE),0)+IFERROR(VLOOKUP(N445,Listes!$N$3:$P$6,2,FALSE),0)+IF(OR(L445="",B445=""),0,IF(L445-INT(B445)&lt;10,8,IF(L445-INT(B445)&lt;=90,10,5)))+IFERROR(VLOOKUP(AN445,Listes!$V$3:$W$5,2,FALSE),0)+IFERROR(VLOOKUP(AO445,Listes!$Y$3:$Z$5,2,FALSE),0))</f>
        <v/>
      </c>
      <c r="R445" s="12" t="n"/>
      <c r="S445" s="12" t="n"/>
      <c r="T445" s="12" t="n"/>
      <c r="U445" s="15" t="n"/>
      <c r="V445" s="15" t="n"/>
      <c r="W445" s="13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3" t="n"/>
      <c r="AK445" s="12" t="n"/>
      <c r="AL445" s="12" t="n"/>
      <c r="AM445" s="12" t="n"/>
      <c r="AN445" s="12" t="n"/>
      <c r="AO445" s="12" t="n"/>
      <c r="AP445" s="12" t="n"/>
      <c r="AQ445" s="7">
        <f>IF(A445="","",IF(AP445&lt;&gt;"",AP445,IF(LEFT(Z445,11)="gads_marque","Google Search – Marque",IF(LEFT(Z445,12)="gads_mariage","Google Search – Mariage et privé",IF(LEFT(Z445,10)="gads_corpo","Google Search – Corporatif",IF(LEFT(Z445,5)="meta_","Meta – Leads",IF(LEFT(Z445,5)="msft_","Microsoft Ads",IF(LEFT(Z445,8)="chatgpt_","ChatGPT Ads – Test",IF(X445="gbp","Fiche Google (organique)","Autre / non payé")))))))))</f>
        <v/>
      </c>
      <c r="AR445" s="7">
        <f>IF(K445="","",IFERROR(VLOOKUP(K445,Listes!$F$3:$H$8,3,FALSE),""))</f>
        <v/>
      </c>
      <c r="AS445" s="7">
        <f>IF(O445="","",IF(AND(M445="Autre (plus de 40 km)",OR(O445="lt600",O445="600_999",O445="1000_2499")),"D",IF(OR(O445="lt600",AND(O445="600_999",K445&lt;&gt;"mariage",K445&lt;&gt;"prive")),"C",IF(OR(O445="2500_4999",O445="5000p",J445="entreprise",J445="organisme",J445="agence"),"A",IF(OR(O445="1000_2499",O445="600_999"),"B",IF(O445="inconnu",IF(OR(N445="75_149",N445="150p"),"A","B"),""))))))</f>
        <v/>
      </c>
      <c r="AT445" s="7">
        <f>IF(A445="","",IF(P445&lt;&gt;"",P445,AS445))</f>
        <v/>
      </c>
      <c r="AU445" s="7">
        <f>IF(A445="","",IF(OR(AT445="A",AT445="B"),1,0))</f>
        <v/>
      </c>
      <c r="AV445" s="7">
        <f>IF(A445="","",IF(OR(R445="Dépôt payé (gagné)",R445="Événement livré",R445="Avis obtenu"),1,0))</f>
        <v/>
      </c>
      <c r="AW445" s="7">
        <f>IF(A445="","",IF(Q445&gt;70,"Immédiat – propriétaire",IF(Q445&gt;=40,"15 min – personne de garde","Selon la route")))</f>
        <v/>
      </c>
      <c r="AX445" s="11">
        <f>IF(A445="","",IF(AT445="A",400,IF(AT445="B",150,0)))</f>
        <v/>
      </c>
      <c r="AY445" s="11">
        <f>IF(A445="","",IF(AV445=1,N(V445),IF(N(U445)&gt;0,ROUND(N(U445)*IFERROR(VLOOKUP(R445,Listes!$AE$3:$AG$12,2,FALSE),0),0),0)))</f>
        <v/>
      </c>
      <c r="AZ445" s="7">
        <f>IF(LEFT(A445,7)="EXEMPLE",1,0)</f>
        <v/>
      </c>
      <c r="BA445" s="7">
        <f>IF(AND(AV445=1,AZ445=0,AC445&lt;&gt;"",W445&lt;&gt;"",N(V445)&gt;0),COUNTIFS($AV$3:AV445,1,$AZ$3:AZ445,0,$AC$3:AC445,"&lt;&gt;",$W$3:W445,"&lt;&gt;",$V$3:V445,"&gt;0"),"")</f>
        <v/>
      </c>
    </row>
    <row r="446">
      <c r="A446" s="12" t="n"/>
      <c r="B446" s="13" t="n"/>
      <c r="C446" s="13" t="n"/>
      <c r="D446" s="7">
        <f>IF(OR(B446="",C446=""),"",ROUND((C446-B446)*1440,0))</f>
        <v/>
      </c>
      <c r="E446" s="12" t="n"/>
      <c r="F446" s="12" t="n"/>
      <c r="G446" s="12" t="n"/>
      <c r="H446" s="12" t="n"/>
      <c r="I446" s="12" t="n"/>
      <c r="J446" s="12" t="n"/>
      <c r="K446" s="12" t="n"/>
      <c r="L446" s="14" t="n"/>
      <c r="M446" s="12" t="n"/>
      <c r="N446" s="12" t="n"/>
      <c r="O446" s="12" t="n"/>
      <c r="P446" s="12" t="n"/>
      <c r="Q446" s="7">
        <f>IF(A446="","",IFERROR(VLOOKUP(O446,Listes!$R$3:$T$8,2,FALSE),0)+IFERROR(VLOOKUP(J446,Listes!$J$3:$L$6,2,FALSE),0)+IFERROR(VLOOKUP(N446,Listes!$N$3:$P$6,2,FALSE),0)+IF(OR(L446="",B446=""),0,IF(L446-INT(B446)&lt;10,8,IF(L446-INT(B446)&lt;=90,10,5)))+IFERROR(VLOOKUP(AN446,Listes!$V$3:$W$5,2,FALSE),0)+IFERROR(VLOOKUP(AO446,Listes!$Y$3:$Z$5,2,FALSE),0))</f>
        <v/>
      </c>
      <c r="R446" s="12" t="n"/>
      <c r="S446" s="12" t="n"/>
      <c r="T446" s="12" t="n"/>
      <c r="U446" s="15" t="n"/>
      <c r="V446" s="15" t="n"/>
      <c r="W446" s="13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3" t="n"/>
      <c r="AK446" s="12" t="n"/>
      <c r="AL446" s="12" t="n"/>
      <c r="AM446" s="12" t="n"/>
      <c r="AN446" s="12" t="n"/>
      <c r="AO446" s="12" t="n"/>
      <c r="AP446" s="12" t="n"/>
      <c r="AQ446" s="7">
        <f>IF(A446="","",IF(AP446&lt;&gt;"",AP446,IF(LEFT(Z446,11)="gads_marque","Google Search – Marque",IF(LEFT(Z446,12)="gads_mariage","Google Search – Mariage et privé",IF(LEFT(Z446,10)="gads_corpo","Google Search – Corporatif",IF(LEFT(Z446,5)="meta_","Meta – Leads",IF(LEFT(Z446,5)="msft_","Microsoft Ads",IF(LEFT(Z446,8)="chatgpt_","ChatGPT Ads – Test",IF(X446="gbp","Fiche Google (organique)","Autre / non payé")))))))))</f>
        <v/>
      </c>
      <c r="AR446" s="7">
        <f>IF(K446="","",IFERROR(VLOOKUP(K446,Listes!$F$3:$H$8,3,FALSE),""))</f>
        <v/>
      </c>
      <c r="AS446" s="7">
        <f>IF(O446="","",IF(AND(M446="Autre (plus de 40 km)",OR(O446="lt600",O446="600_999",O446="1000_2499")),"D",IF(OR(O446="lt600",AND(O446="600_999",K446&lt;&gt;"mariage",K446&lt;&gt;"prive")),"C",IF(OR(O446="2500_4999",O446="5000p",J446="entreprise",J446="organisme",J446="agence"),"A",IF(OR(O446="1000_2499",O446="600_999"),"B",IF(O446="inconnu",IF(OR(N446="75_149",N446="150p"),"A","B"),""))))))</f>
        <v/>
      </c>
      <c r="AT446" s="7">
        <f>IF(A446="","",IF(P446&lt;&gt;"",P446,AS446))</f>
        <v/>
      </c>
      <c r="AU446" s="7">
        <f>IF(A446="","",IF(OR(AT446="A",AT446="B"),1,0))</f>
        <v/>
      </c>
      <c r="AV446" s="7">
        <f>IF(A446="","",IF(OR(R446="Dépôt payé (gagné)",R446="Événement livré",R446="Avis obtenu"),1,0))</f>
        <v/>
      </c>
      <c r="AW446" s="7">
        <f>IF(A446="","",IF(Q446&gt;70,"Immédiat – propriétaire",IF(Q446&gt;=40,"15 min – personne de garde","Selon la route")))</f>
        <v/>
      </c>
      <c r="AX446" s="11">
        <f>IF(A446="","",IF(AT446="A",400,IF(AT446="B",150,0)))</f>
        <v/>
      </c>
      <c r="AY446" s="11">
        <f>IF(A446="","",IF(AV446=1,N(V446),IF(N(U446)&gt;0,ROUND(N(U446)*IFERROR(VLOOKUP(R446,Listes!$AE$3:$AG$12,2,FALSE),0),0),0)))</f>
        <v/>
      </c>
      <c r="AZ446" s="7">
        <f>IF(LEFT(A446,7)="EXEMPLE",1,0)</f>
        <v/>
      </c>
      <c r="BA446" s="7">
        <f>IF(AND(AV446=1,AZ446=0,AC446&lt;&gt;"",W446&lt;&gt;"",N(V446)&gt;0),COUNTIFS($AV$3:AV446,1,$AZ$3:AZ446,0,$AC$3:AC446,"&lt;&gt;",$W$3:W446,"&lt;&gt;",$V$3:V446,"&gt;0"),"")</f>
        <v/>
      </c>
    </row>
    <row r="447">
      <c r="A447" s="12" t="n"/>
      <c r="B447" s="13" t="n"/>
      <c r="C447" s="13" t="n"/>
      <c r="D447" s="7">
        <f>IF(OR(B447="",C447=""),"",ROUND((C447-B447)*1440,0))</f>
        <v/>
      </c>
      <c r="E447" s="12" t="n"/>
      <c r="F447" s="12" t="n"/>
      <c r="G447" s="12" t="n"/>
      <c r="H447" s="12" t="n"/>
      <c r="I447" s="12" t="n"/>
      <c r="J447" s="12" t="n"/>
      <c r="K447" s="12" t="n"/>
      <c r="L447" s="14" t="n"/>
      <c r="M447" s="12" t="n"/>
      <c r="N447" s="12" t="n"/>
      <c r="O447" s="12" t="n"/>
      <c r="P447" s="12" t="n"/>
      <c r="Q447" s="7">
        <f>IF(A447="","",IFERROR(VLOOKUP(O447,Listes!$R$3:$T$8,2,FALSE),0)+IFERROR(VLOOKUP(J447,Listes!$J$3:$L$6,2,FALSE),0)+IFERROR(VLOOKUP(N447,Listes!$N$3:$P$6,2,FALSE),0)+IF(OR(L447="",B447=""),0,IF(L447-INT(B447)&lt;10,8,IF(L447-INT(B447)&lt;=90,10,5)))+IFERROR(VLOOKUP(AN447,Listes!$V$3:$W$5,2,FALSE),0)+IFERROR(VLOOKUP(AO447,Listes!$Y$3:$Z$5,2,FALSE),0))</f>
        <v/>
      </c>
      <c r="R447" s="12" t="n"/>
      <c r="S447" s="12" t="n"/>
      <c r="T447" s="12" t="n"/>
      <c r="U447" s="15" t="n"/>
      <c r="V447" s="15" t="n"/>
      <c r="W447" s="13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3" t="n"/>
      <c r="AK447" s="12" t="n"/>
      <c r="AL447" s="12" t="n"/>
      <c r="AM447" s="12" t="n"/>
      <c r="AN447" s="12" t="n"/>
      <c r="AO447" s="12" t="n"/>
      <c r="AP447" s="12" t="n"/>
      <c r="AQ447" s="7">
        <f>IF(A447="","",IF(AP447&lt;&gt;"",AP447,IF(LEFT(Z447,11)="gads_marque","Google Search – Marque",IF(LEFT(Z447,12)="gads_mariage","Google Search – Mariage et privé",IF(LEFT(Z447,10)="gads_corpo","Google Search – Corporatif",IF(LEFT(Z447,5)="meta_","Meta – Leads",IF(LEFT(Z447,5)="msft_","Microsoft Ads",IF(LEFT(Z447,8)="chatgpt_","ChatGPT Ads – Test",IF(X447="gbp","Fiche Google (organique)","Autre / non payé")))))))))</f>
        <v/>
      </c>
      <c r="AR447" s="7">
        <f>IF(K447="","",IFERROR(VLOOKUP(K447,Listes!$F$3:$H$8,3,FALSE),""))</f>
        <v/>
      </c>
      <c r="AS447" s="7">
        <f>IF(O447="","",IF(AND(M447="Autre (plus de 40 km)",OR(O447="lt600",O447="600_999",O447="1000_2499")),"D",IF(OR(O447="lt600",AND(O447="600_999",K447&lt;&gt;"mariage",K447&lt;&gt;"prive")),"C",IF(OR(O447="2500_4999",O447="5000p",J447="entreprise",J447="organisme",J447="agence"),"A",IF(OR(O447="1000_2499",O447="600_999"),"B",IF(O447="inconnu",IF(OR(N447="75_149",N447="150p"),"A","B"),""))))))</f>
        <v/>
      </c>
      <c r="AT447" s="7">
        <f>IF(A447="","",IF(P447&lt;&gt;"",P447,AS447))</f>
        <v/>
      </c>
      <c r="AU447" s="7">
        <f>IF(A447="","",IF(OR(AT447="A",AT447="B"),1,0))</f>
        <v/>
      </c>
      <c r="AV447" s="7">
        <f>IF(A447="","",IF(OR(R447="Dépôt payé (gagné)",R447="Événement livré",R447="Avis obtenu"),1,0))</f>
        <v/>
      </c>
      <c r="AW447" s="7">
        <f>IF(A447="","",IF(Q447&gt;70,"Immédiat – propriétaire",IF(Q447&gt;=40,"15 min – personne de garde","Selon la route")))</f>
        <v/>
      </c>
      <c r="AX447" s="11">
        <f>IF(A447="","",IF(AT447="A",400,IF(AT447="B",150,0)))</f>
        <v/>
      </c>
      <c r="AY447" s="11">
        <f>IF(A447="","",IF(AV447=1,N(V447),IF(N(U447)&gt;0,ROUND(N(U447)*IFERROR(VLOOKUP(R447,Listes!$AE$3:$AG$12,2,FALSE),0),0),0)))</f>
        <v/>
      </c>
      <c r="AZ447" s="7">
        <f>IF(LEFT(A447,7)="EXEMPLE",1,0)</f>
        <v/>
      </c>
      <c r="BA447" s="7">
        <f>IF(AND(AV447=1,AZ447=0,AC447&lt;&gt;"",W447&lt;&gt;"",N(V447)&gt;0),COUNTIFS($AV$3:AV447,1,$AZ$3:AZ447,0,$AC$3:AC447,"&lt;&gt;",$W$3:W447,"&lt;&gt;",$V$3:V447,"&gt;0"),"")</f>
        <v/>
      </c>
    </row>
    <row r="448">
      <c r="A448" s="12" t="n"/>
      <c r="B448" s="13" t="n"/>
      <c r="C448" s="13" t="n"/>
      <c r="D448" s="7">
        <f>IF(OR(B448="",C448=""),"",ROUND((C448-B448)*1440,0))</f>
        <v/>
      </c>
      <c r="E448" s="12" t="n"/>
      <c r="F448" s="12" t="n"/>
      <c r="G448" s="12" t="n"/>
      <c r="H448" s="12" t="n"/>
      <c r="I448" s="12" t="n"/>
      <c r="J448" s="12" t="n"/>
      <c r="K448" s="12" t="n"/>
      <c r="L448" s="14" t="n"/>
      <c r="M448" s="12" t="n"/>
      <c r="N448" s="12" t="n"/>
      <c r="O448" s="12" t="n"/>
      <c r="P448" s="12" t="n"/>
      <c r="Q448" s="7">
        <f>IF(A448="","",IFERROR(VLOOKUP(O448,Listes!$R$3:$T$8,2,FALSE),0)+IFERROR(VLOOKUP(J448,Listes!$J$3:$L$6,2,FALSE),0)+IFERROR(VLOOKUP(N448,Listes!$N$3:$P$6,2,FALSE),0)+IF(OR(L448="",B448=""),0,IF(L448-INT(B448)&lt;10,8,IF(L448-INT(B448)&lt;=90,10,5)))+IFERROR(VLOOKUP(AN448,Listes!$V$3:$W$5,2,FALSE),0)+IFERROR(VLOOKUP(AO448,Listes!$Y$3:$Z$5,2,FALSE),0))</f>
        <v/>
      </c>
      <c r="R448" s="12" t="n"/>
      <c r="S448" s="12" t="n"/>
      <c r="T448" s="12" t="n"/>
      <c r="U448" s="15" t="n"/>
      <c r="V448" s="15" t="n"/>
      <c r="W448" s="13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3" t="n"/>
      <c r="AK448" s="12" t="n"/>
      <c r="AL448" s="12" t="n"/>
      <c r="AM448" s="12" t="n"/>
      <c r="AN448" s="12" t="n"/>
      <c r="AO448" s="12" t="n"/>
      <c r="AP448" s="12" t="n"/>
      <c r="AQ448" s="7">
        <f>IF(A448="","",IF(AP448&lt;&gt;"",AP448,IF(LEFT(Z448,11)="gads_marque","Google Search – Marque",IF(LEFT(Z448,12)="gads_mariage","Google Search – Mariage et privé",IF(LEFT(Z448,10)="gads_corpo","Google Search – Corporatif",IF(LEFT(Z448,5)="meta_","Meta – Leads",IF(LEFT(Z448,5)="msft_","Microsoft Ads",IF(LEFT(Z448,8)="chatgpt_","ChatGPT Ads – Test",IF(X448="gbp","Fiche Google (organique)","Autre / non payé")))))))))</f>
        <v/>
      </c>
      <c r="AR448" s="7">
        <f>IF(K448="","",IFERROR(VLOOKUP(K448,Listes!$F$3:$H$8,3,FALSE),""))</f>
        <v/>
      </c>
      <c r="AS448" s="7">
        <f>IF(O448="","",IF(AND(M448="Autre (plus de 40 km)",OR(O448="lt600",O448="600_999",O448="1000_2499")),"D",IF(OR(O448="lt600",AND(O448="600_999",K448&lt;&gt;"mariage",K448&lt;&gt;"prive")),"C",IF(OR(O448="2500_4999",O448="5000p",J448="entreprise",J448="organisme",J448="agence"),"A",IF(OR(O448="1000_2499",O448="600_999"),"B",IF(O448="inconnu",IF(OR(N448="75_149",N448="150p"),"A","B"),""))))))</f>
        <v/>
      </c>
      <c r="AT448" s="7">
        <f>IF(A448="","",IF(P448&lt;&gt;"",P448,AS448))</f>
        <v/>
      </c>
      <c r="AU448" s="7">
        <f>IF(A448="","",IF(OR(AT448="A",AT448="B"),1,0))</f>
        <v/>
      </c>
      <c r="AV448" s="7">
        <f>IF(A448="","",IF(OR(R448="Dépôt payé (gagné)",R448="Événement livré",R448="Avis obtenu"),1,0))</f>
        <v/>
      </c>
      <c r="AW448" s="7">
        <f>IF(A448="","",IF(Q448&gt;70,"Immédiat – propriétaire",IF(Q448&gt;=40,"15 min – personne de garde","Selon la route")))</f>
        <v/>
      </c>
      <c r="AX448" s="11">
        <f>IF(A448="","",IF(AT448="A",400,IF(AT448="B",150,0)))</f>
        <v/>
      </c>
      <c r="AY448" s="11">
        <f>IF(A448="","",IF(AV448=1,N(V448),IF(N(U448)&gt;0,ROUND(N(U448)*IFERROR(VLOOKUP(R448,Listes!$AE$3:$AG$12,2,FALSE),0),0),0)))</f>
        <v/>
      </c>
      <c r="AZ448" s="7">
        <f>IF(LEFT(A448,7)="EXEMPLE",1,0)</f>
        <v/>
      </c>
      <c r="BA448" s="7">
        <f>IF(AND(AV448=1,AZ448=0,AC448&lt;&gt;"",W448&lt;&gt;"",N(V448)&gt;0),COUNTIFS($AV$3:AV448,1,$AZ$3:AZ448,0,$AC$3:AC448,"&lt;&gt;",$W$3:W448,"&lt;&gt;",$V$3:V448,"&gt;0"),"")</f>
        <v/>
      </c>
    </row>
    <row r="449">
      <c r="A449" s="12" t="n"/>
      <c r="B449" s="13" t="n"/>
      <c r="C449" s="13" t="n"/>
      <c r="D449" s="7">
        <f>IF(OR(B449="",C449=""),"",ROUND((C449-B449)*1440,0))</f>
        <v/>
      </c>
      <c r="E449" s="12" t="n"/>
      <c r="F449" s="12" t="n"/>
      <c r="G449" s="12" t="n"/>
      <c r="H449" s="12" t="n"/>
      <c r="I449" s="12" t="n"/>
      <c r="J449" s="12" t="n"/>
      <c r="K449" s="12" t="n"/>
      <c r="L449" s="14" t="n"/>
      <c r="M449" s="12" t="n"/>
      <c r="N449" s="12" t="n"/>
      <c r="O449" s="12" t="n"/>
      <c r="P449" s="12" t="n"/>
      <c r="Q449" s="7">
        <f>IF(A449="","",IFERROR(VLOOKUP(O449,Listes!$R$3:$T$8,2,FALSE),0)+IFERROR(VLOOKUP(J449,Listes!$J$3:$L$6,2,FALSE),0)+IFERROR(VLOOKUP(N449,Listes!$N$3:$P$6,2,FALSE),0)+IF(OR(L449="",B449=""),0,IF(L449-INT(B449)&lt;10,8,IF(L449-INT(B449)&lt;=90,10,5)))+IFERROR(VLOOKUP(AN449,Listes!$V$3:$W$5,2,FALSE),0)+IFERROR(VLOOKUP(AO449,Listes!$Y$3:$Z$5,2,FALSE),0))</f>
        <v/>
      </c>
      <c r="R449" s="12" t="n"/>
      <c r="S449" s="12" t="n"/>
      <c r="T449" s="12" t="n"/>
      <c r="U449" s="15" t="n"/>
      <c r="V449" s="15" t="n"/>
      <c r="W449" s="13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3" t="n"/>
      <c r="AK449" s="12" t="n"/>
      <c r="AL449" s="12" t="n"/>
      <c r="AM449" s="12" t="n"/>
      <c r="AN449" s="12" t="n"/>
      <c r="AO449" s="12" t="n"/>
      <c r="AP449" s="12" t="n"/>
      <c r="AQ449" s="7">
        <f>IF(A449="","",IF(AP449&lt;&gt;"",AP449,IF(LEFT(Z449,11)="gads_marque","Google Search – Marque",IF(LEFT(Z449,12)="gads_mariage","Google Search – Mariage et privé",IF(LEFT(Z449,10)="gads_corpo","Google Search – Corporatif",IF(LEFT(Z449,5)="meta_","Meta – Leads",IF(LEFT(Z449,5)="msft_","Microsoft Ads",IF(LEFT(Z449,8)="chatgpt_","ChatGPT Ads – Test",IF(X449="gbp","Fiche Google (organique)","Autre / non payé")))))))))</f>
        <v/>
      </c>
      <c r="AR449" s="7">
        <f>IF(K449="","",IFERROR(VLOOKUP(K449,Listes!$F$3:$H$8,3,FALSE),""))</f>
        <v/>
      </c>
      <c r="AS449" s="7">
        <f>IF(O449="","",IF(AND(M449="Autre (plus de 40 km)",OR(O449="lt600",O449="600_999",O449="1000_2499")),"D",IF(OR(O449="lt600",AND(O449="600_999",K449&lt;&gt;"mariage",K449&lt;&gt;"prive")),"C",IF(OR(O449="2500_4999",O449="5000p",J449="entreprise",J449="organisme",J449="agence"),"A",IF(OR(O449="1000_2499",O449="600_999"),"B",IF(O449="inconnu",IF(OR(N449="75_149",N449="150p"),"A","B"),""))))))</f>
        <v/>
      </c>
      <c r="AT449" s="7">
        <f>IF(A449="","",IF(P449&lt;&gt;"",P449,AS449))</f>
        <v/>
      </c>
      <c r="AU449" s="7">
        <f>IF(A449="","",IF(OR(AT449="A",AT449="B"),1,0))</f>
        <v/>
      </c>
      <c r="AV449" s="7">
        <f>IF(A449="","",IF(OR(R449="Dépôt payé (gagné)",R449="Événement livré",R449="Avis obtenu"),1,0))</f>
        <v/>
      </c>
      <c r="AW449" s="7">
        <f>IF(A449="","",IF(Q449&gt;70,"Immédiat – propriétaire",IF(Q449&gt;=40,"15 min – personne de garde","Selon la route")))</f>
        <v/>
      </c>
      <c r="AX449" s="11">
        <f>IF(A449="","",IF(AT449="A",400,IF(AT449="B",150,0)))</f>
        <v/>
      </c>
      <c r="AY449" s="11">
        <f>IF(A449="","",IF(AV449=1,N(V449),IF(N(U449)&gt;0,ROUND(N(U449)*IFERROR(VLOOKUP(R449,Listes!$AE$3:$AG$12,2,FALSE),0),0),0)))</f>
        <v/>
      </c>
      <c r="AZ449" s="7">
        <f>IF(LEFT(A449,7)="EXEMPLE",1,0)</f>
        <v/>
      </c>
      <c r="BA449" s="7">
        <f>IF(AND(AV449=1,AZ449=0,AC449&lt;&gt;"",W449&lt;&gt;"",N(V449)&gt;0),COUNTIFS($AV$3:AV449,1,$AZ$3:AZ449,0,$AC$3:AC449,"&lt;&gt;",$W$3:W449,"&lt;&gt;",$V$3:V449,"&gt;0"),"")</f>
        <v/>
      </c>
    </row>
    <row r="450">
      <c r="A450" s="12" t="n"/>
      <c r="B450" s="13" t="n"/>
      <c r="C450" s="13" t="n"/>
      <c r="D450" s="7">
        <f>IF(OR(B450="",C450=""),"",ROUND((C450-B450)*1440,0))</f>
        <v/>
      </c>
      <c r="E450" s="12" t="n"/>
      <c r="F450" s="12" t="n"/>
      <c r="G450" s="12" t="n"/>
      <c r="H450" s="12" t="n"/>
      <c r="I450" s="12" t="n"/>
      <c r="J450" s="12" t="n"/>
      <c r="K450" s="12" t="n"/>
      <c r="L450" s="14" t="n"/>
      <c r="M450" s="12" t="n"/>
      <c r="N450" s="12" t="n"/>
      <c r="O450" s="12" t="n"/>
      <c r="P450" s="12" t="n"/>
      <c r="Q450" s="7">
        <f>IF(A450="","",IFERROR(VLOOKUP(O450,Listes!$R$3:$T$8,2,FALSE),0)+IFERROR(VLOOKUP(J450,Listes!$J$3:$L$6,2,FALSE),0)+IFERROR(VLOOKUP(N450,Listes!$N$3:$P$6,2,FALSE),0)+IF(OR(L450="",B450=""),0,IF(L450-INT(B450)&lt;10,8,IF(L450-INT(B450)&lt;=90,10,5)))+IFERROR(VLOOKUP(AN450,Listes!$V$3:$W$5,2,FALSE),0)+IFERROR(VLOOKUP(AO450,Listes!$Y$3:$Z$5,2,FALSE),0))</f>
        <v/>
      </c>
      <c r="R450" s="12" t="n"/>
      <c r="S450" s="12" t="n"/>
      <c r="T450" s="12" t="n"/>
      <c r="U450" s="15" t="n"/>
      <c r="V450" s="15" t="n"/>
      <c r="W450" s="13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3" t="n"/>
      <c r="AK450" s="12" t="n"/>
      <c r="AL450" s="12" t="n"/>
      <c r="AM450" s="12" t="n"/>
      <c r="AN450" s="12" t="n"/>
      <c r="AO450" s="12" t="n"/>
      <c r="AP450" s="12" t="n"/>
      <c r="AQ450" s="7">
        <f>IF(A450="","",IF(AP450&lt;&gt;"",AP450,IF(LEFT(Z450,11)="gads_marque","Google Search – Marque",IF(LEFT(Z450,12)="gads_mariage","Google Search – Mariage et privé",IF(LEFT(Z450,10)="gads_corpo","Google Search – Corporatif",IF(LEFT(Z450,5)="meta_","Meta – Leads",IF(LEFT(Z450,5)="msft_","Microsoft Ads",IF(LEFT(Z450,8)="chatgpt_","ChatGPT Ads – Test",IF(X450="gbp","Fiche Google (organique)","Autre / non payé")))))))))</f>
        <v/>
      </c>
      <c r="AR450" s="7">
        <f>IF(K450="","",IFERROR(VLOOKUP(K450,Listes!$F$3:$H$8,3,FALSE),""))</f>
        <v/>
      </c>
      <c r="AS450" s="7">
        <f>IF(O450="","",IF(AND(M450="Autre (plus de 40 km)",OR(O450="lt600",O450="600_999",O450="1000_2499")),"D",IF(OR(O450="lt600",AND(O450="600_999",K450&lt;&gt;"mariage",K450&lt;&gt;"prive")),"C",IF(OR(O450="2500_4999",O450="5000p",J450="entreprise",J450="organisme",J450="agence"),"A",IF(OR(O450="1000_2499",O450="600_999"),"B",IF(O450="inconnu",IF(OR(N450="75_149",N450="150p"),"A","B"),""))))))</f>
        <v/>
      </c>
      <c r="AT450" s="7">
        <f>IF(A450="","",IF(P450&lt;&gt;"",P450,AS450))</f>
        <v/>
      </c>
      <c r="AU450" s="7">
        <f>IF(A450="","",IF(OR(AT450="A",AT450="B"),1,0))</f>
        <v/>
      </c>
      <c r="AV450" s="7">
        <f>IF(A450="","",IF(OR(R450="Dépôt payé (gagné)",R450="Événement livré",R450="Avis obtenu"),1,0))</f>
        <v/>
      </c>
      <c r="AW450" s="7">
        <f>IF(A450="","",IF(Q450&gt;70,"Immédiat – propriétaire",IF(Q450&gt;=40,"15 min – personne de garde","Selon la route")))</f>
        <v/>
      </c>
      <c r="AX450" s="11">
        <f>IF(A450="","",IF(AT450="A",400,IF(AT450="B",150,0)))</f>
        <v/>
      </c>
      <c r="AY450" s="11">
        <f>IF(A450="","",IF(AV450=1,N(V450),IF(N(U450)&gt;0,ROUND(N(U450)*IFERROR(VLOOKUP(R450,Listes!$AE$3:$AG$12,2,FALSE),0),0),0)))</f>
        <v/>
      </c>
      <c r="AZ450" s="7">
        <f>IF(LEFT(A450,7)="EXEMPLE",1,0)</f>
        <v/>
      </c>
      <c r="BA450" s="7">
        <f>IF(AND(AV450=1,AZ450=0,AC450&lt;&gt;"",W450&lt;&gt;"",N(V450)&gt;0),COUNTIFS($AV$3:AV450,1,$AZ$3:AZ450,0,$AC$3:AC450,"&lt;&gt;",$W$3:W450,"&lt;&gt;",$V$3:V450,"&gt;0"),"")</f>
        <v/>
      </c>
    </row>
    <row r="451">
      <c r="A451" s="12" t="n"/>
      <c r="B451" s="13" t="n"/>
      <c r="C451" s="13" t="n"/>
      <c r="D451" s="7">
        <f>IF(OR(B451="",C451=""),"",ROUND((C451-B451)*1440,0))</f>
        <v/>
      </c>
      <c r="E451" s="12" t="n"/>
      <c r="F451" s="12" t="n"/>
      <c r="G451" s="12" t="n"/>
      <c r="H451" s="12" t="n"/>
      <c r="I451" s="12" t="n"/>
      <c r="J451" s="12" t="n"/>
      <c r="K451" s="12" t="n"/>
      <c r="L451" s="14" t="n"/>
      <c r="M451" s="12" t="n"/>
      <c r="N451" s="12" t="n"/>
      <c r="O451" s="12" t="n"/>
      <c r="P451" s="12" t="n"/>
      <c r="Q451" s="7">
        <f>IF(A451="","",IFERROR(VLOOKUP(O451,Listes!$R$3:$T$8,2,FALSE),0)+IFERROR(VLOOKUP(J451,Listes!$J$3:$L$6,2,FALSE),0)+IFERROR(VLOOKUP(N451,Listes!$N$3:$P$6,2,FALSE),0)+IF(OR(L451="",B451=""),0,IF(L451-INT(B451)&lt;10,8,IF(L451-INT(B451)&lt;=90,10,5)))+IFERROR(VLOOKUP(AN451,Listes!$V$3:$W$5,2,FALSE),0)+IFERROR(VLOOKUP(AO451,Listes!$Y$3:$Z$5,2,FALSE),0))</f>
        <v/>
      </c>
      <c r="R451" s="12" t="n"/>
      <c r="S451" s="12" t="n"/>
      <c r="T451" s="12" t="n"/>
      <c r="U451" s="15" t="n"/>
      <c r="V451" s="15" t="n"/>
      <c r="W451" s="13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3" t="n"/>
      <c r="AK451" s="12" t="n"/>
      <c r="AL451" s="12" t="n"/>
      <c r="AM451" s="12" t="n"/>
      <c r="AN451" s="12" t="n"/>
      <c r="AO451" s="12" t="n"/>
      <c r="AP451" s="12" t="n"/>
      <c r="AQ451" s="7">
        <f>IF(A451="","",IF(AP451&lt;&gt;"",AP451,IF(LEFT(Z451,11)="gads_marque","Google Search – Marque",IF(LEFT(Z451,12)="gads_mariage","Google Search – Mariage et privé",IF(LEFT(Z451,10)="gads_corpo","Google Search – Corporatif",IF(LEFT(Z451,5)="meta_","Meta – Leads",IF(LEFT(Z451,5)="msft_","Microsoft Ads",IF(LEFT(Z451,8)="chatgpt_","ChatGPT Ads – Test",IF(X451="gbp","Fiche Google (organique)","Autre / non payé")))))))))</f>
        <v/>
      </c>
      <c r="AR451" s="7">
        <f>IF(K451="","",IFERROR(VLOOKUP(K451,Listes!$F$3:$H$8,3,FALSE),""))</f>
        <v/>
      </c>
      <c r="AS451" s="7">
        <f>IF(O451="","",IF(AND(M451="Autre (plus de 40 km)",OR(O451="lt600",O451="600_999",O451="1000_2499")),"D",IF(OR(O451="lt600",AND(O451="600_999",K451&lt;&gt;"mariage",K451&lt;&gt;"prive")),"C",IF(OR(O451="2500_4999",O451="5000p",J451="entreprise",J451="organisme",J451="agence"),"A",IF(OR(O451="1000_2499",O451="600_999"),"B",IF(O451="inconnu",IF(OR(N451="75_149",N451="150p"),"A","B"),""))))))</f>
        <v/>
      </c>
      <c r="AT451" s="7">
        <f>IF(A451="","",IF(P451&lt;&gt;"",P451,AS451))</f>
        <v/>
      </c>
      <c r="AU451" s="7">
        <f>IF(A451="","",IF(OR(AT451="A",AT451="B"),1,0))</f>
        <v/>
      </c>
      <c r="AV451" s="7">
        <f>IF(A451="","",IF(OR(R451="Dépôt payé (gagné)",R451="Événement livré",R451="Avis obtenu"),1,0))</f>
        <v/>
      </c>
      <c r="AW451" s="7">
        <f>IF(A451="","",IF(Q451&gt;70,"Immédiat – propriétaire",IF(Q451&gt;=40,"15 min – personne de garde","Selon la route")))</f>
        <v/>
      </c>
      <c r="AX451" s="11">
        <f>IF(A451="","",IF(AT451="A",400,IF(AT451="B",150,0)))</f>
        <v/>
      </c>
      <c r="AY451" s="11">
        <f>IF(A451="","",IF(AV451=1,N(V451),IF(N(U451)&gt;0,ROUND(N(U451)*IFERROR(VLOOKUP(R451,Listes!$AE$3:$AG$12,2,FALSE),0),0),0)))</f>
        <v/>
      </c>
      <c r="AZ451" s="7">
        <f>IF(LEFT(A451,7)="EXEMPLE",1,0)</f>
        <v/>
      </c>
      <c r="BA451" s="7">
        <f>IF(AND(AV451=1,AZ451=0,AC451&lt;&gt;"",W451&lt;&gt;"",N(V451)&gt;0),COUNTIFS($AV$3:AV451,1,$AZ$3:AZ451,0,$AC$3:AC451,"&lt;&gt;",$W$3:W451,"&lt;&gt;",$V$3:V451,"&gt;0"),"")</f>
        <v/>
      </c>
    </row>
    <row r="452">
      <c r="A452" s="12" t="n"/>
      <c r="B452" s="13" t="n"/>
      <c r="C452" s="13" t="n"/>
      <c r="D452" s="7">
        <f>IF(OR(B452="",C452=""),"",ROUND((C452-B452)*1440,0))</f>
        <v/>
      </c>
      <c r="E452" s="12" t="n"/>
      <c r="F452" s="12" t="n"/>
      <c r="G452" s="12" t="n"/>
      <c r="H452" s="12" t="n"/>
      <c r="I452" s="12" t="n"/>
      <c r="J452" s="12" t="n"/>
      <c r="K452" s="12" t="n"/>
      <c r="L452" s="14" t="n"/>
      <c r="M452" s="12" t="n"/>
      <c r="N452" s="12" t="n"/>
      <c r="O452" s="12" t="n"/>
      <c r="P452" s="12" t="n"/>
      <c r="Q452" s="7">
        <f>IF(A452="","",IFERROR(VLOOKUP(O452,Listes!$R$3:$T$8,2,FALSE),0)+IFERROR(VLOOKUP(J452,Listes!$J$3:$L$6,2,FALSE),0)+IFERROR(VLOOKUP(N452,Listes!$N$3:$P$6,2,FALSE),0)+IF(OR(L452="",B452=""),0,IF(L452-INT(B452)&lt;10,8,IF(L452-INT(B452)&lt;=90,10,5)))+IFERROR(VLOOKUP(AN452,Listes!$V$3:$W$5,2,FALSE),0)+IFERROR(VLOOKUP(AO452,Listes!$Y$3:$Z$5,2,FALSE),0))</f>
        <v/>
      </c>
      <c r="R452" s="12" t="n"/>
      <c r="S452" s="12" t="n"/>
      <c r="T452" s="12" t="n"/>
      <c r="U452" s="15" t="n"/>
      <c r="V452" s="15" t="n"/>
      <c r="W452" s="13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3" t="n"/>
      <c r="AK452" s="12" t="n"/>
      <c r="AL452" s="12" t="n"/>
      <c r="AM452" s="12" t="n"/>
      <c r="AN452" s="12" t="n"/>
      <c r="AO452" s="12" t="n"/>
      <c r="AP452" s="12" t="n"/>
      <c r="AQ452" s="7">
        <f>IF(A452="","",IF(AP452&lt;&gt;"",AP452,IF(LEFT(Z452,11)="gads_marque","Google Search – Marque",IF(LEFT(Z452,12)="gads_mariage","Google Search – Mariage et privé",IF(LEFT(Z452,10)="gads_corpo","Google Search – Corporatif",IF(LEFT(Z452,5)="meta_","Meta – Leads",IF(LEFT(Z452,5)="msft_","Microsoft Ads",IF(LEFT(Z452,8)="chatgpt_","ChatGPT Ads – Test",IF(X452="gbp","Fiche Google (organique)","Autre / non payé")))))))))</f>
        <v/>
      </c>
      <c r="AR452" s="7">
        <f>IF(K452="","",IFERROR(VLOOKUP(K452,Listes!$F$3:$H$8,3,FALSE),""))</f>
        <v/>
      </c>
      <c r="AS452" s="7">
        <f>IF(O452="","",IF(AND(M452="Autre (plus de 40 km)",OR(O452="lt600",O452="600_999",O452="1000_2499")),"D",IF(OR(O452="lt600",AND(O452="600_999",K452&lt;&gt;"mariage",K452&lt;&gt;"prive")),"C",IF(OR(O452="2500_4999",O452="5000p",J452="entreprise",J452="organisme",J452="agence"),"A",IF(OR(O452="1000_2499",O452="600_999"),"B",IF(O452="inconnu",IF(OR(N452="75_149",N452="150p"),"A","B"),""))))))</f>
        <v/>
      </c>
      <c r="AT452" s="7">
        <f>IF(A452="","",IF(P452&lt;&gt;"",P452,AS452))</f>
        <v/>
      </c>
      <c r="AU452" s="7">
        <f>IF(A452="","",IF(OR(AT452="A",AT452="B"),1,0))</f>
        <v/>
      </c>
      <c r="AV452" s="7">
        <f>IF(A452="","",IF(OR(R452="Dépôt payé (gagné)",R452="Événement livré",R452="Avis obtenu"),1,0))</f>
        <v/>
      </c>
      <c r="AW452" s="7">
        <f>IF(A452="","",IF(Q452&gt;70,"Immédiat – propriétaire",IF(Q452&gt;=40,"15 min – personne de garde","Selon la route")))</f>
        <v/>
      </c>
      <c r="AX452" s="11">
        <f>IF(A452="","",IF(AT452="A",400,IF(AT452="B",150,0)))</f>
        <v/>
      </c>
      <c r="AY452" s="11">
        <f>IF(A452="","",IF(AV452=1,N(V452),IF(N(U452)&gt;0,ROUND(N(U452)*IFERROR(VLOOKUP(R452,Listes!$AE$3:$AG$12,2,FALSE),0),0),0)))</f>
        <v/>
      </c>
      <c r="AZ452" s="7">
        <f>IF(LEFT(A452,7)="EXEMPLE",1,0)</f>
        <v/>
      </c>
      <c r="BA452" s="7">
        <f>IF(AND(AV452=1,AZ452=0,AC452&lt;&gt;"",W452&lt;&gt;"",N(V452)&gt;0),COUNTIFS($AV$3:AV452,1,$AZ$3:AZ452,0,$AC$3:AC452,"&lt;&gt;",$W$3:W452,"&lt;&gt;",$V$3:V452,"&gt;0"),"")</f>
        <v/>
      </c>
    </row>
    <row r="453">
      <c r="A453" s="12" t="n"/>
      <c r="B453" s="13" t="n"/>
      <c r="C453" s="13" t="n"/>
      <c r="D453" s="7">
        <f>IF(OR(B453="",C453=""),"",ROUND((C453-B453)*1440,0))</f>
        <v/>
      </c>
      <c r="E453" s="12" t="n"/>
      <c r="F453" s="12" t="n"/>
      <c r="G453" s="12" t="n"/>
      <c r="H453" s="12" t="n"/>
      <c r="I453" s="12" t="n"/>
      <c r="J453" s="12" t="n"/>
      <c r="K453" s="12" t="n"/>
      <c r="L453" s="14" t="n"/>
      <c r="M453" s="12" t="n"/>
      <c r="N453" s="12" t="n"/>
      <c r="O453" s="12" t="n"/>
      <c r="P453" s="12" t="n"/>
      <c r="Q453" s="7">
        <f>IF(A453="","",IFERROR(VLOOKUP(O453,Listes!$R$3:$T$8,2,FALSE),0)+IFERROR(VLOOKUP(J453,Listes!$J$3:$L$6,2,FALSE),0)+IFERROR(VLOOKUP(N453,Listes!$N$3:$P$6,2,FALSE),0)+IF(OR(L453="",B453=""),0,IF(L453-INT(B453)&lt;10,8,IF(L453-INT(B453)&lt;=90,10,5)))+IFERROR(VLOOKUP(AN453,Listes!$V$3:$W$5,2,FALSE),0)+IFERROR(VLOOKUP(AO453,Listes!$Y$3:$Z$5,2,FALSE),0))</f>
        <v/>
      </c>
      <c r="R453" s="12" t="n"/>
      <c r="S453" s="12" t="n"/>
      <c r="T453" s="12" t="n"/>
      <c r="U453" s="15" t="n"/>
      <c r="V453" s="15" t="n"/>
      <c r="W453" s="13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3" t="n"/>
      <c r="AK453" s="12" t="n"/>
      <c r="AL453" s="12" t="n"/>
      <c r="AM453" s="12" t="n"/>
      <c r="AN453" s="12" t="n"/>
      <c r="AO453" s="12" t="n"/>
      <c r="AP453" s="12" t="n"/>
      <c r="AQ453" s="7">
        <f>IF(A453="","",IF(AP453&lt;&gt;"",AP453,IF(LEFT(Z453,11)="gads_marque","Google Search – Marque",IF(LEFT(Z453,12)="gads_mariage","Google Search – Mariage et privé",IF(LEFT(Z453,10)="gads_corpo","Google Search – Corporatif",IF(LEFT(Z453,5)="meta_","Meta – Leads",IF(LEFT(Z453,5)="msft_","Microsoft Ads",IF(LEFT(Z453,8)="chatgpt_","ChatGPT Ads – Test",IF(X453="gbp","Fiche Google (organique)","Autre / non payé")))))))))</f>
        <v/>
      </c>
      <c r="AR453" s="7">
        <f>IF(K453="","",IFERROR(VLOOKUP(K453,Listes!$F$3:$H$8,3,FALSE),""))</f>
        <v/>
      </c>
      <c r="AS453" s="7">
        <f>IF(O453="","",IF(AND(M453="Autre (plus de 40 km)",OR(O453="lt600",O453="600_999",O453="1000_2499")),"D",IF(OR(O453="lt600",AND(O453="600_999",K453&lt;&gt;"mariage",K453&lt;&gt;"prive")),"C",IF(OR(O453="2500_4999",O453="5000p",J453="entreprise",J453="organisme",J453="agence"),"A",IF(OR(O453="1000_2499",O453="600_999"),"B",IF(O453="inconnu",IF(OR(N453="75_149",N453="150p"),"A","B"),""))))))</f>
        <v/>
      </c>
      <c r="AT453" s="7">
        <f>IF(A453="","",IF(P453&lt;&gt;"",P453,AS453))</f>
        <v/>
      </c>
      <c r="AU453" s="7">
        <f>IF(A453="","",IF(OR(AT453="A",AT453="B"),1,0))</f>
        <v/>
      </c>
      <c r="AV453" s="7">
        <f>IF(A453="","",IF(OR(R453="Dépôt payé (gagné)",R453="Événement livré",R453="Avis obtenu"),1,0))</f>
        <v/>
      </c>
      <c r="AW453" s="7">
        <f>IF(A453="","",IF(Q453&gt;70,"Immédiat – propriétaire",IF(Q453&gt;=40,"15 min – personne de garde","Selon la route")))</f>
        <v/>
      </c>
      <c r="AX453" s="11">
        <f>IF(A453="","",IF(AT453="A",400,IF(AT453="B",150,0)))</f>
        <v/>
      </c>
      <c r="AY453" s="11">
        <f>IF(A453="","",IF(AV453=1,N(V453),IF(N(U453)&gt;0,ROUND(N(U453)*IFERROR(VLOOKUP(R453,Listes!$AE$3:$AG$12,2,FALSE),0),0),0)))</f>
        <v/>
      </c>
      <c r="AZ453" s="7">
        <f>IF(LEFT(A453,7)="EXEMPLE",1,0)</f>
        <v/>
      </c>
      <c r="BA453" s="7">
        <f>IF(AND(AV453=1,AZ453=0,AC453&lt;&gt;"",W453&lt;&gt;"",N(V453)&gt;0),COUNTIFS($AV$3:AV453,1,$AZ$3:AZ453,0,$AC$3:AC453,"&lt;&gt;",$W$3:W453,"&lt;&gt;",$V$3:V453,"&gt;0"),"")</f>
        <v/>
      </c>
    </row>
    <row r="454">
      <c r="A454" s="12" t="n"/>
      <c r="B454" s="13" t="n"/>
      <c r="C454" s="13" t="n"/>
      <c r="D454" s="7">
        <f>IF(OR(B454="",C454=""),"",ROUND((C454-B454)*1440,0))</f>
        <v/>
      </c>
      <c r="E454" s="12" t="n"/>
      <c r="F454" s="12" t="n"/>
      <c r="G454" s="12" t="n"/>
      <c r="H454" s="12" t="n"/>
      <c r="I454" s="12" t="n"/>
      <c r="J454" s="12" t="n"/>
      <c r="K454" s="12" t="n"/>
      <c r="L454" s="14" t="n"/>
      <c r="M454" s="12" t="n"/>
      <c r="N454" s="12" t="n"/>
      <c r="O454" s="12" t="n"/>
      <c r="P454" s="12" t="n"/>
      <c r="Q454" s="7">
        <f>IF(A454="","",IFERROR(VLOOKUP(O454,Listes!$R$3:$T$8,2,FALSE),0)+IFERROR(VLOOKUP(J454,Listes!$J$3:$L$6,2,FALSE),0)+IFERROR(VLOOKUP(N454,Listes!$N$3:$P$6,2,FALSE),0)+IF(OR(L454="",B454=""),0,IF(L454-INT(B454)&lt;10,8,IF(L454-INT(B454)&lt;=90,10,5)))+IFERROR(VLOOKUP(AN454,Listes!$V$3:$W$5,2,FALSE),0)+IFERROR(VLOOKUP(AO454,Listes!$Y$3:$Z$5,2,FALSE),0))</f>
        <v/>
      </c>
      <c r="R454" s="12" t="n"/>
      <c r="S454" s="12" t="n"/>
      <c r="T454" s="12" t="n"/>
      <c r="U454" s="15" t="n"/>
      <c r="V454" s="15" t="n"/>
      <c r="W454" s="13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3" t="n"/>
      <c r="AK454" s="12" t="n"/>
      <c r="AL454" s="12" t="n"/>
      <c r="AM454" s="12" t="n"/>
      <c r="AN454" s="12" t="n"/>
      <c r="AO454" s="12" t="n"/>
      <c r="AP454" s="12" t="n"/>
      <c r="AQ454" s="7">
        <f>IF(A454="","",IF(AP454&lt;&gt;"",AP454,IF(LEFT(Z454,11)="gads_marque","Google Search – Marque",IF(LEFT(Z454,12)="gads_mariage","Google Search – Mariage et privé",IF(LEFT(Z454,10)="gads_corpo","Google Search – Corporatif",IF(LEFT(Z454,5)="meta_","Meta – Leads",IF(LEFT(Z454,5)="msft_","Microsoft Ads",IF(LEFT(Z454,8)="chatgpt_","ChatGPT Ads – Test",IF(X454="gbp","Fiche Google (organique)","Autre / non payé")))))))))</f>
        <v/>
      </c>
      <c r="AR454" s="7">
        <f>IF(K454="","",IFERROR(VLOOKUP(K454,Listes!$F$3:$H$8,3,FALSE),""))</f>
        <v/>
      </c>
      <c r="AS454" s="7">
        <f>IF(O454="","",IF(AND(M454="Autre (plus de 40 km)",OR(O454="lt600",O454="600_999",O454="1000_2499")),"D",IF(OR(O454="lt600",AND(O454="600_999",K454&lt;&gt;"mariage",K454&lt;&gt;"prive")),"C",IF(OR(O454="2500_4999",O454="5000p",J454="entreprise",J454="organisme",J454="agence"),"A",IF(OR(O454="1000_2499",O454="600_999"),"B",IF(O454="inconnu",IF(OR(N454="75_149",N454="150p"),"A","B"),""))))))</f>
        <v/>
      </c>
      <c r="AT454" s="7">
        <f>IF(A454="","",IF(P454&lt;&gt;"",P454,AS454))</f>
        <v/>
      </c>
      <c r="AU454" s="7">
        <f>IF(A454="","",IF(OR(AT454="A",AT454="B"),1,0))</f>
        <v/>
      </c>
      <c r="AV454" s="7">
        <f>IF(A454="","",IF(OR(R454="Dépôt payé (gagné)",R454="Événement livré",R454="Avis obtenu"),1,0))</f>
        <v/>
      </c>
      <c r="AW454" s="7">
        <f>IF(A454="","",IF(Q454&gt;70,"Immédiat – propriétaire",IF(Q454&gt;=40,"15 min – personne de garde","Selon la route")))</f>
        <v/>
      </c>
      <c r="AX454" s="11">
        <f>IF(A454="","",IF(AT454="A",400,IF(AT454="B",150,0)))</f>
        <v/>
      </c>
      <c r="AY454" s="11">
        <f>IF(A454="","",IF(AV454=1,N(V454),IF(N(U454)&gt;0,ROUND(N(U454)*IFERROR(VLOOKUP(R454,Listes!$AE$3:$AG$12,2,FALSE),0),0),0)))</f>
        <v/>
      </c>
      <c r="AZ454" s="7">
        <f>IF(LEFT(A454,7)="EXEMPLE",1,0)</f>
        <v/>
      </c>
      <c r="BA454" s="7">
        <f>IF(AND(AV454=1,AZ454=0,AC454&lt;&gt;"",W454&lt;&gt;"",N(V454)&gt;0),COUNTIFS($AV$3:AV454,1,$AZ$3:AZ454,0,$AC$3:AC454,"&lt;&gt;",$W$3:W454,"&lt;&gt;",$V$3:V454,"&gt;0"),"")</f>
        <v/>
      </c>
    </row>
    <row r="455">
      <c r="A455" s="12" t="n"/>
      <c r="B455" s="13" t="n"/>
      <c r="C455" s="13" t="n"/>
      <c r="D455" s="7">
        <f>IF(OR(B455="",C455=""),"",ROUND((C455-B455)*1440,0))</f>
        <v/>
      </c>
      <c r="E455" s="12" t="n"/>
      <c r="F455" s="12" t="n"/>
      <c r="G455" s="12" t="n"/>
      <c r="H455" s="12" t="n"/>
      <c r="I455" s="12" t="n"/>
      <c r="J455" s="12" t="n"/>
      <c r="K455" s="12" t="n"/>
      <c r="L455" s="14" t="n"/>
      <c r="M455" s="12" t="n"/>
      <c r="N455" s="12" t="n"/>
      <c r="O455" s="12" t="n"/>
      <c r="P455" s="12" t="n"/>
      <c r="Q455" s="7">
        <f>IF(A455="","",IFERROR(VLOOKUP(O455,Listes!$R$3:$T$8,2,FALSE),0)+IFERROR(VLOOKUP(J455,Listes!$J$3:$L$6,2,FALSE),0)+IFERROR(VLOOKUP(N455,Listes!$N$3:$P$6,2,FALSE),0)+IF(OR(L455="",B455=""),0,IF(L455-INT(B455)&lt;10,8,IF(L455-INT(B455)&lt;=90,10,5)))+IFERROR(VLOOKUP(AN455,Listes!$V$3:$W$5,2,FALSE),0)+IFERROR(VLOOKUP(AO455,Listes!$Y$3:$Z$5,2,FALSE),0))</f>
        <v/>
      </c>
      <c r="R455" s="12" t="n"/>
      <c r="S455" s="12" t="n"/>
      <c r="T455" s="12" t="n"/>
      <c r="U455" s="15" t="n"/>
      <c r="V455" s="15" t="n"/>
      <c r="W455" s="13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3" t="n"/>
      <c r="AK455" s="12" t="n"/>
      <c r="AL455" s="12" t="n"/>
      <c r="AM455" s="12" t="n"/>
      <c r="AN455" s="12" t="n"/>
      <c r="AO455" s="12" t="n"/>
      <c r="AP455" s="12" t="n"/>
      <c r="AQ455" s="7">
        <f>IF(A455="","",IF(AP455&lt;&gt;"",AP455,IF(LEFT(Z455,11)="gads_marque","Google Search – Marque",IF(LEFT(Z455,12)="gads_mariage","Google Search – Mariage et privé",IF(LEFT(Z455,10)="gads_corpo","Google Search – Corporatif",IF(LEFT(Z455,5)="meta_","Meta – Leads",IF(LEFT(Z455,5)="msft_","Microsoft Ads",IF(LEFT(Z455,8)="chatgpt_","ChatGPT Ads – Test",IF(X455="gbp","Fiche Google (organique)","Autre / non payé")))))))))</f>
        <v/>
      </c>
      <c r="AR455" s="7">
        <f>IF(K455="","",IFERROR(VLOOKUP(K455,Listes!$F$3:$H$8,3,FALSE),""))</f>
        <v/>
      </c>
      <c r="AS455" s="7">
        <f>IF(O455="","",IF(AND(M455="Autre (plus de 40 km)",OR(O455="lt600",O455="600_999",O455="1000_2499")),"D",IF(OR(O455="lt600",AND(O455="600_999",K455&lt;&gt;"mariage",K455&lt;&gt;"prive")),"C",IF(OR(O455="2500_4999",O455="5000p",J455="entreprise",J455="organisme",J455="agence"),"A",IF(OR(O455="1000_2499",O455="600_999"),"B",IF(O455="inconnu",IF(OR(N455="75_149",N455="150p"),"A","B"),""))))))</f>
        <v/>
      </c>
      <c r="AT455" s="7">
        <f>IF(A455="","",IF(P455&lt;&gt;"",P455,AS455))</f>
        <v/>
      </c>
      <c r="AU455" s="7">
        <f>IF(A455="","",IF(OR(AT455="A",AT455="B"),1,0))</f>
        <v/>
      </c>
      <c r="AV455" s="7">
        <f>IF(A455="","",IF(OR(R455="Dépôt payé (gagné)",R455="Événement livré",R455="Avis obtenu"),1,0))</f>
        <v/>
      </c>
      <c r="AW455" s="7">
        <f>IF(A455="","",IF(Q455&gt;70,"Immédiat – propriétaire",IF(Q455&gt;=40,"15 min – personne de garde","Selon la route")))</f>
        <v/>
      </c>
      <c r="AX455" s="11">
        <f>IF(A455="","",IF(AT455="A",400,IF(AT455="B",150,0)))</f>
        <v/>
      </c>
      <c r="AY455" s="11">
        <f>IF(A455="","",IF(AV455=1,N(V455),IF(N(U455)&gt;0,ROUND(N(U455)*IFERROR(VLOOKUP(R455,Listes!$AE$3:$AG$12,2,FALSE),0),0),0)))</f>
        <v/>
      </c>
      <c r="AZ455" s="7">
        <f>IF(LEFT(A455,7)="EXEMPLE",1,0)</f>
        <v/>
      </c>
      <c r="BA455" s="7">
        <f>IF(AND(AV455=1,AZ455=0,AC455&lt;&gt;"",W455&lt;&gt;"",N(V455)&gt;0),COUNTIFS($AV$3:AV455,1,$AZ$3:AZ455,0,$AC$3:AC455,"&lt;&gt;",$W$3:W455,"&lt;&gt;",$V$3:V455,"&gt;0"),"")</f>
        <v/>
      </c>
    </row>
    <row r="456">
      <c r="A456" s="12" t="n"/>
      <c r="B456" s="13" t="n"/>
      <c r="C456" s="13" t="n"/>
      <c r="D456" s="7">
        <f>IF(OR(B456="",C456=""),"",ROUND((C456-B456)*1440,0))</f>
        <v/>
      </c>
      <c r="E456" s="12" t="n"/>
      <c r="F456" s="12" t="n"/>
      <c r="G456" s="12" t="n"/>
      <c r="H456" s="12" t="n"/>
      <c r="I456" s="12" t="n"/>
      <c r="J456" s="12" t="n"/>
      <c r="K456" s="12" t="n"/>
      <c r="L456" s="14" t="n"/>
      <c r="M456" s="12" t="n"/>
      <c r="N456" s="12" t="n"/>
      <c r="O456" s="12" t="n"/>
      <c r="P456" s="12" t="n"/>
      <c r="Q456" s="7">
        <f>IF(A456="","",IFERROR(VLOOKUP(O456,Listes!$R$3:$T$8,2,FALSE),0)+IFERROR(VLOOKUP(J456,Listes!$J$3:$L$6,2,FALSE),0)+IFERROR(VLOOKUP(N456,Listes!$N$3:$P$6,2,FALSE),0)+IF(OR(L456="",B456=""),0,IF(L456-INT(B456)&lt;10,8,IF(L456-INT(B456)&lt;=90,10,5)))+IFERROR(VLOOKUP(AN456,Listes!$V$3:$W$5,2,FALSE),0)+IFERROR(VLOOKUP(AO456,Listes!$Y$3:$Z$5,2,FALSE),0))</f>
        <v/>
      </c>
      <c r="R456" s="12" t="n"/>
      <c r="S456" s="12" t="n"/>
      <c r="T456" s="12" t="n"/>
      <c r="U456" s="15" t="n"/>
      <c r="V456" s="15" t="n"/>
      <c r="W456" s="13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3" t="n"/>
      <c r="AK456" s="12" t="n"/>
      <c r="AL456" s="12" t="n"/>
      <c r="AM456" s="12" t="n"/>
      <c r="AN456" s="12" t="n"/>
      <c r="AO456" s="12" t="n"/>
      <c r="AP456" s="12" t="n"/>
      <c r="AQ456" s="7">
        <f>IF(A456="","",IF(AP456&lt;&gt;"",AP456,IF(LEFT(Z456,11)="gads_marque","Google Search – Marque",IF(LEFT(Z456,12)="gads_mariage","Google Search – Mariage et privé",IF(LEFT(Z456,10)="gads_corpo","Google Search – Corporatif",IF(LEFT(Z456,5)="meta_","Meta – Leads",IF(LEFT(Z456,5)="msft_","Microsoft Ads",IF(LEFT(Z456,8)="chatgpt_","ChatGPT Ads – Test",IF(X456="gbp","Fiche Google (organique)","Autre / non payé")))))))))</f>
        <v/>
      </c>
      <c r="AR456" s="7">
        <f>IF(K456="","",IFERROR(VLOOKUP(K456,Listes!$F$3:$H$8,3,FALSE),""))</f>
        <v/>
      </c>
      <c r="AS456" s="7">
        <f>IF(O456="","",IF(AND(M456="Autre (plus de 40 km)",OR(O456="lt600",O456="600_999",O456="1000_2499")),"D",IF(OR(O456="lt600",AND(O456="600_999",K456&lt;&gt;"mariage",K456&lt;&gt;"prive")),"C",IF(OR(O456="2500_4999",O456="5000p",J456="entreprise",J456="organisme",J456="agence"),"A",IF(OR(O456="1000_2499",O456="600_999"),"B",IF(O456="inconnu",IF(OR(N456="75_149",N456="150p"),"A","B"),""))))))</f>
        <v/>
      </c>
      <c r="AT456" s="7">
        <f>IF(A456="","",IF(P456&lt;&gt;"",P456,AS456))</f>
        <v/>
      </c>
      <c r="AU456" s="7">
        <f>IF(A456="","",IF(OR(AT456="A",AT456="B"),1,0))</f>
        <v/>
      </c>
      <c r="AV456" s="7">
        <f>IF(A456="","",IF(OR(R456="Dépôt payé (gagné)",R456="Événement livré",R456="Avis obtenu"),1,0))</f>
        <v/>
      </c>
      <c r="AW456" s="7">
        <f>IF(A456="","",IF(Q456&gt;70,"Immédiat – propriétaire",IF(Q456&gt;=40,"15 min – personne de garde","Selon la route")))</f>
        <v/>
      </c>
      <c r="AX456" s="11">
        <f>IF(A456="","",IF(AT456="A",400,IF(AT456="B",150,0)))</f>
        <v/>
      </c>
      <c r="AY456" s="11">
        <f>IF(A456="","",IF(AV456=1,N(V456),IF(N(U456)&gt;0,ROUND(N(U456)*IFERROR(VLOOKUP(R456,Listes!$AE$3:$AG$12,2,FALSE),0),0),0)))</f>
        <v/>
      </c>
      <c r="AZ456" s="7">
        <f>IF(LEFT(A456,7)="EXEMPLE",1,0)</f>
        <v/>
      </c>
      <c r="BA456" s="7">
        <f>IF(AND(AV456=1,AZ456=0,AC456&lt;&gt;"",W456&lt;&gt;"",N(V456)&gt;0),COUNTIFS($AV$3:AV456,1,$AZ$3:AZ456,0,$AC$3:AC456,"&lt;&gt;",$W$3:W456,"&lt;&gt;",$V$3:V456,"&gt;0"),"")</f>
        <v/>
      </c>
    </row>
    <row r="457">
      <c r="A457" s="12" t="n"/>
      <c r="B457" s="13" t="n"/>
      <c r="C457" s="13" t="n"/>
      <c r="D457" s="7">
        <f>IF(OR(B457="",C457=""),"",ROUND((C457-B457)*1440,0))</f>
        <v/>
      </c>
      <c r="E457" s="12" t="n"/>
      <c r="F457" s="12" t="n"/>
      <c r="G457" s="12" t="n"/>
      <c r="H457" s="12" t="n"/>
      <c r="I457" s="12" t="n"/>
      <c r="J457" s="12" t="n"/>
      <c r="K457" s="12" t="n"/>
      <c r="L457" s="14" t="n"/>
      <c r="M457" s="12" t="n"/>
      <c r="N457" s="12" t="n"/>
      <c r="O457" s="12" t="n"/>
      <c r="P457" s="12" t="n"/>
      <c r="Q457" s="7">
        <f>IF(A457="","",IFERROR(VLOOKUP(O457,Listes!$R$3:$T$8,2,FALSE),0)+IFERROR(VLOOKUP(J457,Listes!$J$3:$L$6,2,FALSE),0)+IFERROR(VLOOKUP(N457,Listes!$N$3:$P$6,2,FALSE),0)+IF(OR(L457="",B457=""),0,IF(L457-INT(B457)&lt;10,8,IF(L457-INT(B457)&lt;=90,10,5)))+IFERROR(VLOOKUP(AN457,Listes!$V$3:$W$5,2,FALSE),0)+IFERROR(VLOOKUP(AO457,Listes!$Y$3:$Z$5,2,FALSE),0))</f>
        <v/>
      </c>
      <c r="R457" s="12" t="n"/>
      <c r="S457" s="12" t="n"/>
      <c r="T457" s="12" t="n"/>
      <c r="U457" s="15" t="n"/>
      <c r="V457" s="15" t="n"/>
      <c r="W457" s="13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3" t="n"/>
      <c r="AK457" s="12" t="n"/>
      <c r="AL457" s="12" t="n"/>
      <c r="AM457" s="12" t="n"/>
      <c r="AN457" s="12" t="n"/>
      <c r="AO457" s="12" t="n"/>
      <c r="AP457" s="12" t="n"/>
      <c r="AQ457" s="7">
        <f>IF(A457="","",IF(AP457&lt;&gt;"",AP457,IF(LEFT(Z457,11)="gads_marque","Google Search – Marque",IF(LEFT(Z457,12)="gads_mariage","Google Search – Mariage et privé",IF(LEFT(Z457,10)="gads_corpo","Google Search – Corporatif",IF(LEFT(Z457,5)="meta_","Meta – Leads",IF(LEFT(Z457,5)="msft_","Microsoft Ads",IF(LEFT(Z457,8)="chatgpt_","ChatGPT Ads – Test",IF(X457="gbp","Fiche Google (organique)","Autre / non payé")))))))))</f>
        <v/>
      </c>
      <c r="AR457" s="7">
        <f>IF(K457="","",IFERROR(VLOOKUP(K457,Listes!$F$3:$H$8,3,FALSE),""))</f>
        <v/>
      </c>
      <c r="AS457" s="7">
        <f>IF(O457="","",IF(AND(M457="Autre (plus de 40 km)",OR(O457="lt600",O457="600_999",O457="1000_2499")),"D",IF(OR(O457="lt600",AND(O457="600_999",K457&lt;&gt;"mariage",K457&lt;&gt;"prive")),"C",IF(OR(O457="2500_4999",O457="5000p",J457="entreprise",J457="organisme",J457="agence"),"A",IF(OR(O457="1000_2499",O457="600_999"),"B",IF(O457="inconnu",IF(OR(N457="75_149",N457="150p"),"A","B"),""))))))</f>
        <v/>
      </c>
      <c r="AT457" s="7">
        <f>IF(A457="","",IF(P457&lt;&gt;"",P457,AS457))</f>
        <v/>
      </c>
      <c r="AU457" s="7">
        <f>IF(A457="","",IF(OR(AT457="A",AT457="B"),1,0))</f>
        <v/>
      </c>
      <c r="AV457" s="7">
        <f>IF(A457="","",IF(OR(R457="Dépôt payé (gagné)",R457="Événement livré",R457="Avis obtenu"),1,0))</f>
        <v/>
      </c>
      <c r="AW457" s="7">
        <f>IF(A457="","",IF(Q457&gt;70,"Immédiat – propriétaire",IF(Q457&gt;=40,"15 min – personne de garde","Selon la route")))</f>
        <v/>
      </c>
      <c r="AX457" s="11">
        <f>IF(A457="","",IF(AT457="A",400,IF(AT457="B",150,0)))</f>
        <v/>
      </c>
      <c r="AY457" s="11">
        <f>IF(A457="","",IF(AV457=1,N(V457),IF(N(U457)&gt;0,ROUND(N(U457)*IFERROR(VLOOKUP(R457,Listes!$AE$3:$AG$12,2,FALSE),0),0),0)))</f>
        <v/>
      </c>
      <c r="AZ457" s="7">
        <f>IF(LEFT(A457,7)="EXEMPLE",1,0)</f>
        <v/>
      </c>
      <c r="BA457" s="7">
        <f>IF(AND(AV457=1,AZ457=0,AC457&lt;&gt;"",W457&lt;&gt;"",N(V457)&gt;0),COUNTIFS($AV$3:AV457,1,$AZ$3:AZ457,0,$AC$3:AC457,"&lt;&gt;",$W$3:W457,"&lt;&gt;",$V$3:V457,"&gt;0"),"")</f>
        <v/>
      </c>
    </row>
    <row r="458">
      <c r="A458" s="12" t="n"/>
      <c r="B458" s="13" t="n"/>
      <c r="C458" s="13" t="n"/>
      <c r="D458" s="7">
        <f>IF(OR(B458="",C458=""),"",ROUND((C458-B458)*1440,0))</f>
        <v/>
      </c>
      <c r="E458" s="12" t="n"/>
      <c r="F458" s="12" t="n"/>
      <c r="G458" s="12" t="n"/>
      <c r="H458" s="12" t="n"/>
      <c r="I458" s="12" t="n"/>
      <c r="J458" s="12" t="n"/>
      <c r="K458" s="12" t="n"/>
      <c r="L458" s="14" t="n"/>
      <c r="M458" s="12" t="n"/>
      <c r="N458" s="12" t="n"/>
      <c r="O458" s="12" t="n"/>
      <c r="P458" s="12" t="n"/>
      <c r="Q458" s="7">
        <f>IF(A458="","",IFERROR(VLOOKUP(O458,Listes!$R$3:$T$8,2,FALSE),0)+IFERROR(VLOOKUP(J458,Listes!$J$3:$L$6,2,FALSE),0)+IFERROR(VLOOKUP(N458,Listes!$N$3:$P$6,2,FALSE),0)+IF(OR(L458="",B458=""),0,IF(L458-INT(B458)&lt;10,8,IF(L458-INT(B458)&lt;=90,10,5)))+IFERROR(VLOOKUP(AN458,Listes!$V$3:$W$5,2,FALSE),0)+IFERROR(VLOOKUP(AO458,Listes!$Y$3:$Z$5,2,FALSE),0))</f>
        <v/>
      </c>
      <c r="R458" s="12" t="n"/>
      <c r="S458" s="12" t="n"/>
      <c r="T458" s="12" t="n"/>
      <c r="U458" s="15" t="n"/>
      <c r="V458" s="15" t="n"/>
      <c r="W458" s="13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3" t="n"/>
      <c r="AK458" s="12" t="n"/>
      <c r="AL458" s="12" t="n"/>
      <c r="AM458" s="12" t="n"/>
      <c r="AN458" s="12" t="n"/>
      <c r="AO458" s="12" t="n"/>
      <c r="AP458" s="12" t="n"/>
      <c r="AQ458" s="7">
        <f>IF(A458="","",IF(AP458&lt;&gt;"",AP458,IF(LEFT(Z458,11)="gads_marque","Google Search – Marque",IF(LEFT(Z458,12)="gads_mariage","Google Search – Mariage et privé",IF(LEFT(Z458,10)="gads_corpo","Google Search – Corporatif",IF(LEFT(Z458,5)="meta_","Meta – Leads",IF(LEFT(Z458,5)="msft_","Microsoft Ads",IF(LEFT(Z458,8)="chatgpt_","ChatGPT Ads – Test",IF(X458="gbp","Fiche Google (organique)","Autre / non payé")))))))))</f>
        <v/>
      </c>
      <c r="AR458" s="7">
        <f>IF(K458="","",IFERROR(VLOOKUP(K458,Listes!$F$3:$H$8,3,FALSE),""))</f>
        <v/>
      </c>
      <c r="AS458" s="7">
        <f>IF(O458="","",IF(AND(M458="Autre (plus de 40 km)",OR(O458="lt600",O458="600_999",O458="1000_2499")),"D",IF(OR(O458="lt600",AND(O458="600_999",K458&lt;&gt;"mariage",K458&lt;&gt;"prive")),"C",IF(OR(O458="2500_4999",O458="5000p",J458="entreprise",J458="organisme",J458="agence"),"A",IF(OR(O458="1000_2499",O458="600_999"),"B",IF(O458="inconnu",IF(OR(N458="75_149",N458="150p"),"A","B"),""))))))</f>
        <v/>
      </c>
      <c r="AT458" s="7">
        <f>IF(A458="","",IF(P458&lt;&gt;"",P458,AS458))</f>
        <v/>
      </c>
      <c r="AU458" s="7">
        <f>IF(A458="","",IF(OR(AT458="A",AT458="B"),1,0))</f>
        <v/>
      </c>
      <c r="AV458" s="7">
        <f>IF(A458="","",IF(OR(R458="Dépôt payé (gagné)",R458="Événement livré",R458="Avis obtenu"),1,0))</f>
        <v/>
      </c>
      <c r="AW458" s="7">
        <f>IF(A458="","",IF(Q458&gt;70,"Immédiat – propriétaire",IF(Q458&gt;=40,"15 min – personne de garde","Selon la route")))</f>
        <v/>
      </c>
      <c r="AX458" s="11">
        <f>IF(A458="","",IF(AT458="A",400,IF(AT458="B",150,0)))</f>
        <v/>
      </c>
      <c r="AY458" s="11">
        <f>IF(A458="","",IF(AV458=1,N(V458),IF(N(U458)&gt;0,ROUND(N(U458)*IFERROR(VLOOKUP(R458,Listes!$AE$3:$AG$12,2,FALSE),0),0),0)))</f>
        <v/>
      </c>
      <c r="AZ458" s="7">
        <f>IF(LEFT(A458,7)="EXEMPLE",1,0)</f>
        <v/>
      </c>
      <c r="BA458" s="7">
        <f>IF(AND(AV458=1,AZ458=0,AC458&lt;&gt;"",W458&lt;&gt;"",N(V458)&gt;0),COUNTIFS($AV$3:AV458,1,$AZ$3:AZ458,0,$AC$3:AC458,"&lt;&gt;",$W$3:W458,"&lt;&gt;",$V$3:V458,"&gt;0"),"")</f>
        <v/>
      </c>
    </row>
    <row r="459">
      <c r="A459" s="12" t="n"/>
      <c r="B459" s="13" t="n"/>
      <c r="C459" s="13" t="n"/>
      <c r="D459" s="7">
        <f>IF(OR(B459="",C459=""),"",ROUND((C459-B459)*1440,0))</f>
        <v/>
      </c>
      <c r="E459" s="12" t="n"/>
      <c r="F459" s="12" t="n"/>
      <c r="G459" s="12" t="n"/>
      <c r="H459" s="12" t="n"/>
      <c r="I459" s="12" t="n"/>
      <c r="J459" s="12" t="n"/>
      <c r="K459" s="12" t="n"/>
      <c r="L459" s="14" t="n"/>
      <c r="M459" s="12" t="n"/>
      <c r="N459" s="12" t="n"/>
      <c r="O459" s="12" t="n"/>
      <c r="P459" s="12" t="n"/>
      <c r="Q459" s="7">
        <f>IF(A459="","",IFERROR(VLOOKUP(O459,Listes!$R$3:$T$8,2,FALSE),0)+IFERROR(VLOOKUP(J459,Listes!$J$3:$L$6,2,FALSE),0)+IFERROR(VLOOKUP(N459,Listes!$N$3:$P$6,2,FALSE),0)+IF(OR(L459="",B459=""),0,IF(L459-INT(B459)&lt;10,8,IF(L459-INT(B459)&lt;=90,10,5)))+IFERROR(VLOOKUP(AN459,Listes!$V$3:$W$5,2,FALSE),0)+IFERROR(VLOOKUP(AO459,Listes!$Y$3:$Z$5,2,FALSE),0))</f>
        <v/>
      </c>
      <c r="R459" s="12" t="n"/>
      <c r="S459" s="12" t="n"/>
      <c r="T459" s="12" t="n"/>
      <c r="U459" s="15" t="n"/>
      <c r="V459" s="15" t="n"/>
      <c r="W459" s="13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3" t="n"/>
      <c r="AK459" s="12" t="n"/>
      <c r="AL459" s="12" t="n"/>
      <c r="AM459" s="12" t="n"/>
      <c r="AN459" s="12" t="n"/>
      <c r="AO459" s="12" t="n"/>
      <c r="AP459" s="12" t="n"/>
      <c r="AQ459" s="7">
        <f>IF(A459="","",IF(AP459&lt;&gt;"",AP459,IF(LEFT(Z459,11)="gads_marque","Google Search – Marque",IF(LEFT(Z459,12)="gads_mariage","Google Search – Mariage et privé",IF(LEFT(Z459,10)="gads_corpo","Google Search – Corporatif",IF(LEFT(Z459,5)="meta_","Meta – Leads",IF(LEFT(Z459,5)="msft_","Microsoft Ads",IF(LEFT(Z459,8)="chatgpt_","ChatGPT Ads – Test",IF(X459="gbp","Fiche Google (organique)","Autre / non payé")))))))))</f>
        <v/>
      </c>
      <c r="AR459" s="7">
        <f>IF(K459="","",IFERROR(VLOOKUP(K459,Listes!$F$3:$H$8,3,FALSE),""))</f>
        <v/>
      </c>
      <c r="AS459" s="7">
        <f>IF(O459="","",IF(AND(M459="Autre (plus de 40 km)",OR(O459="lt600",O459="600_999",O459="1000_2499")),"D",IF(OR(O459="lt600",AND(O459="600_999",K459&lt;&gt;"mariage",K459&lt;&gt;"prive")),"C",IF(OR(O459="2500_4999",O459="5000p",J459="entreprise",J459="organisme",J459="agence"),"A",IF(OR(O459="1000_2499",O459="600_999"),"B",IF(O459="inconnu",IF(OR(N459="75_149",N459="150p"),"A","B"),""))))))</f>
        <v/>
      </c>
      <c r="AT459" s="7">
        <f>IF(A459="","",IF(P459&lt;&gt;"",P459,AS459))</f>
        <v/>
      </c>
      <c r="AU459" s="7">
        <f>IF(A459="","",IF(OR(AT459="A",AT459="B"),1,0))</f>
        <v/>
      </c>
      <c r="AV459" s="7">
        <f>IF(A459="","",IF(OR(R459="Dépôt payé (gagné)",R459="Événement livré",R459="Avis obtenu"),1,0))</f>
        <v/>
      </c>
      <c r="AW459" s="7">
        <f>IF(A459="","",IF(Q459&gt;70,"Immédiat – propriétaire",IF(Q459&gt;=40,"15 min – personne de garde","Selon la route")))</f>
        <v/>
      </c>
      <c r="AX459" s="11">
        <f>IF(A459="","",IF(AT459="A",400,IF(AT459="B",150,0)))</f>
        <v/>
      </c>
      <c r="AY459" s="11">
        <f>IF(A459="","",IF(AV459=1,N(V459),IF(N(U459)&gt;0,ROUND(N(U459)*IFERROR(VLOOKUP(R459,Listes!$AE$3:$AG$12,2,FALSE),0),0),0)))</f>
        <v/>
      </c>
      <c r="AZ459" s="7">
        <f>IF(LEFT(A459,7)="EXEMPLE",1,0)</f>
        <v/>
      </c>
      <c r="BA459" s="7">
        <f>IF(AND(AV459=1,AZ459=0,AC459&lt;&gt;"",W459&lt;&gt;"",N(V459)&gt;0),COUNTIFS($AV$3:AV459,1,$AZ$3:AZ459,0,$AC$3:AC459,"&lt;&gt;",$W$3:W459,"&lt;&gt;",$V$3:V459,"&gt;0"),"")</f>
        <v/>
      </c>
    </row>
    <row r="460">
      <c r="A460" s="12" t="n"/>
      <c r="B460" s="13" t="n"/>
      <c r="C460" s="13" t="n"/>
      <c r="D460" s="7">
        <f>IF(OR(B460="",C460=""),"",ROUND((C460-B460)*1440,0))</f>
        <v/>
      </c>
      <c r="E460" s="12" t="n"/>
      <c r="F460" s="12" t="n"/>
      <c r="G460" s="12" t="n"/>
      <c r="H460" s="12" t="n"/>
      <c r="I460" s="12" t="n"/>
      <c r="J460" s="12" t="n"/>
      <c r="K460" s="12" t="n"/>
      <c r="L460" s="14" t="n"/>
      <c r="M460" s="12" t="n"/>
      <c r="N460" s="12" t="n"/>
      <c r="O460" s="12" t="n"/>
      <c r="P460" s="12" t="n"/>
      <c r="Q460" s="7">
        <f>IF(A460="","",IFERROR(VLOOKUP(O460,Listes!$R$3:$T$8,2,FALSE),0)+IFERROR(VLOOKUP(J460,Listes!$J$3:$L$6,2,FALSE),0)+IFERROR(VLOOKUP(N460,Listes!$N$3:$P$6,2,FALSE),0)+IF(OR(L460="",B460=""),0,IF(L460-INT(B460)&lt;10,8,IF(L460-INT(B460)&lt;=90,10,5)))+IFERROR(VLOOKUP(AN460,Listes!$V$3:$W$5,2,FALSE),0)+IFERROR(VLOOKUP(AO460,Listes!$Y$3:$Z$5,2,FALSE),0))</f>
        <v/>
      </c>
      <c r="R460" s="12" t="n"/>
      <c r="S460" s="12" t="n"/>
      <c r="T460" s="12" t="n"/>
      <c r="U460" s="15" t="n"/>
      <c r="V460" s="15" t="n"/>
      <c r="W460" s="13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3" t="n"/>
      <c r="AK460" s="12" t="n"/>
      <c r="AL460" s="12" t="n"/>
      <c r="AM460" s="12" t="n"/>
      <c r="AN460" s="12" t="n"/>
      <c r="AO460" s="12" t="n"/>
      <c r="AP460" s="12" t="n"/>
      <c r="AQ460" s="7">
        <f>IF(A460="","",IF(AP460&lt;&gt;"",AP460,IF(LEFT(Z460,11)="gads_marque","Google Search – Marque",IF(LEFT(Z460,12)="gads_mariage","Google Search – Mariage et privé",IF(LEFT(Z460,10)="gads_corpo","Google Search – Corporatif",IF(LEFT(Z460,5)="meta_","Meta – Leads",IF(LEFT(Z460,5)="msft_","Microsoft Ads",IF(LEFT(Z460,8)="chatgpt_","ChatGPT Ads – Test",IF(X460="gbp","Fiche Google (organique)","Autre / non payé")))))))))</f>
        <v/>
      </c>
      <c r="AR460" s="7">
        <f>IF(K460="","",IFERROR(VLOOKUP(K460,Listes!$F$3:$H$8,3,FALSE),""))</f>
        <v/>
      </c>
      <c r="AS460" s="7">
        <f>IF(O460="","",IF(AND(M460="Autre (plus de 40 km)",OR(O460="lt600",O460="600_999",O460="1000_2499")),"D",IF(OR(O460="lt600",AND(O460="600_999",K460&lt;&gt;"mariage",K460&lt;&gt;"prive")),"C",IF(OR(O460="2500_4999",O460="5000p",J460="entreprise",J460="organisme",J460="agence"),"A",IF(OR(O460="1000_2499",O460="600_999"),"B",IF(O460="inconnu",IF(OR(N460="75_149",N460="150p"),"A","B"),""))))))</f>
        <v/>
      </c>
      <c r="AT460" s="7">
        <f>IF(A460="","",IF(P460&lt;&gt;"",P460,AS460))</f>
        <v/>
      </c>
      <c r="AU460" s="7">
        <f>IF(A460="","",IF(OR(AT460="A",AT460="B"),1,0))</f>
        <v/>
      </c>
      <c r="AV460" s="7">
        <f>IF(A460="","",IF(OR(R460="Dépôt payé (gagné)",R460="Événement livré",R460="Avis obtenu"),1,0))</f>
        <v/>
      </c>
      <c r="AW460" s="7">
        <f>IF(A460="","",IF(Q460&gt;70,"Immédiat – propriétaire",IF(Q460&gt;=40,"15 min – personne de garde","Selon la route")))</f>
        <v/>
      </c>
      <c r="AX460" s="11">
        <f>IF(A460="","",IF(AT460="A",400,IF(AT460="B",150,0)))</f>
        <v/>
      </c>
      <c r="AY460" s="11">
        <f>IF(A460="","",IF(AV460=1,N(V460),IF(N(U460)&gt;0,ROUND(N(U460)*IFERROR(VLOOKUP(R460,Listes!$AE$3:$AG$12,2,FALSE),0),0),0)))</f>
        <v/>
      </c>
      <c r="AZ460" s="7">
        <f>IF(LEFT(A460,7)="EXEMPLE",1,0)</f>
        <v/>
      </c>
      <c r="BA460" s="7">
        <f>IF(AND(AV460=1,AZ460=0,AC460&lt;&gt;"",W460&lt;&gt;"",N(V460)&gt;0),COUNTIFS($AV$3:AV460,1,$AZ$3:AZ460,0,$AC$3:AC460,"&lt;&gt;",$W$3:W460,"&lt;&gt;",$V$3:V460,"&gt;0"),"")</f>
        <v/>
      </c>
    </row>
    <row r="461">
      <c r="A461" s="12" t="n"/>
      <c r="B461" s="13" t="n"/>
      <c r="C461" s="13" t="n"/>
      <c r="D461" s="7">
        <f>IF(OR(B461="",C461=""),"",ROUND((C461-B461)*1440,0))</f>
        <v/>
      </c>
      <c r="E461" s="12" t="n"/>
      <c r="F461" s="12" t="n"/>
      <c r="G461" s="12" t="n"/>
      <c r="H461" s="12" t="n"/>
      <c r="I461" s="12" t="n"/>
      <c r="J461" s="12" t="n"/>
      <c r="K461" s="12" t="n"/>
      <c r="L461" s="14" t="n"/>
      <c r="M461" s="12" t="n"/>
      <c r="N461" s="12" t="n"/>
      <c r="O461" s="12" t="n"/>
      <c r="P461" s="12" t="n"/>
      <c r="Q461" s="7">
        <f>IF(A461="","",IFERROR(VLOOKUP(O461,Listes!$R$3:$T$8,2,FALSE),0)+IFERROR(VLOOKUP(J461,Listes!$J$3:$L$6,2,FALSE),0)+IFERROR(VLOOKUP(N461,Listes!$N$3:$P$6,2,FALSE),0)+IF(OR(L461="",B461=""),0,IF(L461-INT(B461)&lt;10,8,IF(L461-INT(B461)&lt;=90,10,5)))+IFERROR(VLOOKUP(AN461,Listes!$V$3:$W$5,2,FALSE),0)+IFERROR(VLOOKUP(AO461,Listes!$Y$3:$Z$5,2,FALSE),0))</f>
        <v/>
      </c>
      <c r="R461" s="12" t="n"/>
      <c r="S461" s="12" t="n"/>
      <c r="T461" s="12" t="n"/>
      <c r="U461" s="15" t="n"/>
      <c r="V461" s="15" t="n"/>
      <c r="W461" s="13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3" t="n"/>
      <c r="AK461" s="12" t="n"/>
      <c r="AL461" s="12" t="n"/>
      <c r="AM461" s="12" t="n"/>
      <c r="AN461" s="12" t="n"/>
      <c r="AO461" s="12" t="n"/>
      <c r="AP461" s="12" t="n"/>
      <c r="AQ461" s="7">
        <f>IF(A461="","",IF(AP461&lt;&gt;"",AP461,IF(LEFT(Z461,11)="gads_marque","Google Search – Marque",IF(LEFT(Z461,12)="gads_mariage","Google Search – Mariage et privé",IF(LEFT(Z461,10)="gads_corpo","Google Search – Corporatif",IF(LEFT(Z461,5)="meta_","Meta – Leads",IF(LEFT(Z461,5)="msft_","Microsoft Ads",IF(LEFT(Z461,8)="chatgpt_","ChatGPT Ads – Test",IF(X461="gbp","Fiche Google (organique)","Autre / non payé")))))))))</f>
        <v/>
      </c>
      <c r="AR461" s="7">
        <f>IF(K461="","",IFERROR(VLOOKUP(K461,Listes!$F$3:$H$8,3,FALSE),""))</f>
        <v/>
      </c>
      <c r="AS461" s="7">
        <f>IF(O461="","",IF(AND(M461="Autre (plus de 40 km)",OR(O461="lt600",O461="600_999",O461="1000_2499")),"D",IF(OR(O461="lt600",AND(O461="600_999",K461&lt;&gt;"mariage",K461&lt;&gt;"prive")),"C",IF(OR(O461="2500_4999",O461="5000p",J461="entreprise",J461="organisme",J461="agence"),"A",IF(OR(O461="1000_2499",O461="600_999"),"B",IF(O461="inconnu",IF(OR(N461="75_149",N461="150p"),"A","B"),""))))))</f>
        <v/>
      </c>
      <c r="AT461" s="7">
        <f>IF(A461="","",IF(P461&lt;&gt;"",P461,AS461))</f>
        <v/>
      </c>
      <c r="AU461" s="7">
        <f>IF(A461="","",IF(OR(AT461="A",AT461="B"),1,0))</f>
        <v/>
      </c>
      <c r="AV461" s="7">
        <f>IF(A461="","",IF(OR(R461="Dépôt payé (gagné)",R461="Événement livré",R461="Avis obtenu"),1,0))</f>
        <v/>
      </c>
      <c r="AW461" s="7">
        <f>IF(A461="","",IF(Q461&gt;70,"Immédiat – propriétaire",IF(Q461&gt;=40,"15 min – personne de garde","Selon la route")))</f>
        <v/>
      </c>
      <c r="AX461" s="11">
        <f>IF(A461="","",IF(AT461="A",400,IF(AT461="B",150,0)))</f>
        <v/>
      </c>
      <c r="AY461" s="11">
        <f>IF(A461="","",IF(AV461=1,N(V461),IF(N(U461)&gt;0,ROUND(N(U461)*IFERROR(VLOOKUP(R461,Listes!$AE$3:$AG$12,2,FALSE),0),0),0)))</f>
        <v/>
      </c>
      <c r="AZ461" s="7">
        <f>IF(LEFT(A461,7)="EXEMPLE",1,0)</f>
        <v/>
      </c>
      <c r="BA461" s="7">
        <f>IF(AND(AV461=1,AZ461=0,AC461&lt;&gt;"",W461&lt;&gt;"",N(V461)&gt;0),COUNTIFS($AV$3:AV461,1,$AZ$3:AZ461,0,$AC$3:AC461,"&lt;&gt;",$W$3:W461,"&lt;&gt;",$V$3:V461,"&gt;0"),"")</f>
        <v/>
      </c>
    </row>
    <row r="462">
      <c r="A462" s="12" t="n"/>
      <c r="B462" s="13" t="n"/>
      <c r="C462" s="13" t="n"/>
      <c r="D462" s="7">
        <f>IF(OR(B462="",C462=""),"",ROUND((C462-B462)*1440,0))</f>
        <v/>
      </c>
      <c r="E462" s="12" t="n"/>
      <c r="F462" s="12" t="n"/>
      <c r="G462" s="12" t="n"/>
      <c r="H462" s="12" t="n"/>
      <c r="I462" s="12" t="n"/>
      <c r="J462" s="12" t="n"/>
      <c r="K462" s="12" t="n"/>
      <c r="L462" s="14" t="n"/>
      <c r="M462" s="12" t="n"/>
      <c r="N462" s="12" t="n"/>
      <c r="O462" s="12" t="n"/>
      <c r="P462" s="12" t="n"/>
      <c r="Q462" s="7">
        <f>IF(A462="","",IFERROR(VLOOKUP(O462,Listes!$R$3:$T$8,2,FALSE),0)+IFERROR(VLOOKUP(J462,Listes!$J$3:$L$6,2,FALSE),0)+IFERROR(VLOOKUP(N462,Listes!$N$3:$P$6,2,FALSE),0)+IF(OR(L462="",B462=""),0,IF(L462-INT(B462)&lt;10,8,IF(L462-INT(B462)&lt;=90,10,5)))+IFERROR(VLOOKUP(AN462,Listes!$V$3:$W$5,2,FALSE),0)+IFERROR(VLOOKUP(AO462,Listes!$Y$3:$Z$5,2,FALSE),0))</f>
        <v/>
      </c>
      <c r="R462" s="12" t="n"/>
      <c r="S462" s="12" t="n"/>
      <c r="T462" s="12" t="n"/>
      <c r="U462" s="15" t="n"/>
      <c r="V462" s="15" t="n"/>
      <c r="W462" s="13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3" t="n"/>
      <c r="AK462" s="12" t="n"/>
      <c r="AL462" s="12" t="n"/>
      <c r="AM462" s="12" t="n"/>
      <c r="AN462" s="12" t="n"/>
      <c r="AO462" s="12" t="n"/>
      <c r="AP462" s="12" t="n"/>
      <c r="AQ462" s="7">
        <f>IF(A462="","",IF(AP462&lt;&gt;"",AP462,IF(LEFT(Z462,11)="gads_marque","Google Search – Marque",IF(LEFT(Z462,12)="gads_mariage","Google Search – Mariage et privé",IF(LEFT(Z462,10)="gads_corpo","Google Search – Corporatif",IF(LEFT(Z462,5)="meta_","Meta – Leads",IF(LEFT(Z462,5)="msft_","Microsoft Ads",IF(LEFT(Z462,8)="chatgpt_","ChatGPT Ads – Test",IF(X462="gbp","Fiche Google (organique)","Autre / non payé")))))))))</f>
        <v/>
      </c>
      <c r="AR462" s="7">
        <f>IF(K462="","",IFERROR(VLOOKUP(K462,Listes!$F$3:$H$8,3,FALSE),""))</f>
        <v/>
      </c>
      <c r="AS462" s="7">
        <f>IF(O462="","",IF(AND(M462="Autre (plus de 40 km)",OR(O462="lt600",O462="600_999",O462="1000_2499")),"D",IF(OR(O462="lt600",AND(O462="600_999",K462&lt;&gt;"mariage",K462&lt;&gt;"prive")),"C",IF(OR(O462="2500_4999",O462="5000p",J462="entreprise",J462="organisme",J462="agence"),"A",IF(OR(O462="1000_2499",O462="600_999"),"B",IF(O462="inconnu",IF(OR(N462="75_149",N462="150p"),"A","B"),""))))))</f>
        <v/>
      </c>
      <c r="AT462" s="7">
        <f>IF(A462="","",IF(P462&lt;&gt;"",P462,AS462))</f>
        <v/>
      </c>
      <c r="AU462" s="7">
        <f>IF(A462="","",IF(OR(AT462="A",AT462="B"),1,0))</f>
        <v/>
      </c>
      <c r="AV462" s="7">
        <f>IF(A462="","",IF(OR(R462="Dépôt payé (gagné)",R462="Événement livré",R462="Avis obtenu"),1,0))</f>
        <v/>
      </c>
      <c r="AW462" s="7">
        <f>IF(A462="","",IF(Q462&gt;70,"Immédiat – propriétaire",IF(Q462&gt;=40,"15 min – personne de garde","Selon la route")))</f>
        <v/>
      </c>
      <c r="AX462" s="11">
        <f>IF(A462="","",IF(AT462="A",400,IF(AT462="B",150,0)))</f>
        <v/>
      </c>
      <c r="AY462" s="11">
        <f>IF(A462="","",IF(AV462=1,N(V462),IF(N(U462)&gt;0,ROUND(N(U462)*IFERROR(VLOOKUP(R462,Listes!$AE$3:$AG$12,2,FALSE),0),0),0)))</f>
        <v/>
      </c>
      <c r="AZ462" s="7">
        <f>IF(LEFT(A462,7)="EXEMPLE",1,0)</f>
        <v/>
      </c>
      <c r="BA462" s="7">
        <f>IF(AND(AV462=1,AZ462=0,AC462&lt;&gt;"",W462&lt;&gt;"",N(V462)&gt;0),COUNTIFS($AV$3:AV462,1,$AZ$3:AZ462,0,$AC$3:AC462,"&lt;&gt;",$W$3:W462,"&lt;&gt;",$V$3:V462,"&gt;0"),"")</f>
        <v/>
      </c>
    </row>
    <row r="463">
      <c r="A463" s="12" t="n"/>
      <c r="B463" s="13" t="n"/>
      <c r="C463" s="13" t="n"/>
      <c r="D463" s="7">
        <f>IF(OR(B463="",C463=""),"",ROUND((C463-B463)*1440,0))</f>
        <v/>
      </c>
      <c r="E463" s="12" t="n"/>
      <c r="F463" s="12" t="n"/>
      <c r="G463" s="12" t="n"/>
      <c r="H463" s="12" t="n"/>
      <c r="I463" s="12" t="n"/>
      <c r="J463" s="12" t="n"/>
      <c r="K463" s="12" t="n"/>
      <c r="L463" s="14" t="n"/>
      <c r="M463" s="12" t="n"/>
      <c r="N463" s="12" t="n"/>
      <c r="O463" s="12" t="n"/>
      <c r="P463" s="12" t="n"/>
      <c r="Q463" s="7">
        <f>IF(A463="","",IFERROR(VLOOKUP(O463,Listes!$R$3:$T$8,2,FALSE),0)+IFERROR(VLOOKUP(J463,Listes!$J$3:$L$6,2,FALSE),0)+IFERROR(VLOOKUP(N463,Listes!$N$3:$P$6,2,FALSE),0)+IF(OR(L463="",B463=""),0,IF(L463-INT(B463)&lt;10,8,IF(L463-INT(B463)&lt;=90,10,5)))+IFERROR(VLOOKUP(AN463,Listes!$V$3:$W$5,2,FALSE),0)+IFERROR(VLOOKUP(AO463,Listes!$Y$3:$Z$5,2,FALSE),0))</f>
        <v/>
      </c>
      <c r="R463" s="12" t="n"/>
      <c r="S463" s="12" t="n"/>
      <c r="T463" s="12" t="n"/>
      <c r="U463" s="15" t="n"/>
      <c r="V463" s="15" t="n"/>
      <c r="W463" s="13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3" t="n"/>
      <c r="AK463" s="12" t="n"/>
      <c r="AL463" s="12" t="n"/>
      <c r="AM463" s="12" t="n"/>
      <c r="AN463" s="12" t="n"/>
      <c r="AO463" s="12" t="n"/>
      <c r="AP463" s="12" t="n"/>
      <c r="AQ463" s="7">
        <f>IF(A463="","",IF(AP463&lt;&gt;"",AP463,IF(LEFT(Z463,11)="gads_marque","Google Search – Marque",IF(LEFT(Z463,12)="gads_mariage","Google Search – Mariage et privé",IF(LEFT(Z463,10)="gads_corpo","Google Search – Corporatif",IF(LEFT(Z463,5)="meta_","Meta – Leads",IF(LEFT(Z463,5)="msft_","Microsoft Ads",IF(LEFT(Z463,8)="chatgpt_","ChatGPT Ads – Test",IF(X463="gbp","Fiche Google (organique)","Autre / non payé")))))))))</f>
        <v/>
      </c>
      <c r="AR463" s="7">
        <f>IF(K463="","",IFERROR(VLOOKUP(K463,Listes!$F$3:$H$8,3,FALSE),""))</f>
        <v/>
      </c>
      <c r="AS463" s="7">
        <f>IF(O463="","",IF(AND(M463="Autre (plus de 40 km)",OR(O463="lt600",O463="600_999",O463="1000_2499")),"D",IF(OR(O463="lt600",AND(O463="600_999",K463&lt;&gt;"mariage",K463&lt;&gt;"prive")),"C",IF(OR(O463="2500_4999",O463="5000p",J463="entreprise",J463="organisme",J463="agence"),"A",IF(OR(O463="1000_2499",O463="600_999"),"B",IF(O463="inconnu",IF(OR(N463="75_149",N463="150p"),"A","B"),""))))))</f>
        <v/>
      </c>
      <c r="AT463" s="7">
        <f>IF(A463="","",IF(P463&lt;&gt;"",P463,AS463))</f>
        <v/>
      </c>
      <c r="AU463" s="7">
        <f>IF(A463="","",IF(OR(AT463="A",AT463="B"),1,0))</f>
        <v/>
      </c>
      <c r="AV463" s="7">
        <f>IF(A463="","",IF(OR(R463="Dépôt payé (gagné)",R463="Événement livré",R463="Avis obtenu"),1,0))</f>
        <v/>
      </c>
      <c r="AW463" s="7">
        <f>IF(A463="","",IF(Q463&gt;70,"Immédiat – propriétaire",IF(Q463&gt;=40,"15 min – personne de garde","Selon la route")))</f>
        <v/>
      </c>
      <c r="AX463" s="11">
        <f>IF(A463="","",IF(AT463="A",400,IF(AT463="B",150,0)))</f>
        <v/>
      </c>
      <c r="AY463" s="11">
        <f>IF(A463="","",IF(AV463=1,N(V463),IF(N(U463)&gt;0,ROUND(N(U463)*IFERROR(VLOOKUP(R463,Listes!$AE$3:$AG$12,2,FALSE),0),0),0)))</f>
        <v/>
      </c>
      <c r="AZ463" s="7">
        <f>IF(LEFT(A463,7)="EXEMPLE",1,0)</f>
        <v/>
      </c>
      <c r="BA463" s="7">
        <f>IF(AND(AV463=1,AZ463=0,AC463&lt;&gt;"",W463&lt;&gt;"",N(V463)&gt;0),COUNTIFS($AV$3:AV463,1,$AZ$3:AZ463,0,$AC$3:AC463,"&lt;&gt;",$W$3:W463,"&lt;&gt;",$V$3:V463,"&gt;0"),"")</f>
        <v/>
      </c>
    </row>
    <row r="464">
      <c r="A464" s="12" t="n"/>
      <c r="B464" s="13" t="n"/>
      <c r="C464" s="13" t="n"/>
      <c r="D464" s="7">
        <f>IF(OR(B464="",C464=""),"",ROUND((C464-B464)*1440,0))</f>
        <v/>
      </c>
      <c r="E464" s="12" t="n"/>
      <c r="F464" s="12" t="n"/>
      <c r="G464" s="12" t="n"/>
      <c r="H464" s="12" t="n"/>
      <c r="I464" s="12" t="n"/>
      <c r="J464" s="12" t="n"/>
      <c r="K464" s="12" t="n"/>
      <c r="L464" s="14" t="n"/>
      <c r="M464" s="12" t="n"/>
      <c r="N464" s="12" t="n"/>
      <c r="O464" s="12" t="n"/>
      <c r="P464" s="12" t="n"/>
      <c r="Q464" s="7">
        <f>IF(A464="","",IFERROR(VLOOKUP(O464,Listes!$R$3:$T$8,2,FALSE),0)+IFERROR(VLOOKUP(J464,Listes!$J$3:$L$6,2,FALSE),0)+IFERROR(VLOOKUP(N464,Listes!$N$3:$P$6,2,FALSE),0)+IF(OR(L464="",B464=""),0,IF(L464-INT(B464)&lt;10,8,IF(L464-INT(B464)&lt;=90,10,5)))+IFERROR(VLOOKUP(AN464,Listes!$V$3:$W$5,2,FALSE),0)+IFERROR(VLOOKUP(AO464,Listes!$Y$3:$Z$5,2,FALSE),0))</f>
        <v/>
      </c>
      <c r="R464" s="12" t="n"/>
      <c r="S464" s="12" t="n"/>
      <c r="T464" s="12" t="n"/>
      <c r="U464" s="15" t="n"/>
      <c r="V464" s="15" t="n"/>
      <c r="W464" s="13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3" t="n"/>
      <c r="AK464" s="12" t="n"/>
      <c r="AL464" s="12" t="n"/>
      <c r="AM464" s="12" t="n"/>
      <c r="AN464" s="12" t="n"/>
      <c r="AO464" s="12" t="n"/>
      <c r="AP464" s="12" t="n"/>
      <c r="AQ464" s="7">
        <f>IF(A464="","",IF(AP464&lt;&gt;"",AP464,IF(LEFT(Z464,11)="gads_marque","Google Search – Marque",IF(LEFT(Z464,12)="gads_mariage","Google Search – Mariage et privé",IF(LEFT(Z464,10)="gads_corpo","Google Search – Corporatif",IF(LEFT(Z464,5)="meta_","Meta – Leads",IF(LEFT(Z464,5)="msft_","Microsoft Ads",IF(LEFT(Z464,8)="chatgpt_","ChatGPT Ads – Test",IF(X464="gbp","Fiche Google (organique)","Autre / non payé")))))))))</f>
        <v/>
      </c>
      <c r="AR464" s="7">
        <f>IF(K464="","",IFERROR(VLOOKUP(K464,Listes!$F$3:$H$8,3,FALSE),""))</f>
        <v/>
      </c>
      <c r="AS464" s="7">
        <f>IF(O464="","",IF(AND(M464="Autre (plus de 40 km)",OR(O464="lt600",O464="600_999",O464="1000_2499")),"D",IF(OR(O464="lt600",AND(O464="600_999",K464&lt;&gt;"mariage",K464&lt;&gt;"prive")),"C",IF(OR(O464="2500_4999",O464="5000p",J464="entreprise",J464="organisme",J464="agence"),"A",IF(OR(O464="1000_2499",O464="600_999"),"B",IF(O464="inconnu",IF(OR(N464="75_149",N464="150p"),"A","B"),""))))))</f>
        <v/>
      </c>
      <c r="AT464" s="7">
        <f>IF(A464="","",IF(P464&lt;&gt;"",P464,AS464))</f>
        <v/>
      </c>
      <c r="AU464" s="7">
        <f>IF(A464="","",IF(OR(AT464="A",AT464="B"),1,0))</f>
        <v/>
      </c>
      <c r="AV464" s="7">
        <f>IF(A464="","",IF(OR(R464="Dépôt payé (gagné)",R464="Événement livré",R464="Avis obtenu"),1,0))</f>
        <v/>
      </c>
      <c r="AW464" s="7">
        <f>IF(A464="","",IF(Q464&gt;70,"Immédiat – propriétaire",IF(Q464&gt;=40,"15 min – personne de garde","Selon la route")))</f>
        <v/>
      </c>
      <c r="AX464" s="11">
        <f>IF(A464="","",IF(AT464="A",400,IF(AT464="B",150,0)))</f>
        <v/>
      </c>
      <c r="AY464" s="11">
        <f>IF(A464="","",IF(AV464=1,N(V464),IF(N(U464)&gt;0,ROUND(N(U464)*IFERROR(VLOOKUP(R464,Listes!$AE$3:$AG$12,2,FALSE),0),0),0)))</f>
        <v/>
      </c>
      <c r="AZ464" s="7">
        <f>IF(LEFT(A464,7)="EXEMPLE",1,0)</f>
        <v/>
      </c>
      <c r="BA464" s="7">
        <f>IF(AND(AV464=1,AZ464=0,AC464&lt;&gt;"",W464&lt;&gt;"",N(V464)&gt;0),COUNTIFS($AV$3:AV464,1,$AZ$3:AZ464,0,$AC$3:AC464,"&lt;&gt;",$W$3:W464,"&lt;&gt;",$V$3:V464,"&gt;0"),"")</f>
        <v/>
      </c>
    </row>
    <row r="465">
      <c r="A465" s="12" t="n"/>
      <c r="B465" s="13" t="n"/>
      <c r="C465" s="13" t="n"/>
      <c r="D465" s="7">
        <f>IF(OR(B465="",C465=""),"",ROUND((C465-B465)*1440,0))</f>
        <v/>
      </c>
      <c r="E465" s="12" t="n"/>
      <c r="F465" s="12" t="n"/>
      <c r="G465" s="12" t="n"/>
      <c r="H465" s="12" t="n"/>
      <c r="I465" s="12" t="n"/>
      <c r="J465" s="12" t="n"/>
      <c r="K465" s="12" t="n"/>
      <c r="L465" s="14" t="n"/>
      <c r="M465" s="12" t="n"/>
      <c r="N465" s="12" t="n"/>
      <c r="O465" s="12" t="n"/>
      <c r="P465" s="12" t="n"/>
      <c r="Q465" s="7">
        <f>IF(A465="","",IFERROR(VLOOKUP(O465,Listes!$R$3:$T$8,2,FALSE),0)+IFERROR(VLOOKUP(J465,Listes!$J$3:$L$6,2,FALSE),0)+IFERROR(VLOOKUP(N465,Listes!$N$3:$P$6,2,FALSE),0)+IF(OR(L465="",B465=""),0,IF(L465-INT(B465)&lt;10,8,IF(L465-INT(B465)&lt;=90,10,5)))+IFERROR(VLOOKUP(AN465,Listes!$V$3:$W$5,2,FALSE),0)+IFERROR(VLOOKUP(AO465,Listes!$Y$3:$Z$5,2,FALSE),0))</f>
        <v/>
      </c>
      <c r="R465" s="12" t="n"/>
      <c r="S465" s="12" t="n"/>
      <c r="T465" s="12" t="n"/>
      <c r="U465" s="15" t="n"/>
      <c r="V465" s="15" t="n"/>
      <c r="W465" s="13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3" t="n"/>
      <c r="AK465" s="12" t="n"/>
      <c r="AL465" s="12" t="n"/>
      <c r="AM465" s="12" t="n"/>
      <c r="AN465" s="12" t="n"/>
      <c r="AO465" s="12" t="n"/>
      <c r="AP465" s="12" t="n"/>
      <c r="AQ465" s="7">
        <f>IF(A465="","",IF(AP465&lt;&gt;"",AP465,IF(LEFT(Z465,11)="gads_marque","Google Search – Marque",IF(LEFT(Z465,12)="gads_mariage","Google Search – Mariage et privé",IF(LEFT(Z465,10)="gads_corpo","Google Search – Corporatif",IF(LEFT(Z465,5)="meta_","Meta – Leads",IF(LEFT(Z465,5)="msft_","Microsoft Ads",IF(LEFT(Z465,8)="chatgpt_","ChatGPT Ads – Test",IF(X465="gbp","Fiche Google (organique)","Autre / non payé")))))))))</f>
        <v/>
      </c>
      <c r="AR465" s="7">
        <f>IF(K465="","",IFERROR(VLOOKUP(K465,Listes!$F$3:$H$8,3,FALSE),""))</f>
        <v/>
      </c>
      <c r="AS465" s="7">
        <f>IF(O465="","",IF(AND(M465="Autre (plus de 40 km)",OR(O465="lt600",O465="600_999",O465="1000_2499")),"D",IF(OR(O465="lt600",AND(O465="600_999",K465&lt;&gt;"mariage",K465&lt;&gt;"prive")),"C",IF(OR(O465="2500_4999",O465="5000p",J465="entreprise",J465="organisme",J465="agence"),"A",IF(OR(O465="1000_2499",O465="600_999"),"B",IF(O465="inconnu",IF(OR(N465="75_149",N465="150p"),"A","B"),""))))))</f>
        <v/>
      </c>
      <c r="AT465" s="7">
        <f>IF(A465="","",IF(P465&lt;&gt;"",P465,AS465))</f>
        <v/>
      </c>
      <c r="AU465" s="7">
        <f>IF(A465="","",IF(OR(AT465="A",AT465="B"),1,0))</f>
        <v/>
      </c>
      <c r="AV465" s="7">
        <f>IF(A465="","",IF(OR(R465="Dépôt payé (gagné)",R465="Événement livré",R465="Avis obtenu"),1,0))</f>
        <v/>
      </c>
      <c r="AW465" s="7">
        <f>IF(A465="","",IF(Q465&gt;70,"Immédiat – propriétaire",IF(Q465&gt;=40,"15 min – personne de garde","Selon la route")))</f>
        <v/>
      </c>
      <c r="AX465" s="11">
        <f>IF(A465="","",IF(AT465="A",400,IF(AT465="B",150,0)))</f>
        <v/>
      </c>
      <c r="AY465" s="11">
        <f>IF(A465="","",IF(AV465=1,N(V465),IF(N(U465)&gt;0,ROUND(N(U465)*IFERROR(VLOOKUP(R465,Listes!$AE$3:$AG$12,2,FALSE),0),0),0)))</f>
        <v/>
      </c>
      <c r="AZ465" s="7">
        <f>IF(LEFT(A465,7)="EXEMPLE",1,0)</f>
        <v/>
      </c>
      <c r="BA465" s="7">
        <f>IF(AND(AV465=1,AZ465=0,AC465&lt;&gt;"",W465&lt;&gt;"",N(V465)&gt;0),COUNTIFS($AV$3:AV465,1,$AZ$3:AZ465,0,$AC$3:AC465,"&lt;&gt;",$W$3:W465,"&lt;&gt;",$V$3:V465,"&gt;0"),"")</f>
        <v/>
      </c>
    </row>
    <row r="466">
      <c r="A466" s="12" t="n"/>
      <c r="B466" s="13" t="n"/>
      <c r="C466" s="13" t="n"/>
      <c r="D466" s="7">
        <f>IF(OR(B466="",C466=""),"",ROUND((C466-B466)*1440,0))</f>
        <v/>
      </c>
      <c r="E466" s="12" t="n"/>
      <c r="F466" s="12" t="n"/>
      <c r="G466" s="12" t="n"/>
      <c r="H466" s="12" t="n"/>
      <c r="I466" s="12" t="n"/>
      <c r="J466" s="12" t="n"/>
      <c r="K466" s="12" t="n"/>
      <c r="L466" s="14" t="n"/>
      <c r="M466" s="12" t="n"/>
      <c r="N466" s="12" t="n"/>
      <c r="O466" s="12" t="n"/>
      <c r="P466" s="12" t="n"/>
      <c r="Q466" s="7">
        <f>IF(A466="","",IFERROR(VLOOKUP(O466,Listes!$R$3:$T$8,2,FALSE),0)+IFERROR(VLOOKUP(J466,Listes!$J$3:$L$6,2,FALSE),0)+IFERROR(VLOOKUP(N466,Listes!$N$3:$P$6,2,FALSE),0)+IF(OR(L466="",B466=""),0,IF(L466-INT(B466)&lt;10,8,IF(L466-INT(B466)&lt;=90,10,5)))+IFERROR(VLOOKUP(AN466,Listes!$V$3:$W$5,2,FALSE),0)+IFERROR(VLOOKUP(AO466,Listes!$Y$3:$Z$5,2,FALSE),0))</f>
        <v/>
      </c>
      <c r="R466" s="12" t="n"/>
      <c r="S466" s="12" t="n"/>
      <c r="T466" s="12" t="n"/>
      <c r="U466" s="15" t="n"/>
      <c r="V466" s="15" t="n"/>
      <c r="W466" s="13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3" t="n"/>
      <c r="AK466" s="12" t="n"/>
      <c r="AL466" s="12" t="n"/>
      <c r="AM466" s="12" t="n"/>
      <c r="AN466" s="12" t="n"/>
      <c r="AO466" s="12" t="n"/>
      <c r="AP466" s="12" t="n"/>
      <c r="AQ466" s="7">
        <f>IF(A466="","",IF(AP466&lt;&gt;"",AP466,IF(LEFT(Z466,11)="gads_marque","Google Search – Marque",IF(LEFT(Z466,12)="gads_mariage","Google Search – Mariage et privé",IF(LEFT(Z466,10)="gads_corpo","Google Search – Corporatif",IF(LEFT(Z466,5)="meta_","Meta – Leads",IF(LEFT(Z466,5)="msft_","Microsoft Ads",IF(LEFT(Z466,8)="chatgpt_","ChatGPT Ads – Test",IF(X466="gbp","Fiche Google (organique)","Autre / non payé")))))))))</f>
        <v/>
      </c>
      <c r="AR466" s="7">
        <f>IF(K466="","",IFERROR(VLOOKUP(K466,Listes!$F$3:$H$8,3,FALSE),""))</f>
        <v/>
      </c>
      <c r="AS466" s="7">
        <f>IF(O466="","",IF(AND(M466="Autre (plus de 40 km)",OR(O466="lt600",O466="600_999",O466="1000_2499")),"D",IF(OR(O466="lt600",AND(O466="600_999",K466&lt;&gt;"mariage",K466&lt;&gt;"prive")),"C",IF(OR(O466="2500_4999",O466="5000p",J466="entreprise",J466="organisme",J466="agence"),"A",IF(OR(O466="1000_2499",O466="600_999"),"B",IF(O466="inconnu",IF(OR(N466="75_149",N466="150p"),"A","B"),""))))))</f>
        <v/>
      </c>
      <c r="AT466" s="7">
        <f>IF(A466="","",IF(P466&lt;&gt;"",P466,AS466))</f>
        <v/>
      </c>
      <c r="AU466" s="7">
        <f>IF(A466="","",IF(OR(AT466="A",AT466="B"),1,0))</f>
        <v/>
      </c>
      <c r="AV466" s="7">
        <f>IF(A466="","",IF(OR(R466="Dépôt payé (gagné)",R466="Événement livré",R466="Avis obtenu"),1,0))</f>
        <v/>
      </c>
      <c r="AW466" s="7">
        <f>IF(A466="","",IF(Q466&gt;70,"Immédiat – propriétaire",IF(Q466&gt;=40,"15 min – personne de garde","Selon la route")))</f>
        <v/>
      </c>
      <c r="AX466" s="11">
        <f>IF(A466="","",IF(AT466="A",400,IF(AT466="B",150,0)))</f>
        <v/>
      </c>
      <c r="AY466" s="11">
        <f>IF(A466="","",IF(AV466=1,N(V466),IF(N(U466)&gt;0,ROUND(N(U466)*IFERROR(VLOOKUP(R466,Listes!$AE$3:$AG$12,2,FALSE),0),0),0)))</f>
        <v/>
      </c>
      <c r="AZ466" s="7">
        <f>IF(LEFT(A466,7)="EXEMPLE",1,0)</f>
        <v/>
      </c>
      <c r="BA466" s="7">
        <f>IF(AND(AV466=1,AZ466=0,AC466&lt;&gt;"",W466&lt;&gt;"",N(V466)&gt;0),COUNTIFS($AV$3:AV466,1,$AZ$3:AZ466,0,$AC$3:AC466,"&lt;&gt;",$W$3:W466,"&lt;&gt;",$V$3:V466,"&gt;0"),"")</f>
        <v/>
      </c>
    </row>
    <row r="467">
      <c r="A467" s="12" t="n"/>
      <c r="B467" s="13" t="n"/>
      <c r="C467" s="13" t="n"/>
      <c r="D467" s="7">
        <f>IF(OR(B467="",C467=""),"",ROUND((C467-B467)*1440,0))</f>
        <v/>
      </c>
      <c r="E467" s="12" t="n"/>
      <c r="F467" s="12" t="n"/>
      <c r="G467" s="12" t="n"/>
      <c r="H467" s="12" t="n"/>
      <c r="I467" s="12" t="n"/>
      <c r="J467" s="12" t="n"/>
      <c r="K467" s="12" t="n"/>
      <c r="L467" s="14" t="n"/>
      <c r="M467" s="12" t="n"/>
      <c r="N467" s="12" t="n"/>
      <c r="O467" s="12" t="n"/>
      <c r="P467" s="12" t="n"/>
      <c r="Q467" s="7">
        <f>IF(A467="","",IFERROR(VLOOKUP(O467,Listes!$R$3:$T$8,2,FALSE),0)+IFERROR(VLOOKUP(J467,Listes!$J$3:$L$6,2,FALSE),0)+IFERROR(VLOOKUP(N467,Listes!$N$3:$P$6,2,FALSE),0)+IF(OR(L467="",B467=""),0,IF(L467-INT(B467)&lt;10,8,IF(L467-INT(B467)&lt;=90,10,5)))+IFERROR(VLOOKUP(AN467,Listes!$V$3:$W$5,2,FALSE),0)+IFERROR(VLOOKUP(AO467,Listes!$Y$3:$Z$5,2,FALSE),0))</f>
        <v/>
      </c>
      <c r="R467" s="12" t="n"/>
      <c r="S467" s="12" t="n"/>
      <c r="T467" s="12" t="n"/>
      <c r="U467" s="15" t="n"/>
      <c r="V467" s="15" t="n"/>
      <c r="W467" s="13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3" t="n"/>
      <c r="AK467" s="12" t="n"/>
      <c r="AL467" s="12" t="n"/>
      <c r="AM467" s="12" t="n"/>
      <c r="AN467" s="12" t="n"/>
      <c r="AO467" s="12" t="n"/>
      <c r="AP467" s="12" t="n"/>
      <c r="AQ467" s="7">
        <f>IF(A467="","",IF(AP467&lt;&gt;"",AP467,IF(LEFT(Z467,11)="gads_marque","Google Search – Marque",IF(LEFT(Z467,12)="gads_mariage","Google Search – Mariage et privé",IF(LEFT(Z467,10)="gads_corpo","Google Search – Corporatif",IF(LEFT(Z467,5)="meta_","Meta – Leads",IF(LEFT(Z467,5)="msft_","Microsoft Ads",IF(LEFT(Z467,8)="chatgpt_","ChatGPT Ads – Test",IF(X467="gbp","Fiche Google (organique)","Autre / non payé")))))))))</f>
        <v/>
      </c>
      <c r="AR467" s="7">
        <f>IF(K467="","",IFERROR(VLOOKUP(K467,Listes!$F$3:$H$8,3,FALSE),""))</f>
        <v/>
      </c>
      <c r="AS467" s="7">
        <f>IF(O467="","",IF(AND(M467="Autre (plus de 40 km)",OR(O467="lt600",O467="600_999",O467="1000_2499")),"D",IF(OR(O467="lt600",AND(O467="600_999",K467&lt;&gt;"mariage",K467&lt;&gt;"prive")),"C",IF(OR(O467="2500_4999",O467="5000p",J467="entreprise",J467="organisme",J467="agence"),"A",IF(OR(O467="1000_2499",O467="600_999"),"B",IF(O467="inconnu",IF(OR(N467="75_149",N467="150p"),"A","B"),""))))))</f>
        <v/>
      </c>
      <c r="AT467" s="7">
        <f>IF(A467="","",IF(P467&lt;&gt;"",P467,AS467))</f>
        <v/>
      </c>
      <c r="AU467" s="7">
        <f>IF(A467="","",IF(OR(AT467="A",AT467="B"),1,0))</f>
        <v/>
      </c>
      <c r="AV467" s="7">
        <f>IF(A467="","",IF(OR(R467="Dépôt payé (gagné)",R467="Événement livré",R467="Avis obtenu"),1,0))</f>
        <v/>
      </c>
      <c r="AW467" s="7">
        <f>IF(A467="","",IF(Q467&gt;70,"Immédiat – propriétaire",IF(Q467&gt;=40,"15 min – personne de garde","Selon la route")))</f>
        <v/>
      </c>
      <c r="AX467" s="11">
        <f>IF(A467="","",IF(AT467="A",400,IF(AT467="B",150,0)))</f>
        <v/>
      </c>
      <c r="AY467" s="11">
        <f>IF(A467="","",IF(AV467=1,N(V467),IF(N(U467)&gt;0,ROUND(N(U467)*IFERROR(VLOOKUP(R467,Listes!$AE$3:$AG$12,2,FALSE),0),0),0)))</f>
        <v/>
      </c>
      <c r="AZ467" s="7">
        <f>IF(LEFT(A467,7)="EXEMPLE",1,0)</f>
        <v/>
      </c>
      <c r="BA467" s="7">
        <f>IF(AND(AV467=1,AZ467=0,AC467&lt;&gt;"",W467&lt;&gt;"",N(V467)&gt;0),COUNTIFS($AV$3:AV467,1,$AZ$3:AZ467,0,$AC$3:AC467,"&lt;&gt;",$W$3:W467,"&lt;&gt;",$V$3:V467,"&gt;0"),"")</f>
        <v/>
      </c>
    </row>
    <row r="468">
      <c r="A468" s="12" t="n"/>
      <c r="B468" s="13" t="n"/>
      <c r="C468" s="13" t="n"/>
      <c r="D468" s="7">
        <f>IF(OR(B468="",C468=""),"",ROUND((C468-B468)*1440,0))</f>
        <v/>
      </c>
      <c r="E468" s="12" t="n"/>
      <c r="F468" s="12" t="n"/>
      <c r="G468" s="12" t="n"/>
      <c r="H468" s="12" t="n"/>
      <c r="I468" s="12" t="n"/>
      <c r="J468" s="12" t="n"/>
      <c r="K468" s="12" t="n"/>
      <c r="L468" s="14" t="n"/>
      <c r="M468" s="12" t="n"/>
      <c r="N468" s="12" t="n"/>
      <c r="O468" s="12" t="n"/>
      <c r="P468" s="12" t="n"/>
      <c r="Q468" s="7">
        <f>IF(A468="","",IFERROR(VLOOKUP(O468,Listes!$R$3:$T$8,2,FALSE),0)+IFERROR(VLOOKUP(J468,Listes!$J$3:$L$6,2,FALSE),0)+IFERROR(VLOOKUP(N468,Listes!$N$3:$P$6,2,FALSE),0)+IF(OR(L468="",B468=""),0,IF(L468-INT(B468)&lt;10,8,IF(L468-INT(B468)&lt;=90,10,5)))+IFERROR(VLOOKUP(AN468,Listes!$V$3:$W$5,2,FALSE),0)+IFERROR(VLOOKUP(AO468,Listes!$Y$3:$Z$5,2,FALSE),0))</f>
        <v/>
      </c>
      <c r="R468" s="12" t="n"/>
      <c r="S468" s="12" t="n"/>
      <c r="T468" s="12" t="n"/>
      <c r="U468" s="15" t="n"/>
      <c r="V468" s="15" t="n"/>
      <c r="W468" s="13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3" t="n"/>
      <c r="AK468" s="12" t="n"/>
      <c r="AL468" s="12" t="n"/>
      <c r="AM468" s="12" t="n"/>
      <c r="AN468" s="12" t="n"/>
      <c r="AO468" s="12" t="n"/>
      <c r="AP468" s="12" t="n"/>
      <c r="AQ468" s="7">
        <f>IF(A468="","",IF(AP468&lt;&gt;"",AP468,IF(LEFT(Z468,11)="gads_marque","Google Search – Marque",IF(LEFT(Z468,12)="gads_mariage","Google Search – Mariage et privé",IF(LEFT(Z468,10)="gads_corpo","Google Search – Corporatif",IF(LEFT(Z468,5)="meta_","Meta – Leads",IF(LEFT(Z468,5)="msft_","Microsoft Ads",IF(LEFT(Z468,8)="chatgpt_","ChatGPT Ads – Test",IF(X468="gbp","Fiche Google (organique)","Autre / non payé")))))))))</f>
        <v/>
      </c>
      <c r="AR468" s="7">
        <f>IF(K468="","",IFERROR(VLOOKUP(K468,Listes!$F$3:$H$8,3,FALSE),""))</f>
        <v/>
      </c>
      <c r="AS468" s="7">
        <f>IF(O468="","",IF(AND(M468="Autre (plus de 40 km)",OR(O468="lt600",O468="600_999",O468="1000_2499")),"D",IF(OR(O468="lt600",AND(O468="600_999",K468&lt;&gt;"mariage",K468&lt;&gt;"prive")),"C",IF(OR(O468="2500_4999",O468="5000p",J468="entreprise",J468="organisme",J468="agence"),"A",IF(OR(O468="1000_2499",O468="600_999"),"B",IF(O468="inconnu",IF(OR(N468="75_149",N468="150p"),"A","B"),""))))))</f>
        <v/>
      </c>
      <c r="AT468" s="7">
        <f>IF(A468="","",IF(P468&lt;&gt;"",P468,AS468))</f>
        <v/>
      </c>
      <c r="AU468" s="7">
        <f>IF(A468="","",IF(OR(AT468="A",AT468="B"),1,0))</f>
        <v/>
      </c>
      <c r="AV468" s="7">
        <f>IF(A468="","",IF(OR(R468="Dépôt payé (gagné)",R468="Événement livré",R468="Avis obtenu"),1,0))</f>
        <v/>
      </c>
      <c r="AW468" s="7">
        <f>IF(A468="","",IF(Q468&gt;70,"Immédiat – propriétaire",IF(Q468&gt;=40,"15 min – personne de garde","Selon la route")))</f>
        <v/>
      </c>
      <c r="AX468" s="11">
        <f>IF(A468="","",IF(AT468="A",400,IF(AT468="B",150,0)))</f>
        <v/>
      </c>
      <c r="AY468" s="11">
        <f>IF(A468="","",IF(AV468=1,N(V468),IF(N(U468)&gt;0,ROUND(N(U468)*IFERROR(VLOOKUP(R468,Listes!$AE$3:$AG$12,2,FALSE),0),0),0)))</f>
        <v/>
      </c>
      <c r="AZ468" s="7">
        <f>IF(LEFT(A468,7)="EXEMPLE",1,0)</f>
        <v/>
      </c>
      <c r="BA468" s="7">
        <f>IF(AND(AV468=1,AZ468=0,AC468&lt;&gt;"",W468&lt;&gt;"",N(V468)&gt;0),COUNTIFS($AV$3:AV468,1,$AZ$3:AZ468,0,$AC$3:AC468,"&lt;&gt;",$W$3:W468,"&lt;&gt;",$V$3:V468,"&gt;0"),"")</f>
        <v/>
      </c>
    </row>
    <row r="469">
      <c r="A469" s="12" t="n"/>
      <c r="B469" s="13" t="n"/>
      <c r="C469" s="13" t="n"/>
      <c r="D469" s="7">
        <f>IF(OR(B469="",C469=""),"",ROUND((C469-B469)*1440,0))</f>
        <v/>
      </c>
      <c r="E469" s="12" t="n"/>
      <c r="F469" s="12" t="n"/>
      <c r="G469" s="12" t="n"/>
      <c r="H469" s="12" t="n"/>
      <c r="I469" s="12" t="n"/>
      <c r="J469" s="12" t="n"/>
      <c r="K469" s="12" t="n"/>
      <c r="L469" s="14" t="n"/>
      <c r="M469" s="12" t="n"/>
      <c r="N469" s="12" t="n"/>
      <c r="O469" s="12" t="n"/>
      <c r="P469" s="12" t="n"/>
      <c r="Q469" s="7">
        <f>IF(A469="","",IFERROR(VLOOKUP(O469,Listes!$R$3:$T$8,2,FALSE),0)+IFERROR(VLOOKUP(J469,Listes!$J$3:$L$6,2,FALSE),0)+IFERROR(VLOOKUP(N469,Listes!$N$3:$P$6,2,FALSE),0)+IF(OR(L469="",B469=""),0,IF(L469-INT(B469)&lt;10,8,IF(L469-INT(B469)&lt;=90,10,5)))+IFERROR(VLOOKUP(AN469,Listes!$V$3:$W$5,2,FALSE),0)+IFERROR(VLOOKUP(AO469,Listes!$Y$3:$Z$5,2,FALSE),0))</f>
        <v/>
      </c>
      <c r="R469" s="12" t="n"/>
      <c r="S469" s="12" t="n"/>
      <c r="T469" s="12" t="n"/>
      <c r="U469" s="15" t="n"/>
      <c r="V469" s="15" t="n"/>
      <c r="W469" s="13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3" t="n"/>
      <c r="AK469" s="12" t="n"/>
      <c r="AL469" s="12" t="n"/>
      <c r="AM469" s="12" t="n"/>
      <c r="AN469" s="12" t="n"/>
      <c r="AO469" s="12" t="n"/>
      <c r="AP469" s="12" t="n"/>
      <c r="AQ469" s="7">
        <f>IF(A469="","",IF(AP469&lt;&gt;"",AP469,IF(LEFT(Z469,11)="gads_marque","Google Search – Marque",IF(LEFT(Z469,12)="gads_mariage","Google Search – Mariage et privé",IF(LEFT(Z469,10)="gads_corpo","Google Search – Corporatif",IF(LEFT(Z469,5)="meta_","Meta – Leads",IF(LEFT(Z469,5)="msft_","Microsoft Ads",IF(LEFT(Z469,8)="chatgpt_","ChatGPT Ads – Test",IF(X469="gbp","Fiche Google (organique)","Autre / non payé")))))))))</f>
        <v/>
      </c>
      <c r="AR469" s="7">
        <f>IF(K469="","",IFERROR(VLOOKUP(K469,Listes!$F$3:$H$8,3,FALSE),""))</f>
        <v/>
      </c>
      <c r="AS469" s="7">
        <f>IF(O469="","",IF(AND(M469="Autre (plus de 40 km)",OR(O469="lt600",O469="600_999",O469="1000_2499")),"D",IF(OR(O469="lt600",AND(O469="600_999",K469&lt;&gt;"mariage",K469&lt;&gt;"prive")),"C",IF(OR(O469="2500_4999",O469="5000p",J469="entreprise",J469="organisme",J469="agence"),"A",IF(OR(O469="1000_2499",O469="600_999"),"B",IF(O469="inconnu",IF(OR(N469="75_149",N469="150p"),"A","B"),""))))))</f>
        <v/>
      </c>
      <c r="AT469" s="7">
        <f>IF(A469="","",IF(P469&lt;&gt;"",P469,AS469))</f>
        <v/>
      </c>
      <c r="AU469" s="7">
        <f>IF(A469="","",IF(OR(AT469="A",AT469="B"),1,0))</f>
        <v/>
      </c>
      <c r="AV469" s="7">
        <f>IF(A469="","",IF(OR(R469="Dépôt payé (gagné)",R469="Événement livré",R469="Avis obtenu"),1,0))</f>
        <v/>
      </c>
      <c r="AW469" s="7">
        <f>IF(A469="","",IF(Q469&gt;70,"Immédiat – propriétaire",IF(Q469&gt;=40,"15 min – personne de garde","Selon la route")))</f>
        <v/>
      </c>
      <c r="AX469" s="11">
        <f>IF(A469="","",IF(AT469="A",400,IF(AT469="B",150,0)))</f>
        <v/>
      </c>
      <c r="AY469" s="11">
        <f>IF(A469="","",IF(AV469=1,N(V469),IF(N(U469)&gt;0,ROUND(N(U469)*IFERROR(VLOOKUP(R469,Listes!$AE$3:$AG$12,2,FALSE),0),0),0)))</f>
        <v/>
      </c>
      <c r="AZ469" s="7">
        <f>IF(LEFT(A469,7)="EXEMPLE",1,0)</f>
        <v/>
      </c>
      <c r="BA469" s="7">
        <f>IF(AND(AV469=1,AZ469=0,AC469&lt;&gt;"",W469&lt;&gt;"",N(V469)&gt;0),COUNTIFS($AV$3:AV469,1,$AZ$3:AZ469,0,$AC$3:AC469,"&lt;&gt;",$W$3:W469,"&lt;&gt;",$V$3:V469,"&gt;0"),"")</f>
        <v/>
      </c>
    </row>
    <row r="470">
      <c r="A470" s="12" t="n"/>
      <c r="B470" s="13" t="n"/>
      <c r="C470" s="13" t="n"/>
      <c r="D470" s="7">
        <f>IF(OR(B470="",C470=""),"",ROUND((C470-B470)*1440,0))</f>
        <v/>
      </c>
      <c r="E470" s="12" t="n"/>
      <c r="F470" s="12" t="n"/>
      <c r="G470" s="12" t="n"/>
      <c r="H470" s="12" t="n"/>
      <c r="I470" s="12" t="n"/>
      <c r="J470" s="12" t="n"/>
      <c r="K470" s="12" t="n"/>
      <c r="L470" s="14" t="n"/>
      <c r="M470" s="12" t="n"/>
      <c r="N470" s="12" t="n"/>
      <c r="O470" s="12" t="n"/>
      <c r="P470" s="12" t="n"/>
      <c r="Q470" s="7">
        <f>IF(A470="","",IFERROR(VLOOKUP(O470,Listes!$R$3:$T$8,2,FALSE),0)+IFERROR(VLOOKUP(J470,Listes!$J$3:$L$6,2,FALSE),0)+IFERROR(VLOOKUP(N470,Listes!$N$3:$P$6,2,FALSE),0)+IF(OR(L470="",B470=""),0,IF(L470-INT(B470)&lt;10,8,IF(L470-INT(B470)&lt;=90,10,5)))+IFERROR(VLOOKUP(AN470,Listes!$V$3:$W$5,2,FALSE),0)+IFERROR(VLOOKUP(AO470,Listes!$Y$3:$Z$5,2,FALSE),0))</f>
        <v/>
      </c>
      <c r="R470" s="12" t="n"/>
      <c r="S470" s="12" t="n"/>
      <c r="T470" s="12" t="n"/>
      <c r="U470" s="15" t="n"/>
      <c r="V470" s="15" t="n"/>
      <c r="W470" s="13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3" t="n"/>
      <c r="AK470" s="12" t="n"/>
      <c r="AL470" s="12" t="n"/>
      <c r="AM470" s="12" t="n"/>
      <c r="AN470" s="12" t="n"/>
      <c r="AO470" s="12" t="n"/>
      <c r="AP470" s="12" t="n"/>
      <c r="AQ470" s="7">
        <f>IF(A470="","",IF(AP470&lt;&gt;"",AP470,IF(LEFT(Z470,11)="gads_marque","Google Search – Marque",IF(LEFT(Z470,12)="gads_mariage","Google Search – Mariage et privé",IF(LEFT(Z470,10)="gads_corpo","Google Search – Corporatif",IF(LEFT(Z470,5)="meta_","Meta – Leads",IF(LEFT(Z470,5)="msft_","Microsoft Ads",IF(LEFT(Z470,8)="chatgpt_","ChatGPT Ads – Test",IF(X470="gbp","Fiche Google (organique)","Autre / non payé")))))))))</f>
        <v/>
      </c>
      <c r="AR470" s="7">
        <f>IF(K470="","",IFERROR(VLOOKUP(K470,Listes!$F$3:$H$8,3,FALSE),""))</f>
        <v/>
      </c>
      <c r="AS470" s="7">
        <f>IF(O470="","",IF(AND(M470="Autre (plus de 40 km)",OR(O470="lt600",O470="600_999",O470="1000_2499")),"D",IF(OR(O470="lt600",AND(O470="600_999",K470&lt;&gt;"mariage",K470&lt;&gt;"prive")),"C",IF(OR(O470="2500_4999",O470="5000p",J470="entreprise",J470="organisme",J470="agence"),"A",IF(OR(O470="1000_2499",O470="600_999"),"B",IF(O470="inconnu",IF(OR(N470="75_149",N470="150p"),"A","B"),""))))))</f>
        <v/>
      </c>
      <c r="AT470" s="7">
        <f>IF(A470="","",IF(P470&lt;&gt;"",P470,AS470))</f>
        <v/>
      </c>
      <c r="AU470" s="7">
        <f>IF(A470="","",IF(OR(AT470="A",AT470="B"),1,0))</f>
        <v/>
      </c>
      <c r="AV470" s="7">
        <f>IF(A470="","",IF(OR(R470="Dépôt payé (gagné)",R470="Événement livré",R470="Avis obtenu"),1,0))</f>
        <v/>
      </c>
      <c r="AW470" s="7">
        <f>IF(A470="","",IF(Q470&gt;70,"Immédiat – propriétaire",IF(Q470&gt;=40,"15 min – personne de garde","Selon la route")))</f>
        <v/>
      </c>
      <c r="AX470" s="11">
        <f>IF(A470="","",IF(AT470="A",400,IF(AT470="B",150,0)))</f>
        <v/>
      </c>
      <c r="AY470" s="11">
        <f>IF(A470="","",IF(AV470=1,N(V470),IF(N(U470)&gt;0,ROUND(N(U470)*IFERROR(VLOOKUP(R470,Listes!$AE$3:$AG$12,2,FALSE),0),0),0)))</f>
        <v/>
      </c>
      <c r="AZ470" s="7">
        <f>IF(LEFT(A470,7)="EXEMPLE",1,0)</f>
        <v/>
      </c>
      <c r="BA470" s="7">
        <f>IF(AND(AV470=1,AZ470=0,AC470&lt;&gt;"",W470&lt;&gt;"",N(V470)&gt;0),COUNTIFS($AV$3:AV470,1,$AZ$3:AZ470,0,$AC$3:AC470,"&lt;&gt;",$W$3:W470,"&lt;&gt;",$V$3:V470,"&gt;0"),"")</f>
        <v/>
      </c>
    </row>
    <row r="471">
      <c r="A471" s="12" t="n"/>
      <c r="B471" s="13" t="n"/>
      <c r="C471" s="13" t="n"/>
      <c r="D471" s="7">
        <f>IF(OR(B471="",C471=""),"",ROUND((C471-B471)*1440,0))</f>
        <v/>
      </c>
      <c r="E471" s="12" t="n"/>
      <c r="F471" s="12" t="n"/>
      <c r="G471" s="12" t="n"/>
      <c r="H471" s="12" t="n"/>
      <c r="I471" s="12" t="n"/>
      <c r="J471" s="12" t="n"/>
      <c r="K471" s="12" t="n"/>
      <c r="L471" s="14" t="n"/>
      <c r="M471" s="12" t="n"/>
      <c r="N471" s="12" t="n"/>
      <c r="O471" s="12" t="n"/>
      <c r="P471" s="12" t="n"/>
      <c r="Q471" s="7">
        <f>IF(A471="","",IFERROR(VLOOKUP(O471,Listes!$R$3:$T$8,2,FALSE),0)+IFERROR(VLOOKUP(J471,Listes!$J$3:$L$6,2,FALSE),0)+IFERROR(VLOOKUP(N471,Listes!$N$3:$P$6,2,FALSE),0)+IF(OR(L471="",B471=""),0,IF(L471-INT(B471)&lt;10,8,IF(L471-INT(B471)&lt;=90,10,5)))+IFERROR(VLOOKUP(AN471,Listes!$V$3:$W$5,2,FALSE),0)+IFERROR(VLOOKUP(AO471,Listes!$Y$3:$Z$5,2,FALSE),0))</f>
        <v/>
      </c>
      <c r="R471" s="12" t="n"/>
      <c r="S471" s="12" t="n"/>
      <c r="T471" s="12" t="n"/>
      <c r="U471" s="15" t="n"/>
      <c r="V471" s="15" t="n"/>
      <c r="W471" s="13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3" t="n"/>
      <c r="AK471" s="12" t="n"/>
      <c r="AL471" s="12" t="n"/>
      <c r="AM471" s="12" t="n"/>
      <c r="AN471" s="12" t="n"/>
      <c r="AO471" s="12" t="n"/>
      <c r="AP471" s="12" t="n"/>
      <c r="AQ471" s="7">
        <f>IF(A471="","",IF(AP471&lt;&gt;"",AP471,IF(LEFT(Z471,11)="gads_marque","Google Search – Marque",IF(LEFT(Z471,12)="gads_mariage","Google Search – Mariage et privé",IF(LEFT(Z471,10)="gads_corpo","Google Search – Corporatif",IF(LEFT(Z471,5)="meta_","Meta – Leads",IF(LEFT(Z471,5)="msft_","Microsoft Ads",IF(LEFT(Z471,8)="chatgpt_","ChatGPT Ads – Test",IF(X471="gbp","Fiche Google (organique)","Autre / non payé")))))))))</f>
        <v/>
      </c>
      <c r="AR471" s="7">
        <f>IF(K471="","",IFERROR(VLOOKUP(K471,Listes!$F$3:$H$8,3,FALSE),""))</f>
        <v/>
      </c>
      <c r="AS471" s="7">
        <f>IF(O471="","",IF(AND(M471="Autre (plus de 40 km)",OR(O471="lt600",O471="600_999",O471="1000_2499")),"D",IF(OR(O471="lt600",AND(O471="600_999",K471&lt;&gt;"mariage",K471&lt;&gt;"prive")),"C",IF(OR(O471="2500_4999",O471="5000p",J471="entreprise",J471="organisme",J471="agence"),"A",IF(OR(O471="1000_2499",O471="600_999"),"B",IF(O471="inconnu",IF(OR(N471="75_149",N471="150p"),"A","B"),""))))))</f>
        <v/>
      </c>
      <c r="AT471" s="7">
        <f>IF(A471="","",IF(P471&lt;&gt;"",P471,AS471))</f>
        <v/>
      </c>
      <c r="AU471" s="7">
        <f>IF(A471="","",IF(OR(AT471="A",AT471="B"),1,0))</f>
        <v/>
      </c>
      <c r="AV471" s="7">
        <f>IF(A471="","",IF(OR(R471="Dépôt payé (gagné)",R471="Événement livré",R471="Avis obtenu"),1,0))</f>
        <v/>
      </c>
      <c r="AW471" s="7">
        <f>IF(A471="","",IF(Q471&gt;70,"Immédiat – propriétaire",IF(Q471&gt;=40,"15 min – personne de garde","Selon la route")))</f>
        <v/>
      </c>
      <c r="AX471" s="11">
        <f>IF(A471="","",IF(AT471="A",400,IF(AT471="B",150,0)))</f>
        <v/>
      </c>
      <c r="AY471" s="11">
        <f>IF(A471="","",IF(AV471=1,N(V471),IF(N(U471)&gt;0,ROUND(N(U471)*IFERROR(VLOOKUP(R471,Listes!$AE$3:$AG$12,2,FALSE),0),0),0)))</f>
        <v/>
      </c>
      <c r="AZ471" s="7">
        <f>IF(LEFT(A471,7)="EXEMPLE",1,0)</f>
        <v/>
      </c>
      <c r="BA471" s="7">
        <f>IF(AND(AV471=1,AZ471=0,AC471&lt;&gt;"",W471&lt;&gt;"",N(V471)&gt;0),COUNTIFS($AV$3:AV471,1,$AZ$3:AZ471,0,$AC$3:AC471,"&lt;&gt;",$W$3:W471,"&lt;&gt;",$V$3:V471,"&gt;0"),"")</f>
        <v/>
      </c>
    </row>
    <row r="472">
      <c r="A472" s="12" t="n"/>
      <c r="B472" s="13" t="n"/>
      <c r="C472" s="13" t="n"/>
      <c r="D472" s="7">
        <f>IF(OR(B472="",C472=""),"",ROUND((C472-B472)*1440,0))</f>
        <v/>
      </c>
      <c r="E472" s="12" t="n"/>
      <c r="F472" s="12" t="n"/>
      <c r="G472" s="12" t="n"/>
      <c r="H472" s="12" t="n"/>
      <c r="I472" s="12" t="n"/>
      <c r="J472" s="12" t="n"/>
      <c r="K472" s="12" t="n"/>
      <c r="L472" s="14" t="n"/>
      <c r="M472" s="12" t="n"/>
      <c r="N472" s="12" t="n"/>
      <c r="O472" s="12" t="n"/>
      <c r="P472" s="12" t="n"/>
      <c r="Q472" s="7">
        <f>IF(A472="","",IFERROR(VLOOKUP(O472,Listes!$R$3:$T$8,2,FALSE),0)+IFERROR(VLOOKUP(J472,Listes!$J$3:$L$6,2,FALSE),0)+IFERROR(VLOOKUP(N472,Listes!$N$3:$P$6,2,FALSE),0)+IF(OR(L472="",B472=""),0,IF(L472-INT(B472)&lt;10,8,IF(L472-INT(B472)&lt;=90,10,5)))+IFERROR(VLOOKUP(AN472,Listes!$V$3:$W$5,2,FALSE),0)+IFERROR(VLOOKUP(AO472,Listes!$Y$3:$Z$5,2,FALSE),0))</f>
        <v/>
      </c>
      <c r="R472" s="12" t="n"/>
      <c r="S472" s="12" t="n"/>
      <c r="T472" s="12" t="n"/>
      <c r="U472" s="15" t="n"/>
      <c r="V472" s="15" t="n"/>
      <c r="W472" s="13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3" t="n"/>
      <c r="AK472" s="12" t="n"/>
      <c r="AL472" s="12" t="n"/>
      <c r="AM472" s="12" t="n"/>
      <c r="AN472" s="12" t="n"/>
      <c r="AO472" s="12" t="n"/>
      <c r="AP472" s="12" t="n"/>
      <c r="AQ472" s="7">
        <f>IF(A472="","",IF(AP472&lt;&gt;"",AP472,IF(LEFT(Z472,11)="gads_marque","Google Search – Marque",IF(LEFT(Z472,12)="gads_mariage","Google Search – Mariage et privé",IF(LEFT(Z472,10)="gads_corpo","Google Search – Corporatif",IF(LEFT(Z472,5)="meta_","Meta – Leads",IF(LEFT(Z472,5)="msft_","Microsoft Ads",IF(LEFT(Z472,8)="chatgpt_","ChatGPT Ads – Test",IF(X472="gbp","Fiche Google (organique)","Autre / non payé")))))))))</f>
        <v/>
      </c>
      <c r="AR472" s="7">
        <f>IF(K472="","",IFERROR(VLOOKUP(K472,Listes!$F$3:$H$8,3,FALSE),""))</f>
        <v/>
      </c>
      <c r="AS472" s="7">
        <f>IF(O472="","",IF(AND(M472="Autre (plus de 40 km)",OR(O472="lt600",O472="600_999",O472="1000_2499")),"D",IF(OR(O472="lt600",AND(O472="600_999",K472&lt;&gt;"mariage",K472&lt;&gt;"prive")),"C",IF(OR(O472="2500_4999",O472="5000p",J472="entreprise",J472="organisme",J472="agence"),"A",IF(OR(O472="1000_2499",O472="600_999"),"B",IF(O472="inconnu",IF(OR(N472="75_149",N472="150p"),"A","B"),""))))))</f>
        <v/>
      </c>
      <c r="AT472" s="7">
        <f>IF(A472="","",IF(P472&lt;&gt;"",P472,AS472))</f>
        <v/>
      </c>
      <c r="AU472" s="7">
        <f>IF(A472="","",IF(OR(AT472="A",AT472="B"),1,0))</f>
        <v/>
      </c>
      <c r="AV472" s="7">
        <f>IF(A472="","",IF(OR(R472="Dépôt payé (gagné)",R472="Événement livré",R472="Avis obtenu"),1,0))</f>
        <v/>
      </c>
      <c r="AW472" s="7">
        <f>IF(A472="","",IF(Q472&gt;70,"Immédiat – propriétaire",IF(Q472&gt;=40,"15 min – personne de garde","Selon la route")))</f>
        <v/>
      </c>
      <c r="AX472" s="11">
        <f>IF(A472="","",IF(AT472="A",400,IF(AT472="B",150,0)))</f>
        <v/>
      </c>
      <c r="AY472" s="11">
        <f>IF(A472="","",IF(AV472=1,N(V472),IF(N(U472)&gt;0,ROUND(N(U472)*IFERROR(VLOOKUP(R472,Listes!$AE$3:$AG$12,2,FALSE),0),0),0)))</f>
        <v/>
      </c>
      <c r="AZ472" s="7">
        <f>IF(LEFT(A472,7)="EXEMPLE",1,0)</f>
        <v/>
      </c>
      <c r="BA472" s="7">
        <f>IF(AND(AV472=1,AZ472=0,AC472&lt;&gt;"",W472&lt;&gt;"",N(V472)&gt;0),COUNTIFS($AV$3:AV472,1,$AZ$3:AZ472,0,$AC$3:AC472,"&lt;&gt;",$W$3:W472,"&lt;&gt;",$V$3:V472,"&gt;0"),"")</f>
        <v/>
      </c>
    </row>
    <row r="473">
      <c r="A473" s="12" t="n"/>
      <c r="B473" s="13" t="n"/>
      <c r="C473" s="13" t="n"/>
      <c r="D473" s="7">
        <f>IF(OR(B473="",C473=""),"",ROUND((C473-B473)*1440,0))</f>
        <v/>
      </c>
      <c r="E473" s="12" t="n"/>
      <c r="F473" s="12" t="n"/>
      <c r="G473" s="12" t="n"/>
      <c r="H473" s="12" t="n"/>
      <c r="I473" s="12" t="n"/>
      <c r="J473" s="12" t="n"/>
      <c r="K473" s="12" t="n"/>
      <c r="L473" s="14" t="n"/>
      <c r="M473" s="12" t="n"/>
      <c r="N473" s="12" t="n"/>
      <c r="O473" s="12" t="n"/>
      <c r="P473" s="12" t="n"/>
      <c r="Q473" s="7">
        <f>IF(A473="","",IFERROR(VLOOKUP(O473,Listes!$R$3:$T$8,2,FALSE),0)+IFERROR(VLOOKUP(J473,Listes!$J$3:$L$6,2,FALSE),0)+IFERROR(VLOOKUP(N473,Listes!$N$3:$P$6,2,FALSE),0)+IF(OR(L473="",B473=""),0,IF(L473-INT(B473)&lt;10,8,IF(L473-INT(B473)&lt;=90,10,5)))+IFERROR(VLOOKUP(AN473,Listes!$V$3:$W$5,2,FALSE),0)+IFERROR(VLOOKUP(AO473,Listes!$Y$3:$Z$5,2,FALSE),0))</f>
        <v/>
      </c>
      <c r="R473" s="12" t="n"/>
      <c r="S473" s="12" t="n"/>
      <c r="T473" s="12" t="n"/>
      <c r="U473" s="15" t="n"/>
      <c r="V473" s="15" t="n"/>
      <c r="W473" s="13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3" t="n"/>
      <c r="AK473" s="12" t="n"/>
      <c r="AL473" s="12" t="n"/>
      <c r="AM473" s="12" t="n"/>
      <c r="AN473" s="12" t="n"/>
      <c r="AO473" s="12" t="n"/>
      <c r="AP473" s="12" t="n"/>
      <c r="AQ473" s="7">
        <f>IF(A473="","",IF(AP473&lt;&gt;"",AP473,IF(LEFT(Z473,11)="gads_marque","Google Search – Marque",IF(LEFT(Z473,12)="gads_mariage","Google Search – Mariage et privé",IF(LEFT(Z473,10)="gads_corpo","Google Search – Corporatif",IF(LEFT(Z473,5)="meta_","Meta – Leads",IF(LEFT(Z473,5)="msft_","Microsoft Ads",IF(LEFT(Z473,8)="chatgpt_","ChatGPT Ads – Test",IF(X473="gbp","Fiche Google (organique)","Autre / non payé")))))))))</f>
        <v/>
      </c>
      <c r="AR473" s="7">
        <f>IF(K473="","",IFERROR(VLOOKUP(K473,Listes!$F$3:$H$8,3,FALSE),""))</f>
        <v/>
      </c>
      <c r="AS473" s="7">
        <f>IF(O473="","",IF(AND(M473="Autre (plus de 40 km)",OR(O473="lt600",O473="600_999",O473="1000_2499")),"D",IF(OR(O473="lt600",AND(O473="600_999",K473&lt;&gt;"mariage",K473&lt;&gt;"prive")),"C",IF(OR(O473="2500_4999",O473="5000p",J473="entreprise",J473="organisme",J473="agence"),"A",IF(OR(O473="1000_2499",O473="600_999"),"B",IF(O473="inconnu",IF(OR(N473="75_149",N473="150p"),"A","B"),""))))))</f>
        <v/>
      </c>
      <c r="AT473" s="7">
        <f>IF(A473="","",IF(P473&lt;&gt;"",P473,AS473))</f>
        <v/>
      </c>
      <c r="AU473" s="7">
        <f>IF(A473="","",IF(OR(AT473="A",AT473="B"),1,0))</f>
        <v/>
      </c>
      <c r="AV473" s="7">
        <f>IF(A473="","",IF(OR(R473="Dépôt payé (gagné)",R473="Événement livré",R473="Avis obtenu"),1,0))</f>
        <v/>
      </c>
      <c r="AW473" s="7">
        <f>IF(A473="","",IF(Q473&gt;70,"Immédiat – propriétaire",IF(Q473&gt;=40,"15 min – personne de garde","Selon la route")))</f>
        <v/>
      </c>
      <c r="AX473" s="11">
        <f>IF(A473="","",IF(AT473="A",400,IF(AT473="B",150,0)))</f>
        <v/>
      </c>
      <c r="AY473" s="11">
        <f>IF(A473="","",IF(AV473=1,N(V473),IF(N(U473)&gt;0,ROUND(N(U473)*IFERROR(VLOOKUP(R473,Listes!$AE$3:$AG$12,2,FALSE),0),0),0)))</f>
        <v/>
      </c>
      <c r="AZ473" s="7">
        <f>IF(LEFT(A473,7)="EXEMPLE",1,0)</f>
        <v/>
      </c>
      <c r="BA473" s="7">
        <f>IF(AND(AV473=1,AZ473=0,AC473&lt;&gt;"",W473&lt;&gt;"",N(V473)&gt;0),COUNTIFS($AV$3:AV473,1,$AZ$3:AZ473,0,$AC$3:AC473,"&lt;&gt;",$W$3:W473,"&lt;&gt;",$V$3:V473,"&gt;0"),"")</f>
        <v/>
      </c>
    </row>
    <row r="474">
      <c r="A474" s="12" t="n"/>
      <c r="B474" s="13" t="n"/>
      <c r="C474" s="13" t="n"/>
      <c r="D474" s="7">
        <f>IF(OR(B474="",C474=""),"",ROUND((C474-B474)*1440,0))</f>
        <v/>
      </c>
      <c r="E474" s="12" t="n"/>
      <c r="F474" s="12" t="n"/>
      <c r="G474" s="12" t="n"/>
      <c r="H474" s="12" t="n"/>
      <c r="I474" s="12" t="n"/>
      <c r="J474" s="12" t="n"/>
      <c r="K474" s="12" t="n"/>
      <c r="L474" s="14" t="n"/>
      <c r="M474" s="12" t="n"/>
      <c r="N474" s="12" t="n"/>
      <c r="O474" s="12" t="n"/>
      <c r="P474" s="12" t="n"/>
      <c r="Q474" s="7">
        <f>IF(A474="","",IFERROR(VLOOKUP(O474,Listes!$R$3:$T$8,2,FALSE),0)+IFERROR(VLOOKUP(J474,Listes!$J$3:$L$6,2,FALSE),0)+IFERROR(VLOOKUP(N474,Listes!$N$3:$P$6,2,FALSE),0)+IF(OR(L474="",B474=""),0,IF(L474-INT(B474)&lt;10,8,IF(L474-INT(B474)&lt;=90,10,5)))+IFERROR(VLOOKUP(AN474,Listes!$V$3:$W$5,2,FALSE),0)+IFERROR(VLOOKUP(AO474,Listes!$Y$3:$Z$5,2,FALSE),0))</f>
        <v/>
      </c>
      <c r="R474" s="12" t="n"/>
      <c r="S474" s="12" t="n"/>
      <c r="T474" s="12" t="n"/>
      <c r="U474" s="15" t="n"/>
      <c r="V474" s="15" t="n"/>
      <c r="W474" s="13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3" t="n"/>
      <c r="AK474" s="12" t="n"/>
      <c r="AL474" s="12" t="n"/>
      <c r="AM474" s="12" t="n"/>
      <c r="AN474" s="12" t="n"/>
      <c r="AO474" s="12" t="n"/>
      <c r="AP474" s="12" t="n"/>
      <c r="AQ474" s="7">
        <f>IF(A474="","",IF(AP474&lt;&gt;"",AP474,IF(LEFT(Z474,11)="gads_marque","Google Search – Marque",IF(LEFT(Z474,12)="gads_mariage","Google Search – Mariage et privé",IF(LEFT(Z474,10)="gads_corpo","Google Search – Corporatif",IF(LEFT(Z474,5)="meta_","Meta – Leads",IF(LEFT(Z474,5)="msft_","Microsoft Ads",IF(LEFT(Z474,8)="chatgpt_","ChatGPT Ads – Test",IF(X474="gbp","Fiche Google (organique)","Autre / non payé")))))))))</f>
        <v/>
      </c>
      <c r="AR474" s="7">
        <f>IF(K474="","",IFERROR(VLOOKUP(K474,Listes!$F$3:$H$8,3,FALSE),""))</f>
        <v/>
      </c>
      <c r="AS474" s="7">
        <f>IF(O474="","",IF(AND(M474="Autre (plus de 40 km)",OR(O474="lt600",O474="600_999",O474="1000_2499")),"D",IF(OR(O474="lt600",AND(O474="600_999",K474&lt;&gt;"mariage",K474&lt;&gt;"prive")),"C",IF(OR(O474="2500_4999",O474="5000p",J474="entreprise",J474="organisme",J474="agence"),"A",IF(OR(O474="1000_2499",O474="600_999"),"B",IF(O474="inconnu",IF(OR(N474="75_149",N474="150p"),"A","B"),""))))))</f>
        <v/>
      </c>
      <c r="AT474" s="7">
        <f>IF(A474="","",IF(P474&lt;&gt;"",P474,AS474))</f>
        <v/>
      </c>
      <c r="AU474" s="7">
        <f>IF(A474="","",IF(OR(AT474="A",AT474="B"),1,0))</f>
        <v/>
      </c>
      <c r="AV474" s="7">
        <f>IF(A474="","",IF(OR(R474="Dépôt payé (gagné)",R474="Événement livré",R474="Avis obtenu"),1,0))</f>
        <v/>
      </c>
      <c r="AW474" s="7">
        <f>IF(A474="","",IF(Q474&gt;70,"Immédiat – propriétaire",IF(Q474&gt;=40,"15 min – personne de garde","Selon la route")))</f>
        <v/>
      </c>
      <c r="AX474" s="11">
        <f>IF(A474="","",IF(AT474="A",400,IF(AT474="B",150,0)))</f>
        <v/>
      </c>
      <c r="AY474" s="11">
        <f>IF(A474="","",IF(AV474=1,N(V474),IF(N(U474)&gt;0,ROUND(N(U474)*IFERROR(VLOOKUP(R474,Listes!$AE$3:$AG$12,2,FALSE),0),0),0)))</f>
        <v/>
      </c>
      <c r="AZ474" s="7">
        <f>IF(LEFT(A474,7)="EXEMPLE",1,0)</f>
        <v/>
      </c>
      <c r="BA474" s="7">
        <f>IF(AND(AV474=1,AZ474=0,AC474&lt;&gt;"",W474&lt;&gt;"",N(V474)&gt;0),COUNTIFS($AV$3:AV474,1,$AZ$3:AZ474,0,$AC$3:AC474,"&lt;&gt;",$W$3:W474,"&lt;&gt;",$V$3:V474,"&gt;0"),"")</f>
        <v/>
      </c>
    </row>
    <row r="475">
      <c r="A475" s="12" t="n"/>
      <c r="B475" s="13" t="n"/>
      <c r="C475" s="13" t="n"/>
      <c r="D475" s="7">
        <f>IF(OR(B475="",C475=""),"",ROUND((C475-B475)*1440,0))</f>
        <v/>
      </c>
      <c r="E475" s="12" t="n"/>
      <c r="F475" s="12" t="n"/>
      <c r="G475" s="12" t="n"/>
      <c r="H475" s="12" t="n"/>
      <c r="I475" s="12" t="n"/>
      <c r="J475" s="12" t="n"/>
      <c r="K475" s="12" t="n"/>
      <c r="L475" s="14" t="n"/>
      <c r="M475" s="12" t="n"/>
      <c r="N475" s="12" t="n"/>
      <c r="O475" s="12" t="n"/>
      <c r="P475" s="12" t="n"/>
      <c r="Q475" s="7">
        <f>IF(A475="","",IFERROR(VLOOKUP(O475,Listes!$R$3:$T$8,2,FALSE),0)+IFERROR(VLOOKUP(J475,Listes!$J$3:$L$6,2,FALSE),0)+IFERROR(VLOOKUP(N475,Listes!$N$3:$P$6,2,FALSE),0)+IF(OR(L475="",B475=""),0,IF(L475-INT(B475)&lt;10,8,IF(L475-INT(B475)&lt;=90,10,5)))+IFERROR(VLOOKUP(AN475,Listes!$V$3:$W$5,2,FALSE),0)+IFERROR(VLOOKUP(AO475,Listes!$Y$3:$Z$5,2,FALSE),0))</f>
        <v/>
      </c>
      <c r="R475" s="12" t="n"/>
      <c r="S475" s="12" t="n"/>
      <c r="T475" s="12" t="n"/>
      <c r="U475" s="15" t="n"/>
      <c r="V475" s="15" t="n"/>
      <c r="W475" s="13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3" t="n"/>
      <c r="AK475" s="12" t="n"/>
      <c r="AL475" s="12" t="n"/>
      <c r="AM475" s="12" t="n"/>
      <c r="AN475" s="12" t="n"/>
      <c r="AO475" s="12" t="n"/>
      <c r="AP475" s="12" t="n"/>
      <c r="AQ475" s="7">
        <f>IF(A475="","",IF(AP475&lt;&gt;"",AP475,IF(LEFT(Z475,11)="gads_marque","Google Search – Marque",IF(LEFT(Z475,12)="gads_mariage","Google Search – Mariage et privé",IF(LEFT(Z475,10)="gads_corpo","Google Search – Corporatif",IF(LEFT(Z475,5)="meta_","Meta – Leads",IF(LEFT(Z475,5)="msft_","Microsoft Ads",IF(LEFT(Z475,8)="chatgpt_","ChatGPT Ads – Test",IF(X475="gbp","Fiche Google (organique)","Autre / non payé")))))))))</f>
        <v/>
      </c>
      <c r="AR475" s="7">
        <f>IF(K475="","",IFERROR(VLOOKUP(K475,Listes!$F$3:$H$8,3,FALSE),""))</f>
        <v/>
      </c>
      <c r="AS475" s="7">
        <f>IF(O475="","",IF(AND(M475="Autre (plus de 40 km)",OR(O475="lt600",O475="600_999",O475="1000_2499")),"D",IF(OR(O475="lt600",AND(O475="600_999",K475&lt;&gt;"mariage",K475&lt;&gt;"prive")),"C",IF(OR(O475="2500_4999",O475="5000p",J475="entreprise",J475="organisme",J475="agence"),"A",IF(OR(O475="1000_2499",O475="600_999"),"B",IF(O475="inconnu",IF(OR(N475="75_149",N475="150p"),"A","B"),""))))))</f>
        <v/>
      </c>
      <c r="AT475" s="7">
        <f>IF(A475="","",IF(P475&lt;&gt;"",P475,AS475))</f>
        <v/>
      </c>
      <c r="AU475" s="7">
        <f>IF(A475="","",IF(OR(AT475="A",AT475="B"),1,0))</f>
        <v/>
      </c>
      <c r="AV475" s="7">
        <f>IF(A475="","",IF(OR(R475="Dépôt payé (gagné)",R475="Événement livré",R475="Avis obtenu"),1,0))</f>
        <v/>
      </c>
      <c r="AW475" s="7">
        <f>IF(A475="","",IF(Q475&gt;70,"Immédiat – propriétaire",IF(Q475&gt;=40,"15 min – personne de garde","Selon la route")))</f>
        <v/>
      </c>
      <c r="AX475" s="11">
        <f>IF(A475="","",IF(AT475="A",400,IF(AT475="B",150,0)))</f>
        <v/>
      </c>
      <c r="AY475" s="11">
        <f>IF(A475="","",IF(AV475=1,N(V475),IF(N(U475)&gt;0,ROUND(N(U475)*IFERROR(VLOOKUP(R475,Listes!$AE$3:$AG$12,2,FALSE),0),0),0)))</f>
        <v/>
      </c>
      <c r="AZ475" s="7">
        <f>IF(LEFT(A475,7)="EXEMPLE",1,0)</f>
        <v/>
      </c>
      <c r="BA475" s="7">
        <f>IF(AND(AV475=1,AZ475=0,AC475&lt;&gt;"",W475&lt;&gt;"",N(V475)&gt;0),COUNTIFS($AV$3:AV475,1,$AZ$3:AZ475,0,$AC$3:AC475,"&lt;&gt;",$W$3:W475,"&lt;&gt;",$V$3:V475,"&gt;0"),"")</f>
        <v/>
      </c>
    </row>
    <row r="476">
      <c r="A476" s="12" t="n"/>
      <c r="B476" s="13" t="n"/>
      <c r="C476" s="13" t="n"/>
      <c r="D476" s="7">
        <f>IF(OR(B476="",C476=""),"",ROUND((C476-B476)*1440,0))</f>
        <v/>
      </c>
      <c r="E476" s="12" t="n"/>
      <c r="F476" s="12" t="n"/>
      <c r="G476" s="12" t="n"/>
      <c r="H476" s="12" t="n"/>
      <c r="I476" s="12" t="n"/>
      <c r="J476" s="12" t="n"/>
      <c r="K476" s="12" t="n"/>
      <c r="L476" s="14" t="n"/>
      <c r="M476" s="12" t="n"/>
      <c r="N476" s="12" t="n"/>
      <c r="O476" s="12" t="n"/>
      <c r="P476" s="12" t="n"/>
      <c r="Q476" s="7">
        <f>IF(A476="","",IFERROR(VLOOKUP(O476,Listes!$R$3:$T$8,2,FALSE),0)+IFERROR(VLOOKUP(J476,Listes!$J$3:$L$6,2,FALSE),0)+IFERROR(VLOOKUP(N476,Listes!$N$3:$P$6,2,FALSE),0)+IF(OR(L476="",B476=""),0,IF(L476-INT(B476)&lt;10,8,IF(L476-INT(B476)&lt;=90,10,5)))+IFERROR(VLOOKUP(AN476,Listes!$V$3:$W$5,2,FALSE),0)+IFERROR(VLOOKUP(AO476,Listes!$Y$3:$Z$5,2,FALSE),0))</f>
        <v/>
      </c>
      <c r="R476" s="12" t="n"/>
      <c r="S476" s="12" t="n"/>
      <c r="T476" s="12" t="n"/>
      <c r="U476" s="15" t="n"/>
      <c r="V476" s="15" t="n"/>
      <c r="W476" s="13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3" t="n"/>
      <c r="AK476" s="12" t="n"/>
      <c r="AL476" s="12" t="n"/>
      <c r="AM476" s="12" t="n"/>
      <c r="AN476" s="12" t="n"/>
      <c r="AO476" s="12" t="n"/>
      <c r="AP476" s="12" t="n"/>
      <c r="AQ476" s="7">
        <f>IF(A476="","",IF(AP476&lt;&gt;"",AP476,IF(LEFT(Z476,11)="gads_marque","Google Search – Marque",IF(LEFT(Z476,12)="gads_mariage","Google Search – Mariage et privé",IF(LEFT(Z476,10)="gads_corpo","Google Search – Corporatif",IF(LEFT(Z476,5)="meta_","Meta – Leads",IF(LEFT(Z476,5)="msft_","Microsoft Ads",IF(LEFT(Z476,8)="chatgpt_","ChatGPT Ads – Test",IF(X476="gbp","Fiche Google (organique)","Autre / non payé")))))))))</f>
        <v/>
      </c>
      <c r="AR476" s="7">
        <f>IF(K476="","",IFERROR(VLOOKUP(K476,Listes!$F$3:$H$8,3,FALSE),""))</f>
        <v/>
      </c>
      <c r="AS476" s="7">
        <f>IF(O476="","",IF(AND(M476="Autre (plus de 40 km)",OR(O476="lt600",O476="600_999",O476="1000_2499")),"D",IF(OR(O476="lt600",AND(O476="600_999",K476&lt;&gt;"mariage",K476&lt;&gt;"prive")),"C",IF(OR(O476="2500_4999",O476="5000p",J476="entreprise",J476="organisme",J476="agence"),"A",IF(OR(O476="1000_2499",O476="600_999"),"B",IF(O476="inconnu",IF(OR(N476="75_149",N476="150p"),"A","B"),""))))))</f>
        <v/>
      </c>
      <c r="AT476" s="7">
        <f>IF(A476="","",IF(P476&lt;&gt;"",P476,AS476))</f>
        <v/>
      </c>
      <c r="AU476" s="7">
        <f>IF(A476="","",IF(OR(AT476="A",AT476="B"),1,0))</f>
        <v/>
      </c>
      <c r="AV476" s="7">
        <f>IF(A476="","",IF(OR(R476="Dépôt payé (gagné)",R476="Événement livré",R476="Avis obtenu"),1,0))</f>
        <v/>
      </c>
      <c r="AW476" s="7">
        <f>IF(A476="","",IF(Q476&gt;70,"Immédiat – propriétaire",IF(Q476&gt;=40,"15 min – personne de garde","Selon la route")))</f>
        <v/>
      </c>
      <c r="AX476" s="11">
        <f>IF(A476="","",IF(AT476="A",400,IF(AT476="B",150,0)))</f>
        <v/>
      </c>
      <c r="AY476" s="11">
        <f>IF(A476="","",IF(AV476=1,N(V476),IF(N(U476)&gt;0,ROUND(N(U476)*IFERROR(VLOOKUP(R476,Listes!$AE$3:$AG$12,2,FALSE),0),0),0)))</f>
        <v/>
      </c>
      <c r="AZ476" s="7">
        <f>IF(LEFT(A476,7)="EXEMPLE",1,0)</f>
        <v/>
      </c>
      <c r="BA476" s="7">
        <f>IF(AND(AV476=1,AZ476=0,AC476&lt;&gt;"",W476&lt;&gt;"",N(V476)&gt;0),COUNTIFS($AV$3:AV476,1,$AZ$3:AZ476,0,$AC$3:AC476,"&lt;&gt;",$W$3:W476,"&lt;&gt;",$V$3:V476,"&gt;0"),"")</f>
        <v/>
      </c>
    </row>
    <row r="477">
      <c r="A477" s="12" t="n"/>
      <c r="B477" s="13" t="n"/>
      <c r="C477" s="13" t="n"/>
      <c r="D477" s="7">
        <f>IF(OR(B477="",C477=""),"",ROUND((C477-B477)*1440,0))</f>
        <v/>
      </c>
      <c r="E477" s="12" t="n"/>
      <c r="F477" s="12" t="n"/>
      <c r="G477" s="12" t="n"/>
      <c r="H477" s="12" t="n"/>
      <c r="I477" s="12" t="n"/>
      <c r="J477" s="12" t="n"/>
      <c r="K477" s="12" t="n"/>
      <c r="L477" s="14" t="n"/>
      <c r="M477" s="12" t="n"/>
      <c r="N477" s="12" t="n"/>
      <c r="O477" s="12" t="n"/>
      <c r="P477" s="12" t="n"/>
      <c r="Q477" s="7">
        <f>IF(A477="","",IFERROR(VLOOKUP(O477,Listes!$R$3:$T$8,2,FALSE),0)+IFERROR(VLOOKUP(J477,Listes!$J$3:$L$6,2,FALSE),0)+IFERROR(VLOOKUP(N477,Listes!$N$3:$P$6,2,FALSE),0)+IF(OR(L477="",B477=""),0,IF(L477-INT(B477)&lt;10,8,IF(L477-INT(B477)&lt;=90,10,5)))+IFERROR(VLOOKUP(AN477,Listes!$V$3:$W$5,2,FALSE),0)+IFERROR(VLOOKUP(AO477,Listes!$Y$3:$Z$5,2,FALSE),0))</f>
        <v/>
      </c>
      <c r="R477" s="12" t="n"/>
      <c r="S477" s="12" t="n"/>
      <c r="T477" s="12" t="n"/>
      <c r="U477" s="15" t="n"/>
      <c r="V477" s="15" t="n"/>
      <c r="W477" s="13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3" t="n"/>
      <c r="AK477" s="12" t="n"/>
      <c r="AL477" s="12" t="n"/>
      <c r="AM477" s="12" t="n"/>
      <c r="AN477" s="12" t="n"/>
      <c r="AO477" s="12" t="n"/>
      <c r="AP477" s="12" t="n"/>
      <c r="AQ477" s="7">
        <f>IF(A477="","",IF(AP477&lt;&gt;"",AP477,IF(LEFT(Z477,11)="gads_marque","Google Search – Marque",IF(LEFT(Z477,12)="gads_mariage","Google Search – Mariage et privé",IF(LEFT(Z477,10)="gads_corpo","Google Search – Corporatif",IF(LEFT(Z477,5)="meta_","Meta – Leads",IF(LEFT(Z477,5)="msft_","Microsoft Ads",IF(LEFT(Z477,8)="chatgpt_","ChatGPT Ads – Test",IF(X477="gbp","Fiche Google (organique)","Autre / non payé")))))))))</f>
        <v/>
      </c>
      <c r="AR477" s="7">
        <f>IF(K477="","",IFERROR(VLOOKUP(K477,Listes!$F$3:$H$8,3,FALSE),""))</f>
        <v/>
      </c>
      <c r="AS477" s="7">
        <f>IF(O477="","",IF(AND(M477="Autre (plus de 40 km)",OR(O477="lt600",O477="600_999",O477="1000_2499")),"D",IF(OR(O477="lt600",AND(O477="600_999",K477&lt;&gt;"mariage",K477&lt;&gt;"prive")),"C",IF(OR(O477="2500_4999",O477="5000p",J477="entreprise",J477="organisme",J477="agence"),"A",IF(OR(O477="1000_2499",O477="600_999"),"B",IF(O477="inconnu",IF(OR(N477="75_149",N477="150p"),"A","B"),""))))))</f>
        <v/>
      </c>
      <c r="AT477" s="7">
        <f>IF(A477="","",IF(P477&lt;&gt;"",P477,AS477))</f>
        <v/>
      </c>
      <c r="AU477" s="7">
        <f>IF(A477="","",IF(OR(AT477="A",AT477="B"),1,0))</f>
        <v/>
      </c>
      <c r="AV477" s="7">
        <f>IF(A477="","",IF(OR(R477="Dépôt payé (gagné)",R477="Événement livré",R477="Avis obtenu"),1,0))</f>
        <v/>
      </c>
      <c r="AW477" s="7">
        <f>IF(A477="","",IF(Q477&gt;70,"Immédiat – propriétaire",IF(Q477&gt;=40,"15 min – personne de garde","Selon la route")))</f>
        <v/>
      </c>
      <c r="AX477" s="11">
        <f>IF(A477="","",IF(AT477="A",400,IF(AT477="B",150,0)))</f>
        <v/>
      </c>
      <c r="AY477" s="11">
        <f>IF(A477="","",IF(AV477=1,N(V477),IF(N(U477)&gt;0,ROUND(N(U477)*IFERROR(VLOOKUP(R477,Listes!$AE$3:$AG$12,2,FALSE),0),0),0)))</f>
        <v/>
      </c>
      <c r="AZ477" s="7">
        <f>IF(LEFT(A477,7)="EXEMPLE",1,0)</f>
        <v/>
      </c>
      <c r="BA477" s="7">
        <f>IF(AND(AV477=1,AZ477=0,AC477&lt;&gt;"",W477&lt;&gt;"",N(V477)&gt;0),COUNTIFS($AV$3:AV477,1,$AZ$3:AZ477,0,$AC$3:AC477,"&lt;&gt;",$W$3:W477,"&lt;&gt;",$V$3:V477,"&gt;0"),"")</f>
        <v/>
      </c>
    </row>
    <row r="478">
      <c r="A478" s="12" t="n"/>
      <c r="B478" s="13" t="n"/>
      <c r="C478" s="13" t="n"/>
      <c r="D478" s="7">
        <f>IF(OR(B478="",C478=""),"",ROUND((C478-B478)*1440,0))</f>
        <v/>
      </c>
      <c r="E478" s="12" t="n"/>
      <c r="F478" s="12" t="n"/>
      <c r="G478" s="12" t="n"/>
      <c r="H478" s="12" t="n"/>
      <c r="I478" s="12" t="n"/>
      <c r="J478" s="12" t="n"/>
      <c r="K478" s="12" t="n"/>
      <c r="L478" s="14" t="n"/>
      <c r="M478" s="12" t="n"/>
      <c r="N478" s="12" t="n"/>
      <c r="O478" s="12" t="n"/>
      <c r="P478" s="12" t="n"/>
      <c r="Q478" s="7">
        <f>IF(A478="","",IFERROR(VLOOKUP(O478,Listes!$R$3:$T$8,2,FALSE),0)+IFERROR(VLOOKUP(J478,Listes!$J$3:$L$6,2,FALSE),0)+IFERROR(VLOOKUP(N478,Listes!$N$3:$P$6,2,FALSE),0)+IF(OR(L478="",B478=""),0,IF(L478-INT(B478)&lt;10,8,IF(L478-INT(B478)&lt;=90,10,5)))+IFERROR(VLOOKUP(AN478,Listes!$V$3:$W$5,2,FALSE),0)+IFERROR(VLOOKUP(AO478,Listes!$Y$3:$Z$5,2,FALSE),0))</f>
        <v/>
      </c>
      <c r="R478" s="12" t="n"/>
      <c r="S478" s="12" t="n"/>
      <c r="T478" s="12" t="n"/>
      <c r="U478" s="15" t="n"/>
      <c r="V478" s="15" t="n"/>
      <c r="W478" s="13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3" t="n"/>
      <c r="AK478" s="12" t="n"/>
      <c r="AL478" s="12" t="n"/>
      <c r="AM478" s="12" t="n"/>
      <c r="AN478" s="12" t="n"/>
      <c r="AO478" s="12" t="n"/>
      <c r="AP478" s="12" t="n"/>
      <c r="AQ478" s="7">
        <f>IF(A478="","",IF(AP478&lt;&gt;"",AP478,IF(LEFT(Z478,11)="gads_marque","Google Search – Marque",IF(LEFT(Z478,12)="gads_mariage","Google Search – Mariage et privé",IF(LEFT(Z478,10)="gads_corpo","Google Search – Corporatif",IF(LEFT(Z478,5)="meta_","Meta – Leads",IF(LEFT(Z478,5)="msft_","Microsoft Ads",IF(LEFT(Z478,8)="chatgpt_","ChatGPT Ads – Test",IF(X478="gbp","Fiche Google (organique)","Autre / non payé")))))))))</f>
        <v/>
      </c>
      <c r="AR478" s="7">
        <f>IF(K478="","",IFERROR(VLOOKUP(K478,Listes!$F$3:$H$8,3,FALSE),""))</f>
        <v/>
      </c>
      <c r="AS478" s="7">
        <f>IF(O478="","",IF(AND(M478="Autre (plus de 40 km)",OR(O478="lt600",O478="600_999",O478="1000_2499")),"D",IF(OR(O478="lt600",AND(O478="600_999",K478&lt;&gt;"mariage",K478&lt;&gt;"prive")),"C",IF(OR(O478="2500_4999",O478="5000p",J478="entreprise",J478="organisme",J478="agence"),"A",IF(OR(O478="1000_2499",O478="600_999"),"B",IF(O478="inconnu",IF(OR(N478="75_149",N478="150p"),"A","B"),""))))))</f>
        <v/>
      </c>
      <c r="AT478" s="7">
        <f>IF(A478="","",IF(P478&lt;&gt;"",P478,AS478))</f>
        <v/>
      </c>
      <c r="AU478" s="7">
        <f>IF(A478="","",IF(OR(AT478="A",AT478="B"),1,0))</f>
        <v/>
      </c>
      <c r="AV478" s="7">
        <f>IF(A478="","",IF(OR(R478="Dépôt payé (gagné)",R478="Événement livré",R478="Avis obtenu"),1,0))</f>
        <v/>
      </c>
      <c r="AW478" s="7">
        <f>IF(A478="","",IF(Q478&gt;70,"Immédiat – propriétaire",IF(Q478&gt;=40,"15 min – personne de garde","Selon la route")))</f>
        <v/>
      </c>
      <c r="AX478" s="11">
        <f>IF(A478="","",IF(AT478="A",400,IF(AT478="B",150,0)))</f>
        <v/>
      </c>
      <c r="AY478" s="11">
        <f>IF(A478="","",IF(AV478=1,N(V478),IF(N(U478)&gt;0,ROUND(N(U478)*IFERROR(VLOOKUP(R478,Listes!$AE$3:$AG$12,2,FALSE),0),0),0)))</f>
        <v/>
      </c>
      <c r="AZ478" s="7">
        <f>IF(LEFT(A478,7)="EXEMPLE",1,0)</f>
        <v/>
      </c>
      <c r="BA478" s="7">
        <f>IF(AND(AV478=1,AZ478=0,AC478&lt;&gt;"",W478&lt;&gt;"",N(V478)&gt;0),COUNTIFS($AV$3:AV478,1,$AZ$3:AZ478,0,$AC$3:AC478,"&lt;&gt;",$W$3:W478,"&lt;&gt;",$V$3:V478,"&gt;0"),"")</f>
        <v/>
      </c>
    </row>
    <row r="479">
      <c r="A479" s="12" t="n"/>
      <c r="B479" s="13" t="n"/>
      <c r="C479" s="13" t="n"/>
      <c r="D479" s="7">
        <f>IF(OR(B479="",C479=""),"",ROUND((C479-B479)*1440,0))</f>
        <v/>
      </c>
      <c r="E479" s="12" t="n"/>
      <c r="F479" s="12" t="n"/>
      <c r="G479" s="12" t="n"/>
      <c r="H479" s="12" t="n"/>
      <c r="I479" s="12" t="n"/>
      <c r="J479" s="12" t="n"/>
      <c r="K479" s="12" t="n"/>
      <c r="L479" s="14" t="n"/>
      <c r="M479" s="12" t="n"/>
      <c r="N479" s="12" t="n"/>
      <c r="O479" s="12" t="n"/>
      <c r="P479" s="12" t="n"/>
      <c r="Q479" s="7">
        <f>IF(A479="","",IFERROR(VLOOKUP(O479,Listes!$R$3:$T$8,2,FALSE),0)+IFERROR(VLOOKUP(J479,Listes!$J$3:$L$6,2,FALSE),0)+IFERROR(VLOOKUP(N479,Listes!$N$3:$P$6,2,FALSE),0)+IF(OR(L479="",B479=""),0,IF(L479-INT(B479)&lt;10,8,IF(L479-INT(B479)&lt;=90,10,5)))+IFERROR(VLOOKUP(AN479,Listes!$V$3:$W$5,2,FALSE),0)+IFERROR(VLOOKUP(AO479,Listes!$Y$3:$Z$5,2,FALSE),0))</f>
        <v/>
      </c>
      <c r="R479" s="12" t="n"/>
      <c r="S479" s="12" t="n"/>
      <c r="T479" s="12" t="n"/>
      <c r="U479" s="15" t="n"/>
      <c r="V479" s="15" t="n"/>
      <c r="W479" s="13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3" t="n"/>
      <c r="AK479" s="12" t="n"/>
      <c r="AL479" s="12" t="n"/>
      <c r="AM479" s="12" t="n"/>
      <c r="AN479" s="12" t="n"/>
      <c r="AO479" s="12" t="n"/>
      <c r="AP479" s="12" t="n"/>
      <c r="AQ479" s="7">
        <f>IF(A479="","",IF(AP479&lt;&gt;"",AP479,IF(LEFT(Z479,11)="gads_marque","Google Search – Marque",IF(LEFT(Z479,12)="gads_mariage","Google Search – Mariage et privé",IF(LEFT(Z479,10)="gads_corpo","Google Search – Corporatif",IF(LEFT(Z479,5)="meta_","Meta – Leads",IF(LEFT(Z479,5)="msft_","Microsoft Ads",IF(LEFT(Z479,8)="chatgpt_","ChatGPT Ads – Test",IF(X479="gbp","Fiche Google (organique)","Autre / non payé")))))))))</f>
        <v/>
      </c>
      <c r="AR479" s="7">
        <f>IF(K479="","",IFERROR(VLOOKUP(K479,Listes!$F$3:$H$8,3,FALSE),""))</f>
        <v/>
      </c>
      <c r="AS479" s="7">
        <f>IF(O479="","",IF(AND(M479="Autre (plus de 40 km)",OR(O479="lt600",O479="600_999",O479="1000_2499")),"D",IF(OR(O479="lt600",AND(O479="600_999",K479&lt;&gt;"mariage",K479&lt;&gt;"prive")),"C",IF(OR(O479="2500_4999",O479="5000p",J479="entreprise",J479="organisme",J479="agence"),"A",IF(OR(O479="1000_2499",O479="600_999"),"B",IF(O479="inconnu",IF(OR(N479="75_149",N479="150p"),"A","B"),""))))))</f>
        <v/>
      </c>
      <c r="AT479" s="7">
        <f>IF(A479="","",IF(P479&lt;&gt;"",P479,AS479))</f>
        <v/>
      </c>
      <c r="AU479" s="7">
        <f>IF(A479="","",IF(OR(AT479="A",AT479="B"),1,0))</f>
        <v/>
      </c>
      <c r="AV479" s="7">
        <f>IF(A479="","",IF(OR(R479="Dépôt payé (gagné)",R479="Événement livré",R479="Avis obtenu"),1,0))</f>
        <v/>
      </c>
      <c r="AW479" s="7">
        <f>IF(A479="","",IF(Q479&gt;70,"Immédiat – propriétaire",IF(Q479&gt;=40,"15 min – personne de garde","Selon la route")))</f>
        <v/>
      </c>
      <c r="AX479" s="11">
        <f>IF(A479="","",IF(AT479="A",400,IF(AT479="B",150,0)))</f>
        <v/>
      </c>
      <c r="AY479" s="11">
        <f>IF(A479="","",IF(AV479=1,N(V479),IF(N(U479)&gt;0,ROUND(N(U479)*IFERROR(VLOOKUP(R479,Listes!$AE$3:$AG$12,2,FALSE),0),0),0)))</f>
        <v/>
      </c>
      <c r="AZ479" s="7">
        <f>IF(LEFT(A479,7)="EXEMPLE",1,0)</f>
        <v/>
      </c>
      <c r="BA479" s="7">
        <f>IF(AND(AV479=1,AZ479=0,AC479&lt;&gt;"",W479&lt;&gt;"",N(V479)&gt;0),COUNTIFS($AV$3:AV479,1,$AZ$3:AZ479,0,$AC$3:AC479,"&lt;&gt;",$W$3:W479,"&lt;&gt;",$V$3:V479,"&gt;0"),"")</f>
        <v/>
      </c>
    </row>
    <row r="480">
      <c r="A480" s="12" t="n"/>
      <c r="B480" s="13" t="n"/>
      <c r="C480" s="13" t="n"/>
      <c r="D480" s="7">
        <f>IF(OR(B480="",C480=""),"",ROUND((C480-B480)*1440,0))</f>
        <v/>
      </c>
      <c r="E480" s="12" t="n"/>
      <c r="F480" s="12" t="n"/>
      <c r="G480" s="12" t="n"/>
      <c r="H480" s="12" t="n"/>
      <c r="I480" s="12" t="n"/>
      <c r="J480" s="12" t="n"/>
      <c r="K480" s="12" t="n"/>
      <c r="L480" s="14" t="n"/>
      <c r="M480" s="12" t="n"/>
      <c r="N480" s="12" t="n"/>
      <c r="O480" s="12" t="n"/>
      <c r="P480" s="12" t="n"/>
      <c r="Q480" s="7">
        <f>IF(A480="","",IFERROR(VLOOKUP(O480,Listes!$R$3:$T$8,2,FALSE),0)+IFERROR(VLOOKUP(J480,Listes!$J$3:$L$6,2,FALSE),0)+IFERROR(VLOOKUP(N480,Listes!$N$3:$P$6,2,FALSE),0)+IF(OR(L480="",B480=""),0,IF(L480-INT(B480)&lt;10,8,IF(L480-INT(B480)&lt;=90,10,5)))+IFERROR(VLOOKUP(AN480,Listes!$V$3:$W$5,2,FALSE),0)+IFERROR(VLOOKUP(AO480,Listes!$Y$3:$Z$5,2,FALSE),0))</f>
        <v/>
      </c>
      <c r="R480" s="12" t="n"/>
      <c r="S480" s="12" t="n"/>
      <c r="T480" s="12" t="n"/>
      <c r="U480" s="15" t="n"/>
      <c r="V480" s="15" t="n"/>
      <c r="W480" s="13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3" t="n"/>
      <c r="AK480" s="12" t="n"/>
      <c r="AL480" s="12" t="n"/>
      <c r="AM480" s="12" t="n"/>
      <c r="AN480" s="12" t="n"/>
      <c r="AO480" s="12" t="n"/>
      <c r="AP480" s="12" t="n"/>
      <c r="AQ480" s="7">
        <f>IF(A480="","",IF(AP480&lt;&gt;"",AP480,IF(LEFT(Z480,11)="gads_marque","Google Search – Marque",IF(LEFT(Z480,12)="gads_mariage","Google Search – Mariage et privé",IF(LEFT(Z480,10)="gads_corpo","Google Search – Corporatif",IF(LEFT(Z480,5)="meta_","Meta – Leads",IF(LEFT(Z480,5)="msft_","Microsoft Ads",IF(LEFT(Z480,8)="chatgpt_","ChatGPT Ads – Test",IF(X480="gbp","Fiche Google (organique)","Autre / non payé")))))))))</f>
        <v/>
      </c>
      <c r="AR480" s="7">
        <f>IF(K480="","",IFERROR(VLOOKUP(K480,Listes!$F$3:$H$8,3,FALSE),""))</f>
        <v/>
      </c>
      <c r="AS480" s="7">
        <f>IF(O480="","",IF(AND(M480="Autre (plus de 40 km)",OR(O480="lt600",O480="600_999",O480="1000_2499")),"D",IF(OR(O480="lt600",AND(O480="600_999",K480&lt;&gt;"mariage",K480&lt;&gt;"prive")),"C",IF(OR(O480="2500_4999",O480="5000p",J480="entreprise",J480="organisme",J480="agence"),"A",IF(OR(O480="1000_2499",O480="600_999"),"B",IF(O480="inconnu",IF(OR(N480="75_149",N480="150p"),"A","B"),""))))))</f>
        <v/>
      </c>
      <c r="AT480" s="7">
        <f>IF(A480="","",IF(P480&lt;&gt;"",P480,AS480))</f>
        <v/>
      </c>
      <c r="AU480" s="7">
        <f>IF(A480="","",IF(OR(AT480="A",AT480="B"),1,0))</f>
        <v/>
      </c>
      <c r="AV480" s="7">
        <f>IF(A480="","",IF(OR(R480="Dépôt payé (gagné)",R480="Événement livré",R480="Avis obtenu"),1,0))</f>
        <v/>
      </c>
      <c r="AW480" s="7">
        <f>IF(A480="","",IF(Q480&gt;70,"Immédiat – propriétaire",IF(Q480&gt;=40,"15 min – personne de garde","Selon la route")))</f>
        <v/>
      </c>
      <c r="AX480" s="11">
        <f>IF(A480="","",IF(AT480="A",400,IF(AT480="B",150,0)))</f>
        <v/>
      </c>
      <c r="AY480" s="11">
        <f>IF(A480="","",IF(AV480=1,N(V480),IF(N(U480)&gt;0,ROUND(N(U480)*IFERROR(VLOOKUP(R480,Listes!$AE$3:$AG$12,2,FALSE),0),0),0)))</f>
        <v/>
      </c>
      <c r="AZ480" s="7">
        <f>IF(LEFT(A480,7)="EXEMPLE",1,0)</f>
        <v/>
      </c>
      <c r="BA480" s="7">
        <f>IF(AND(AV480=1,AZ480=0,AC480&lt;&gt;"",W480&lt;&gt;"",N(V480)&gt;0),COUNTIFS($AV$3:AV480,1,$AZ$3:AZ480,0,$AC$3:AC480,"&lt;&gt;",$W$3:W480,"&lt;&gt;",$V$3:V480,"&gt;0"),"")</f>
        <v/>
      </c>
    </row>
    <row r="481">
      <c r="A481" s="12" t="n"/>
      <c r="B481" s="13" t="n"/>
      <c r="C481" s="13" t="n"/>
      <c r="D481" s="7">
        <f>IF(OR(B481="",C481=""),"",ROUND((C481-B481)*1440,0))</f>
        <v/>
      </c>
      <c r="E481" s="12" t="n"/>
      <c r="F481" s="12" t="n"/>
      <c r="G481" s="12" t="n"/>
      <c r="H481" s="12" t="n"/>
      <c r="I481" s="12" t="n"/>
      <c r="J481" s="12" t="n"/>
      <c r="K481" s="12" t="n"/>
      <c r="L481" s="14" t="n"/>
      <c r="M481" s="12" t="n"/>
      <c r="N481" s="12" t="n"/>
      <c r="O481" s="12" t="n"/>
      <c r="P481" s="12" t="n"/>
      <c r="Q481" s="7">
        <f>IF(A481="","",IFERROR(VLOOKUP(O481,Listes!$R$3:$T$8,2,FALSE),0)+IFERROR(VLOOKUP(J481,Listes!$J$3:$L$6,2,FALSE),0)+IFERROR(VLOOKUP(N481,Listes!$N$3:$P$6,2,FALSE),0)+IF(OR(L481="",B481=""),0,IF(L481-INT(B481)&lt;10,8,IF(L481-INT(B481)&lt;=90,10,5)))+IFERROR(VLOOKUP(AN481,Listes!$V$3:$W$5,2,FALSE),0)+IFERROR(VLOOKUP(AO481,Listes!$Y$3:$Z$5,2,FALSE),0))</f>
        <v/>
      </c>
      <c r="R481" s="12" t="n"/>
      <c r="S481" s="12" t="n"/>
      <c r="T481" s="12" t="n"/>
      <c r="U481" s="15" t="n"/>
      <c r="V481" s="15" t="n"/>
      <c r="W481" s="13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3" t="n"/>
      <c r="AK481" s="12" t="n"/>
      <c r="AL481" s="12" t="n"/>
      <c r="AM481" s="12" t="n"/>
      <c r="AN481" s="12" t="n"/>
      <c r="AO481" s="12" t="n"/>
      <c r="AP481" s="12" t="n"/>
      <c r="AQ481" s="7">
        <f>IF(A481="","",IF(AP481&lt;&gt;"",AP481,IF(LEFT(Z481,11)="gads_marque","Google Search – Marque",IF(LEFT(Z481,12)="gads_mariage","Google Search – Mariage et privé",IF(LEFT(Z481,10)="gads_corpo","Google Search – Corporatif",IF(LEFT(Z481,5)="meta_","Meta – Leads",IF(LEFT(Z481,5)="msft_","Microsoft Ads",IF(LEFT(Z481,8)="chatgpt_","ChatGPT Ads – Test",IF(X481="gbp","Fiche Google (organique)","Autre / non payé")))))))))</f>
        <v/>
      </c>
      <c r="AR481" s="7">
        <f>IF(K481="","",IFERROR(VLOOKUP(K481,Listes!$F$3:$H$8,3,FALSE),""))</f>
        <v/>
      </c>
      <c r="AS481" s="7">
        <f>IF(O481="","",IF(AND(M481="Autre (plus de 40 km)",OR(O481="lt600",O481="600_999",O481="1000_2499")),"D",IF(OR(O481="lt600",AND(O481="600_999",K481&lt;&gt;"mariage",K481&lt;&gt;"prive")),"C",IF(OR(O481="2500_4999",O481="5000p",J481="entreprise",J481="organisme",J481="agence"),"A",IF(OR(O481="1000_2499",O481="600_999"),"B",IF(O481="inconnu",IF(OR(N481="75_149",N481="150p"),"A","B"),""))))))</f>
        <v/>
      </c>
      <c r="AT481" s="7">
        <f>IF(A481="","",IF(P481&lt;&gt;"",P481,AS481))</f>
        <v/>
      </c>
      <c r="AU481" s="7">
        <f>IF(A481="","",IF(OR(AT481="A",AT481="B"),1,0))</f>
        <v/>
      </c>
      <c r="AV481" s="7">
        <f>IF(A481="","",IF(OR(R481="Dépôt payé (gagné)",R481="Événement livré",R481="Avis obtenu"),1,0))</f>
        <v/>
      </c>
      <c r="AW481" s="7">
        <f>IF(A481="","",IF(Q481&gt;70,"Immédiat – propriétaire",IF(Q481&gt;=40,"15 min – personne de garde","Selon la route")))</f>
        <v/>
      </c>
      <c r="AX481" s="11">
        <f>IF(A481="","",IF(AT481="A",400,IF(AT481="B",150,0)))</f>
        <v/>
      </c>
      <c r="AY481" s="11">
        <f>IF(A481="","",IF(AV481=1,N(V481),IF(N(U481)&gt;0,ROUND(N(U481)*IFERROR(VLOOKUP(R481,Listes!$AE$3:$AG$12,2,FALSE),0),0),0)))</f>
        <v/>
      </c>
      <c r="AZ481" s="7">
        <f>IF(LEFT(A481,7)="EXEMPLE",1,0)</f>
        <v/>
      </c>
      <c r="BA481" s="7">
        <f>IF(AND(AV481=1,AZ481=0,AC481&lt;&gt;"",W481&lt;&gt;"",N(V481)&gt;0),COUNTIFS($AV$3:AV481,1,$AZ$3:AZ481,0,$AC$3:AC481,"&lt;&gt;",$W$3:W481,"&lt;&gt;",$V$3:V481,"&gt;0"),"")</f>
        <v/>
      </c>
    </row>
    <row r="482">
      <c r="A482" s="12" t="n"/>
      <c r="B482" s="13" t="n"/>
      <c r="C482" s="13" t="n"/>
      <c r="D482" s="7">
        <f>IF(OR(B482="",C482=""),"",ROUND((C482-B482)*1440,0))</f>
        <v/>
      </c>
      <c r="E482" s="12" t="n"/>
      <c r="F482" s="12" t="n"/>
      <c r="G482" s="12" t="n"/>
      <c r="H482" s="12" t="n"/>
      <c r="I482" s="12" t="n"/>
      <c r="J482" s="12" t="n"/>
      <c r="K482" s="12" t="n"/>
      <c r="L482" s="14" t="n"/>
      <c r="M482" s="12" t="n"/>
      <c r="N482" s="12" t="n"/>
      <c r="O482" s="12" t="n"/>
      <c r="P482" s="12" t="n"/>
      <c r="Q482" s="7">
        <f>IF(A482="","",IFERROR(VLOOKUP(O482,Listes!$R$3:$T$8,2,FALSE),0)+IFERROR(VLOOKUP(J482,Listes!$J$3:$L$6,2,FALSE),0)+IFERROR(VLOOKUP(N482,Listes!$N$3:$P$6,2,FALSE),0)+IF(OR(L482="",B482=""),0,IF(L482-INT(B482)&lt;10,8,IF(L482-INT(B482)&lt;=90,10,5)))+IFERROR(VLOOKUP(AN482,Listes!$V$3:$W$5,2,FALSE),0)+IFERROR(VLOOKUP(AO482,Listes!$Y$3:$Z$5,2,FALSE),0))</f>
        <v/>
      </c>
      <c r="R482" s="12" t="n"/>
      <c r="S482" s="12" t="n"/>
      <c r="T482" s="12" t="n"/>
      <c r="U482" s="15" t="n"/>
      <c r="V482" s="15" t="n"/>
      <c r="W482" s="13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3" t="n"/>
      <c r="AK482" s="12" t="n"/>
      <c r="AL482" s="12" t="n"/>
      <c r="AM482" s="12" t="n"/>
      <c r="AN482" s="12" t="n"/>
      <c r="AO482" s="12" t="n"/>
      <c r="AP482" s="12" t="n"/>
      <c r="AQ482" s="7">
        <f>IF(A482="","",IF(AP482&lt;&gt;"",AP482,IF(LEFT(Z482,11)="gads_marque","Google Search – Marque",IF(LEFT(Z482,12)="gads_mariage","Google Search – Mariage et privé",IF(LEFT(Z482,10)="gads_corpo","Google Search – Corporatif",IF(LEFT(Z482,5)="meta_","Meta – Leads",IF(LEFT(Z482,5)="msft_","Microsoft Ads",IF(LEFT(Z482,8)="chatgpt_","ChatGPT Ads – Test",IF(X482="gbp","Fiche Google (organique)","Autre / non payé")))))))))</f>
        <v/>
      </c>
      <c r="AR482" s="7">
        <f>IF(K482="","",IFERROR(VLOOKUP(K482,Listes!$F$3:$H$8,3,FALSE),""))</f>
        <v/>
      </c>
      <c r="AS482" s="7">
        <f>IF(O482="","",IF(AND(M482="Autre (plus de 40 km)",OR(O482="lt600",O482="600_999",O482="1000_2499")),"D",IF(OR(O482="lt600",AND(O482="600_999",K482&lt;&gt;"mariage",K482&lt;&gt;"prive")),"C",IF(OR(O482="2500_4999",O482="5000p",J482="entreprise",J482="organisme",J482="agence"),"A",IF(OR(O482="1000_2499",O482="600_999"),"B",IF(O482="inconnu",IF(OR(N482="75_149",N482="150p"),"A","B"),""))))))</f>
        <v/>
      </c>
      <c r="AT482" s="7">
        <f>IF(A482="","",IF(P482&lt;&gt;"",P482,AS482))</f>
        <v/>
      </c>
      <c r="AU482" s="7">
        <f>IF(A482="","",IF(OR(AT482="A",AT482="B"),1,0))</f>
        <v/>
      </c>
      <c r="AV482" s="7">
        <f>IF(A482="","",IF(OR(R482="Dépôt payé (gagné)",R482="Événement livré",R482="Avis obtenu"),1,0))</f>
        <v/>
      </c>
      <c r="AW482" s="7">
        <f>IF(A482="","",IF(Q482&gt;70,"Immédiat – propriétaire",IF(Q482&gt;=40,"15 min – personne de garde","Selon la route")))</f>
        <v/>
      </c>
      <c r="AX482" s="11">
        <f>IF(A482="","",IF(AT482="A",400,IF(AT482="B",150,0)))</f>
        <v/>
      </c>
      <c r="AY482" s="11">
        <f>IF(A482="","",IF(AV482=1,N(V482),IF(N(U482)&gt;0,ROUND(N(U482)*IFERROR(VLOOKUP(R482,Listes!$AE$3:$AG$12,2,FALSE),0),0),0)))</f>
        <v/>
      </c>
      <c r="AZ482" s="7">
        <f>IF(LEFT(A482,7)="EXEMPLE",1,0)</f>
        <v/>
      </c>
      <c r="BA482" s="7">
        <f>IF(AND(AV482=1,AZ482=0,AC482&lt;&gt;"",W482&lt;&gt;"",N(V482)&gt;0),COUNTIFS($AV$3:AV482,1,$AZ$3:AZ482,0,$AC$3:AC482,"&lt;&gt;",$W$3:W482,"&lt;&gt;",$V$3:V482,"&gt;0"),"")</f>
        <v/>
      </c>
    </row>
    <row r="483">
      <c r="A483" s="12" t="n"/>
      <c r="B483" s="13" t="n"/>
      <c r="C483" s="13" t="n"/>
      <c r="D483" s="7">
        <f>IF(OR(B483="",C483=""),"",ROUND((C483-B483)*1440,0))</f>
        <v/>
      </c>
      <c r="E483" s="12" t="n"/>
      <c r="F483" s="12" t="n"/>
      <c r="G483" s="12" t="n"/>
      <c r="H483" s="12" t="n"/>
      <c r="I483" s="12" t="n"/>
      <c r="J483" s="12" t="n"/>
      <c r="K483" s="12" t="n"/>
      <c r="L483" s="14" t="n"/>
      <c r="M483" s="12" t="n"/>
      <c r="N483" s="12" t="n"/>
      <c r="O483" s="12" t="n"/>
      <c r="P483" s="12" t="n"/>
      <c r="Q483" s="7">
        <f>IF(A483="","",IFERROR(VLOOKUP(O483,Listes!$R$3:$T$8,2,FALSE),0)+IFERROR(VLOOKUP(J483,Listes!$J$3:$L$6,2,FALSE),0)+IFERROR(VLOOKUP(N483,Listes!$N$3:$P$6,2,FALSE),0)+IF(OR(L483="",B483=""),0,IF(L483-INT(B483)&lt;10,8,IF(L483-INT(B483)&lt;=90,10,5)))+IFERROR(VLOOKUP(AN483,Listes!$V$3:$W$5,2,FALSE),0)+IFERROR(VLOOKUP(AO483,Listes!$Y$3:$Z$5,2,FALSE),0))</f>
        <v/>
      </c>
      <c r="R483" s="12" t="n"/>
      <c r="S483" s="12" t="n"/>
      <c r="T483" s="12" t="n"/>
      <c r="U483" s="15" t="n"/>
      <c r="V483" s="15" t="n"/>
      <c r="W483" s="13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3" t="n"/>
      <c r="AK483" s="12" t="n"/>
      <c r="AL483" s="12" t="n"/>
      <c r="AM483" s="12" t="n"/>
      <c r="AN483" s="12" t="n"/>
      <c r="AO483" s="12" t="n"/>
      <c r="AP483" s="12" t="n"/>
      <c r="AQ483" s="7">
        <f>IF(A483="","",IF(AP483&lt;&gt;"",AP483,IF(LEFT(Z483,11)="gads_marque","Google Search – Marque",IF(LEFT(Z483,12)="gads_mariage","Google Search – Mariage et privé",IF(LEFT(Z483,10)="gads_corpo","Google Search – Corporatif",IF(LEFT(Z483,5)="meta_","Meta – Leads",IF(LEFT(Z483,5)="msft_","Microsoft Ads",IF(LEFT(Z483,8)="chatgpt_","ChatGPT Ads – Test",IF(X483="gbp","Fiche Google (organique)","Autre / non payé")))))))))</f>
        <v/>
      </c>
      <c r="AR483" s="7">
        <f>IF(K483="","",IFERROR(VLOOKUP(K483,Listes!$F$3:$H$8,3,FALSE),""))</f>
        <v/>
      </c>
      <c r="AS483" s="7">
        <f>IF(O483="","",IF(AND(M483="Autre (plus de 40 km)",OR(O483="lt600",O483="600_999",O483="1000_2499")),"D",IF(OR(O483="lt600",AND(O483="600_999",K483&lt;&gt;"mariage",K483&lt;&gt;"prive")),"C",IF(OR(O483="2500_4999",O483="5000p",J483="entreprise",J483="organisme",J483="agence"),"A",IF(OR(O483="1000_2499",O483="600_999"),"B",IF(O483="inconnu",IF(OR(N483="75_149",N483="150p"),"A","B"),""))))))</f>
        <v/>
      </c>
      <c r="AT483" s="7">
        <f>IF(A483="","",IF(P483&lt;&gt;"",P483,AS483))</f>
        <v/>
      </c>
      <c r="AU483" s="7">
        <f>IF(A483="","",IF(OR(AT483="A",AT483="B"),1,0))</f>
        <v/>
      </c>
      <c r="AV483" s="7">
        <f>IF(A483="","",IF(OR(R483="Dépôt payé (gagné)",R483="Événement livré",R483="Avis obtenu"),1,0))</f>
        <v/>
      </c>
      <c r="AW483" s="7">
        <f>IF(A483="","",IF(Q483&gt;70,"Immédiat – propriétaire",IF(Q483&gt;=40,"15 min – personne de garde","Selon la route")))</f>
        <v/>
      </c>
      <c r="AX483" s="11">
        <f>IF(A483="","",IF(AT483="A",400,IF(AT483="B",150,0)))</f>
        <v/>
      </c>
      <c r="AY483" s="11">
        <f>IF(A483="","",IF(AV483=1,N(V483),IF(N(U483)&gt;0,ROUND(N(U483)*IFERROR(VLOOKUP(R483,Listes!$AE$3:$AG$12,2,FALSE),0),0),0)))</f>
        <v/>
      </c>
      <c r="AZ483" s="7">
        <f>IF(LEFT(A483,7)="EXEMPLE",1,0)</f>
        <v/>
      </c>
      <c r="BA483" s="7">
        <f>IF(AND(AV483=1,AZ483=0,AC483&lt;&gt;"",W483&lt;&gt;"",N(V483)&gt;0),COUNTIFS($AV$3:AV483,1,$AZ$3:AZ483,0,$AC$3:AC483,"&lt;&gt;",$W$3:W483,"&lt;&gt;",$V$3:V483,"&gt;0"),"")</f>
        <v/>
      </c>
    </row>
    <row r="484">
      <c r="A484" s="12" t="n"/>
      <c r="B484" s="13" t="n"/>
      <c r="C484" s="13" t="n"/>
      <c r="D484" s="7">
        <f>IF(OR(B484="",C484=""),"",ROUND((C484-B484)*1440,0))</f>
        <v/>
      </c>
      <c r="E484" s="12" t="n"/>
      <c r="F484" s="12" t="n"/>
      <c r="G484" s="12" t="n"/>
      <c r="H484" s="12" t="n"/>
      <c r="I484" s="12" t="n"/>
      <c r="J484" s="12" t="n"/>
      <c r="K484" s="12" t="n"/>
      <c r="L484" s="14" t="n"/>
      <c r="M484" s="12" t="n"/>
      <c r="N484" s="12" t="n"/>
      <c r="O484" s="12" t="n"/>
      <c r="P484" s="12" t="n"/>
      <c r="Q484" s="7">
        <f>IF(A484="","",IFERROR(VLOOKUP(O484,Listes!$R$3:$T$8,2,FALSE),0)+IFERROR(VLOOKUP(J484,Listes!$J$3:$L$6,2,FALSE),0)+IFERROR(VLOOKUP(N484,Listes!$N$3:$P$6,2,FALSE),0)+IF(OR(L484="",B484=""),0,IF(L484-INT(B484)&lt;10,8,IF(L484-INT(B484)&lt;=90,10,5)))+IFERROR(VLOOKUP(AN484,Listes!$V$3:$W$5,2,FALSE),0)+IFERROR(VLOOKUP(AO484,Listes!$Y$3:$Z$5,2,FALSE),0))</f>
        <v/>
      </c>
      <c r="R484" s="12" t="n"/>
      <c r="S484" s="12" t="n"/>
      <c r="T484" s="12" t="n"/>
      <c r="U484" s="15" t="n"/>
      <c r="V484" s="15" t="n"/>
      <c r="W484" s="13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3" t="n"/>
      <c r="AK484" s="12" t="n"/>
      <c r="AL484" s="12" t="n"/>
      <c r="AM484" s="12" t="n"/>
      <c r="AN484" s="12" t="n"/>
      <c r="AO484" s="12" t="n"/>
      <c r="AP484" s="12" t="n"/>
      <c r="AQ484" s="7">
        <f>IF(A484="","",IF(AP484&lt;&gt;"",AP484,IF(LEFT(Z484,11)="gads_marque","Google Search – Marque",IF(LEFT(Z484,12)="gads_mariage","Google Search – Mariage et privé",IF(LEFT(Z484,10)="gads_corpo","Google Search – Corporatif",IF(LEFT(Z484,5)="meta_","Meta – Leads",IF(LEFT(Z484,5)="msft_","Microsoft Ads",IF(LEFT(Z484,8)="chatgpt_","ChatGPT Ads – Test",IF(X484="gbp","Fiche Google (organique)","Autre / non payé")))))))))</f>
        <v/>
      </c>
      <c r="AR484" s="7">
        <f>IF(K484="","",IFERROR(VLOOKUP(K484,Listes!$F$3:$H$8,3,FALSE),""))</f>
        <v/>
      </c>
      <c r="AS484" s="7">
        <f>IF(O484="","",IF(AND(M484="Autre (plus de 40 km)",OR(O484="lt600",O484="600_999",O484="1000_2499")),"D",IF(OR(O484="lt600",AND(O484="600_999",K484&lt;&gt;"mariage",K484&lt;&gt;"prive")),"C",IF(OR(O484="2500_4999",O484="5000p",J484="entreprise",J484="organisme",J484="agence"),"A",IF(OR(O484="1000_2499",O484="600_999"),"B",IF(O484="inconnu",IF(OR(N484="75_149",N484="150p"),"A","B"),""))))))</f>
        <v/>
      </c>
      <c r="AT484" s="7">
        <f>IF(A484="","",IF(P484&lt;&gt;"",P484,AS484))</f>
        <v/>
      </c>
      <c r="AU484" s="7">
        <f>IF(A484="","",IF(OR(AT484="A",AT484="B"),1,0))</f>
        <v/>
      </c>
      <c r="AV484" s="7">
        <f>IF(A484="","",IF(OR(R484="Dépôt payé (gagné)",R484="Événement livré",R484="Avis obtenu"),1,0))</f>
        <v/>
      </c>
      <c r="AW484" s="7">
        <f>IF(A484="","",IF(Q484&gt;70,"Immédiat – propriétaire",IF(Q484&gt;=40,"15 min – personne de garde","Selon la route")))</f>
        <v/>
      </c>
      <c r="AX484" s="11">
        <f>IF(A484="","",IF(AT484="A",400,IF(AT484="B",150,0)))</f>
        <v/>
      </c>
      <c r="AY484" s="11">
        <f>IF(A484="","",IF(AV484=1,N(V484),IF(N(U484)&gt;0,ROUND(N(U484)*IFERROR(VLOOKUP(R484,Listes!$AE$3:$AG$12,2,FALSE),0),0),0)))</f>
        <v/>
      </c>
      <c r="AZ484" s="7">
        <f>IF(LEFT(A484,7)="EXEMPLE",1,0)</f>
        <v/>
      </c>
      <c r="BA484" s="7">
        <f>IF(AND(AV484=1,AZ484=0,AC484&lt;&gt;"",W484&lt;&gt;"",N(V484)&gt;0),COUNTIFS($AV$3:AV484,1,$AZ$3:AZ484,0,$AC$3:AC484,"&lt;&gt;",$W$3:W484,"&lt;&gt;",$V$3:V484,"&gt;0"),"")</f>
        <v/>
      </c>
    </row>
    <row r="485">
      <c r="A485" s="12" t="n"/>
      <c r="B485" s="13" t="n"/>
      <c r="C485" s="13" t="n"/>
      <c r="D485" s="7">
        <f>IF(OR(B485="",C485=""),"",ROUND((C485-B485)*1440,0))</f>
        <v/>
      </c>
      <c r="E485" s="12" t="n"/>
      <c r="F485" s="12" t="n"/>
      <c r="G485" s="12" t="n"/>
      <c r="H485" s="12" t="n"/>
      <c r="I485" s="12" t="n"/>
      <c r="J485" s="12" t="n"/>
      <c r="K485" s="12" t="n"/>
      <c r="L485" s="14" t="n"/>
      <c r="M485" s="12" t="n"/>
      <c r="N485" s="12" t="n"/>
      <c r="O485" s="12" t="n"/>
      <c r="P485" s="12" t="n"/>
      <c r="Q485" s="7">
        <f>IF(A485="","",IFERROR(VLOOKUP(O485,Listes!$R$3:$T$8,2,FALSE),0)+IFERROR(VLOOKUP(J485,Listes!$J$3:$L$6,2,FALSE),0)+IFERROR(VLOOKUP(N485,Listes!$N$3:$P$6,2,FALSE),0)+IF(OR(L485="",B485=""),0,IF(L485-INT(B485)&lt;10,8,IF(L485-INT(B485)&lt;=90,10,5)))+IFERROR(VLOOKUP(AN485,Listes!$V$3:$W$5,2,FALSE),0)+IFERROR(VLOOKUP(AO485,Listes!$Y$3:$Z$5,2,FALSE),0))</f>
        <v/>
      </c>
      <c r="R485" s="12" t="n"/>
      <c r="S485" s="12" t="n"/>
      <c r="T485" s="12" t="n"/>
      <c r="U485" s="15" t="n"/>
      <c r="V485" s="15" t="n"/>
      <c r="W485" s="13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3" t="n"/>
      <c r="AK485" s="12" t="n"/>
      <c r="AL485" s="12" t="n"/>
      <c r="AM485" s="12" t="n"/>
      <c r="AN485" s="12" t="n"/>
      <c r="AO485" s="12" t="n"/>
      <c r="AP485" s="12" t="n"/>
      <c r="AQ485" s="7">
        <f>IF(A485="","",IF(AP485&lt;&gt;"",AP485,IF(LEFT(Z485,11)="gads_marque","Google Search – Marque",IF(LEFT(Z485,12)="gads_mariage","Google Search – Mariage et privé",IF(LEFT(Z485,10)="gads_corpo","Google Search – Corporatif",IF(LEFT(Z485,5)="meta_","Meta – Leads",IF(LEFT(Z485,5)="msft_","Microsoft Ads",IF(LEFT(Z485,8)="chatgpt_","ChatGPT Ads – Test",IF(X485="gbp","Fiche Google (organique)","Autre / non payé")))))))))</f>
        <v/>
      </c>
      <c r="AR485" s="7">
        <f>IF(K485="","",IFERROR(VLOOKUP(K485,Listes!$F$3:$H$8,3,FALSE),""))</f>
        <v/>
      </c>
      <c r="AS485" s="7">
        <f>IF(O485="","",IF(AND(M485="Autre (plus de 40 km)",OR(O485="lt600",O485="600_999",O485="1000_2499")),"D",IF(OR(O485="lt600",AND(O485="600_999",K485&lt;&gt;"mariage",K485&lt;&gt;"prive")),"C",IF(OR(O485="2500_4999",O485="5000p",J485="entreprise",J485="organisme",J485="agence"),"A",IF(OR(O485="1000_2499",O485="600_999"),"B",IF(O485="inconnu",IF(OR(N485="75_149",N485="150p"),"A","B"),""))))))</f>
        <v/>
      </c>
      <c r="AT485" s="7">
        <f>IF(A485="","",IF(P485&lt;&gt;"",P485,AS485))</f>
        <v/>
      </c>
      <c r="AU485" s="7">
        <f>IF(A485="","",IF(OR(AT485="A",AT485="B"),1,0))</f>
        <v/>
      </c>
      <c r="AV485" s="7">
        <f>IF(A485="","",IF(OR(R485="Dépôt payé (gagné)",R485="Événement livré",R485="Avis obtenu"),1,0))</f>
        <v/>
      </c>
      <c r="AW485" s="7">
        <f>IF(A485="","",IF(Q485&gt;70,"Immédiat – propriétaire",IF(Q485&gt;=40,"15 min – personne de garde","Selon la route")))</f>
        <v/>
      </c>
      <c r="AX485" s="11">
        <f>IF(A485="","",IF(AT485="A",400,IF(AT485="B",150,0)))</f>
        <v/>
      </c>
      <c r="AY485" s="11">
        <f>IF(A485="","",IF(AV485=1,N(V485),IF(N(U485)&gt;0,ROUND(N(U485)*IFERROR(VLOOKUP(R485,Listes!$AE$3:$AG$12,2,FALSE),0),0),0)))</f>
        <v/>
      </c>
      <c r="AZ485" s="7">
        <f>IF(LEFT(A485,7)="EXEMPLE",1,0)</f>
        <v/>
      </c>
      <c r="BA485" s="7">
        <f>IF(AND(AV485=1,AZ485=0,AC485&lt;&gt;"",W485&lt;&gt;"",N(V485)&gt;0),COUNTIFS($AV$3:AV485,1,$AZ$3:AZ485,0,$AC$3:AC485,"&lt;&gt;",$W$3:W485,"&lt;&gt;",$V$3:V485,"&gt;0"),"")</f>
        <v/>
      </c>
    </row>
    <row r="486">
      <c r="A486" s="12" t="n"/>
      <c r="B486" s="13" t="n"/>
      <c r="C486" s="13" t="n"/>
      <c r="D486" s="7">
        <f>IF(OR(B486="",C486=""),"",ROUND((C486-B486)*1440,0))</f>
        <v/>
      </c>
      <c r="E486" s="12" t="n"/>
      <c r="F486" s="12" t="n"/>
      <c r="G486" s="12" t="n"/>
      <c r="H486" s="12" t="n"/>
      <c r="I486" s="12" t="n"/>
      <c r="J486" s="12" t="n"/>
      <c r="K486" s="12" t="n"/>
      <c r="L486" s="14" t="n"/>
      <c r="M486" s="12" t="n"/>
      <c r="N486" s="12" t="n"/>
      <c r="O486" s="12" t="n"/>
      <c r="P486" s="12" t="n"/>
      <c r="Q486" s="7">
        <f>IF(A486="","",IFERROR(VLOOKUP(O486,Listes!$R$3:$T$8,2,FALSE),0)+IFERROR(VLOOKUP(J486,Listes!$J$3:$L$6,2,FALSE),0)+IFERROR(VLOOKUP(N486,Listes!$N$3:$P$6,2,FALSE),0)+IF(OR(L486="",B486=""),0,IF(L486-INT(B486)&lt;10,8,IF(L486-INT(B486)&lt;=90,10,5)))+IFERROR(VLOOKUP(AN486,Listes!$V$3:$W$5,2,FALSE),0)+IFERROR(VLOOKUP(AO486,Listes!$Y$3:$Z$5,2,FALSE),0))</f>
        <v/>
      </c>
      <c r="R486" s="12" t="n"/>
      <c r="S486" s="12" t="n"/>
      <c r="T486" s="12" t="n"/>
      <c r="U486" s="15" t="n"/>
      <c r="V486" s="15" t="n"/>
      <c r="W486" s="13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3" t="n"/>
      <c r="AK486" s="12" t="n"/>
      <c r="AL486" s="12" t="n"/>
      <c r="AM486" s="12" t="n"/>
      <c r="AN486" s="12" t="n"/>
      <c r="AO486" s="12" t="n"/>
      <c r="AP486" s="12" t="n"/>
      <c r="AQ486" s="7">
        <f>IF(A486="","",IF(AP486&lt;&gt;"",AP486,IF(LEFT(Z486,11)="gads_marque","Google Search – Marque",IF(LEFT(Z486,12)="gads_mariage","Google Search – Mariage et privé",IF(LEFT(Z486,10)="gads_corpo","Google Search – Corporatif",IF(LEFT(Z486,5)="meta_","Meta – Leads",IF(LEFT(Z486,5)="msft_","Microsoft Ads",IF(LEFT(Z486,8)="chatgpt_","ChatGPT Ads – Test",IF(X486="gbp","Fiche Google (organique)","Autre / non payé")))))))))</f>
        <v/>
      </c>
      <c r="AR486" s="7">
        <f>IF(K486="","",IFERROR(VLOOKUP(K486,Listes!$F$3:$H$8,3,FALSE),""))</f>
        <v/>
      </c>
      <c r="AS486" s="7">
        <f>IF(O486="","",IF(AND(M486="Autre (plus de 40 km)",OR(O486="lt600",O486="600_999",O486="1000_2499")),"D",IF(OR(O486="lt600",AND(O486="600_999",K486&lt;&gt;"mariage",K486&lt;&gt;"prive")),"C",IF(OR(O486="2500_4999",O486="5000p",J486="entreprise",J486="organisme",J486="agence"),"A",IF(OR(O486="1000_2499",O486="600_999"),"B",IF(O486="inconnu",IF(OR(N486="75_149",N486="150p"),"A","B"),""))))))</f>
        <v/>
      </c>
      <c r="AT486" s="7">
        <f>IF(A486="","",IF(P486&lt;&gt;"",P486,AS486))</f>
        <v/>
      </c>
      <c r="AU486" s="7">
        <f>IF(A486="","",IF(OR(AT486="A",AT486="B"),1,0))</f>
        <v/>
      </c>
      <c r="AV486" s="7">
        <f>IF(A486="","",IF(OR(R486="Dépôt payé (gagné)",R486="Événement livré",R486="Avis obtenu"),1,0))</f>
        <v/>
      </c>
      <c r="AW486" s="7">
        <f>IF(A486="","",IF(Q486&gt;70,"Immédiat – propriétaire",IF(Q486&gt;=40,"15 min – personne de garde","Selon la route")))</f>
        <v/>
      </c>
      <c r="AX486" s="11">
        <f>IF(A486="","",IF(AT486="A",400,IF(AT486="B",150,0)))</f>
        <v/>
      </c>
      <c r="AY486" s="11">
        <f>IF(A486="","",IF(AV486=1,N(V486),IF(N(U486)&gt;0,ROUND(N(U486)*IFERROR(VLOOKUP(R486,Listes!$AE$3:$AG$12,2,FALSE),0),0),0)))</f>
        <v/>
      </c>
      <c r="AZ486" s="7">
        <f>IF(LEFT(A486,7)="EXEMPLE",1,0)</f>
        <v/>
      </c>
      <c r="BA486" s="7">
        <f>IF(AND(AV486=1,AZ486=0,AC486&lt;&gt;"",W486&lt;&gt;"",N(V486)&gt;0),COUNTIFS($AV$3:AV486,1,$AZ$3:AZ486,0,$AC$3:AC486,"&lt;&gt;",$W$3:W486,"&lt;&gt;",$V$3:V486,"&gt;0"),"")</f>
        <v/>
      </c>
    </row>
    <row r="487">
      <c r="A487" s="12" t="n"/>
      <c r="B487" s="13" t="n"/>
      <c r="C487" s="13" t="n"/>
      <c r="D487" s="7">
        <f>IF(OR(B487="",C487=""),"",ROUND((C487-B487)*1440,0))</f>
        <v/>
      </c>
      <c r="E487" s="12" t="n"/>
      <c r="F487" s="12" t="n"/>
      <c r="G487" s="12" t="n"/>
      <c r="H487" s="12" t="n"/>
      <c r="I487" s="12" t="n"/>
      <c r="J487" s="12" t="n"/>
      <c r="K487" s="12" t="n"/>
      <c r="L487" s="14" t="n"/>
      <c r="M487" s="12" t="n"/>
      <c r="N487" s="12" t="n"/>
      <c r="O487" s="12" t="n"/>
      <c r="P487" s="12" t="n"/>
      <c r="Q487" s="7">
        <f>IF(A487="","",IFERROR(VLOOKUP(O487,Listes!$R$3:$T$8,2,FALSE),0)+IFERROR(VLOOKUP(J487,Listes!$J$3:$L$6,2,FALSE),0)+IFERROR(VLOOKUP(N487,Listes!$N$3:$P$6,2,FALSE),0)+IF(OR(L487="",B487=""),0,IF(L487-INT(B487)&lt;10,8,IF(L487-INT(B487)&lt;=90,10,5)))+IFERROR(VLOOKUP(AN487,Listes!$V$3:$W$5,2,FALSE),0)+IFERROR(VLOOKUP(AO487,Listes!$Y$3:$Z$5,2,FALSE),0))</f>
        <v/>
      </c>
      <c r="R487" s="12" t="n"/>
      <c r="S487" s="12" t="n"/>
      <c r="T487" s="12" t="n"/>
      <c r="U487" s="15" t="n"/>
      <c r="V487" s="15" t="n"/>
      <c r="W487" s="13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3" t="n"/>
      <c r="AK487" s="12" t="n"/>
      <c r="AL487" s="12" t="n"/>
      <c r="AM487" s="12" t="n"/>
      <c r="AN487" s="12" t="n"/>
      <c r="AO487" s="12" t="n"/>
      <c r="AP487" s="12" t="n"/>
      <c r="AQ487" s="7">
        <f>IF(A487="","",IF(AP487&lt;&gt;"",AP487,IF(LEFT(Z487,11)="gads_marque","Google Search – Marque",IF(LEFT(Z487,12)="gads_mariage","Google Search – Mariage et privé",IF(LEFT(Z487,10)="gads_corpo","Google Search – Corporatif",IF(LEFT(Z487,5)="meta_","Meta – Leads",IF(LEFT(Z487,5)="msft_","Microsoft Ads",IF(LEFT(Z487,8)="chatgpt_","ChatGPT Ads – Test",IF(X487="gbp","Fiche Google (organique)","Autre / non payé")))))))))</f>
        <v/>
      </c>
      <c r="AR487" s="7">
        <f>IF(K487="","",IFERROR(VLOOKUP(K487,Listes!$F$3:$H$8,3,FALSE),""))</f>
        <v/>
      </c>
      <c r="AS487" s="7">
        <f>IF(O487="","",IF(AND(M487="Autre (plus de 40 km)",OR(O487="lt600",O487="600_999",O487="1000_2499")),"D",IF(OR(O487="lt600",AND(O487="600_999",K487&lt;&gt;"mariage",K487&lt;&gt;"prive")),"C",IF(OR(O487="2500_4999",O487="5000p",J487="entreprise",J487="organisme",J487="agence"),"A",IF(OR(O487="1000_2499",O487="600_999"),"B",IF(O487="inconnu",IF(OR(N487="75_149",N487="150p"),"A","B"),""))))))</f>
        <v/>
      </c>
      <c r="AT487" s="7">
        <f>IF(A487="","",IF(P487&lt;&gt;"",P487,AS487))</f>
        <v/>
      </c>
      <c r="AU487" s="7">
        <f>IF(A487="","",IF(OR(AT487="A",AT487="B"),1,0))</f>
        <v/>
      </c>
      <c r="AV487" s="7">
        <f>IF(A487="","",IF(OR(R487="Dépôt payé (gagné)",R487="Événement livré",R487="Avis obtenu"),1,0))</f>
        <v/>
      </c>
      <c r="AW487" s="7">
        <f>IF(A487="","",IF(Q487&gt;70,"Immédiat – propriétaire",IF(Q487&gt;=40,"15 min – personne de garde","Selon la route")))</f>
        <v/>
      </c>
      <c r="AX487" s="11">
        <f>IF(A487="","",IF(AT487="A",400,IF(AT487="B",150,0)))</f>
        <v/>
      </c>
      <c r="AY487" s="11">
        <f>IF(A487="","",IF(AV487=1,N(V487),IF(N(U487)&gt;0,ROUND(N(U487)*IFERROR(VLOOKUP(R487,Listes!$AE$3:$AG$12,2,FALSE),0),0),0)))</f>
        <v/>
      </c>
      <c r="AZ487" s="7">
        <f>IF(LEFT(A487,7)="EXEMPLE",1,0)</f>
        <v/>
      </c>
      <c r="BA487" s="7">
        <f>IF(AND(AV487=1,AZ487=0,AC487&lt;&gt;"",W487&lt;&gt;"",N(V487)&gt;0),COUNTIFS($AV$3:AV487,1,$AZ$3:AZ487,0,$AC$3:AC487,"&lt;&gt;",$W$3:W487,"&lt;&gt;",$V$3:V487,"&gt;0"),"")</f>
        <v/>
      </c>
    </row>
    <row r="488">
      <c r="A488" s="12" t="n"/>
      <c r="B488" s="13" t="n"/>
      <c r="C488" s="13" t="n"/>
      <c r="D488" s="7">
        <f>IF(OR(B488="",C488=""),"",ROUND((C488-B488)*1440,0))</f>
        <v/>
      </c>
      <c r="E488" s="12" t="n"/>
      <c r="F488" s="12" t="n"/>
      <c r="G488" s="12" t="n"/>
      <c r="H488" s="12" t="n"/>
      <c r="I488" s="12" t="n"/>
      <c r="J488" s="12" t="n"/>
      <c r="K488" s="12" t="n"/>
      <c r="L488" s="14" t="n"/>
      <c r="M488" s="12" t="n"/>
      <c r="N488" s="12" t="n"/>
      <c r="O488" s="12" t="n"/>
      <c r="P488" s="12" t="n"/>
      <c r="Q488" s="7">
        <f>IF(A488="","",IFERROR(VLOOKUP(O488,Listes!$R$3:$T$8,2,FALSE),0)+IFERROR(VLOOKUP(J488,Listes!$J$3:$L$6,2,FALSE),0)+IFERROR(VLOOKUP(N488,Listes!$N$3:$P$6,2,FALSE),0)+IF(OR(L488="",B488=""),0,IF(L488-INT(B488)&lt;10,8,IF(L488-INT(B488)&lt;=90,10,5)))+IFERROR(VLOOKUP(AN488,Listes!$V$3:$W$5,2,FALSE),0)+IFERROR(VLOOKUP(AO488,Listes!$Y$3:$Z$5,2,FALSE),0))</f>
        <v/>
      </c>
      <c r="R488" s="12" t="n"/>
      <c r="S488" s="12" t="n"/>
      <c r="T488" s="12" t="n"/>
      <c r="U488" s="15" t="n"/>
      <c r="V488" s="15" t="n"/>
      <c r="W488" s="13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3" t="n"/>
      <c r="AK488" s="12" t="n"/>
      <c r="AL488" s="12" t="n"/>
      <c r="AM488" s="12" t="n"/>
      <c r="AN488" s="12" t="n"/>
      <c r="AO488" s="12" t="n"/>
      <c r="AP488" s="12" t="n"/>
      <c r="AQ488" s="7">
        <f>IF(A488="","",IF(AP488&lt;&gt;"",AP488,IF(LEFT(Z488,11)="gads_marque","Google Search – Marque",IF(LEFT(Z488,12)="gads_mariage","Google Search – Mariage et privé",IF(LEFT(Z488,10)="gads_corpo","Google Search – Corporatif",IF(LEFT(Z488,5)="meta_","Meta – Leads",IF(LEFT(Z488,5)="msft_","Microsoft Ads",IF(LEFT(Z488,8)="chatgpt_","ChatGPT Ads – Test",IF(X488="gbp","Fiche Google (organique)","Autre / non payé")))))))))</f>
        <v/>
      </c>
      <c r="AR488" s="7">
        <f>IF(K488="","",IFERROR(VLOOKUP(K488,Listes!$F$3:$H$8,3,FALSE),""))</f>
        <v/>
      </c>
      <c r="AS488" s="7">
        <f>IF(O488="","",IF(AND(M488="Autre (plus de 40 km)",OR(O488="lt600",O488="600_999",O488="1000_2499")),"D",IF(OR(O488="lt600",AND(O488="600_999",K488&lt;&gt;"mariage",K488&lt;&gt;"prive")),"C",IF(OR(O488="2500_4999",O488="5000p",J488="entreprise",J488="organisme",J488="agence"),"A",IF(OR(O488="1000_2499",O488="600_999"),"B",IF(O488="inconnu",IF(OR(N488="75_149",N488="150p"),"A","B"),""))))))</f>
        <v/>
      </c>
      <c r="AT488" s="7">
        <f>IF(A488="","",IF(P488&lt;&gt;"",P488,AS488))</f>
        <v/>
      </c>
      <c r="AU488" s="7">
        <f>IF(A488="","",IF(OR(AT488="A",AT488="B"),1,0))</f>
        <v/>
      </c>
      <c r="AV488" s="7">
        <f>IF(A488="","",IF(OR(R488="Dépôt payé (gagné)",R488="Événement livré",R488="Avis obtenu"),1,0))</f>
        <v/>
      </c>
      <c r="AW488" s="7">
        <f>IF(A488="","",IF(Q488&gt;70,"Immédiat – propriétaire",IF(Q488&gt;=40,"15 min – personne de garde","Selon la route")))</f>
        <v/>
      </c>
      <c r="AX488" s="11">
        <f>IF(A488="","",IF(AT488="A",400,IF(AT488="B",150,0)))</f>
        <v/>
      </c>
      <c r="AY488" s="11">
        <f>IF(A488="","",IF(AV488=1,N(V488),IF(N(U488)&gt;0,ROUND(N(U488)*IFERROR(VLOOKUP(R488,Listes!$AE$3:$AG$12,2,FALSE),0),0),0)))</f>
        <v/>
      </c>
      <c r="AZ488" s="7">
        <f>IF(LEFT(A488,7)="EXEMPLE",1,0)</f>
        <v/>
      </c>
      <c r="BA488" s="7">
        <f>IF(AND(AV488=1,AZ488=0,AC488&lt;&gt;"",W488&lt;&gt;"",N(V488)&gt;0),COUNTIFS($AV$3:AV488,1,$AZ$3:AZ488,0,$AC$3:AC488,"&lt;&gt;",$W$3:W488,"&lt;&gt;",$V$3:V488,"&gt;0"),"")</f>
        <v/>
      </c>
    </row>
    <row r="489">
      <c r="A489" s="12" t="n"/>
      <c r="B489" s="13" t="n"/>
      <c r="C489" s="13" t="n"/>
      <c r="D489" s="7">
        <f>IF(OR(B489="",C489=""),"",ROUND((C489-B489)*1440,0))</f>
        <v/>
      </c>
      <c r="E489" s="12" t="n"/>
      <c r="F489" s="12" t="n"/>
      <c r="G489" s="12" t="n"/>
      <c r="H489" s="12" t="n"/>
      <c r="I489" s="12" t="n"/>
      <c r="J489" s="12" t="n"/>
      <c r="K489" s="12" t="n"/>
      <c r="L489" s="14" t="n"/>
      <c r="M489" s="12" t="n"/>
      <c r="N489" s="12" t="n"/>
      <c r="O489" s="12" t="n"/>
      <c r="P489" s="12" t="n"/>
      <c r="Q489" s="7">
        <f>IF(A489="","",IFERROR(VLOOKUP(O489,Listes!$R$3:$T$8,2,FALSE),0)+IFERROR(VLOOKUP(J489,Listes!$J$3:$L$6,2,FALSE),0)+IFERROR(VLOOKUP(N489,Listes!$N$3:$P$6,2,FALSE),0)+IF(OR(L489="",B489=""),0,IF(L489-INT(B489)&lt;10,8,IF(L489-INT(B489)&lt;=90,10,5)))+IFERROR(VLOOKUP(AN489,Listes!$V$3:$W$5,2,FALSE),0)+IFERROR(VLOOKUP(AO489,Listes!$Y$3:$Z$5,2,FALSE),0))</f>
        <v/>
      </c>
      <c r="R489" s="12" t="n"/>
      <c r="S489" s="12" t="n"/>
      <c r="T489" s="12" t="n"/>
      <c r="U489" s="15" t="n"/>
      <c r="V489" s="15" t="n"/>
      <c r="W489" s="13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3" t="n"/>
      <c r="AK489" s="12" t="n"/>
      <c r="AL489" s="12" t="n"/>
      <c r="AM489" s="12" t="n"/>
      <c r="AN489" s="12" t="n"/>
      <c r="AO489" s="12" t="n"/>
      <c r="AP489" s="12" t="n"/>
      <c r="AQ489" s="7">
        <f>IF(A489="","",IF(AP489&lt;&gt;"",AP489,IF(LEFT(Z489,11)="gads_marque","Google Search – Marque",IF(LEFT(Z489,12)="gads_mariage","Google Search – Mariage et privé",IF(LEFT(Z489,10)="gads_corpo","Google Search – Corporatif",IF(LEFT(Z489,5)="meta_","Meta – Leads",IF(LEFT(Z489,5)="msft_","Microsoft Ads",IF(LEFT(Z489,8)="chatgpt_","ChatGPT Ads – Test",IF(X489="gbp","Fiche Google (organique)","Autre / non payé")))))))))</f>
        <v/>
      </c>
      <c r="AR489" s="7">
        <f>IF(K489="","",IFERROR(VLOOKUP(K489,Listes!$F$3:$H$8,3,FALSE),""))</f>
        <v/>
      </c>
      <c r="AS489" s="7">
        <f>IF(O489="","",IF(AND(M489="Autre (plus de 40 km)",OR(O489="lt600",O489="600_999",O489="1000_2499")),"D",IF(OR(O489="lt600",AND(O489="600_999",K489&lt;&gt;"mariage",K489&lt;&gt;"prive")),"C",IF(OR(O489="2500_4999",O489="5000p",J489="entreprise",J489="organisme",J489="agence"),"A",IF(OR(O489="1000_2499",O489="600_999"),"B",IF(O489="inconnu",IF(OR(N489="75_149",N489="150p"),"A","B"),""))))))</f>
        <v/>
      </c>
      <c r="AT489" s="7">
        <f>IF(A489="","",IF(P489&lt;&gt;"",P489,AS489))</f>
        <v/>
      </c>
      <c r="AU489" s="7">
        <f>IF(A489="","",IF(OR(AT489="A",AT489="B"),1,0))</f>
        <v/>
      </c>
      <c r="AV489" s="7">
        <f>IF(A489="","",IF(OR(R489="Dépôt payé (gagné)",R489="Événement livré",R489="Avis obtenu"),1,0))</f>
        <v/>
      </c>
      <c r="AW489" s="7">
        <f>IF(A489="","",IF(Q489&gt;70,"Immédiat – propriétaire",IF(Q489&gt;=40,"15 min – personne de garde","Selon la route")))</f>
        <v/>
      </c>
      <c r="AX489" s="11">
        <f>IF(A489="","",IF(AT489="A",400,IF(AT489="B",150,0)))</f>
        <v/>
      </c>
      <c r="AY489" s="11">
        <f>IF(A489="","",IF(AV489=1,N(V489),IF(N(U489)&gt;0,ROUND(N(U489)*IFERROR(VLOOKUP(R489,Listes!$AE$3:$AG$12,2,FALSE),0),0),0)))</f>
        <v/>
      </c>
      <c r="AZ489" s="7">
        <f>IF(LEFT(A489,7)="EXEMPLE",1,0)</f>
        <v/>
      </c>
      <c r="BA489" s="7">
        <f>IF(AND(AV489=1,AZ489=0,AC489&lt;&gt;"",W489&lt;&gt;"",N(V489)&gt;0),COUNTIFS($AV$3:AV489,1,$AZ$3:AZ489,0,$AC$3:AC489,"&lt;&gt;",$W$3:W489,"&lt;&gt;",$V$3:V489,"&gt;0"),"")</f>
        <v/>
      </c>
    </row>
    <row r="490">
      <c r="A490" s="12" t="n"/>
      <c r="B490" s="13" t="n"/>
      <c r="C490" s="13" t="n"/>
      <c r="D490" s="7">
        <f>IF(OR(B490="",C490=""),"",ROUND((C490-B490)*1440,0))</f>
        <v/>
      </c>
      <c r="E490" s="12" t="n"/>
      <c r="F490" s="12" t="n"/>
      <c r="G490" s="12" t="n"/>
      <c r="H490" s="12" t="n"/>
      <c r="I490" s="12" t="n"/>
      <c r="J490" s="12" t="n"/>
      <c r="K490" s="12" t="n"/>
      <c r="L490" s="14" t="n"/>
      <c r="M490" s="12" t="n"/>
      <c r="N490" s="12" t="n"/>
      <c r="O490" s="12" t="n"/>
      <c r="P490" s="12" t="n"/>
      <c r="Q490" s="7">
        <f>IF(A490="","",IFERROR(VLOOKUP(O490,Listes!$R$3:$T$8,2,FALSE),0)+IFERROR(VLOOKUP(J490,Listes!$J$3:$L$6,2,FALSE),0)+IFERROR(VLOOKUP(N490,Listes!$N$3:$P$6,2,FALSE),0)+IF(OR(L490="",B490=""),0,IF(L490-INT(B490)&lt;10,8,IF(L490-INT(B490)&lt;=90,10,5)))+IFERROR(VLOOKUP(AN490,Listes!$V$3:$W$5,2,FALSE),0)+IFERROR(VLOOKUP(AO490,Listes!$Y$3:$Z$5,2,FALSE),0))</f>
        <v/>
      </c>
      <c r="R490" s="12" t="n"/>
      <c r="S490" s="12" t="n"/>
      <c r="T490" s="12" t="n"/>
      <c r="U490" s="15" t="n"/>
      <c r="V490" s="15" t="n"/>
      <c r="W490" s="13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3" t="n"/>
      <c r="AK490" s="12" t="n"/>
      <c r="AL490" s="12" t="n"/>
      <c r="AM490" s="12" t="n"/>
      <c r="AN490" s="12" t="n"/>
      <c r="AO490" s="12" t="n"/>
      <c r="AP490" s="12" t="n"/>
      <c r="AQ490" s="7">
        <f>IF(A490="","",IF(AP490&lt;&gt;"",AP490,IF(LEFT(Z490,11)="gads_marque","Google Search – Marque",IF(LEFT(Z490,12)="gads_mariage","Google Search – Mariage et privé",IF(LEFT(Z490,10)="gads_corpo","Google Search – Corporatif",IF(LEFT(Z490,5)="meta_","Meta – Leads",IF(LEFT(Z490,5)="msft_","Microsoft Ads",IF(LEFT(Z490,8)="chatgpt_","ChatGPT Ads – Test",IF(X490="gbp","Fiche Google (organique)","Autre / non payé")))))))))</f>
        <v/>
      </c>
      <c r="AR490" s="7">
        <f>IF(K490="","",IFERROR(VLOOKUP(K490,Listes!$F$3:$H$8,3,FALSE),""))</f>
        <v/>
      </c>
      <c r="AS490" s="7">
        <f>IF(O490="","",IF(AND(M490="Autre (plus de 40 km)",OR(O490="lt600",O490="600_999",O490="1000_2499")),"D",IF(OR(O490="lt600",AND(O490="600_999",K490&lt;&gt;"mariage",K490&lt;&gt;"prive")),"C",IF(OR(O490="2500_4999",O490="5000p",J490="entreprise",J490="organisme",J490="agence"),"A",IF(OR(O490="1000_2499",O490="600_999"),"B",IF(O490="inconnu",IF(OR(N490="75_149",N490="150p"),"A","B"),""))))))</f>
        <v/>
      </c>
      <c r="AT490" s="7">
        <f>IF(A490="","",IF(P490&lt;&gt;"",P490,AS490))</f>
        <v/>
      </c>
      <c r="AU490" s="7">
        <f>IF(A490="","",IF(OR(AT490="A",AT490="B"),1,0))</f>
        <v/>
      </c>
      <c r="AV490" s="7">
        <f>IF(A490="","",IF(OR(R490="Dépôt payé (gagné)",R490="Événement livré",R490="Avis obtenu"),1,0))</f>
        <v/>
      </c>
      <c r="AW490" s="7">
        <f>IF(A490="","",IF(Q490&gt;70,"Immédiat – propriétaire",IF(Q490&gt;=40,"15 min – personne de garde","Selon la route")))</f>
        <v/>
      </c>
      <c r="AX490" s="11">
        <f>IF(A490="","",IF(AT490="A",400,IF(AT490="B",150,0)))</f>
        <v/>
      </c>
      <c r="AY490" s="11">
        <f>IF(A490="","",IF(AV490=1,N(V490),IF(N(U490)&gt;0,ROUND(N(U490)*IFERROR(VLOOKUP(R490,Listes!$AE$3:$AG$12,2,FALSE),0),0),0)))</f>
        <v/>
      </c>
      <c r="AZ490" s="7">
        <f>IF(LEFT(A490,7)="EXEMPLE",1,0)</f>
        <v/>
      </c>
      <c r="BA490" s="7">
        <f>IF(AND(AV490=1,AZ490=0,AC490&lt;&gt;"",W490&lt;&gt;"",N(V490)&gt;0),COUNTIFS($AV$3:AV490,1,$AZ$3:AZ490,0,$AC$3:AC490,"&lt;&gt;",$W$3:W490,"&lt;&gt;",$V$3:V490,"&gt;0"),"")</f>
        <v/>
      </c>
    </row>
    <row r="491">
      <c r="A491" s="12" t="n"/>
      <c r="B491" s="13" t="n"/>
      <c r="C491" s="13" t="n"/>
      <c r="D491" s="7">
        <f>IF(OR(B491="",C491=""),"",ROUND((C491-B491)*1440,0))</f>
        <v/>
      </c>
      <c r="E491" s="12" t="n"/>
      <c r="F491" s="12" t="n"/>
      <c r="G491" s="12" t="n"/>
      <c r="H491" s="12" t="n"/>
      <c r="I491" s="12" t="n"/>
      <c r="J491" s="12" t="n"/>
      <c r="K491" s="12" t="n"/>
      <c r="L491" s="14" t="n"/>
      <c r="M491" s="12" t="n"/>
      <c r="N491" s="12" t="n"/>
      <c r="O491" s="12" t="n"/>
      <c r="P491" s="12" t="n"/>
      <c r="Q491" s="7">
        <f>IF(A491="","",IFERROR(VLOOKUP(O491,Listes!$R$3:$T$8,2,FALSE),0)+IFERROR(VLOOKUP(J491,Listes!$J$3:$L$6,2,FALSE),0)+IFERROR(VLOOKUP(N491,Listes!$N$3:$P$6,2,FALSE),0)+IF(OR(L491="",B491=""),0,IF(L491-INT(B491)&lt;10,8,IF(L491-INT(B491)&lt;=90,10,5)))+IFERROR(VLOOKUP(AN491,Listes!$V$3:$W$5,2,FALSE),0)+IFERROR(VLOOKUP(AO491,Listes!$Y$3:$Z$5,2,FALSE),0))</f>
        <v/>
      </c>
      <c r="R491" s="12" t="n"/>
      <c r="S491" s="12" t="n"/>
      <c r="T491" s="12" t="n"/>
      <c r="U491" s="15" t="n"/>
      <c r="V491" s="15" t="n"/>
      <c r="W491" s="13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3" t="n"/>
      <c r="AK491" s="12" t="n"/>
      <c r="AL491" s="12" t="n"/>
      <c r="AM491" s="12" t="n"/>
      <c r="AN491" s="12" t="n"/>
      <c r="AO491" s="12" t="n"/>
      <c r="AP491" s="12" t="n"/>
      <c r="AQ491" s="7">
        <f>IF(A491="","",IF(AP491&lt;&gt;"",AP491,IF(LEFT(Z491,11)="gads_marque","Google Search – Marque",IF(LEFT(Z491,12)="gads_mariage","Google Search – Mariage et privé",IF(LEFT(Z491,10)="gads_corpo","Google Search – Corporatif",IF(LEFT(Z491,5)="meta_","Meta – Leads",IF(LEFT(Z491,5)="msft_","Microsoft Ads",IF(LEFT(Z491,8)="chatgpt_","ChatGPT Ads – Test",IF(X491="gbp","Fiche Google (organique)","Autre / non payé")))))))))</f>
        <v/>
      </c>
      <c r="AR491" s="7">
        <f>IF(K491="","",IFERROR(VLOOKUP(K491,Listes!$F$3:$H$8,3,FALSE),""))</f>
        <v/>
      </c>
      <c r="AS491" s="7">
        <f>IF(O491="","",IF(AND(M491="Autre (plus de 40 km)",OR(O491="lt600",O491="600_999",O491="1000_2499")),"D",IF(OR(O491="lt600",AND(O491="600_999",K491&lt;&gt;"mariage",K491&lt;&gt;"prive")),"C",IF(OR(O491="2500_4999",O491="5000p",J491="entreprise",J491="organisme",J491="agence"),"A",IF(OR(O491="1000_2499",O491="600_999"),"B",IF(O491="inconnu",IF(OR(N491="75_149",N491="150p"),"A","B"),""))))))</f>
        <v/>
      </c>
      <c r="AT491" s="7">
        <f>IF(A491="","",IF(P491&lt;&gt;"",P491,AS491))</f>
        <v/>
      </c>
      <c r="AU491" s="7">
        <f>IF(A491="","",IF(OR(AT491="A",AT491="B"),1,0))</f>
        <v/>
      </c>
      <c r="AV491" s="7">
        <f>IF(A491="","",IF(OR(R491="Dépôt payé (gagné)",R491="Événement livré",R491="Avis obtenu"),1,0))</f>
        <v/>
      </c>
      <c r="AW491" s="7">
        <f>IF(A491="","",IF(Q491&gt;70,"Immédiat – propriétaire",IF(Q491&gt;=40,"15 min – personne de garde","Selon la route")))</f>
        <v/>
      </c>
      <c r="AX491" s="11">
        <f>IF(A491="","",IF(AT491="A",400,IF(AT491="B",150,0)))</f>
        <v/>
      </c>
      <c r="AY491" s="11">
        <f>IF(A491="","",IF(AV491=1,N(V491),IF(N(U491)&gt;0,ROUND(N(U491)*IFERROR(VLOOKUP(R491,Listes!$AE$3:$AG$12,2,FALSE),0),0),0)))</f>
        <v/>
      </c>
      <c r="AZ491" s="7">
        <f>IF(LEFT(A491,7)="EXEMPLE",1,0)</f>
        <v/>
      </c>
      <c r="BA491" s="7">
        <f>IF(AND(AV491=1,AZ491=0,AC491&lt;&gt;"",W491&lt;&gt;"",N(V491)&gt;0),COUNTIFS($AV$3:AV491,1,$AZ$3:AZ491,0,$AC$3:AC491,"&lt;&gt;",$W$3:W491,"&lt;&gt;",$V$3:V491,"&gt;0"),"")</f>
        <v/>
      </c>
    </row>
    <row r="492">
      <c r="A492" s="12" t="n"/>
      <c r="B492" s="13" t="n"/>
      <c r="C492" s="13" t="n"/>
      <c r="D492" s="7">
        <f>IF(OR(B492="",C492=""),"",ROUND((C492-B492)*1440,0))</f>
        <v/>
      </c>
      <c r="E492" s="12" t="n"/>
      <c r="F492" s="12" t="n"/>
      <c r="G492" s="12" t="n"/>
      <c r="H492" s="12" t="n"/>
      <c r="I492" s="12" t="n"/>
      <c r="J492" s="12" t="n"/>
      <c r="K492" s="12" t="n"/>
      <c r="L492" s="14" t="n"/>
      <c r="M492" s="12" t="n"/>
      <c r="N492" s="12" t="n"/>
      <c r="O492" s="12" t="n"/>
      <c r="P492" s="12" t="n"/>
      <c r="Q492" s="7">
        <f>IF(A492="","",IFERROR(VLOOKUP(O492,Listes!$R$3:$T$8,2,FALSE),0)+IFERROR(VLOOKUP(J492,Listes!$J$3:$L$6,2,FALSE),0)+IFERROR(VLOOKUP(N492,Listes!$N$3:$P$6,2,FALSE),0)+IF(OR(L492="",B492=""),0,IF(L492-INT(B492)&lt;10,8,IF(L492-INT(B492)&lt;=90,10,5)))+IFERROR(VLOOKUP(AN492,Listes!$V$3:$W$5,2,FALSE),0)+IFERROR(VLOOKUP(AO492,Listes!$Y$3:$Z$5,2,FALSE),0))</f>
        <v/>
      </c>
      <c r="R492" s="12" t="n"/>
      <c r="S492" s="12" t="n"/>
      <c r="T492" s="12" t="n"/>
      <c r="U492" s="15" t="n"/>
      <c r="V492" s="15" t="n"/>
      <c r="W492" s="13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3" t="n"/>
      <c r="AK492" s="12" t="n"/>
      <c r="AL492" s="12" t="n"/>
      <c r="AM492" s="12" t="n"/>
      <c r="AN492" s="12" t="n"/>
      <c r="AO492" s="12" t="n"/>
      <c r="AP492" s="12" t="n"/>
      <c r="AQ492" s="7">
        <f>IF(A492="","",IF(AP492&lt;&gt;"",AP492,IF(LEFT(Z492,11)="gads_marque","Google Search – Marque",IF(LEFT(Z492,12)="gads_mariage","Google Search – Mariage et privé",IF(LEFT(Z492,10)="gads_corpo","Google Search – Corporatif",IF(LEFT(Z492,5)="meta_","Meta – Leads",IF(LEFT(Z492,5)="msft_","Microsoft Ads",IF(LEFT(Z492,8)="chatgpt_","ChatGPT Ads – Test",IF(X492="gbp","Fiche Google (organique)","Autre / non payé")))))))))</f>
        <v/>
      </c>
      <c r="AR492" s="7">
        <f>IF(K492="","",IFERROR(VLOOKUP(K492,Listes!$F$3:$H$8,3,FALSE),""))</f>
        <v/>
      </c>
      <c r="AS492" s="7">
        <f>IF(O492="","",IF(AND(M492="Autre (plus de 40 km)",OR(O492="lt600",O492="600_999",O492="1000_2499")),"D",IF(OR(O492="lt600",AND(O492="600_999",K492&lt;&gt;"mariage",K492&lt;&gt;"prive")),"C",IF(OR(O492="2500_4999",O492="5000p",J492="entreprise",J492="organisme",J492="agence"),"A",IF(OR(O492="1000_2499",O492="600_999"),"B",IF(O492="inconnu",IF(OR(N492="75_149",N492="150p"),"A","B"),""))))))</f>
        <v/>
      </c>
      <c r="AT492" s="7">
        <f>IF(A492="","",IF(P492&lt;&gt;"",P492,AS492))</f>
        <v/>
      </c>
      <c r="AU492" s="7">
        <f>IF(A492="","",IF(OR(AT492="A",AT492="B"),1,0))</f>
        <v/>
      </c>
      <c r="AV492" s="7">
        <f>IF(A492="","",IF(OR(R492="Dépôt payé (gagné)",R492="Événement livré",R492="Avis obtenu"),1,0))</f>
        <v/>
      </c>
      <c r="AW492" s="7">
        <f>IF(A492="","",IF(Q492&gt;70,"Immédiat – propriétaire",IF(Q492&gt;=40,"15 min – personne de garde","Selon la route")))</f>
        <v/>
      </c>
      <c r="AX492" s="11">
        <f>IF(A492="","",IF(AT492="A",400,IF(AT492="B",150,0)))</f>
        <v/>
      </c>
      <c r="AY492" s="11">
        <f>IF(A492="","",IF(AV492=1,N(V492),IF(N(U492)&gt;0,ROUND(N(U492)*IFERROR(VLOOKUP(R492,Listes!$AE$3:$AG$12,2,FALSE),0),0),0)))</f>
        <v/>
      </c>
      <c r="AZ492" s="7">
        <f>IF(LEFT(A492,7)="EXEMPLE",1,0)</f>
        <v/>
      </c>
      <c r="BA492" s="7">
        <f>IF(AND(AV492=1,AZ492=0,AC492&lt;&gt;"",W492&lt;&gt;"",N(V492)&gt;0),COUNTIFS($AV$3:AV492,1,$AZ$3:AZ492,0,$AC$3:AC492,"&lt;&gt;",$W$3:W492,"&lt;&gt;",$V$3:V492,"&gt;0"),"")</f>
        <v/>
      </c>
    </row>
    <row r="493">
      <c r="A493" s="12" t="n"/>
      <c r="B493" s="13" t="n"/>
      <c r="C493" s="13" t="n"/>
      <c r="D493" s="7">
        <f>IF(OR(B493="",C493=""),"",ROUND((C493-B493)*1440,0))</f>
        <v/>
      </c>
      <c r="E493" s="12" t="n"/>
      <c r="F493" s="12" t="n"/>
      <c r="G493" s="12" t="n"/>
      <c r="H493" s="12" t="n"/>
      <c r="I493" s="12" t="n"/>
      <c r="J493" s="12" t="n"/>
      <c r="K493" s="12" t="n"/>
      <c r="L493" s="14" t="n"/>
      <c r="M493" s="12" t="n"/>
      <c r="N493" s="12" t="n"/>
      <c r="O493" s="12" t="n"/>
      <c r="P493" s="12" t="n"/>
      <c r="Q493" s="7">
        <f>IF(A493="","",IFERROR(VLOOKUP(O493,Listes!$R$3:$T$8,2,FALSE),0)+IFERROR(VLOOKUP(J493,Listes!$J$3:$L$6,2,FALSE),0)+IFERROR(VLOOKUP(N493,Listes!$N$3:$P$6,2,FALSE),0)+IF(OR(L493="",B493=""),0,IF(L493-INT(B493)&lt;10,8,IF(L493-INT(B493)&lt;=90,10,5)))+IFERROR(VLOOKUP(AN493,Listes!$V$3:$W$5,2,FALSE),0)+IFERROR(VLOOKUP(AO493,Listes!$Y$3:$Z$5,2,FALSE),0))</f>
        <v/>
      </c>
      <c r="R493" s="12" t="n"/>
      <c r="S493" s="12" t="n"/>
      <c r="T493" s="12" t="n"/>
      <c r="U493" s="15" t="n"/>
      <c r="V493" s="15" t="n"/>
      <c r="W493" s="13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3" t="n"/>
      <c r="AK493" s="12" t="n"/>
      <c r="AL493" s="12" t="n"/>
      <c r="AM493" s="12" t="n"/>
      <c r="AN493" s="12" t="n"/>
      <c r="AO493" s="12" t="n"/>
      <c r="AP493" s="12" t="n"/>
      <c r="AQ493" s="7">
        <f>IF(A493="","",IF(AP493&lt;&gt;"",AP493,IF(LEFT(Z493,11)="gads_marque","Google Search – Marque",IF(LEFT(Z493,12)="gads_mariage","Google Search – Mariage et privé",IF(LEFT(Z493,10)="gads_corpo","Google Search – Corporatif",IF(LEFT(Z493,5)="meta_","Meta – Leads",IF(LEFT(Z493,5)="msft_","Microsoft Ads",IF(LEFT(Z493,8)="chatgpt_","ChatGPT Ads – Test",IF(X493="gbp","Fiche Google (organique)","Autre / non payé")))))))))</f>
        <v/>
      </c>
      <c r="AR493" s="7">
        <f>IF(K493="","",IFERROR(VLOOKUP(K493,Listes!$F$3:$H$8,3,FALSE),""))</f>
        <v/>
      </c>
      <c r="AS493" s="7">
        <f>IF(O493="","",IF(AND(M493="Autre (plus de 40 km)",OR(O493="lt600",O493="600_999",O493="1000_2499")),"D",IF(OR(O493="lt600",AND(O493="600_999",K493&lt;&gt;"mariage",K493&lt;&gt;"prive")),"C",IF(OR(O493="2500_4999",O493="5000p",J493="entreprise",J493="organisme",J493="agence"),"A",IF(OR(O493="1000_2499",O493="600_999"),"B",IF(O493="inconnu",IF(OR(N493="75_149",N493="150p"),"A","B"),""))))))</f>
        <v/>
      </c>
      <c r="AT493" s="7">
        <f>IF(A493="","",IF(P493&lt;&gt;"",P493,AS493))</f>
        <v/>
      </c>
      <c r="AU493" s="7">
        <f>IF(A493="","",IF(OR(AT493="A",AT493="B"),1,0))</f>
        <v/>
      </c>
      <c r="AV493" s="7">
        <f>IF(A493="","",IF(OR(R493="Dépôt payé (gagné)",R493="Événement livré",R493="Avis obtenu"),1,0))</f>
        <v/>
      </c>
      <c r="AW493" s="7">
        <f>IF(A493="","",IF(Q493&gt;70,"Immédiat – propriétaire",IF(Q493&gt;=40,"15 min – personne de garde","Selon la route")))</f>
        <v/>
      </c>
      <c r="AX493" s="11">
        <f>IF(A493="","",IF(AT493="A",400,IF(AT493="B",150,0)))</f>
        <v/>
      </c>
      <c r="AY493" s="11">
        <f>IF(A493="","",IF(AV493=1,N(V493),IF(N(U493)&gt;0,ROUND(N(U493)*IFERROR(VLOOKUP(R493,Listes!$AE$3:$AG$12,2,FALSE),0),0),0)))</f>
        <v/>
      </c>
      <c r="AZ493" s="7">
        <f>IF(LEFT(A493,7)="EXEMPLE",1,0)</f>
        <v/>
      </c>
      <c r="BA493" s="7">
        <f>IF(AND(AV493=1,AZ493=0,AC493&lt;&gt;"",W493&lt;&gt;"",N(V493)&gt;0),COUNTIFS($AV$3:AV493,1,$AZ$3:AZ493,0,$AC$3:AC493,"&lt;&gt;",$W$3:W493,"&lt;&gt;",$V$3:V493,"&gt;0"),"")</f>
        <v/>
      </c>
    </row>
    <row r="494">
      <c r="A494" s="12" t="n"/>
      <c r="B494" s="13" t="n"/>
      <c r="C494" s="13" t="n"/>
      <c r="D494" s="7">
        <f>IF(OR(B494="",C494=""),"",ROUND((C494-B494)*1440,0))</f>
        <v/>
      </c>
      <c r="E494" s="12" t="n"/>
      <c r="F494" s="12" t="n"/>
      <c r="G494" s="12" t="n"/>
      <c r="H494" s="12" t="n"/>
      <c r="I494" s="12" t="n"/>
      <c r="J494" s="12" t="n"/>
      <c r="K494" s="12" t="n"/>
      <c r="L494" s="14" t="n"/>
      <c r="M494" s="12" t="n"/>
      <c r="N494" s="12" t="n"/>
      <c r="O494" s="12" t="n"/>
      <c r="P494" s="12" t="n"/>
      <c r="Q494" s="7">
        <f>IF(A494="","",IFERROR(VLOOKUP(O494,Listes!$R$3:$T$8,2,FALSE),0)+IFERROR(VLOOKUP(J494,Listes!$J$3:$L$6,2,FALSE),0)+IFERROR(VLOOKUP(N494,Listes!$N$3:$P$6,2,FALSE),0)+IF(OR(L494="",B494=""),0,IF(L494-INT(B494)&lt;10,8,IF(L494-INT(B494)&lt;=90,10,5)))+IFERROR(VLOOKUP(AN494,Listes!$V$3:$W$5,2,FALSE),0)+IFERROR(VLOOKUP(AO494,Listes!$Y$3:$Z$5,2,FALSE),0))</f>
        <v/>
      </c>
      <c r="R494" s="12" t="n"/>
      <c r="S494" s="12" t="n"/>
      <c r="T494" s="12" t="n"/>
      <c r="U494" s="15" t="n"/>
      <c r="V494" s="15" t="n"/>
      <c r="W494" s="13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3" t="n"/>
      <c r="AK494" s="12" t="n"/>
      <c r="AL494" s="12" t="n"/>
      <c r="AM494" s="12" t="n"/>
      <c r="AN494" s="12" t="n"/>
      <c r="AO494" s="12" t="n"/>
      <c r="AP494" s="12" t="n"/>
      <c r="AQ494" s="7">
        <f>IF(A494="","",IF(AP494&lt;&gt;"",AP494,IF(LEFT(Z494,11)="gads_marque","Google Search – Marque",IF(LEFT(Z494,12)="gads_mariage","Google Search – Mariage et privé",IF(LEFT(Z494,10)="gads_corpo","Google Search – Corporatif",IF(LEFT(Z494,5)="meta_","Meta – Leads",IF(LEFT(Z494,5)="msft_","Microsoft Ads",IF(LEFT(Z494,8)="chatgpt_","ChatGPT Ads – Test",IF(X494="gbp","Fiche Google (organique)","Autre / non payé")))))))))</f>
        <v/>
      </c>
      <c r="AR494" s="7">
        <f>IF(K494="","",IFERROR(VLOOKUP(K494,Listes!$F$3:$H$8,3,FALSE),""))</f>
        <v/>
      </c>
      <c r="AS494" s="7">
        <f>IF(O494="","",IF(AND(M494="Autre (plus de 40 km)",OR(O494="lt600",O494="600_999",O494="1000_2499")),"D",IF(OR(O494="lt600",AND(O494="600_999",K494&lt;&gt;"mariage",K494&lt;&gt;"prive")),"C",IF(OR(O494="2500_4999",O494="5000p",J494="entreprise",J494="organisme",J494="agence"),"A",IF(OR(O494="1000_2499",O494="600_999"),"B",IF(O494="inconnu",IF(OR(N494="75_149",N494="150p"),"A","B"),""))))))</f>
        <v/>
      </c>
      <c r="AT494" s="7">
        <f>IF(A494="","",IF(P494&lt;&gt;"",P494,AS494))</f>
        <v/>
      </c>
      <c r="AU494" s="7">
        <f>IF(A494="","",IF(OR(AT494="A",AT494="B"),1,0))</f>
        <v/>
      </c>
      <c r="AV494" s="7">
        <f>IF(A494="","",IF(OR(R494="Dépôt payé (gagné)",R494="Événement livré",R494="Avis obtenu"),1,0))</f>
        <v/>
      </c>
      <c r="AW494" s="7">
        <f>IF(A494="","",IF(Q494&gt;70,"Immédiat – propriétaire",IF(Q494&gt;=40,"15 min – personne de garde","Selon la route")))</f>
        <v/>
      </c>
      <c r="AX494" s="11">
        <f>IF(A494="","",IF(AT494="A",400,IF(AT494="B",150,0)))</f>
        <v/>
      </c>
      <c r="AY494" s="11">
        <f>IF(A494="","",IF(AV494=1,N(V494),IF(N(U494)&gt;0,ROUND(N(U494)*IFERROR(VLOOKUP(R494,Listes!$AE$3:$AG$12,2,FALSE),0),0),0)))</f>
        <v/>
      </c>
      <c r="AZ494" s="7">
        <f>IF(LEFT(A494,7)="EXEMPLE",1,0)</f>
        <v/>
      </c>
      <c r="BA494" s="7">
        <f>IF(AND(AV494=1,AZ494=0,AC494&lt;&gt;"",W494&lt;&gt;"",N(V494)&gt;0),COUNTIFS($AV$3:AV494,1,$AZ$3:AZ494,0,$AC$3:AC494,"&lt;&gt;",$W$3:W494,"&lt;&gt;",$V$3:V494,"&gt;0"),"")</f>
        <v/>
      </c>
    </row>
    <row r="495">
      <c r="A495" s="12" t="n"/>
      <c r="B495" s="13" t="n"/>
      <c r="C495" s="13" t="n"/>
      <c r="D495" s="7">
        <f>IF(OR(B495="",C495=""),"",ROUND((C495-B495)*1440,0))</f>
        <v/>
      </c>
      <c r="E495" s="12" t="n"/>
      <c r="F495" s="12" t="n"/>
      <c r="G495" s="12" t="n"/>
      <c r="H495" s="12" t="n"/>
      <c r="I495" s="12" t="n"/>
      <c r="J495" s="12" t="n"/>
      <c r="K495" s="12" t="n"/>
      <c r="L495" s="14" t="n"/>
      <c r="M495" s="12" t="n"/>
      <c r="N495" s="12" t="n"/>
      <c r="O495" s="12" t="n"/>
      <c r="P495" s="12" t="n"/>
      <c r="Q495" s="7">
        <f>IF(A495="","",IFERROR(VLOOKUP(O495,Listes!$R$3:$T$8,2,FALSE),0)+IFERROR(VLOOKUP(J495,Listes!$J$3:$L$6,2,FALSE),0)+IFERROR(VLOOKUP(N495,Listes!$N$3:$P$6,2,FALSE),0)+IF(OR(L495="",B495=""),0,IF(L495-INT(B495)&lt;10,8,IF(L495-INT(B495)&lt;=90,10,5)))+IFERROR(VLOOKUP(AN495,Listes!$V$3:$W$5,2,FALSE),0)+IFERROR(VLOOKUP(AO495,Listes!$Y$3:$Z$5,2,FALSE),0))</f>
        <v/>
      </c>
      <c r="R495" s="12" t="n"/>
      <c r="S495" s="12" t="n"/>
      <c r="T495" s="12" t="n"/>
      <c r="U495" s="15" t="n"/>
      <c r="V495" s="15" t="n"/>
      <c r="W495" s="13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3" t="n"/>
      <c r="AK495" s="12" t="n"/>
      <c r="AL495" s="12" t="n"/>
      <c r="AM495" s="12" t="n"/>
      <c r="AN495" s="12" t="n"/>
      <c r="AO495" s="12" t="n"/>
      <c r="AP495" s="12" t="n"/>
      <c r="AQ495" s="7">
        <f>IF(A495="","",IF(AP495&lt;&gt;"",AP495,IF(LEFT(Z495,11)="gads_marque","Google Search – Marque",IF(LEFT(Z495,12)="gads_mariage","Google Search – Mariage et privé",IF(LEFT(Z495,10)="gads_corpo","Google Search – Corporatif",IF(LEFT(Z495,5)="meta_","Meta – Leads",IF(LEFT(Z495,5)="msft_","Microsoft Ads",IF(LEFT(Z495,8)="chatgpt_","ChatGPT Ads – Test",IF(X495="gbp","Fiche Google (organique)","Autre / non payé")))))))))</f>
        <v/>
      </c>
      <c r="AR495" s="7">
        <f>IF(K495="","",IFERROR(VLOOKUP(K495,Listes!$F$3:$H$8,3,FALSE),""))</f>
        <v/>
      </c>
      <c r="AS495" s="7">
        <f>IF(O495="","",IF(AND(M495="Autre (plus de 40 km)",OR(O495="lt600",O495="600_999",O495="1000_2499")),"D",IF(OR(O495="lt600",AND(O495="600_999",K495&lt;&gt;"mariage",K495&lt;&gt;"prive")),"C",IF(OR(O495="2500_4999",O495="5000p",J495="entreprise",J495="organisme",J495="agence"),"A",IF(OR(O495="1000_2499",O495="600_999"),"B",IF(O495="inconnu",IF(OR(N495="75_149",N495="150p"),"A","B"),""))))))</f>
        <v/>
      </c>
      <c r="AT495" s="7">
        <f>IF(A495="","",IF(P495&lt;&gt;"",P495,AS495))</f>
        <v/>
      </c>
      <c r="AU495" s="7">
        <f>IF(A495="","",IF(OR(AT495="A",AT495="B"),1,0))</f>
        <v/>
      </c>
      <c r="AV495" s="7">
        <f>IF(A495="","",IF(OR(R495="Dépôt payé (gagné)",R495="Événement livré",R495="Avis obtenu"),1,0))</f>
        <v/>
      </c>
      <c r="AW495" s="7">
        <f>IF(A495="","",IF(Q495&gt;70,"Immédiat – propriétaire",IF(Q495&gt;=40,"15 min – personne de garde","Selon la route")))</f>
        <v/>
      </c>
      <c r="AX495" s="11">
        <f>IF(A495="","",IF(AT495="A",400,IF(AT495="B",150,0)))</f>
        <v/>
      </c>
      <c r="AY495" s="11">
        <f>IF(A495="","",IF(AV495=1,N(V495),IF(N(U495)&gt;0,ROUND(N(U495)*IFERROR(VLOOKUP(R495,Listes!$AE$3:$AG$12,2,FALSE),0),0),0)))</f>
        <v/>
      </c>
      <c r="AZ495" s="7">
        <f>IF(LEFT(A495,7)="EXEMPLE",1,0)</f>
        <v/>
      </c>
      <c r="BA495" s="7">
        <f>IF(AND(AV495=1,AZ495=0,AC495&lt;&gt;"",W495&lt;&gt;"",N(V495)&gt;0),COUNTIFS($AV$3:AV495,1,$AZ$3:AZ495,0,$AC$3:AC495,"&lt;&gt;",$W$3:W495,"&lt;&gt;",$V$3:V495,"&gt;0"),"")</f>
        <v/>
      </c>
    </row>
    <row r="496">
      <c r="A496" s="12" t="n"/>
      <c r="B496" s="13" t="n"/>
      <c r="C496" s="13" t="n"/>
      <c r="D496" s="7">
        <f>IF(OR(B496="",C496=""),"",ROUND((C496-B496)*1440,0))</f>
        <v/>
      </c>
      <c r="E496" s="12" t="n"/>
      <c r="F496" s="12" t="n"/>
      <c r="G496" s="12" t="n"/>
      <c r="H496" s="12" t="n"/>
      <c r="I496" s="12" t="n"/>
      <c r="J496" s="12" t="n"/>
      <c r="K496" s="12" t="n"/>
      <c r="L496" s="14" t="n"/>
      <c r="M496" s="12" t="n"/>
      <c r="N496" s="12" t="n"/>
      <c r="O496" s="12" t="n"/>
      <c r="P496" s="12" t="n"/>
      <c r="Q496" s="7">
        <f>IF(A496="","",IFERROR(VLOOKUP(O496,Listes!$R$3:$T$8,2,FALSE),0)+IFERROR(VLOOKUP(J496,Listes!$J$3:$L$6,2,FALSE),0)+IFERROR(VLOOKUP(N496,Listes!$N$3:$P$6,2,FALSE),0)+IF(OR(L496="",B496=""),0,IF(L496-INT(B496)&lt;10,8,IF(L496-INT(B496)&lt;=90,10,5)))+IFERROR(VLOOKUP(AN496,Listes!$V$3:$W$5,2,FALSE),0)+IFERROR(VLOOKUP(AO496,Listes!$Y$3:$Z$5,2,FALSE),0))</f>
        <v/>
      </c>
      <c r="R496" s="12" t="n"/>
      <c r="S496" s="12" t="n"/>
      <c r="T496" s="12" t="n"/>
      <c r="U496" s="15" t="n"/>
      <c r="V496" s="15" t="n"/>
      <c r="W496" s="13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3" t="n"/>
      <c r="AK496" s="12" t="n"/>
      <c r="AL496" s="12" t="n"/>
      <c r="AM496" s="12" t="n"/>
      <c r="AN496" s="12" t="n"/>
      <c r="AO496" s="12" t="n"/>
      <c r="AP496" s="12" t="n"/>
      <c r="AQ496" s="7">
        <f>IF(A496="","",IF(AP496&lt;&gt;"",AP496,IF(LEFT(Z496,11)="gads_marque","Google Search – Marque",IF(LEFT(Z496,12)="gads_mariage","Google Search – Mariage et privé",IF(LEFT(Z496,10)="gads_corpo","Google Search – Corporatif",IF(LEFT(Z496,5)="meta_","Meta – Leads",IF(LEFT(Z496,5)="msft_","Microsoft Ads",IF(LEFT(Z496,8)="chatgpt_","ChatGPT Ads – Test",IF(X496="gbp","Fiche Google (organique)","Autre / non payé")))))))))</f>
        <v/>
      </c>
      <c r="AR496" s="7">
        <f>IF(K496="","",IFERROR(VLOOKUP(K496,Listes!$F$3:$H$8,3,FALSE),""))</f>
        <v/>
      </c>
      <c r="AS496" s="7">
        <f>IF(O496="","",IF(AND(M496="Autre (plus de 40 km)",OR(O496="lt600",O496="600_999",O496="1000_2499")),"D",IF(OR(O496="lt600",AND(O496="600_999",K496&lt;&gt;"mariage",K496&lt;&gt;"prive")),"C",IF(OR(O496="2500_4999",O496="5000p",J496="entreprise",J496="organisme",J496="agence"),"A",IF(OR(O496="1000_2499",O496="600_999"),"B",IF(O496="inconnu",IF(OR(N496="75_149",N496="150p"),"A","B"),""))))))</f>
        <v/>
      </c>
      <c r="AT496" s="7">
        <f>IF(A496="","",IF(P496&lt;&gt;"",P496,AS496))</f>
        <v/>
      </c>
      <c r="AU496" s="7">
        <f>IF(A496="","",IF(OR(AT496="A",AT496="B"),1,0))</f>
        <v/>
      </c>
      <c r="AV496" s="7">
        <f>IF(A496="","",IF(OR(R496="Dépôt payé (gagné)",R496="Événement livré",R496="Avis obtenu"),1,0))</f>
        <v/>
      </c>
      <c r="AW496" s="7">
        <f>IF(A496="","",IF(Q496&gt;70,"Immédiat – propriétaire",IF(Q496&gt;=40,"15 min – personne de garde","Selon la route")))</f>
        <v/>
      </c>
      <c r="AX496" s="11">
        <f>IF(A496="","",IF(AT496="A",400,IF(AT496="B",150,0)))</f>
        <v/>
      </c>
      <c r="AY496" s="11">
        <f>IF(A496="","",IF(AV496=1,N(V496),IF(N(U496)&gt;0,ROUND(N(U496)*IFERROR(VLOOKUP(R496,Listes!$AE$3:$AG$12,2,FALSE),0),0),0)))</f>
        <v/>
      </c>
      <c r="AZ496" s="7">
        <f>IF(LEFT(A496,7)="EXEMPLE",1,0)</f>
        <v/>
      </c>
      <c r="BA496" s="7">
        <f>IF(AND(AV496=1,AZ496=0,AC496&lt;&gt;"",W496&lt;&gt;"",N(V496)&gt;0),COUNTIFS($AV$3:AV496,1,$AZ$3:AZ496,0,$AC$3:AC496,"&lt;&gt;",$W$3:W496,"&lt;&gt;",$V$3:V496,"&gt;0"),"")</f>
        <v/>
      </c>
    </row>
    <row r="497">
      <c r="A497" s="12" t="n"/>
      <c r="B497" s="13" t="n"/>
      <c r="C497" s="13" t="n"/>
      <c r="D497" s="7">
        <f>IF(OR(B497="",C497=""),"",ROUND((C497-B497)*1440,0))</f>
        <v/>
      </c>
      <c r="E497" s="12" t="n"/>
      <c r="F497" s="12" t="n"/>
      <c r="G497" s="12" t="n"/>
      <c r="H497" s="12" t="n"/>
      <c r="I497" s="12" t="n"/>
      <c r="J497" s="12" t="n"/>
      <c r="K497" s="12" t="n"/>
      <c r="L497" s="14" t="n"/>
      <c r="M497" s="12" t="n"/>
      <c r="N497" s="12" t="n"/>
      <c r="O497" s="12" t="n"/>
      <c r="P497" s="12" t="n"/>
      <c r="Q497" s="7">
        <f>IF(A497="","",IFERROR(VLOOKUP(O497,Listes!$R$3:$T$8,2,FALSE),0)+IFERROR(VLOOKUP(J497,Listes!$J$3:$L$6,2,FALSE),0)+IFERROR(VLOOKUP(N497,Listes!$N$3:$P$6,2,FALSE),0)+IF(OR(L497="",B497=""),0,IF(L497-INT(B497)&lt;10,8,IF(L497-INT(B497)&lt;=90,10,5)))+IFERROR(VLOOKUP(AN497,Listes!$V$3:$W$5,2,FALSE),0)+IFERROR(VLOOKUP(AO497,Listes!$Y$3:$Z$5,2,FALSE),0))</f>
        <v/>
      </c>
      <c r="R497" s="12" t="n"/>
      <c r="S497" s="12" t="n"/>
      <c r="T497" s="12" t="n"/>
      <c r="U497" s="15" t="n"/>
      <c r="V497" s="15" t="n"/>
      <c r="W497" s="13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3" t="n"/>
      <c r="AK497" s="12" t="n"/>
      <c r="AL497" s="12" t="n"/>
      <c r="AM497" s="12" t="n"/>
      <c r="AN497" s="12" t="n"/>
      <c r="AO497" s="12" t="n"/>
      <c r="AP497" s="12" t="n"/>
      <c r="AQ497" s="7">
        <f>IF(A497="","",IF(AP497&lt;&gt;"",AP497,IF(LEFT(Z497,11)="gads_marque","Google Search – Marque",IF(LEFT(Z497,12)="gads_mariage","Google Search – Mariage et privé",IF(LEFT(Z497,10)="gads_corpo","Google Search – Corporatif",IF(LEFT(Z497,5)="meta_","Meta – Leads",IF(LEFT(Z497,5)="msft_","Microsoft Ads",IF(LEFT(Z497,8)="chatgpt_","ChatGPT Ads – Test",IF(X497="gbp","Fiche Google (organique)","Autre / non payé")))))))))</f>
        <v/>
      </c>
      <c r="AR497" s="7">
        <f>IF(K497="","",IFERROR(VLOOKUP(K497,Listes!$F$3:$H$8,3,FALSE),""))</f>
        <v/>
      </c>
      <c r="AS497" s="7">
        <f>IF(O497="","",IF(AND(M497="Autre (plus de 40 km)",OR(O497="lt600",O497="600_999",O497="1000_2499")),"D",IF(OR(O497="lt600",AND(O497="600_999",K497&lt;&gt;"mariage",K497&lt;&gt;"prive")),"C",IF(OR(O497="2500_4999",O497="5000p",J497="entreprise",J497="organisme",J497="agence"),"A",IF(OR(O497="1000_2499",O497="600_999"),"B",IF(O497="inconnu",IF(OR(N497="75_149",N497="150p"),"A","B"),""))))))</f>
        <v/>
      </c>
      <c r="AT497" s="7">
        <f>IF(A497="","",IF(P497&lt;&gt;"",P497,AS497))</f>
        <v/>
      </c>
      <c r="AU497" s="7">
        <f>IF(A497="","",IF(OR(AT497="A",AT497="B"),1,0))</f>
        <v/>
      </c>
      <c r="AV497" s="7">
        <f>IF(A497="","",IF(OR(R497="Dépôt payé (gagné)",R497="Événement livré",R497="Avis obtenu"),1,0))</f>
        <v/>
      </c>
      <c r="AW497" s="7">
        <f>IF(A497="","",IF(Q497&gt;70,"Immédiat – propriétaire",IF(Q497&gt;=40,"15 min – personne de garde","Selon la route")))</f>
        <v/>
      </c>
      <c r="AX497" s="11">
        <f>IF(A497="","",IF(AT497="A",400,IF(AT497="B",150,0)))</f>
        <v/>
      </c>
      <c r="AY497" s="11">
        <f>IF(A497="","",IF(AV497=1,N(V497),IF(N(U497)&gt;0,ROUND(N(U497)*IFERROR(VLOOKUP(R497,Listes!$AE$3:$AG$12,2,FALSE),0),0),0)))</f>
        <v/>
      </c>
      <c r="AZ497" s="7">
        <f>IF(LEFT(A497,7)="EXEMPLE",1,0)</f>
        <v/>
      </c>
      <c r="BA497" s="7">
        <f>IF(AND(AV497=1,AZ497=0,AC497&lt;&gt;"",W497&lt;&gt;"",N(V497)&gt;0),COUNTIFS($AV$3:AV497,1,$AZ$3:AZ497,0,$AC$3:AC497,"&lt;&gt;",$W$3:W497,"&lt;&gt;",$V$3:V497,"&gt;0"),"")</f>
        <v/>
      </c>
    </row>
    <row r="498">
      <c r="A498" s="12" t="n"/>
      <c r="B498" s="13" t="n"/>
      <c r="C498" s="13" t="n"/>
      <c r="D498" s="7">
        <f>IF(OR(B498="",C498=""),"",ROUND((C498-B498)*1440,0))</f>
        <v/>
      </c>
      <c r="E498" s="12" t="n"/>
      <c r="F498" s="12" t="n"/>
      <c r="G498" s="12" t="n"/>
      <c r="H498" s="12" t="n"/>
      <c r="I498" s="12" t="n"/>
      <c r="J498" s="12" t="n"/>
      <c r="K498" s="12" t="n"/>
      <c r="L498" s="14" t="n"/>
      <c r="M498" s="12" t="n"/>
      <c r="N498" s="12" t="n"/>
      <c r="O498" s="12" t="n"/>
      <c r="P498" s="12" t="n"/>
      <c r="Q498" s="7">
        <f>IF(A498="","",IFERROR(VLOOKUP(O498,Listes!$R$3:$T$8,2,FALSE),0)+IFERROR(VLOOKUP(J498,Listes!$J$3:$L$6,2,FALSE),0)+IFERROR(VLOOKUP(N498,Listes!$N$3:$P$6,2,FALSE),0)+IF(OR(L498="",B498=""),0,IF(L498-INT(B498)&lt;10,8,IF(L498-INT(B498)&lt;=90,10,5)))+IFERROR(VLOOKUP(AN498,Listes!$V$3:$W$5,2,FALSE),0)+IFERROR(VLOOKUP(AO498,Listes!$Y$3:$Z$5,2,FALSE),0))</f>
        <v/>
      </c>
      <c r="R498" s="12" t="n"/>
      <c r="S498" s="12" t="n"/>
      <c r="T498" s="12" t="n"/>
      <c r="U498" s="15" t="n"/>
      <c r="V498" s="15" t="n"/>
      <c r="W498" s="13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3" t="n"/>
      <c r="AK498" s="12" t="n"/>
      <c r="AL498" s="12" t="n"/>
      <c r="AM498" s="12" t="n"/>
      <c r="AN498" s="12" t="n"/>
      <c r="AO498" s="12" t="n"/>
      <c r="AP498" s="12" t="n"/>
      <c r="AQ498" s="7">
        <f>IF(A498="","",IF(AP498&lt;&gt;"",AP498,IF(LEFT(Z498,11)="gads_marque","Google Search – Marque",IF(LEFT(Z498,12)="gads_mariage","Google Search – Mariage et privé",IF(LEFT(Z498,10)="gads_corpo","Google Search – Corporatif",IF(LEFT(Z498,5)="meta_","Meta – Leads",IF(LEFT(Z498,5)="msft_","Microsoft Ads",IF(LEFT(Z498,8)="chatgpt_","ChatGPT Ads – Test",IF(X498="gbp","Fiche Google (organique)","Autre / non payé")))))))))</f>
        <v/>
      </c>
      <c r="AR498" s="7">
        <f>IF(K498="","",IFERROR(VLOOKUP(K498,Listes!$F$3:$H$8,3,FALSE),""))</f>
        <v/>
      </c>
      <c r="AS498" s="7">
        <f>IF(O498="","",IF(AND(M498="Autre (plus de 40 km)",OR(O498="lt600",O498="600_999",O498="1000_2499")),"D",IF(OR(O498="lt600",AND(O498="600_999",K498&lt;&gt;"mariage",K498&lt;&gt;"prive")),"C",IF(OR(O498="2500_4999",O498="5000p",J498="entreprise",J498="organisme",J498="agence"),"A",IF(OR(O498="1000_2499",O498="600_999"),"B",IF(O498="inconnu",IF(OR(N498="75_149",N498="150p"),"A","B"),""))))))</f>
        <v/>
      </c>
      <c r="AT498" s="7">
        <f>IF(A498="","",IF(P498&lt;&gt;"",P498,AS498))</f>
        <v/>
      </c>
      <c r="AU498" s="7">
        <f>IF(A498="","",IF(OR(AT498="A",AT498="B"),1,0))</f>
        <v/>
      </c>
      <c r="AV498" s="7">
        <f>IF(A498="","",IF(OR(R498="Dépôt payé (gagné)",R498="Événement livré",R498="Avis obtenu"),1,0))</f>
        <v/>
      </c>
      <c r="AW498" s="7">
        <f>IF(A498="","",IF(Q498&gt;70,"Immédiat – propriétaire",IF(Q498&gt;=40,"15 min – personne de garde","Selon la route")))</f>
        <v/>
      </c>
      <c r="AX498" s="11">
        <f>IF(A498="","",IF(AT498="A",400,IF(AT498="B",150,0)))</f>
        <v/>
      </c>
      <c r="AY498" s="11">
        <f>IF(A498="","",IF(AV498=1,N(V498),IF(N(U498)&gt;0,ROUND(N(U498)*IFERROR(VLOOKUP(R498,Listes!$AE$3:$AG$12,2,FALSE),0),0),0)))</f>
        <v/>
      </c>
      <c r="AZ498" s="7">
        <f>IF(LEFT(A498,7)="EXEMPLE",1,0)</f>
        <v/>
      </c>
      <c r="BA498" s="7">
        <f>IF(AND(AV498=1,AZ498=0,AC498&lt;&gt;"",W498&lt;&gt;"",N(V498)&gt;0),COUNTIFS($AV$3:AV498,1,$AZ$3:AZ498,0,$AC$3:AC498,"&lt;&gt;",$W$3:W498,"&lt;&gt;",$V$3:V498,"&gt;0"),"")</f>
        <v/>
      </c>
    </row>
    <row r="499">
      <c r="A499" s="12" t="n"/>
      <c r="B499" s="13" t="n"/>
      <c r="C499" s="13" t="n"/>
      <c r="D499" s="7">
        <f>IF(OR(B499="",C499=""),"",ROUND((C499-B499)*1440,0))</f>
        <v/>
      </c>
      <c r="E499" s="12" t="n"/>
      <c r="F499" s="12" t="n"/>
      <c r="G499" s="12" t="n"/>
      <c r="H499" s="12" t="n"/>
      <c r="I499" s="12" t="n"/>
      <c r="J499" s="12" t="n"/>
      <c r="K499" s="12" t="n"/>
      <c r="L499" s="14" t="n"/>
      <c r="M499" s="12" t="n"/>
      <c r="N499" s="12" t="n"/>
      <c r="O499" s="12" t="n"/>
      <c r="P499" s="12" t="n"/>
      <c r="Q499" s="7">
        <f>IF(A499="","",IFERROR(VLOOKUP(O499,Listes!$R$3:$T$8,2,FALSE),0)+IFERROR(VLOOKUP(J499,Listes!$J$3:$L$6,2,FALSE),0)+IFERROR(VLOOKUP(N499,Listes!$N$3:$P$6,2,FALSE),0)+IF(OR(L499="",B499=""),0,IF(L499-INT(B499)&lt;10,8,IF(L499-INT(B499)&lt;=90,10,5)))+IFERROR(VLOOKUP(AN499,Listes!$V$3:$W$5,2,FALSE),0)+IFERROR(VLOOKUP(AO499,Listes!$Y$3:$Z$5,2,FALSE),0))</f>
        <v/>
      </c>
      <c r="R499" s="12" t="n"/>
      <c r="S499" s="12" t="n"/>
      <c r="T499" s="12" t="n"/>
      <c r="U499" s="15" t="n"/>
      <c r="V499" s="15" t="n"/>
      <c r="W499" s="13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3" t="n"/>
      <c r="AK499" s="12" t="n"/>
      <c r="AL499" s="12" t="n"/>
      <c r="AM499" s="12" t="n"/>
      <c r="AN499" s="12" t="n"/>
      <c r="AO499" s="12" t="n"/>
      <c r="AP499" s="12" t="n"/>
      <c r="AQ499" s="7">
        <f>IF(A499="","",IF(AP499&lt;&gt;"",AP499,IF(LEFT(Z499,11)="gads_marque","Google Search – Marque",IF(LEFT(Z499,12)="gads_mariage","Google Search – Mariage et privé",IF(LEFT(Z499,10)="gads_corpo","Google Search – Corporatif",IF(LEFT(Z499,5)="meta_","Meta – Leads",IF(LEFT(Z499,5)="msft_","Microsoft Ads",IF(LEFT(Z499,8)="chatgpt_","ChatGPT Ads – Test",IF(X499="gbp","Fiche Google (organique)","Autre / non payé")))))))))</f>
        <v/>
      </c>
      <c r="AR499" s="7">
        <f>IF(K499="","",IFERROR(VLOOKUP(K499,Listes!$F$3:$H$8,3,FALSE),""))</f>
        <v/>
      </c>
      <c r="AS499" s="7">
        <f>IF(O499="","",IF(AND(M499="Autre (plus de 40 km)",OR(O499="lt600",O499="600_999",O499="1000_2499")),"D",IF(OR(O499="lt600",AND(O499="600_999",K499&lt;&gt;"mariage",K499&lt;&gt;"prive")),"C",IF(OR(O499="2500_4999",O499="5000p",J499="entreprise",J499="organisme",J499="agence"),"A",IF(OR(O499="1000_2499",O499="600_999"),"B",IF(O499="inconnu",IF(OR(N499="75_149",N499="150p"),"A","B"),""))))))</f>
        <v/>
      </c>
      <c r="AT499" s="7">
        <f>IF(A499="","",IF(P499&lt;&gt;"",P499,AS499))</f>
        <v/>
      </c>
      <c r="AU499" s="7">
        <f>IF(A499="","",IF(OR(AT499="A",AT499="B"),1,0))</f>
        <v/>
      </c>
      <c r="AV499" s="7">
        <f>IF(A499="","",IF(OR(R499="Dépôt payé (gagné)",R499="Événement livré",R499="Avis obtenu"),1,0))</f>
        <v/>
      </c>
      <c r="AW499" s="7">
        <f>IF(A499="","",IF(Q499&gt;70,"Immédiat – propriétaire",IF(Q499&gt;=40,"15 min – personne de garde","Selon la route")))</f>
        <v/>
      </c>
      <c r="AX499" s="11">
        <f>IF(A499="","",IF(AT499="A",400,IF(AT499="B",150,0)))</f>
        <v/>
      </c>
      <c r="AY499" s="11">
        <f>IF(A499="","",IF(AV499=1,N(V499),IF(N(U499)&gt;0,ROUND(N(U499)*IFERROR(VLOOKUP(R499,Listes!$AE$3:$AG$12,2,FALSE),0),0),0)))</f>
        <v/>
      </c>
      <c r="AZ499" s="7">
        <f>IF(LEFT(A499,7)="EXEMPLE",1,0)</f>
        <v/>
      </c>
      <c r="BA499" s="7">
        <f>IF(AND(AV499=1,AZ499=0,AC499&lt;&gt;"",W499&lt;&gt;"",N(V499)&gt;0),COUNTIFS($AV$3:AV499,1,$AZ$3:AZ499,0,$AC$3:AC499,"&lt;&gt;",$W$3:W499,"&lt;&gt;",$V$3:V499,"&gt;0"),"")</f>
        <v/>
      </c>
    </row>
    <row r="500">
      <c r="A500" s="12" t="n"/>
      <c r="B500" s="13" t="n"/>
      <c r="C500" s="13" t="n"/>
      <c r="D500" s="7">
        <f>IF(OR(B500="",C500=""),"",ROUND((C500-B500)*1440,0))</f>
        <v/>
      </c>
      <c r="E500" s="12" t="n"/>
      <c r="F500" s="12" t="n"/>
      <c r="G500" s="12" t="n"/>
      <c r="H500" s="12" t="n"/>
      <c r="I500" s="12" t="n"/>
      <c r="J500" s="12" t="n"/>
      <c r="K500" s="12" t="n"/>
      <c r="L500" s="14" t="n"/>
      <c r="M500" s="12" t="n"/>
      <c r="N500" s="12" t="n"/>
      <c r="O500" s="12" t="n"/>
      <c r="P500" s="12" t="n"/>
      <c r="Q500" s="7">
        <f>IF(A500="","",IFERROR(VLOOKUP(O500,Listes!$R$3:$T$8,2,FALSE),0)+IFERROR(VLOOKUP(J500,Listes!$J$3:$L$6,2,FALSE),0)+IFERROR(VLOOKUP(N500,Listes!$N$3:$P$6,2,FALSE),0)+IF(OR(L500="",B500=""),0,IF(L500-INT(B500)&lt;10,8,IF(L500-INT(B500)&lt;=90,10,5)))+IFERROR(VLOOKUP(AN500,Listes!$V$3:$W$5,2,FALSE),0)+IFERROR(VLOOKUP(AO500,Listes!$Y$3:$Z$5,2,FALSE),0))</f>
        <v/>
      </c>
      <c r="R500" s="12" t="n"/>
      <c r="S500" s="12" t="n"/>
      <c r="T500" s="12" t="n"/>
      <c r="U500" s="15" t="n"/>
      <c r="V500" s="15" t="n"/>
      <c r="W500" s="13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3" t="n"/>
      <c r="AK500" s="12" t="n"/>
      <c r="AL500" s="12" t="n"/>
      <c r="AM500" s="12" t="n"/>
      <c r="AN500" s="12" t="n"/>
      <c r="AO500" s="12" t="n"/>
      <c r="AP500" s="12" t="n"/>
      <c r="AQ500" s="7">
        <f>IF(A500="","",IF(AP500&lt;&gt;"",AP500,IF(LEFT(Z500,11)="gads_marque","Google Search – Marque",IF(LEFT(Z500,12)="gads_mariage","Google Search – Mariage et privé",IF(LEFT(Z500,10)="gads_corpo","Google Search – Corporatif",IF(LEFT(Z500,5)="meta_","Meta – Leads",IF(LEFT(Z500,5)="msft_","Microsoft Ads",IF(LEFT(Z500,8)="chatgpt_","ChatGPT Ads – Test",IF(X500="gbp","Fiche Google (organique)","Autre / non payé")))))))))</f>
        <v/>
      </c>
      <c r="AR500" s="7">
        <f>IF(K500="","",IFERROR(VLOOKUP(K500,Listes!$F$3:$H$8,3,FALSE),""))</f>
        <v/>
      </c>
      <c r="AS500" s="7">
        <f>IF(O500="","",IF(AND(M500="Autre (plus de 40 km)",OR(O500="lt600",O500="600_999",O500="1000_2499")),"D",IF(OR(O500="lt600",AND(O500="600_999",K500&lt;&gt;"mariage",K500&lt;&gt;"prive")),"C",IF(OR(O500="2500_4999",O500="5000p",J500="entreprise",J500="organisme",J500="agence"),"A",IF(OR(O500="1000_2499",O500="600_999"),"B",IF(O500="inconnu",IF(OR(N500="75_149",N500="150p"),"A","B"),""))))))</f>
        <v/>
      </c>
      <c r="AT500" s="7">
        <f>IF(A500="","",IF(P500&lt;&gt;"",P500,AS500))</f>
        <v/>
      </c>
      <c r="AU500" s="7">
        <f>IF(A500="","",IF(OR(AT500="A",AT500="B"),1,0))</f>
        <v/>
      </c>
      <c r="AV500" s="7">
        <f>IF(A500="","",IF(OR(R500="Dépôt payé (gagné)",R500="Événement livré",R500="Avis obtenu"),1,0))</f>
        <v/>
      </c>
      <c r="AW500" s="7">
        <f>IF(A500="","",IF(Q500&gt;70,"Immédiat – propriétaire",IF(Q500&gt;=40,"15 min – personne de garde","Selon la route")))</f>
        <v/>
      </c>
      <c r="AX500" s="11">
        <f>IF(A500="","",IF(AT500="A",400,IF(AT500="B",150,0)))</f>
        <v/>
      </c>
      <c r="AY500" s="11">
        <f>IF(A500="","",IF(AV500=1,N(V500),IF(N(U500)&gt;0,ROUND(N(U500)*IFERROR(VLOOKUP(R500,Listes!$AE$3:$AG$12,2,FALSE),0),0),0)))</f>
        <v/>
      </c>
      <c r="AZ500" s="7">
        <f>IF(LEFT(A500,7)="EXEMPLE",1,0)</f>
        <v/>
      </c>
      <c r="BA500" s="7">
        <f>IF(AND(AV500=1,AZ500=0,AC500&lt;&gt;"",W500&lt;&gt;"",N(V500)&gt;0),COUNTIFS($AV$3:AV500,1,$AZ$3:AZ500,0,$AC$3:AC500,"&lt;&gt;",$W$3:W500,"&lt;&gt;",$V$3:V500,"&gt;0"),"")</f>
        <v/>
      </c>
    </row>
    <row r="501">
      <c r="A501" s="12" t="n"/>
      <c r="B501" s="13" t="n"/>
      <c r="C501" s="13" t="n"/>
      <c r="D501" s="7">
        <f>IF(OR(B501="",C501=""),"",ROUND((C501-B501)*1440,0))</f>
        <v/>
      </c>
      <c r="E501" s="12" t="n"/>
      <c r="F501" s="12" t="n"/>
      <c r="G501" s="12" t="n"/>
      <c r="H501" s="12" t="n"/>
      <c r="I501" s="12" t="n"/>
      <c r="J501" s="12" t="n"/>
      <c r="K501" s="12" t="n"/>
      <c r="L501" s="14" t="n"/>
      <c r="M501" s="12" t="n"/>
      <c r="N501" s="12" t="n"/>
      <c r="O501" s="12" t="n"/>
      <c r="P501" s="12" t="n"/>
      <c r="Q501" s="7">
        <f>IF(A501="","",IFERROR(VLOOKUP(O501,Listes!$R$3:$T$8,2,FALSE),0)+IFERROR(VLOOKUP(J501,Listes!$J$3:$L$6,2,FALSE),0)+IFERROR(VLOOKUP(N501,Listes!$N$3:$P$6,2,FALSE),0)+IF(OR(L501="",B501=""),0,IF(L501-INT(B501)&lt;10,8,IF(L501-INT(B501)&lt;=90,10,5)))+IFERROR(VLOOKUP(AN501,Listes!$V$3:$W$5,2,FALSE),0)+IFERROR(VLOOKUP(AO501,Listes!$Y$3:$Z$5,2,FALSE),0))</f>
        <v/>
      </c>
      <c r="R501" s="12" t="n"/>
      <c r="S501" s="12" t="n"/>
      <c r="T501" s="12" t="n"/>
      <c r="U501" s="15" t="n"/>
      <c r="V501" s="15" t="n"/>
      <c r="W501" s="13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3" t="n"/>
      <c r="AK501" s="12" t="n"/>
      <c r="AL501" s="12" t="n"/>
      <c r="AM501" s="12" t="n"/>
      <c r="AN501" s="12" t="n"/>
      <c r="AO501" s="12" t="n"/>
      <c r="AP501" s="12" t="n"/>
      <c r="AQ501" s="7">
        <f>IF(A501="","",IF(AP501&lt;&gt;"",AP501,IF(LEFT(Z501,11)="gads_marque","Google Search – Marque",IF(LEFT(Z501,12)="gads_mariage","Google Search – Mariage et privé",IF(LEFT(Z501,10)="gads_corpo","Google Search – Corporatif",IF(LEFT(Z501,5)="meta_","Meta – Leads",IF(LEFT(Z501,5)="msft_","Microsoft Ads",IF(LEFT(Z501,8)="chatgpt_","ChatGPT Ads – Test",IF(X501="gbp","Fiche Google (organique)","Autre / non payé")))))))))</f>
        <v/>
      </c>
      <c r="AR501" s="7">
        <f>IF(K501="","",IFERROR(VLOOKUP(K501,Listes!$F$3:$H$8,3,FALSE),""))</f>
        <v/>
      </c>
      <c r="AS501" s="7">
        <f>IF(O501="","",IF(AND(M501="Autre (plus de 40 km)",OR(O501="lt600",O501="600_999",O501="1000_2499")),"D",IF(OR(O501="lt600",AND(O501="600_999",K501&lt;&gt;"mariage",K501&lt;&gt;"prive")),"C",IF(OR(O501="2500_4999",O501="5000p",J501="entreprise",J501="organisme",J501="agence"),"A",IF(OR(O501="1000_2499",O501="600_999"),"B",IF(O501="inconnu",IF(OR(N501="75_149",N501="150p"),"A","B"),""))))))</f>
        <v/>
      </c>
      <c r="AT501" s="7">
        <f>IF(A501="","",IF(P501&lt;&gt;"",P501,AS501))</f>
        <v/>
      </c>
      <c r="AU501" s="7">
        <f>IF(A501="","",IF(OR(AT501="A",AT501="B"),1,0))</f>
        <v/>
      </c>
      <c r="AV501" s="7">
        <f>IF(A501="","",IF(OR(R501="Dépôt payé (gagné)",R501="Événement livré",R501="Avis obtenu"),1,0))</f>
        <v/>
      </c>
      <c r="AW501" s="7">
        <f>IF(A501="","",IF(Q501&gt;70,"Immédiat – propriétaire",IF(Q501&gt;=40,"15 min – personne de garde","Selon la route")))</f>
        <v/>
      </c>
      <c r="AX501" s="11">
        <f>IF(A501="","",IF(AT501="A",400,IF(AT501="B",150,0)))</f>
        <v/>
      </c>
      <c r="AY501" s="11">
        <f>IF(A501="","",IF(AV501=1,N(V501),IF(N(U501)&gt;0,ROUND(N(U501)*IFERROR(VLOOKUP(R501,Listes!$AE$3:$AG$12,2,FALSE),0),0),0)))</f>
        <v/>
      </c>
      <c r="AZ501" s="7">
        <f>IF(LEFT(A501,7)="EXEMPLE",1,0)</f>
        <v/>
      </c>
      <c r="BA501" s="7">
        <f>IF(AND(AV501=1,AZ501=0,AC501&lt;&gt;"",W501&lt;&gt;"",N(V501)&gt;0),COUNTIFS($AV$3:AV501,1,$AZ$3:AZ501,0,$AC$3:AC501,"&lt;&gt;",$W$3:W501,"&lt;&gt;",$V$3:V501,"&gt;0"),"")</f>
        <v/>
      </c>
    </row>
    <row r="502">
      <c r="A502" s="12" t="n"/>
      <c r="B502" s="13" t="n"/>
      <c r="C502" s="13" t="n"/>
      <c r="D502" s="7">
        <f>IF(OR(B502="",C502=""),"",ROUND((C502-B502)*1440,0))</f>
        <v/>
      </c>
      <c r="E502" s="12" t="n"/>
      <c r="F502" s="12" t="n"/>
      <c r="G502" s="12" t="n"/>
      <c r="H502" s="12" t="n"/>
      <c r="I502" s="12" t="n"/>
      <c r="J502" s="12" t="n"/>
      <c r="K502" s="12" t="n"/>
      <c r="L502" s="14" t="n"/>
      <c r="M502" s="12" t="n"/>
      <c r="N502" s="12" t="n"/>
      <c r="O502" s="12" t="n"/>
      <c r="P502" s="12" t="n"/>
      <c r="Q502" s="7">
        <f>IF(A502="","",IFERROR(VLOOKUP(O502,Listes!$R$3:$T$8,2,FALSE),0)+IFERROR(VLOOKUP(J502,Listes!$J$3:$L$6,2,FALSE),0)+IFERROR(VLOOKUP(N502,Listes!$N$3:$P$6,2,FALSE),0)+IF(OR(L502="",B502=""),0,IF(L502-INT(B502)&lt;10,8,IF(L502-INT(B502)&lt;=90,10,5)))+IFERROR(VLOOKUP(AN502,Listes!$V$3:$W$5,2,FALSE),0)+IFERROR(VLOOKUP(AO502,Listes!$Y$3:$Z$5,2,FALSE),0))</f>
        <v/>
      </c>
      <c r="R502" s="12" t="n"/>
      <c r="S502" s="12" t="n"/>
      <c r="T502" s="12" t="n"/>
      <c r="U502" s="15" t="n"/>
      <c r="V502" s="15" t="n"/>
      <c r="W502" s="13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3" t="n"/>
      <c r="AK502" s="12" t="n"/>
      <c r="AL502" s="12" t="n"/>
      <c r="AM502" s="12" t="n"/>
      <c r="AN502" s="12" t="n"/>
      <c r="AO502" s="12" t="n"/>
      <c r="AP502" s="12" t="n"/>
      <c r="AQ502" s="7">
        <f>IF(A502="","",IF(AP502&lt;&gt;"",AP502,IF(LEFT(Z502,11)="gads_marque","Google Search – Marque",IF(LEFT(Z502,12)="gads_mariage","Google Search – Mariage et privé",IF(LEFT(Z502,10)="gads_corpo","Google Search – Corporatif",IF(LEFT(Z502,5)="meta_","Meta – Leads",IF(LEFT(Z502,5)="msft_","Microsoft Ads",IF(LEFT(Z502,8)="chatgpt_","ChatGPT Ads – Test",IF(X502="gbp","Fiche Google (organique)","Autre / non payé")))))))))</f>
        <v/>
      </c>
      <c r="AR502" s="7">
        <f>IF(K502="","",IFERROR(VLOOKUP(K502,Listes!$F$3:$H$8,3,FALSE),""))</f>
        <v/>
      </c>
      <c r="AS502" s="7">
        <f>IF(O502="","",IF(AND(M502="Autre (plus de 40 km)",OR(O502="lt600",O502="600_999",O502="1000_2499")),"D",IF(OR(O502="lt600",AND(O502="600_999",K502&lt;&gt;"mariage",K502&lt;&gt;"prive")),"C",IF(OR(O502="2500_4999",O502="5000p",J502="entreprise",J502="organisme",J502="agence"),"A",IF(OR(O502="1000_2499",O502="600_999"),"B",IF(O502="inconnu",IF(OR(N502="75_149",N502="150p"),"A","B"),""))))))</f>
        <v/>
      </c>
      <c r="AT502" s="7">
        <f>IF(A502="","",IF(P502&lt;&gt;"",P502,AS502))</f>
        <v/>
      </c>
      <c r="AU502" s="7">
        <f>IF(A502="","",IF(OR(AT502="A",AT502="B"),1,0))</f>
        <v/>
      </c>
      <c r="AV502" s="7">
        <f>IF(A502="","",IF(OR(R502="Dépôt payé (gagné)",R502="Événement livré",R502="Avis obtenu"),1,0))</f>
        <v/>
      </c>
      <c r="AW502" s="7">
        <f>IF(A502="","",IF(Q502&gt;70,"Immédiat – propriétaire",IF(Q502&gt;=40,"15 min – personne de garde","Selon la route")))</f>
        <v/>
      </c>
      <c r="AX502" s="11">
        <f>IF(A502="","",IF(AT502="A",400,IF(AT502="B",150,0)))</f>
        <v/>
      </c>
      <c r="AY502" s="11">
        <f>IF(A502="","",IF(AV502=1,N(V502),IF(N(U502)&gt;0,ROUND(N(U502)*IFERROR(VLOOKUP(R502,Listes!$AE$3:$AG$12,2,FALSE),0),0),0)))</f>
        <v/>
      </c>
      <c r="AZ502" s="7">
        <f>IF(LEFT(A502,7)="EXEMPLE",1,0)</f>
        <v/>
      </c>
      <c r="BA502" s="7">
        <f>IF(AND(AV502=1,AZ502=0,AC502&lt;&gt;"",W502&lt;&gt;"",N(V502)&gt;0),COUNTIFS($AV$3:AV502,1,$AZ$3:AZ502,0,$AC$3:AC502,"&lt;&gt;",$W$3:W502,"&lt;&gt;",$V$3:V502,"&gt;0"),"")</f>
        <v/>
      </c>
    </row>
    <row r="503">
      <c r="A503" s="12" t="n"/>
      <c r="B503" s="13" t="n"/>
      <c r="C503" s="13" t="n"/>
      <c r="D503" s="7">
        <f>IF(OR(B503="",C503=""),"",ROUND((C503-B503)*1440,0))</f>
        <v/>
      </c>
      <c r="E503" s="12" t="n"/>
      <c r="F503" s="12" t="n"/>
      <c r="G503" s="12" t="n"/>
      <c r="H503" s="12" t="n"/>
      <c r="I503" s="12" t="n"/>
      <c r="J503" s="12" t="n"/>
      <c r="K503" s="12" t="n"/>
      <c r="L503" s="14" t="n"/>
      <c r="M503" s="12" t="n"/>
      <c r="N503" s="12" t="n"/>
      <c r="O503" s="12" t="n"/>
      <c r="P503" s="12" t="n"/>
      <c r="Q503" s="7">
        <f>IF(A503="","",IFERROR(VLOOKUP(O503,Listes!$R$3:$T$8,2,FALSE),0)+IFERROR(VLOOKUP(J503,Listes!$J$3:$L$6,2,FALSE),0)+IFERROR(VLOOKUP(N503,Listes!$N$3:$P$6,2,FALSE),0)+IF(OR(L503="",B503=""),0,IF(L503-INT(B503)&lt;10,8,IF(L503-INT(B503)&lt;=90,10,5)))+IFERROR(VLOOKUP(AN503,Listes!$V$3:$W$5,2,FALSE),0)+IFERROR(VLOOKUP(AO503,Listes!$Y$3:$Z$5,2,FALSE),0))</f>
        <v/>
      </c>
      <c r="R503" s="12" t="n"/>
      <c r="S503" s="12" t="n"/>
      <c r="T503" s="12" t="n"/>
      <c r="U503" s="15" t="n"/>
      <c r="V503" s="15" t="n"/>
      <c r="W503" s="13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3" t="n"/>
      <c r="AK503" s="12" t="n"/>
      <c r="AL503" s="12" t="n"/>
      <c r="AM503" s="12" t="n"/>
      <c r="AN503" s="12" t="n"/>
      <c r="AO503" s="12" t="n"/>
      <c r="AP503" s="12" t="n"/>
      <c r="AQ503" s="7">
        <f>IF(A503="","",IF(AP503&lt;&gt;"",AP503,IF(LEFT(Z503,11)="gads_marque","Google Search – Marque",IF(LEFT(Z503,12)="gads_mariage","Google Search – Mariage et privé",IF(LEFT(Z503,10)="gads_corpo","Google Search – Corporatif",IF(LEFT(Z503,5)="meta_","Meta – Leads",IF(LEFT(Z503,5)="msft_","Microsoft Ads",IF(LEFT(Z503,8)="chatgpt_","ChatGPT Ads – Test",IF(X503="gbp","Fiche Google (organique)","Autre / non payé")))))))))</f>
        <v/>
      </c>
      <c r="AR503" s="7">
        <f>IF(K503="","",IFERROR(VLOOKUP(K503,Listes!$F$3:$H$8,3,FALSE),""))</f>
        <v/>
      </c>
      <c r="AS503" s="7">
        <f>IF(O503="","",IF(AND(M503="Autre (plus de 40 km)",OR(O503="lt600",O503="600_999",O503="1000_2499")),"D",IF(OR(O503="lt600",AND(O503="600_999",K503&lt;&gt;"mariage",K503&lt;&gt;"prive")),"C",IF(OR(O503="2500_4999",O503="5000p",J503="entreprise",J503="organisme",J503="agence"),"A",IF(OR(O503="1000_2499",O503="600_999"),"B",IF(O503="inconnu",IF(OR(N503="75_149",N503="150p"),"A","B"),""))))))</f>
        <v/>
      </c>
      <c r="AT503" s="7">
        <f>IF(A503="","",IF(P503&lt;&gt;"",P503,AS503))</f>
        <v/>
      </c>
      <c r="AU503" s="7">
        <f>IF(A503="","",IF(OR(AT503="A",AT503="B"),1,0))</f>
        <v/>
      </c>
      <c r="AV503" s="7">
        <f>IF(A503="","",IF(OR(R503="Dépôt payé (gagné)",R503="Événement livré",R503="Avis obtenu"),1,0))</f>
        <v/>
      </c>
      <c r="AW503" s="7">
        <f>IF(A503="","",IF(Q503&gt;70,"Immédiat – propriétaire",IF(Q503&gt;=40,"15 min – personne de garde","Selon la route")))</f>
        <v/>
      </c>
      <c r="AX503" s="11">
        <f>IF(A503="","",IF(AT503="A",400,IF(AT503="B",150,0)))</f>
        <v/>
      </c>
      <c r="AY503" s="11">
        <f>IF(A503="","",IF(AV503=1,N(V503),IF(N(U503)&gt;0,ROUND(N(U503)*IFERROR(VLOOKUP(R503,Listes!$AE$3:$AG$12,2,FALSE),0),0),0)))</f>
        <v/>
      </c>
      <c r="AZ503" s="7">
        <f>IF(LEFT(A503,7)="EXEMPLE",1,0)</f>
        <v/>
      </c>
      <c r="BA503" s="7">
        <f>IF(AND(AV503=1,AZ503=0,AC503&lt;&gt;"",W503&lt;&gt;"",N(V503)&gt;0),COUNTIFS($AV$3:AV503,1,$AZ$3:AZ503,0,$AC$3:AC503,"&lt;&gt;",$W$3:W503,"&lt;&gt;",$V$3:V503,"&gt;0"),"")</f>
        <v/>
      </c>
    </row>
    <row r="504">
      <c r="A504" s="12" t="n"/>
      <c r="B504" s="13" t="n"/>
      <c r="C504" s="13" t="n"/>
      <c r="D504" s="7">
        <f>IF(OR(B504="",C504=""),"",ROUND((C504-B504)*1440,0))</f>
        <v/>
      </c>
      <c r="E504" s="12" t="n"/>
      <c r="F504" s="12" t="n"/>
      <c r="G504" s="12" t="n"/>
      <c r="H504" s="12" t="n"/>
      <c r="I504" s="12" t="n"/>
      <c r="J504" s="12" t="n"/>
      <c r="K504" s="12" t="n"/>
      <c r="L504" s="14" t="n"/>
      <c r="M504" s="12" t="n"/>
      <c r="N504" s="12" t="n"/>
      <c r="O504" s="12" t="n"/>
      <c r="P504" s="12" t="n"/>
      <c r="Q504" s="7">
        <f>IF(A504="","",IFERROR(VLOOKUP(O504,Listes!$R$3:$T$8,2,FALSE),0)+IFERROR(VLOOKUP(J504,Listes!$J$3:$L$6,2,FALSE),0)+IFERROR(VLOOKUP(N504,Listes!$N$3:$P$6,2,FALSE),0)+IF(OR(L504="",B504=""),0,IF(L504-INT(B504)&lt;10,8,IF(L504-INT(B504)&lt;=90,10,5)))+IFERROR(VLOOKUP(AN504,Listes!$V$3:$W$5,2,FALSE),0)+IFERROR(VLOOKUP(AO504,Listes!$Y$3:$Z$5,2,FALSE),0))</f>
        <v/>
      </c>
      <c r="R504" s="12" t="n"/>
      <c r="S504" s="12" t="n"/>
      <c r="T504" s="12" t="n"/>
      <c r="U504" s="15" t="n"/>
      <c r="V504" s="15" t="n"/>
      <c r="W504" s="13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3" t="n"/>
      <c r="AK504" s="12" t="n"/>
      <c r="AL504" s="12" t="n"/>
      <c r="AM504" s="12" t="n"/>
      <c r="AN504" s="12" t="n"/>
      <c r="AO504" s="12" t="n"/>
      <c r="AP504" s="12" t="n"/>
      <c r="AQ504" s="7">
        <f>IF(A504="","",IF(AP504&lt;&gt;"",AP504,IF(LEFT(Z504,11)="gads_marque","Google Search – Marque",IF(LEFT(Z504,12)="gads_mariage","Google Search – Mariage et privé",IF(LEFT(Z504,10)="gads_corpo","Google Search – Corporatif",IF(LEFT(Z504,5)="meta_","Meta – Leads",IF(LEFT(Z504,5)="msft_","Microsoft Ads",IF(LEFT(Z504,8)="chatgpt_","ChatGPT Ads – Test",IF(X504="gbp","Fiche Google (organique)","Autre / non payé")))))))))</f>
        <v/>
      </c>
      <c r="AR504" s="7">
        <f>IF(K504="","",IFERROR(VLOOKUP(K504,Listes!$F$3:$H$8,3,FALSE),""))</f>
        <v/>
      </c>
      <c r="AS504" s="7">
        <f>IF(O504="","",IF(AND(M504="Autre (plus de 40 km)",OR(O504="lt600",O504="600_999",O504="1000_2499")),"D",IF(OR(O504="lt600",AND(O504="600_999",K504&lt;&gt;"mariage",K504&lt;&gt;"prive")),"C",IF(OR(O504="2500_4999",O504="5000p",J504="entreprise",J504="organisme",J504="agence"),"A",IF(OR(O504="1000_2499",O504="600_999"),"B",IF(O504="inconnu",IF(OR(N504="75_149",N504="150p"),"A","B"),""))))))</f>
        <v/>
      </c>
      <c r="AT504" s="7">
        <f>IF(A504="","",IF(P504&lt;&gt;"",P504,AS504))</f>
        <v/>
      </c>
      <c r="AU504" s="7">
        <f>IF(A504="","",IF(OR(AT504="A",AT504="B"),1,0))</f>
        <v/>
      </c>
      <c r="AV504" s="7">
        <f>IF(A504="","",IF(OR(R504="Dépôt payé (gagné)",R504="Événement livré",R504="Avis obtenu"),1,0))</f>
        <v/>
      </c>
      <c r="AW504" s="7">
        <f>IF(A504="","",IF(Q504&gt;70,"Immédiat – propriétaire",IF(Q504&gt;=40,"15 min – personne de garde","Selon la route")))</f>
        <v/>
      </c>
      <c r="AX504" s="11">
        <f>IF(A504="","",IF(AT504="A",400,IF(AT504="B",150,0)))</f>
        <v/>
      </c>
      <c r="AY504" s="11">
        <f>IF(A504="","",IF(AV504=1,N(V504),IF(N(U504)&gt;0,ROUND(N(U504)*IFERROR(VLOOKUP(R504,Listes!$AE$3:$AG$12,2,FALSE),0),0),0)))</f>
        <v/>
      </c>
      <c r="AZ504" s="7">
        <f>IF(LEFT(A504,7)="EXEMPLE",1,0)</f>
        <v/>
      </c>
      <c r="BA504" s="7">
        <f>IF(AND(AV504=1,AZ504=0,AC504&lt;&gt;"",W504&lt;&gt;"",N(V504)&gt;0),COUNTIFS($AV$3:AV504,1,$AZ$3:AZ504,0,$AC$3:AC504,"&lt;&gt;",$W$3:W504,"&lt;&gt;",$V$3:V504,"&gt;0"),"")</f>
        <v/>
      </c>
    </row>
    <row r="505">
      <c r="A505" s="12" t="n"/>
      <c r="B505" s="13" t="n"/>
      <c r="C505" s="13" t="n"/>
      <c r="D505" s="7">
        <f>IF(OR(B505="",C505=""),"",ROUND((C505-B505)*1440,0))</f>
        <v/>
      </c>
      <c r="E505" s="12" t="n"/>
      <c r="F505" s="12" t="n"/>
      <c r="G505" s="12" t="n"/>
      <c r="H505" s="12" t="n"/>
      <c r="I505" s="12" t="n"/>
      <c r="J505" s="12" t="n"/>
      <c r="K505" s="12" t="n"/>
      <c r="L505" s="14" t="n"/>
      <c r="M505" s="12" t="n"/>
      <c r="N505" s="12" t="n"/>
      <c r="O505" s="12" t="n"/>
      <c r="P505" s="12" t="n"/>
      <c r="Q505" s="7">
        <f>IF(A505="","",IFERROR(VLOOKUP(O505,Listes!$R$3:$T$8,2,FALSE),0)+IFERROR(VLOOKUP(J505,Listes!$J$3:$L$6,2,FALSE),0)+IFERROR(VLOOKUP(N505,Listes!$N$3:$P$6,2,FALSE),0)+IF(OR(L505="",B505=""),0,IF(L505-INT(B505)&lt;10,8,IF(L505-INT(B505)&lt;=90,10,5)))+IFERROR(VLOOKUP(AN505,Listes!$V$3:$W$5,2,FALSE),0)+IFERROR(VLOOKUP(AO505,Listes!$Y$3:$Z$5,2,FALSE),0))</f>
        <v/>
      </c>
      <c r="R505" s="12" t="n"/>
      <c r="S505" s="12" t="n"/>
      <c r="T505" s="12" t="n"/>
      <c r="U505" s="15" t="n"/>
      <c r="V505" s="15" t="n"/>
      <c r="W505" s="13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3" t="n"/>
      <c r="AK505" s="12" t="n"/>
      <c r="AL505" s="12" t="n"/>
      <c r="AM505" s="12" t="n"/>
      <c r="AN505" s="12" t="n"/>
      <c r="AO505" s="12" t="n"/>
      <c r="AP505" s="12" t="n"/>
      <c r="AQ505" s="7">
        <f>IF(A505="","",IF(AP505&lt;&gt;"",AP505,IF(LEFT(Z505,11)="gads_marque","Google Search – Marque",IF(LEFT(Z505,12)="gads_mariage","Google Search – Mariage et privé",IF(LEFT(Z505,10)="gads_corpo","Google Search – Corporatif",IF(LEFT(Z505,5)="meta_","Meta – Leads",IF(LEFT(Z505,5)="msft_","Microsoft Ads",IF(LEFT(Z505,8)="chatgpt_","ChatGPT Ads – Test",IF(X505="gbp","Fiche Google (organique)","Autre / non payé")))))))))</f>
        <v/>
      </c>
      <c r="AR505" s="7">
        <f>IF(K505="","",IFERROR(VLOOKUP(K505,Listes!$F$3:$H$8,3,FALSE),""))</f>
        <v/>
      </c>
      <c r="AS505" s="7">
        <f>IF(O505="","",IF(AND(M505="Autre (plus de 40 km)",OR(O505="lt600",O505="600_999",O505="1000_2499")),"D",IF(OR(O505="lt600",AND(O505="600_999",K505&lt;&gt;"mariage",K505&lt;&gt;"prive")),"C",IF(OR(O505="2500_4999",O505="5000p",J505="entreprise",J505="organisme",J505="agence"),"A",IF(OR(O505="1000_2499",O505="600_999"),"B",IF(O505="inconnu",IF(OR(N505="75_149",N505="150p"),"A","B"),""))))))</f>
        <v/>
      </c>
      <c r="AT505" s="7">
        <f>IF(A505="","",IF(P505&lt;&gt;"",P505,AS505))</f>
        <v/>
      </c>
      <c r="AU505" s="7">
        <f>IF(A505="","",IF(OR(AT505="A",AT505="B"),1,0))</f>
        <v/>
      </c>
      <c r="AV505" s="7">
        <f>IF(A505="","",IF(OR(R505="Dépôt payé (gagné)",R505="Événement livré",R505="Avis obtenu"),1,0))</f>
        <v/>
      </c>
      <c r="AW505" s="7">
        <f>IF(A505="","",IF(Q505&gt;70,"Immédiat – propriétaire",IF(Q505&gt;=40,"15 min – personne de garde","Selon la route")))</f>
        <v/>
      </c>
      <c r="AX505" s="11">
        <f>IF(A505="","",IF(AT505="A",400,IF(AT505="B",150,0)))</f>
        <v/>
      </c>
      <c r="AY505" s="11">
        <f>IF(A505="","",IF(AV505=1,N(V505),IF(N(U505)&gt;0,ROUND(N(U505)*IFERROR(VLOOKUP(R505,Listes!$AE$3:$AG$12,2,FALSE),0),0),0)))</f>
        <v/>
      </c>
      <c r="AZ505" s="7">
        <f>IF(LEFT(A505,7)="EXEMPLE",1,0)</f>
        <v/>
      </c>
      <c r="BA505" s="7">
        <f>IF(AND(AV505=1,AZ505=0,AC505&lt;&gt;"",W505&lt;&gt;"",N(V505)&gt;0),COUNTIFS($AV$3:AV505,1,$AZ$3:AZ505,0,$AC$3:AC505,"&lt;&gt;",$W$3:W505,"&lt;&gt;",$V$3:V505,"&gt;0"),"")</f>
        <v/>
      </c>
    </row>
    <row r="506">
      <c r="A506" s="12" t="n"/>
      <c r="B506" s="13" t="n"/>
      <c r="C506" s="13" t="n"/>
      <c r="D506" s="7">
        <f>IF(OR(B506="",C506=""),"",ROUND((C506-B506)*1440,0))</f>
        <v/>
      </c>
      <c r="E506" s="12" t="n"/>
      <c r="F506" s="12" t="n"/>
      <c r="G506" s="12" t="n"/>
      <c r="H506" s="12" t="n"/>
      <c r="I506" s="12" t="n"/>
      <c r="J506" s="12" t="n"/>
      <c r="K506" s="12" t="n"/>
      <c r="L506" s="14" t="n"/>
      <c r="M506" s="12" t="n"/>
      <c r="N506" s="12" t="n"/>
      <c r="O506" s="12" t="n"/>
      <c r="P506" s="12" t="n"/>
      <c r="Q506" s="7">
        <f>IF(A506="","",IFERROR(VLOOKUP(O506,Listes!$R$3:$T$8,2,FALSE),0)+IFERROR(VLOOKUP(J506,Listes!$J$3:$L$6,2,FALSE),0)+IFERROR(VLOOKUP(N506,Listes!$N$3:$P$6,2,FALSE),0)+IF(OR(L506="",B506=""),0,IF(L506-INT(B506)&lt;10,8,IF(L506-INT(B506)&lt;=90,10,5)))+IFERROR(VLOOKUP(AN506,Listes!$V$3:$W$5,2,FALSE),0)+IFERROR(VLOOKUP(AO506,Listes!$Y$3:$Z$5,2,FALSE),0))</f>
        <v/>
      </c>
      <c r="R506" s="12" t="n"/>
      <c r="S506" s="12" t="n"/>
      <c r="T506" s="12" t="n"/>
      <c r="U506" s="15" t="n"/>
      <c r="V506" s="15" t="n"/>
      <c r="W506" s="13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3" t="n"/>
      <c r="AK506" s="12" t="n"/>
      <c r="AL506" s="12" t="n"/>
      <c r="AM506" s="12" t="n"/>
      <c r="AN506" s="12" t="n"/>
      <c r="AO506" s="12" t="n"/>
      <c r="AP506" s="12" t="n"/>
      <c r="AQ506" s="7">
        <f>IF(A506="","",IF(AP506&lt;&gt;"",AP506,IF(LEFT(Z506,11)="gads_marque","Google Search – Marque",IF(LEFT(Z506,12)="gads_mariage","Google Search – Mariage et privé",IF(LEFT(Z506,10)="gads_corpo","Google Search – Corporatif",IF(LEFT(Z506,5)="meta_","Meta – Leads",IF(LEFT(Z506,5)="msft_","Microsoft Ads",IF(LEFT(Z506,8)="chatgpt_","ChatGPT Ads – Test",IF(X506="gbp","Fiche Google (organique)","Autre / non payé")))))))))</f>
        <v/>
      </c>
      <c r="AR506" s="7">
        <f>IF(K506="","",IFERROR(VLOOKUP(K506,Listes!$F$3:$H$8,3,FALSE),""))</f>
        <v/>
      </c>
      <c r="AS506" s="7">
        <f>IF(O506="","",IF(AND(M506="Autre (plus de 40 km)",OR(O506="lt600",O506="600_999",O506="1000_2499")),"D",IF(OR(O506="lt600",AND(O506="600_999",K506&lt;&gt;"mariage",K506&lt;&gt;"prive")),"C",IF(OR(O506="2500_4999",O506="5000p",J506="entreprise",J506="organisme",J506="agence"),"A",IF(OR(O506="1000_2499",O506="600_999"),"B",IF(O506="inconnu",IF(OR(N506="75_149",N506="150p"),"A","B"),""))))))</f>
        <v/>
      </c>
      <c r="AT506" s="7">
        <f>IF(A506="","",IF(P506&lt;&gt;"",P506,AS506))</f>
        <v/>
      </c>
      <c r="AU506" s="7">
        <f>IF(A506="","",IF(OR(AT506="A",AT506="B"),1,0))</f>
        <v/>
      </c>
      <c r="AV506" s="7">
        <f>IF(A506="","",IF(OR(R506="Dépôt payé (gagné)",R506="Événement livré",R506="Avis obtenu"),1,0))</f>
        <v/>
      </c>
      <c r="AW506" s="7">
        <f>IF(A506="","",IF(Q506&gt;70,"Immédiat – propriétaire",IF(Q506&gt;=40,"15 min – personne de garde","Selon la route")))</f>
        <v/>
      </c>
      <c r="AX506" s="11">
        <f>IF(A506="","",IF(AT506="A",400,IF(AT506="B",150,0)))</f>
        <v/>
      </c>
      <c r="AY506" s="11">
        <f>IF(A506="","",IF(AV506=1,N(V506),IF(N(U506)&gt;0,ROUND(N(U506)*IFERROR(VLOOKUP(R506,Listes!$AE$3:$AG$12,2,FALSE),0),0),0)))</f>
        <v/>
      </c>
      <c r="AZ506" s="7">
        <f>IF(LEFT(A506,7)="EXEMPLE",1,0)</f>
        <v/>
      </c>
      <c r="BA506" s="7">
        <f>IF(AND(AV506=1,AZ506=0,AC506&lt;&gt;"",W506&lt;&gt;"",N(V506)&gt;0),COUNTIFS($AV$3:AV506,1,$AZ$3:AZ506,0,$AC$3:AC506,"&lt;&gt;",$W$3:W506,"&lt;&gt;",$V$3:V506,"&gt;0"),"")</f>
        <v/>
      </c>
    </row>
    <row r="507">
      <c r="A507" s="12" t="n"/>
      <c r="B507" s="13" t="n"/>
      <c r="C507" s="13" t="n"/>
      <c r="D507" s="7">
        <f>IF(OR(B507="",C507=""),"",ROUND((C507-B507)*1440,0))</f>
        <v/>
      </c>
      <c r="E507" s="12" t="n"/>
      <c r="F507" s="12" t="n"/>
      <c r="G507" s="12" t="n"/>
      <c r="H507" s="12" t="n"/>
      <c r="I507" s="12" t="n"/>
      <c r="J507" s="12" t="n"/>
      <c r="K507" s="12" t="n"/>
      <c r="L507" s="14" t="n"/>
      <c r="M507" s="12" t="n"/>
      <c r="N507" s="12" t="n"/>
      <c r="O507" s="12" t="n"/>
      <c r="P507" s="12" t="n"/>
      <c r="Q507" s="7">
        <f>IF(A507="","",IFERROR(VLOOKUP(O507,Listes!$R$3:$T$8,2,FALSE),0)+IFERROR(VLOOKUP(J507,Listes!$J$3:$L$6,2,FALSE),0)+IFERROR(VLOOKUP(N507,Listes!$N$3:$P$6,2,FALSE),0)+IF(OR(L507="",B507=""),0,IF(L507-INT(B507)&lt;10,8,IF(L507-INT(B507)&lt;=90,10,5)))+IFERROR(VLOOKUP(AN507,Listes!$V$3:$W$5,2,FALSE),0)+IFERROR(VLOOKUP(AO507,Listes!$Y$3:$Z$5,2,FALSE),0))</f>
        <v/>
      </c>
      <c r="R507" s="12" t="n"/>
      <c r="S507" s="12" t="n"/>
      <c r="T507" s="12" t="n"/>
      <c r="U507" s="15" t="n"/>
      <c r="V507" s="15" t="n"/>
      <c r="W507" s="13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3" t="n"/>
      <c r="AK507" s="12" t="n"/>
      <c r="AL507" s="12" t="n"/>
      <c r="AM507" s="12" t="n"/>
      <c r="AN507" s="12" t="n"/>
      <c r="AO507" s="12" t="n"/>
      <c r="AP507" s="12" t="n"/>
      <c r="AQ507" s="7">
        <f>IF(A507="","",IF(AP507&lt;&gt;"",AP507,IF(LEFT(Z507,11)="gads_marque","Google Search – Marque",IF(LEFT(Z507,12)="gads_mariage","Google Search – Mariage et privé",IF(LEFT(Z507,10)="gads_corpo","Google Search – Corporatif",IF(LEFT(Z507,5)="meta_","Meta – Leads",IF(LEFT(Z507,5)="msft_","Microsoft Ads",IF(LEFT(Z507,8)="chatgpt_","ChatGPT Ads – Test",IF(X507="gbp","Fiche Google (organique)","Autre / non payé")))))))))</f>
        <v/>
      </c>
      <c r="AR507" s="7">
        <f>IF(K507="","",IFERROR(VLOOKUP(K507,Listes!$F$3:$H$8,3,FALSE),""))</f>
        <v/>
      </c>
      <c r="AS507" s="7">
        <f>IF(O507="","",IF(AND(M507="Autre (plus de 40 km)",OR(O507="lt600",O507="600_999",O507="1000_2499")),"D",IF(OR(O507="lt600",AND(O507="600_999",K507&lt;&gt;"mariage",K507&lt;&gt;"prive")),"C",IF(OR(O507="2500_4999",O507="5000p",J507="entreprise",J507="organisme",J507="agence"),"A",IF(OR(O507="1000_2499",O507="600_999"),"B",IF(O507="inconnu",IF(OR(N507="75_149",N507="150p"),"A","B"),""))))))</f>
        <v/>
      </c>
      <c r="AT507" s="7">
        <f>IF(A507="","",IF(P507&lt;&gt;"",P507,AS507))</f>
        <v/>
      </c>
      <c r="AU507" s="7">
        <f>IF(A507="","",IF(OR(AT507="A",AT507="B"),1,0))</f>
        <v/>
      </c>
      <c r="AV507" s="7">
        <f>IF(A507="","",IF(OR(R507="Dépôt payé (gagné)",R507="Événement livré",R507="Avis obtenu"),1,0))</f>
        <v/>
      </c>
      <c r="AW507" s="7">
        <f>IF(A507="","",IF(Q507&gt;70,"Immédiat – propriétaire",IF(Q507&gt;=40,"15 min – personne de garde","Selon la route")))</f>
        <v/>
      </c>
      <c r="AX507" s="11">
        <f>IF(A507="","",IF(AT507="A",400,IF(AT507="B",150,0)))</f>
        <v/>
      </c>
      <c r="AY507" s="11">
        <f>IF(A507="","",IF(AV507=1,N(V507),IF(N(U507)&gt;0,ROUND(N(U507)*IFERROR(VLOOKUP(R507,Listes!$AE$3:$AG$12,2,FALSE),0),0),0)))</f>
        <v/>
      </c>
      <c r="AZ507" s="7">
        <f>IF(LEFT(A507,7)="EXEMPLE",1,0)</f>
        <v/>
      </c>
      <c r="BA507" s="7">
        <f>IF(AND(AV507=1,AZ507=0,AC507&lt;&gt;"",W507&lt;&gt;"",N(V507)&gt;0),COUNTIFS($AV$3:AV507,1,$AZ$3:AZ507,0,$AC$3:AC507,"&lt;&gt;",$W$3:W507,"&lt;&gt;",$V$3:V507,"&gt;0"),"")</f>
        <v/>
      </c>
    </row>
    <row r="508">
      <c r="A508" s="12" t="n"/>
      <c r="B508" s="13" t="n"/>
      <c r="C508" s="13" t="n"/>
      <c r="D508" s="7">
        <f>IF(OR(B508="",C508=""),"",ROUND((C508-B508)*1440,0))</f>
        <v/>
      </c>
      <c r="E508" s="12" t="n"/>
      <c r="F508" s="12" t="n"/>
      <c r="G508" s="12" t="n"/>
      <c r="H508" s="12" t="n"/>
      <c r="I508" s="12" t="n"/>
      <c r="J508" s="12" t="n"/>
      <c r="K508" s="12" t="n"/>
      <c r="L508" s="14" t="n"/>
      <c r="M508" s="12" t="n"/>
      <c r="N508" s="12" t="n"/>
      <c r="O508" s="12" t="n"/>
      <c r="P508" s="12" t="n"/>
      <c r="Q508" s="7">
        <f>IF(A508="","",IFERROR(VLOOKUP(O508,Listes!$R$3:$T$8,2,FALSE),0)+IFERROR(VLOOKUP(J508,Listes!$J$3:$L$6,2,FALSE),0)+IFERROR(VLOOKUP(N508,Listes!$N$3:$P$6,2,FALSE),0)+IF(OR(L508="",B508=""),0,IF(L508-INT(B508)&lt;10,8,IF(L508-INT(B508)&lt;=90,10,5)))+IFERROR(VLOOKUP(AN508,Listes!$V$3:$W$5,2,FALSE),0)+IFERROR(VLOOKUP(AO508,Listes!$Y$3:$Z$5,2,FALSE),0))</f>
        <v/>
      </c>
      <c r="R508" s="12" t="n"/>
      <c r="S508" s="12" t="n"/>
      <c r="T508" s="12" t="n"/>
      <c r="U508" s="15" t="n"/>
      <c r="V508" s="15" t="n"/>
      <c r="W508" s="13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3" t="n"/>
      <c r="AK508" s="12" t="n"/>
      <c r="AL508" s="12" t="n"/>
      <c r="AM508" s="12" t="n"/>
      <c r="AN508" s="12" t="n"/>
      <c r="AO508" s="12" t="n"/>
      <c r="AP508" s="12" t="n"/>
      <c r="AQ508" s="7">
        <f>IF(A508="","",IF(AP508&lt;&gt;"",AP508,IF(LEFT(Z508,11)="gads_marque","Google Search – Marque",IF(LEFT(Z508,12)="gads_mariage","Google Search – Mariage et privé",IF(LEFT(Z508,10)="gads_corpo","Google Search – Corporatif",IF(LEFT(Z508,5)="meta_","Meta – Leads",IF(LEFT(Z508,5)="msft_","Microsoft Ads",IF(LEFT(Z508,8)="chatgpt_","ChatGPT Ads – Test",IF(X508="gbp","Fiche Google (organique)","Autre / non payé")))))))))</f>
        <v/>
      </c>
      <c r="AR508" s="7">
        <f>IF(K508="","",IFERROR(VLOOKUP(K508,Listes!$F$3:$H$8,3,FALSE),""))</f>
        <v/>
      </c>
      <c r="AS508" s="7">
        <f>IF(O508="","",IF(AND(M508="Autre (plus de 40 km)",OR(O508="lt600",O508="600_999",O508="1000_2499")),"D",IF(OR(O508="lt600",AND(O508="600_999",K508&lt;&gt;"mariage",K508&lt;&gt;"prive")),"C",IF(OR(O508="2500_4999",O508="5000p",J508="entreprise",J508="organisme",J508="agence"),"A",IF(OR(O508="1000_2499",O508="600_999"),"B",IF(O508="inconnu",IF(OR(N508="75_149",N508="150p"),"A","B"),""))))))</f>
        <v/>
      </c>
      <c r="AT508" s="7">
        <f>IF(A508="","",IF(P508&lt;&gt;"",P508,AS508))</f>
        <v/>
      </c>
      <c r="AU508" s="7">
        <f>IF(A508="","",IF(OR(AT508="A",AT508="B"),1,0))</f>
        <v/>
      </c>
      <c r="AV508" s="7">
        <f>IF(A508="","",IF(OR(R508="Dépôt payé (gagné)",R508="Événement livré",R508="Avis obtenu"),1,0))</f>
        <v/>
      </c>
      <c r="AW508" s="7">
        <f>IF(A508="","",IF(Q508&gt;70,"Immédiat – propriétaire",IF(Q508&gt;=40,"15 min – personne de garde","Selon la route")))</f>
        <v/>
      </c>
      <c r="AX508" s="11">
        <f>IF(A508="","",IF(AT508="A",400,IF(AT508="B",150,0)))</f>
        <v/>
      </c>
      <c r="AY508" s="11">
        <f>IF(A508="","",IF(AV508=1,N(V508),IF(N(U508)&gt;0,ROUND(N(U508)*IFERROR(VLOOKUP(R508,Listes!$AE$3:$AG$12,2,FALSE),0),0),0)))</f>
        <v/>
      </c>
      <c r="AZ508" s="7">
        <f>IF(LEFT(A508,7)="EXEMPLE",1,0)</f>
        <v/>
      </c>
      <c r="BA508" s="7">
        <f>IF(AND(AV508=1,AZ508=0,AC508&lt;&gt;"",W508&lt;&gt;"",N(V508)&gt;0),COUNTIFS($AV$3:AV508,1,$AZ$3:AZ508,0,$AC$3:AC508,"&lt;&gt;",$W$3:W508,"&lt;&gt;",$V$3:V508,"&gt;0"),"")</f>
        <v/>
      </c>
    </row>
    <row r="509">
      <c r="A509" s="12" t="n"/>
      <c r="B509" s="13" t="n"/>
      <c r="C509" s="13" t="n"/>
      <c r="D509" s="7">
        <f>IF(OR(B509="",C509=""),"",ROUND((C509-B509)*1440,0))</f>
        <v/>
      </c>
      <c r="E509" s="12" t="n"/>
      <c r="F509" s="12" t="n"/>
      <c r="G509" s="12" t="n"/>
      <c r="H509" s="12" t="n"/>
      <c r="I509" s="12" t="n"/>
      <c r="J509" s="12" t="n"/>
      <c r="K509" s="12" t="n"/>
      <c r="L509" s="14" t="n"/>
      <c r="M509" s="12" t="n"/>
      <c r="N509" s="12" t="n"/>
      <c r="O509" s="12" t="n"/>
      <c r="P509" s="12" t="n"/>
      <c r="Q509" s="7">
        <f>IF(A509="","",IFERROR(VLOOKUP(O509,Listes!$R$3:$T$8,2,FALSE),0)+IFERROR(VLOOKUP(J509,Listes!$J$3:$L$6,2,FALSE),0)+IFERROR(VLOOKUP(N509,Listes!$N$3:$P$6,2,FALSE),0)+IF(OR(L509="",B509=""),0,IF(L509-INT(B509)&lt;10,8,IF(L509-INT(B509)&lt;=90,10,5)))+IFERROR(VLOOKUP(AN509,Listes!$V$3:$W$5,2,FALSE),0)+IFERROR(VLOOKUP(AO509,Listes!$Y$3:$Z$5,2,FALSE),0))</f>
        <v/>
      </c>
      <c r="R509" s="12" t="n"/>
      <c r="S509" s="12" t="n"/>
      <c r="T509" s="12" t="n"/>
      <c r="U509" s="15" t="n"/>
      <c r="V509" s="15" t="n"/>
      <c r="W509" s="13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3" t="n"/>
      <c r="AK509" s="12" t="n"/>
      <c r="AL509" s="12" t="n"/>
      <c r="AM509" s="12" t="n"/>
      <c r="AN509" s="12" t="n"/>
      <c r="AO509" s="12" t="n"/>
      <c r="AP509" s="12" t="n"/>
      <c r="AQ509" s="7">
        <f>IF(A509="","",IF(AP509&lt;&gt;"",AP509,IF(LEFT(Z509,11)="gads_marque","Google Search – Marque",IF(LEFT(Z509,12)="gads_mariage","Google Search – Mariage et privé",IF(LEFT(Z509,10)="gads_corpo","Google Search – Corporatif",IF(LEFT(Z509,5)="meta_","Meta – Leads",IF(LEFT(Z509,5)="msft_","Microsoft Ads",IF(LEFT(Z509,8)="chatgpt_","ChatGPT Ads – Test",IF(X509="gbp","Fiche Google (organique)","Autre / non payé")))))))))</f>
        <v/>
      </c>
      <c r="AR509" s="7">
        <f>IF(K509="","",IFERROR(VLOOKUP(K509,Listes!$F$3:$H$8,3,FALSE),""))</f>
        <v/>
      </c>
      <c r="AS509" s="7">
        <f>IF(O509="","",IF(AND(M509="Autre (plus de 40 km)",OR(O509="lt600",O509="600_999",O509="1000_2499")),"D",IF(OR(O509="lt600",AND(O509="600_999",K509&lt;&gt;"mariage",K509&lt;&gt;"prive")),"C",IF(OR(O509="2500_4999",O509="5000p",J509="entreprise",J509="organisme",J509="agence"),"A",IF(OR(O509="1000_2499",O509="600_999"),"B",IF(O509="inconnu",IF(OR(N509="75_149",N509="150p"),"A","B"),""))))))</f>
        <v/>
      </c>
      <c r="AT509" s="7">
        <f>IF(A509="","",IF(P509&lt;&gt;"",P509,AS509))</f>
        <v/>
      </c>
      <c r="AU509" s="7">
        <f>IF(A509="","",IF(OR(AT509="A",AT509="B"),1,0))</f>
        <v/>
      </c>
      <c r="AV509" s="7">
        <f>IF(A509="","",IF(OR(R509="Dépôt payé (gagné)",R509="Événement livré",R509="Avis obtenu"),1,0))</f>
        <v/>
      </c>
      <c r="AW509" s="7">
        <f>IF(A509="","",IF(Q509&gt;70,"Immédiat – propriétaire",IF(Q509&gt;=40,"15 min – personne de garde","Selon la route")))</f>
        <v/>
      </c>
      <c r="AX509" s="11">
        <f>IF(A509="","",IF(AT509="A",400,IF(AT509="B",150,0)))</f>
        <v/>
      </c>
      <c r="AY509" s="11">
        <f>IF(A509="","",IF(AV509=1,N(V509),IF(N(U509)&gt;0,ROUND(N(U509)*IFERROR(VLOOKUP(R509,Listes!$AE$3:$AG$12,2,FALSE),0),0),0)))</f>
        <v/>
      </c>
      <c r="AZ509" s="7">
        <f>IF(LEFT(A509,7)="EXEMPLE",1,0)</f>
        <v/>
      </c>
      <c r="BA509" s="7">
        <f>IF(AND(AV509=1,AZ509=0,AC509&lt;&gt;"",W509&lt;&gt;"",N(V509)&gt;0),COUNTIFS($AV$3:AV509,1,$AZ$3:AZ509,0,$AC$3:AC509,"&lt;&gt;",$W$3:W509,"&lt;&gt;",$V$3:V509,"&gt;0"),"")</f>
        <v/>
      </c>
    </row>
    <row r="510">
      <c r="A510" s="12" t="n"/>
      <c r="B510" s="13" t="n"/>
      <c r="C510" s="13" t="n"/>
      <c r="D510" s="7">
        <f>IF(OR(B510="",C510=""),"",ROUND((C510-B510)*1440,0))</f>
        <v/>
      </c>
      <c r="E510" s="12" t="n"/>
      <c r="F510" s="12" t="n"/>
      <c r="G510" s="12" t="n"/>
      <c r="H510" s="12" t="n"/>
      <c r="I510" s="12" t="n"/>
      <c r="J510" s="12" t="n"/>
      <c r="K510" s="12" t="n"/>
      <c r="L510" s="14" t="n"/>
      <c r="M510" s="12" t="n"/>
      <c r="N510" s="12" t="n"/>
      <c r="O510" s="12" t="n"/>
      <c r="P510" s="12" t="n"/>
      <c r="Q510" s="7">
        <f>IF(A510="","",IFERROR(VLOOKUP(O510,Listes!$R$3:$T$8,2,FALSE),0)+IFERROR(VLOOKUP(J510,Listes!$J$3:$L$6,2,FALSE),0)+IFERROR(VLOOKUP(N510,Listes!$N$3:$P$6,2,FALSE),0)+IF(OR(L510="",B510=""),0,IF(L510-INT(B510)&lt;10,8,IF(L510-INT(B510)&lt;=90,10,5)))+IFERROR(VLOOKUP(AN510,Listes!$V$3:$W$5,2,FALSE),0)+IFERROR(VLOOKUP(AO510,Listes!$Y$3:$Z$5,2,FALSE),0))</f>
        <v/>
      </c>
      <c r="R510" s="12" t="n"/>
      <c r="S510" s="12" t="n"/>
      <c r="T510" s="12" t="n"/>
      <c r="U510" s="15" t="n"/>
      <c r="V510" s="15" t="n"/>
      <c r="W510" s="13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3" t="n"/>
      <c r="AK510" s="12" t="n"/>
      <c r="AL510" s="12" t="n"/>
      <c r="AM510" s="12" t="n"/>
      <c r="AN510" s="12" t="n"/>
      <c r="AO510" s="12" t="n"/>
      <c r="AP510" s="12" t="n"/>
      <c r="AQ510" s="7">
        <f>IF(A510="","",IF(AP510&lt;&gt;"",AP510,IF(LEFT(Z510,11)="gads_marque","Google Search – Marque",IF(LEFT(Z510,12)="gads_mariage","Google Search – Mariage et privé",IF(LEFT(Z510,10)="gads_corpo","Google Search – Corporatif",IF(LEFT(Z510,5)="meta_","Meta – Leads",IF(LEFT(Z510,5)="msft_","Microsoft Ads",IF(LEFT(Z510,8)="chatgpt_","ChatGPT Ads – Test",IF(X510="gbp","Fiche Google (organique)","Autre / non payé")))))))))</f>
        <v/>
      </c>
      <c r="AR510" s="7">
        <f>IF(K510="","",IFERROR(VLOOKUP(K510,Listes!$F$3:$H$8,3,FALSE),""))</f>
        <v/>
      </c>
      <c r="AS510" s="7">
        <f>IF(O510="","",IF(AND(M510="Autre (plus de 40 km)",OR(O510="lt600",O510="600_999",O510="1000_2499")),"D",IF(OR(O510="lt600",AND(O510="600_999",K510&lt;&gt;"mariage",K510&lt;&gt;"prive")),"C",IF(OR(O510="2500_4999",O510="5000p",J510="entreprise",J510="organisme",J510="agence"),"A",IF(OR(O510="1000_2499",O510="600_999"),"B",IF(O510="inconnu",IF(OR(N510="75_149",N510="150p"),"A","B"),""))))))</f>
        <v/>
      </c>
      <c r="AT510" s="7">
        <f>IF(A510="","",IF(P510&lt;&gt;"",P510,AS510))</f>
        <v/>
      </c>
      <c r="AU510" s="7">
        <f>IF(A510="","",IF(OR(AT510="A",AT510="B"),1,0))</f>
        <v/>
      </c>
      <c r="AV510" s="7">
        <f>IF(A510="","",IF(OR(R510="Dépôt payé (gagné)",R510="Événement livré",R510="Avis obtenu"),1,0))</f>
        <v/>
      </c>
      <c r="AW510" s="7">
        <f>IF(A510="","",IF(Q510&gt;70,"Immédiat – propriétaire",IF(Q510&gt;=40,"15 min – personne de garde","Selon la route")))</f>
        <v/>
      </c>
      <c r="AX510" s="11">
        <f>IF(A510="","",IF(AT510="A",400,IF(AT510="B",150,0)))</f>
        <v/>
      </c>
      <c r="AY510" s="11">
        <f>IF(A510="","",IF(AV510=1,N(V510),IF(N(U510)&gt;0,ROUND(N(U510)*IFERROR(VLOOKUP(R510,Listes!$AE$3:$AG$12,2,FALSE),0),0),0)))</f>
        <v/>
      </c>
      <c r="AZ510" s="7">
        <f>IF(LEFT(A510,7)="EXEMPLE",1,0)</f>
        <v/>
      </c>
      <c r="BA510" s="7">
        <f>IF(AND(AV510=1,AZ510=0,AC510&lt;&gt;"",W510&lt;&gt;"",N(V510)&gt;0),COUNTIFS($AV$3:AV510,1,$AZ$3:AZ510,0,$AC$3:AC510,"&lt;&gt;",$W$3:W510,"&lt;&gt;",$V$3:V510,"&gt;0"),"")</f>
        <v/>
      </c>
    </row>
    <row r="511">
      <c r="A511" s="12" t="n"/>
      <c r="B511" s="13" t="n"/>
      <c r="C511" s="13" t="n"/>
      <c r="D511" s="7">
        <f>IF(OR(B511="",C511=""),"",ROUND((C511-B511)*1440,0))</f>
        <v/>
      </c>
      <c r="E511" s="12" t="n"/>
      <c r="F511" s="12" t="n"/>
      <c r="G511" s="12" t="n"/>
      <c r="H511" s="12" t="n"/>
      <c r="I511" s="12" t="n"/>
      <c r="J511" s="12" t="n"/>
      <c r="K511" s="12" t="n"/>
      <c r="L511" s="14" t="n"/>
      <c r="M511" s="12" t="n"/>
      <c r="N511" s="12" t="n"/>
      <c r="O511" s="12" t="n"/>
      <c r="P511" s="12" t="n"/>
      <c r="Q511" s="7">
        <f>IF(A511="","",IFERROR(VLOOKUP(O511,Listes!$R$3:$T$8,2,FALSE),0)+IFERROR(VLOOKUP(J511,Listes!$J$3:$L$6,2,FALSE),0)+IFERROR(VLOOKUP(N511,Listes!$N$3:$P$6,2,FALSE),0)+IF(OR(L511="",B511=""),0,IF(L511-INT(B511)&lt;10,8,IF(L511-INT(B511)&lt;=90,10,5)))+IFERROR(VLOOKUP(AN511,Listes!$V$3:$W$5,2,FALSE),0)+IFERROR(VLOOKUP(AO511,Listes!$Y$3:$Z$5,2,FALSE),0))</f>
        <v/>
      </c>
      <c r="R511" s="12" t="n"/>
      <c r="S511" s="12" t="n"/>
      <c r="T511" s="12" t="n"/>
      <c r="U511" s="15" t="n"/>
      <c r="V511" s="15" t="n"/>
      <c r="W511" s="13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3" t="n"/>
      <c r="AK511" s="12" t="n"/>
      <c r="AL511" s="12" t="n"/>
      <c r="AM511" s="12" t="n"/>
      <c r="AN511" s="12" t="n"/>
      <c r="AO511" s="12" t="n"/>
      <c r="AP511" s="12" t="n"/>
      <c r="AQ511" s="7">
        <f>IF(A511="","",IF(AP511&lt;&gt;"",AP511,IF(LEFT(Z511,11)="gads_marque","Google Search – Marque",IF(LEFT(Z511,12)="gads_mariage","Google Search – Mariage et privé",IF(LEFT(Z511,10)="gads_corpo","Google Search – Corporatif",IF(LEFT(Z511,5)="meta_","Meta – Leads",IF(LEFT(Z511,5)="msft_","Microsoft Ads",IF(LEFT(Z511,8)="chatgpt_","ChatGPT Ads – Test",IF(X511="gbp","Fiche Google (organique)","Autre / non payé")))))))))</f>
        <v/>
      </c>
      <c r="AR511" s="7">
        <f>IF(K511="","",IFERROR(VLOOKUP(K511,Listes!$F$3:$H$8,3,FALSE),""))</f>
        <v/>
      </c>
      <c r="AS511" s="7">
        <f>IF(O511="","",IF(AND(M511="Autre (plus de 40 km)",OR(O511="lt600",O511="600_999",O511="1000_2499")),"D",IF(OR(O511="lt600",AND(O511="600_999",K511&lt;&gt;"mariage",K511&lt;&gt;"prive")),"C",IF(OR(O511="2500_4999",O511="5000p",J511="entreprise",J511="organisme",J511="agence"),"A",IF(OR(O511="1000_2499",O511="600_999"),"B",IF(O511="inconnu",IF(OR(N511="75_149",N511="150p"),"A","B"),""))))))</f>
        <v/>
      </c>
      <c r="AT511" s="7">
        <f>IF(A511="","",IF(P511&lt;&gt;"",P511,AS511))</f>
        <v/>
      </c>
      <c r="AU511" s="7">
        <f>IF(A511="","",IF(OR(AT511="A",AT511="B"),1,0))</f>
        <v/>
      </c>
      <c r="AV511" s="7">
        <f>IF(A511="","",IF(OR(R511="Dépôt payé (gagné)",R511="Événement livré",R511="Avis obtenu"),1,0))</f>
        <v/>
      </c>
      <c r="AW511" s="7">
        <f>IF(A511="","",IF(Q511&gt;70,"Immédiat – propriétaire",IF(Q511&gt;=40,"15 min – personne de garde","Selon la route")))</f>
        <v/>
      </c>
      <c r="AX511" s="11">
        <f>IF(A511="","",IF(AT511="A",400,IF(AT511="B",150,0)))</f>
        <v/>
      </c>
      <c r="AY511" s="11">
        <f>IF(A511="","",IF(AV511=1,N(V511),IF(N(U511)&gt;0,ROUND(N(U511)*IFERROR(VLOOKUP(R511,Listes!$AE$3:$AG$12,2,FALSE),0),0),0)))</f>
        <v/>
      </c>
      <c r="AZ511" s="7">
        <f>IF(LEFT(A511,7)="EXEMPLE",1,0)</f>
        <v/>
      </c>
      <c r="BA511" s="7">
        <f>IF(AND(AV511=1,AZ511=0,AC511&lt;&gt;"",W511&lt;&gt;"",N(V511)&gt;0),COUNTIFS($AV$3:AV511,1,$AZ$3:AZ511,0,$AC$3:AC511,"&lt;&gt;",$W$3:W511,"&lt;&gt;",$V$3:V511,"&gt;0"),"")</f>
        <v/>
      </c>
    </row>
    <row r="512">
      <c r="A512" s="12" t="n"/>
      <c r="B512" s="13" t="n"/>
      <c r="C512" s="13" t="n"/>
      <c r="D512" s="7">
        <f>IF(OR(B512="",C512=""),"",ROUND((C512-B512)*1440,0))</f>
        <v/>
      </c>
      <c r="E512" s="12" t="n"/>
      <c r="F512" s="12" t="n"/>
      <c r="G512" s="12" t="n"/>
      <c r="H512" s="12" t="n"/>
      <c r="I512" s="12" t="n"/>
      <c r="J512" s="12" t="n"/>
      <c r="K512" s="12" t="n"/>
      <c r="L512" s="14" t="n"/>
      <c r="M512" s="12" t="n"/>
      <c r="N512" s="12" t="n"/>
      <c r="O512" s="12" t="n"/>
      <c r="P512" s="12" t="n"/>
      <c r="Q512" s="7">
        <f>IF(A512="","",IFERROR(VLOOKUP(O512,Listes!$R$3:$T$8,2,FALSE),0)+IFERROR(VLOOKUP(J512,Listes!$J$3:$L$6,2,FALSE),0)+IFERROR(VLOOKUP(N512,Listes!$N$3:$P$6,2,FALSE),0)+IF(OR(L512="",B512=""),0,IF(L512-INT(B512)&lt;10,8,IF(L512-INT(B512)&lt;=90,10,5)))+IFERROR(VLOOKUP(AN512,Listes!$V$3:$W$5,2,FALSE),0)+IFERROR(VLOOKUP(AO512,Listes!$Y$3:$Z$5,2,FALSE),0))</f>
        <v/>
      </c>
      <c r="R512" s="12" t="n"/>
      <c r="S512" s="12" t="n"/>
      <c r="T512" s="12" t="n"/>
      <c r="U512" s="15" t="n"/>
      <c r="V512" s="15" t="n"/>
      <c r="W512" s="13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3" t="n"/>
      <c r="AK512" s="12" t="n"/>
      <c r="AL512" s="12" t="n"/>
      <c r="AM512" s="12" t="n"/>
      <c r="AN512" s="12" t="n"/>
      <c r="AO512" s="12" t="n"/>
      <c r="AP512" s="12" t="n"/>
      <c r="AQ512" s="7">
        <f>IF(A512="","",IF(AP512&lt;&gt;"",AP512,IF(LEFT(Z512,11)="gads_marque","Google Search – Marque",IF(LEFT(Z512,12)="gads_mariage","Google Search – Mariage et privé",IF(LEFT(Z512,10)="gads_corpo","Google Search – Corporatif",IF(LEFT(Z512,5)="meta_","Meta – Leads",IF(LEFT(Z512,5)="msft_","Microsoft Ads",IF(LEFT(Z512,8)="chatgpt_","ChatGPT Ads – Test",IF(X512="gbp","Fiche Google (organique)","Autre / non payé")))))))))</f>
        <v/>
      </c>
      <c r="AR512" s="7">
        <f>IF(K512="","",IFERROR(VLOOKUP(K512,Listes!$F$3:$H$8,3,FALSE),""))</f>
        <v/>
      </c>
      <c r="AS512" s="7">
        <f>IF(O512="","",IF(AND(M512="Autre (plus de 40 km)",OR(O512="lt600",O512="600_999",O512="1000_2499")),"D",IF(OR(O512="lt600",AND(O512="600_999",K512&lt;&gt;"mariage",K512&lt;&gt;"prive")),"C",IF(OR(O512="2500_4999",O512="5000p",J512="entreprise",J512="organisme",J512="agence"),"A",IF(OR(O512="1000_2499",O512="600_999"),"B",IF(O512="inconnu",IF(OR(N512="75_149",N512="150p"),"A","B"),""))))))</f>
        <v/>
      </c>
      <c r="AT512" s="7">
        <f>IF(A512="","",IF(P512&lt;&gt;"",P512,AS512))</f>
        <v/>
      </c>
      <c r="AU512" s="7">
        <f>IF(A512="","",IF(OR(AT512="A",AT512="B"),1,0))</f>
        <v/>
      </c>
      <c r="AV512" s="7">
        <f>IF(A512="","",IF(OR(R512="Dépôt payé (gagné)",R512="Événement livré",R512="Avis obtenu"),1,0))</f>
        <v/>
      </c>
      <c r="AW512" s="7">
        <f>IF(A512="","",IF(Q512&gt;70,"Immédiat – propriétaire",IF(Q512&gt;=40,"15 min – personne de garde","Selon la route")))</f>
        <v/>
      </c>
      <c r="AX512" s="11">
        <f>IF(A512="","",IF(AT512="A",400,IF(AT512="B",150,0)))</f>
        <v/>
      </c>
      <c r="AY512" s="11">
        <f>IF(A512="","",IF(AV512=1,N(V512),IF(N(U512)&gt;0,ROUND(N(U512)*IFERROR(VLOOKUP(R512,Listes!$AE$3:$AG$12,2,FALSE),0),0),0)))</f>
        <v/>
      </c>
      <c r="AZ512" s="7">
        <f>IF(LEFT(A512,7)="EXEMPLE",1,0)</f>
        <v/>
      </c>
      <c r="BA512" s="7">
        <f>IF(AND(AV512=1,AZ512=0,AC512&lt;&gt;"",W512&lt;&gt;"",N(V512)&gt;0),COUNTIFS($AV$3:AV512,1,$AZ$3:AZ512,0,$AC$3:AC512,"&lt;&gt;",$W$3:W512,"&lt;&gt;",$V$3:V512,"&gt;0"),"")</f>
        <v/>
      </c>
    </row>
    <row r="513">
      <c r="A513" s="12" t="n"/>
      <c r="B513" s="13" t="n"/>
      <c r="C513" s="13" t="n"/>
      <c r="D513" s="7">
        <f>IF(OR(B513="",C513=""),"",ROUND((C513-B513)*1440,0))</f>
        <v/>
      </c>
      <c r="E513" s="12" t="n"/>
      <c r="F513" s="12" t="n"/>
      <c r="G513" s="12" t="n"/>
      <c r="H513" s="12" t="n"/>
      <c r="I513" s="12" t="n"/>
      <c r="J513" s="12" t="n"/>
      <c r="K513" s="12" t="n"/>
      <c r="L513" s="14" t="n"/>
      <c r="M513" s="12" t="n"/>
      <c r="N513" s="12" t="n"/>
      <c r="O513" s="12" t="n"/>
      <c r="P513" s="12" t="n"/>
      <c r="Q513" s="7">
        <f>IF(A513="","",IFERROR(VLOOKUP(O513,Listes!$R$3:$T$8,2,FALSE),0)+IFERROR(VLOOKUP(J513,Listes!$J$3:$L$6,2,FALSE),0)+IFERROR(VLOOKUP(N513,Listes!$N$3:$P$6,2,FALSE),0)+IF(OR(L513="",B513=""),0,IF(L513-INT(B513)&lt;10,8,IF(L513-INT(B513)&lt;=90,10,5)))+IFERROR(VLOOKUP(AN513,Listes!$V$3:$W$5,2,FALSE),0)+IFERROR(VLOOKUP(AO513,Listes!$Y$3:$Z$5,2,FALSE),0))</f>
        <v/>
      </c>
      <c r="R513" s="12" t="n"/>
      <c r="S513" s="12" t="n"/>
      <c r="T513" s="12" t="n"/>
      <c r="U513" s="15" t="n"/>
      <c r="V513" s="15" t="n"/>
      <c r="W513" s="13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3" t="n"/>
      <c r="AK513" s="12" t="n"/>
      <c r="AL513" s="12" t="n"/>
      <c r="AM513" s="12" t="n"/>
      <c r="AN513" s="12" t="n"/>
      <c r="AO513" s="12" t="n"/>
      <c r="AP513" s="12" t="n"/>
      <c r="AQ513" s="7">
        <f>IF(A513="","",IF(AP513&lt;&gt;"",AP513,IF(LEFT(Z513,11)="gads_marque","Google Search – Marque",IF(LEFT(Z513,12)="gads_mariage","Google Search – Mariage et privé",IF(LEFT(Z513,10)="gads_corpo","Google Search – Corporatif",IF(LEFT(Z513,5)="meta_","Meta – Leads",IF(LEFT(Z513,5)="msft_","Microsoft Ads",IF(LEFT(Z513,8)="chatgpt_","ChatGPT Ads – Test",IF(X513="gbp","Fiche Google (organique)","Autre / non payé")))))))))</f>
        <v/>
      </c>
      <c r="AR513" s="7">
        <f>IF(K513="","",IFERROR(VLOOKUP(K513,Listes!$F$3:$H$8,3,FALSE),""))</f>
        <v/>
      </c>
      <c r="AS513" s="7">
        <f>IF(O513="","",IF(AND(M513="Autre (plus de 40 km)",OR(O513="lt600",O513="600_999",O513="1000_2499")),"D",IF(OR(O513="lt600",AND(O513="600_999",K513&lt;&gt;"mariage",K513&lt;&gt;"prive")),"C",IF(OR(O513="2500_4999",O513="5000p",J513="entreprise",J513="organisme",J513="agence"),"A",IF(OR(O513="1000_2499",O513="600_999"),"B",IF(O513="inconnu",IF(OR(N513="75_149",N513="150p"),"A","B"),""))))))</f>
        <v/>
      </c>
      <c r="AT513" s="7">
        <f>IF(A513="","",IF(P513&lt;&gt;"",P513,AS513))</f>
        <v/>
      </c>
      <c r="AU513" s="7">
        <f>IF(A513="","",IF(OR(AT513="A",AT513="B"),1,0))</f>
        <v/>
      </c>
      <c r="AV513" s="7">
        <f>IF(A513="","",IF(OR(R513="Dépôt payé (gagné)",R513="Événement livré",R513="Avis obtenu"),1,0))</f>
        <v/>
      </c>
      <c r="AW513" s="7">
        <f>IF(A513="","",IF(Q513&gt;70,"Immédiat – propriétaire",IF(Q513&gt;=40,"15 min – personne de garde","Selon la route")))</f>
        <v/>
      </c>
      <c r="AX513" s="11">
        <f>IF(A513="","",IF(AT513="A",400,IF(AT513="B",150,0)))</f>
        <v/>
      </c>
      <c r="AY513" s="11">
        <f>IF(A513="","",IF(AV513=1,N(V513),IF(N(U513)&gt;0,ROUND(N(U513)*IFERROR(VLOOKUP(R513,Listes!$AE$3:$AG$12,2,FALSE),0),0),0)))</f>
        <v/>
      </c>
      <c r="AZ513" s="7">
        <f>IF(LEFT(A513,7)="EXEMPLE",1,0)</f>
        <v/>
      </c>
      <c r="BA513" s="7">
        <f>IF(AND(AV513=1,AZ513=0,AC513&lt;&gt;"",W513&lt;&gt;"",N(V513)&gt;0),COUNTIFS($AV$3:AV513,1,$AZ$3:AZ513,0,$AC$3:AC513,"&lt;&gt;",$W$3:W513,"&lt;&gt;",$V$3:V513,"&gt;0"),"")</f>
        <v/>
      </c>
    </row>
    <row r="514">
      <c r="A514" s="12" t="n"/>
      <c r="B514" s="13" t="n"/>
      <c r="C514" s="13" t="n"/>
      <c r="D514" s="7">
        <f>IF(OR(B514="",C514=""),"",ROUND((C514-B514)*1440,0))</f>
        <v/>
      </c>
      <c r="E514" s="12" t="n"/>
      <c r="F514" s="12" t="n"/>
      <c r="G514" s="12" t="n"/>
      <c r="H514" s="12" t="n"/>
      <c r="I514" s="12" t="n"/>
      <c r="J514" s="12" t="n"/>
      <c r="K514" s="12" t="n"/>
      <c r="L514" s="14" t="n"/>
      <c r="M514" s="12" t="n"/>
      <c r="N514" s="12" t="n"/>
      <c r="O514" s="12" t="n"/>
      <c r="P514" s="12" t="n"/>
      <c r="Q514" s="7">
        <f>IF(A514="","",IFERROR(VLOOKUP(O514,Listes!$R$3:$T$8,2,FALSE),0)+IFERROR(VLOOKUP(J514,Listes!$J$3:$L$6,2,FALSE),0)+IFERROR(VLOOKUP(N514,Listes!$N$3:$P$6,2,FALSE),0)+IF(OR(L514="",B514=""),0,IF(L514-INT(B514)&lt;10,8,IF(L514-INT(B514)&lt;=90,10,5)))+IFERROR(VLOOKUP(AN514,Listes!$V$3:$W$5,2,FALSE),0)+IFERROR(VLOOKUP(AO514,Listes!$Y$3:$Z$5,2,FALSE),0))</f>
        <v/>
      </c>
      <c r="R514" s="12" t="n"/>
      <c r="S514" s="12" t="n"/>
      <c r="T514" s="12" t="n"/>
      <c r="U514" s="15" t="n"/>
      <c r="V514" s="15" t="n"/>
      <c r="W514" s="13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3" t="n"/>
      <c r="AK514" s="12" t="n"/>
      <c r="AL514" s="12" t="n"/>
      <c r="AM514" s="12" t="n"/>
      <c r="AN514" s="12" t="n"/>
      <c r="AO514" s="12" t="n"/>
      <c r="AP514" s="12" t="n"/>
      <c r="AQ514" s="7">
        <f>IF(A514="","",IF(AP514&lt;&gt;"",AP514,IF(LEFT(Z514,11)="gads_marque","Google Search – Marque",IF(LEFT(Z514,12)="gads_mariage","Google Search – Mariage et privé",IF(LEFT(Z514,10)="gads_corpo","Google Search – Corporatif",IF(LEFT(Z514,5)="meta_","Meta – Leads",IF(LEFT(Z514,5)="msft_","Microsoft Ads",IF(LEFT(Z514,8)="chatgpt_","ChatGPT Ads – Test",IF(X514="gbp","Fiche Google (organique)","Autre / non payé")))))))))</f>
        <v/>
      </c>
      <c r="AR514" s="7">
        <f>IF(K514="","",IFERROR(VLOOKUP(K514,Listes!$F$3:$H$8,3,FALSE),""))</f>
        <v/>
      </c>
      <c r="AS514" s="7">
        <f>IF(O514="","",IF(AND(M514="Autre (plus de 40 km)",OR(O514="lt600",O514="600_999",O514="1000_2499")),"D",IF(OR(O514="lt600",AND(O514="600_999",K514&lt;&gt;"mariage",K514&lt;&gt;"prive")),"C",IF(OR(O514="2500_4999",O514="5000p",J514="entreprise",J514="organisme",J514="agence"),"A",IF(OR(O514="1000_2499",O514="600_999"),"B",IF(O514="inconnu",IF(OR(N514="75_149",N514="150p"),"A","B"),""))))))</f>
        <v/>
      </c>
      <c r="AT514" s="7">
        <f>IF(A514="","",IF(P514&lt;&gt;"",P514,AS514))</f>
        <v/>
      </c>
      <c r="AU514" s="7">
        <f>IF(A514="","",IF(OR(AT514="A",AT514="B"),1,0))</f>
        <v/>
      </c>
      <c r="AV514" s="7">
        <f>IF(A514="","",IF(OR(R514="Dépôt payé (gagné)",R514="Événement livré",R514="Avis obtenu"),1,0))</f>
        <v/>
      </c>
      <c r="AW514" s="7">
        <f>IF(A514="","",IF(Q514&gt;70,"Immédiat – propriétaire",IF(Q514&gt;=40,"15 min – personne de garde","Selon la route")))</f>
        <v/>
      </c>
      <c r="AX514" s="11">
        <f>IF(A514="","",IF(AT514="A",400,IF(AT514="B",150,0)))</f>
        <v/>
      </c>
      <c r="AY514" s="11">
        <f>IF(A514="","",IF(AV514=1,N(V514),IF(N(U514)&gt;0,ROUND(N(U514)*IFERROR(VLOOKUP(R514,Listes!$AE$3:$AG$12,2,FALSE),0),0),0)))</f>
        <v/>
      </c>
      <c r="AZ514" s="7">
        <f>IF(LEFT(A514,7)="EXEMPLE",1,0)</f>
        <v/>
      </c>
      <c r="BA514" s="7">
        <f>IF(AND(AV514=1,AZ514=0,AC514&lt;&gt;"",W514&lt;&gt;"",N(V514)&gt;0),COUNTIFS($AV$3:AV514,1,$AZ$3:AZ514,0,$AC$3:AC514,"&lt;&gt;",$W$3:W514,"&lt;&gt;",$V$3:V514,"&gt;0"),"")</f>
        <v/>
      </c>
    </row>
    <row r="515">
      <c r="A515" s="12" t="n"/>
      <c r="B515" s="13" t="n"/>
      <c r="C515" s="13" t="n"/>
      <c r="D515" s="7">
        <f>IF(OR(B515="",C515=""),"",ROUND((C515-B515)*1440,0))</f>
        <v/>
      </c>
      <c r="E515" s="12" t="n"/>
      <c r="F515" s="12" t="n"/>
      <c r="G515" s="12" t="n"/>
      <c r="H515" s="12" t="n"/>
      <c r="I515" s="12" t="n"/>
      <c r="J515" s="12" t="n"/>
      <c r="K515" s="12" t="n"/>
      <c r="L515" s="14" t="n"/>
      <c r="M515" s="12" t="n"/>
      <c r="N515" s="12" t="n"/>
      <c r="O515" s="12" t="n"/>
      <c r="P515" s="12" t="n"/>
      <c r="Q515" s="7">
        <f>IF(A515="","",IFERROR(VLOOKUP(O515,Listes!$R$3:$T$8,2,FALSE),0)+IFERROR(VLOOKUP(J515,Listes!$J$3:$L$6,2,FALSE),0)+IFERROR(VLOOKUP(N515,Listes!$N$3:$P$6,2,FALSE),0)+IF(OR(L515="",B515=""),0,IF(L515-INT(B515)&lt;10,8,IF(L515-INT(B515)&lt;=90,10,5)))+IFERROR(VLOOKUP(AN515,Listes!$V$3:$W$5,2,FALSE),0)+IFERROR(VLOOKUP(AO515,Listes!$Y$3:$Z$5,2,FALSE),0))</f>
        <v/>
      </c>
      <c r="R515" s="12" t="n"/>
      <c r="S515" s="12" t="n"/>
      <c r="T515" s="12" t="n"/>
      <c r="U515" s="15" t="n"/>
      <c r="V515" s="15" t="n"/>
      <c r="W515" s="13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3" t="n"/>
      <c r="AK515" s="12" t="n"/>
      <c r="AL515" s="12" t="n"/>
      <c r="AM515" s="12" t="n"/>
      <c r="AN515" s="12" t="n"/>
      <c r="AO515" s="12" t="n"/>
      <c r="AP515" s="12" t="n"/>
      <c r="AQ515" s="7">
        <f>IF(A515="","",IF(AP515&lt;&gt;"",AP515,IF(LEFT(Z515,11)="gads_marque","Google Search – Marque",IF(LEFT(Z515,12)="gads_mariage","Google Search – Mariage et privé",IF(LEFT(Z515,10)="gads_corpo","Google Search – Corporatif",IF(LEFT(Z515,5)="meta_","Meta – Leads",IF(LEFT(Z515,5)="msft_","Microsoft Ads",IF(LEFT(Z515,8)="chatgpt_","ChatGPT Ads – Test",IF(X515="gbp","Fiche Google (organique)","Autre / non payé")))))))))</f>
        <v/>
      </c>
      <c r="AR515" s="7">
        <f>IF(K515="","",IFERROR(VLOOKUP(K515,Listes!$F$3:$H$8,3,FALSE),""))</f>
        <v/>
      </c>
      <c r="AS515" s="7">
        <f>IF(O515="","",IF(AND(M515="Autre (plus de 40 km)",OR(O515="lt600",O515="600_999",O515="1000_2499")),"D",IF(OR(O515="lt600",AND(O515="600_999",K515&lt;&gt;"mariage",K515&lt;&gt;"prive")),"C",IF(OR(O515="2500_4999",O515="5000p",J515="entreprise",J515="organisme",J515="agence"),"A",IF(OR(O515="1000_2499",O515="600_999"),"B",IF(O515="inconnu",IF(OR(N515="75_149",N515="150p"),"A","B"),""))))))</f>
        <v/>
      </c>
      <c r="AT515" s="7">
        <f>IF(A515="","",IF(P515&lt;&gt;"",P515,AS515))</f>
        <v/>
      </c>
      <c r="AU515" s="7">
        <f>IF(A515="","",IF(OR(AT515="A",AT515="B"),1,0))</f>
        <v/>
      </c>
      <c r="AV515" s="7">
        <f>IF(A515="","",IF(OR(R515="Dépôt payé (gagné)",R515="Événement livré",R515="Avis obtenu"),1,0))</f>
        <v/>
      </c>
      <c r="AW515" s="7">
        <f>IF(A515="","",IF(Q515&gt;70,"Immédiat – propriétaire",IF(Q515&gt;=40,"15 min – personne de garde","Selon la route")))</f>
        <v/>
      </c>
      <c r="AX515" s="11">
        <f>IF(A515="","",IF(AT515="A",400,IF(AT515="B",150,0)))</f>
        <v/>
      </c>
      <c r="AY515" s="11">
        <f>IF(A515="","",IF(AV515=1,N(V515),IF(N(U515)&gt;0,ROUND(N(U515)*IFERROR(VLOOKUP(R515,Listes!$AE$3:$AG$12,2,FALSE),0),0),0)))</f>
        <v/>
      </c>
      <c r="AZ515" s="7">
        <f>IF(LEFT(A515,7)="EXEMPLE",1,0)</f>
        <v/>
      </c>
      <c r="BA515" s="7">
        <f>IF(AND(AV515=1,AZ515=0,AC515&lt;&gt;"",W515&lt;&gt;"",N(V515)&gt;0),COUNTIFS($AV$3:AV515,1,$AZ$3:AZ515,0,$AC$3:AC515,"&lt;&gt;",$W$3:W515,"&lt;&gt;",$V$3:V515,"&gt;0"),"")</f>
        <v/>
      </c>
    </row>
    <row r="516">
      <c r="A516" s="12" t="n"/>
      <c r="B516" s="13" t="n"/>
      <c r="C516" s="13" t="n"/>
      <c r="D516" s="7">
        <f>IF(OR(B516="",C516=""),"",ROUND((C516-B516)*1440,0))</f>
        <v/>
      </c>
      <c r="E516" s="12" t="n"/>
      <c r="F516" s="12" t="n"/>
      <c r="G516" s="12" t="n"/>
      <c r="H516" s="12" t="n"/>
      <c r="I516" s="12" t="n"/>
      <c r="J516" s="12" t="n"/>
      <c r="K516" s="12" t="n"/>
      <c r="L516" s="14" t="n"/>
      <c r="M516" s="12" t="n"/>
      <c r="N516" s="12" t="n"/>
      <c r="O516" s="12" t="n"/>
      <c r="P516" s="12" t="n"/>
      <c r="Q516" s="7">
        <f>IF(A516="","",IFERROR(VLOOKUP(O516,Listes!$R$3:$T$8,2,FALSE),0)+IFERROR(VLOOKUP(J516,Listes!$J$3:$L$6,2,FALSE),0)+IFERROR(VLOOKUP(N516,Listes!$N$3:$P$6,2,FALSE),0)+IF(OR(L516="",B516=""),0,IF(L516-INT(B516)&lt;10,8,IF(L516-INT(B516)&lt;=90,10,5)))+IFERROR(VLOOKUP(AN516,Listes!$V$3:$W$5,2,FALSE),0)+IFERROR(VLOOKUP(AO516,Listes!$Y$3:$Z$5,2,FALSE),0))</f>
        <v/>
      </c>
      <c r="R516" s="12" t="n"/>
      <c r="S516" s="12" t="n"/>
      <c r="T516" s="12" t="n"/>
      <c r="U516" s="15" t="n"/>
      <c r="V516" s="15" t="n"/>
      <c r="W516" s="13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3" t="n"/>
      <c r="AK516" s="12" t="n"/>
      <c r="AL516" s="12" t="n"/>
      <c r="AM516" s="12" t="n"/>
      <c r="AN516" s="12" t="n"/>
      <c r="AO516" s="12" t="n"/>
      <c r="AP516" s="12" t="n"/>
      <c r="AQ516" s="7">
        <f>IF(A516="","",IF(AP516&lt;&gt;"",AP516,IF(LEFT(Z516,11)="gads_marque","Google Search – Marque",IF(LEFT(Z516,12)="gads_mariage","Google Search – Mariage et privé",IF(LEFT(Z516,10)="gads_corpo","Google Search – Corporatif",IF(LEFT(Z516,5)="meta_","Meta – Leads",IF(LEFT(Z516,5)="msft_","Microsoft Ads",IF(LEFT(Z516,8)="chatgpt_","ChatGPT Ads – Test",IF(X516="gbp","Fiche Google (organique)","Autre / non payé")))))))))</f>
        <v/>
      </c>
      <c r="AR516" s="7">
        <f>IF(K516="","",IFERROR(VLOOKUP(K516,Listes!$F$3:$H$8,3,FALSE),""))</f>
        <v/>
      </c>
      <c r="AS516" s="7">
        <f>IF(O516="","",IF(AND(M516="Autre (plus de 40 km)",OR(O516="lt600",O516="600_999",O516="1000_2499")),"D",IF(OR(O516="lt600",AND(O516="600_999",K516&lt;&gt;"mariage",K516&lt;&gt;"prive")),"C",IF(OR(O516="2500_4999",O516="5000p",J516="entreprise",J516="organisme",J516="agence"),"A",IF(OR(O516="1000_2499",O516="600_999"),"B",IF(O516="inconnu",IF(OR(N516="75_149",N516="150p"),"A","B"),""))))))</f>
        <v/>
      </c>
      <c r="AT516" s="7">
        <f>IF(A516="","",IF(P516&lt;&gt;"",P516,AS516))</f>
        <v/>
      </c>
      <c r="AU516" s="7">
        <f>IF(A516="","",IF(OR(AT516="A",AT516="B"),1,0))</f>
        <v/>
      </c>
      <c r="AV516" s="7">
        <f>IF(A516="","",IF(OR(R516="Dépôt payé (gagné)",R516="Événement livré",R516="Avis obtenu"),1,0))</f>
        <v/>
      </c>
      <c r="AW516" s="7">
        <f>IF(A516="","",IF(Q516&gt;70,"Immédiat – propriétaire",IF(Q516&gt;=40,"15 min – personne de garde","Selon la route")))</f>
        <v/>
      </c>
      <c r="AX516" s="11">
        <f>IF(A516="","",IF(AT516="A",400,IF(AT516="B",150,0)))</f>
        <v/>
      </c>
      <c r="AY516" s="11">
        <f>IF(A516="","",IF(AV516=1,N(V516),IF(N(U516)&gt;0,ROUND(N(U516)*IFERROR(VLOOKUP(R516,Listes!$AE$3:$AG$12,2,FALSE),0),0),0)))</f>
        <v/>
      </c>
      <c r="AZ516" s="7">
        <f>IF(LEFT(A516,7)="EXEMPLE",1,0)</f>
        <v/>
      </c>
      <c r="BA516" s="7">
        <f>IF(AND(AV516=1,AZ516=0,AC516&lt;&gt;"",W516&lt;&gt;"",N(V516)&gt;0),COUNTIFS($AV$3:AV516,1,$AZ$3:AZ516,0,$AC$3:AC516,"&lt;&gt;",$W$3:W516,"&lt;&gt;",$V$3:V516,"&gt;0"),"")</f>
        <v/>
      </c>
    </row>
    <row r="517">
      <c r="A517" s="12" t="n"/>
      <c r="B517" s="13" t="n"/>
      <c r="C517" s="13" t="n"/>
      <c r="D517" s="7">
        <f>IF(OR(B517="",C517=""),"",ROUND((C517-B517)*1440,0))</f>
        <v/>
      </c>
      <c r="E517" s="12" t="n"/>
      <c r="F517" s="12" t="n"/>
      <c r="G517" s="12" t="n"/>
      <c r="H517" s="12" t="n"/>
      <c r="I517" s="12" t="n"/>
      <c r="J517" s="12" t="n"/>
      <c r="K517" s="12" t="n"/>
      <c r="L517" s="14" t="n"/>
      <c r="M517" s="12" t="n"/>
      <c r="N517" s="12" t="n"/>
      <c r="O517" s="12" t="n"/>
      <c r="P517" s="12" t="n"/>
      <c r="Q517" s="7">
        <f>IF(A517="","",IFERROR(VLOOKUP(O517,Listes!$R$3:$T$8,2,FALSE),0)+IFERROR(VLOOKUP(J517,Listes!$J$3:$L$6,2,FALSE),0)+IFERROR(VLOOKUP(N517,Listes!$N$3:$P$6,2,FALSE),0)+IF(OR(L517="",B517=""),0,IF(L517-INT(B517)&lt;10,8,IF(L517-INT(B517)&lt;=90,10,5)))+IFERROR(VLOOKUP(AN517,Listes!$V$3:$W$5,2,FALSE),0)+IFERROR(VLOOKUP(AO517,Listes!$Y$3:$Z$5,2,FALSE),0))</f>
        <v/>
      </c>
      <c r="R517" s="12" t="n"/>
      <c r="S517" s="12" t="n"/>
      <c r="T517" s="12" t="n"/>
      <c r="U517" s="15" t="n"/>
      <c r="V517" s="15" t="n"/>
      <c r="W517" s="13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3" t="n"/>
      <c r="AK517" s="12" t="n"/>
      <c r="AL517" s="12" t="n"/>
      <c r="AM517" s="12" t="n"/>
      <c r="AN517" s="12" t="n"/>
      <c r="AO517" s="12" t="n"/>
      <c r="AP517" s="12" t="n"/>
      <c r="AQ517" s="7">
        <f>IF(A517="","",IF(AP517&lt;&gt;"",AP517,IF(LEFT(Z517,11)="gads_marque","Google Search – Marque",IF(LEFT(Z517,12)="gads_mariage","Google Search – Mariage et privé",IF(LEFT(Z517,10)="gads_corpo","Google Search – Corporatif",IF(LEFT(Z517,5)="meta_","Meta – Leads",IF(LEFT(Z517,5)="msft_","Microsoft Ads",IF(LEFT(Z517,8)="chatgpt_","ChatGPT Ads – Test",IF(X517="gbp","Fiche Google (organique)","Autre / non payé")))))))))</f>
        <v/>
      </c>
      <c r="AR517" s="7">
        <f>IF(K517="","",IFERROR(VLOOKUP(K517,Listes!$F$3:$H$8,3,FALSE),""))</f>
        <v/>
      </c>
      <c r="AS517" s="7">
        <f>IF(O517="","",IF(AND(M517="Autre (plus de 40 km)",OR(O517="lt600",O517="600_999",O517="1000_2499")),"D",IF(OR(O517="lt600",AND(O517="600_999",K517&lt;&gt;"mariage",K517&lt;&gt;"prive")),"C",IF(OR(O517="2500_4999",O517="5000p",J517="entreprise",J517="organisme",J517="agence"),"A",IF(OR(O517="1000_2499",O517="600_999"),"B",IF(O517="inconnu",IF(OR(N517="75_149",N517="150p"),"A","B"),""))))))</f>
        <v/>
      </c>
      <c r="AT517" s="7">
        <f>IF(A517="","",IF(P517&lt;&gt;"",P517,AS517))</f>
        <v/>
      </c>
      <c r="AU517" s="7">
        <f>IF(A517="","",IF(OR(AT517="A",AT517="B"),1,0))</f>
        <v/>
      </c>
      <c r="AV517" s="7">
        <f>IF(A517="","",IF(OR(R517="Dépôt payé (gagné)",R517="Événement livré",R517="Avis obtenu"),1,0))</f>
        <v/>
      </c>
      <c r="AW517" s="7">
        <f>IF(A517="","",IF(Q517&gt;70,"Immédiat – propriétaire",IF(Q517&gt;=40,"15 min – personne de garde","Selon la route")))</f>
        <v/>
      </c>
      <c r="AX517" s="11">
        <f>IF(A517="","",IF(AT517="A",400,IF(AT517="B",150,0)))</f>
        <v/>
      </c>
      <c r="AY517" s="11">
        <f>IF(A517="","",IF(AV517=1,N(V517),IF(N(U517)&gt;0,ROUND(N(U517)*IFERROR(VLOOKUP(R517,Listes!$AE$3:$AG$12,2,FALSE),0),0),0)))</f>
        <v/>
      </c>
      <c r="AZ517" s="7">
        <f>IF(LEFT(A517,7)="EXEMPLE",1,0)</f>
        <v/>
      </c>
      <c r="BA517" s="7">
        <f>IF(AND(AV517=1,AZ517=0,AC517&lt;&gt;"",W517&lt;&gt;"",N(V517)&gt;0),COUNTIFS($AV$3:AV517,1,$AZ$3:AZ517,0,$AC$3:AC517,"&lt;&gt;",$W$3:W517,"&lt;&gt;",$V$3:V517,"&gt;0"),"")</f>
        <v/>
      </c>
    </row>
    <row r="518">
      <c r="A518" s="12" t="n"/>
      <c r="B518" s="13" t="n"/>
      <c r="C518" s="13" t="n"/>
      <c r="D518" s="7">
        <f>IF(OR(B518="",C518=""),"",ROUND((C518-B518)*1440,0))</f>
        <v/>
      </c>
      <c r="E518" s="12" t="n"/>
      <c r="F518" s="12" t="n"/>
      <c r="G518" s="12" t="n"/>
      <c r="H518" s="12" t="n"/>
      <c r="I518" s="12" t="n"/>
      <c r="J518" s="12" t="n"/>
      <c r="K518" s="12" t="n"/>
      <c r="L518" s="14" t="n"/>
      <c r="M518" s="12" t="n"/>
      <c r="N518" s="12" t="n"/>
      <c r="O518" s="12" t="n"/>
      <c r="P518" s="12" t="n"/>
      <c r="Q518" s="7">
        <f>IF(A518="","",IFERROR(VLOOKUP(O518,Listes!$R$3:$T$8,2,FALSE),0)+IFERROR(VLOOKUP(J518,Listes!$J$3:$L$6,2,FALSE),0)+IFERROR(VLOOKUP(N518,Listes!$N$3:$P$6,2,FALSE),0)+IF(OR(L518="",B518=""),0,IF(L518-INT(B518)&lt;10,8,IF(L518-INT(B518)&lt;=90,10,5)))+IFERROR(VLOOKUP(AN518,Listes!$V$3:$W$5,2,FALSE),0)+IFERROR(VLOOKUP(AO518,Listes!$Y$3:$Z$5,2,FALSE),0))</f>
        <v/>
      </c>
      <c r="R518" s="12" t="n"/>
      <c r="S518" s="12" t="n"/>
      <c r="T518" s="12" t="n"/>
      <c r="U518" s="15" t="n"/>
      <c r="V518" s="15" t="n"/>
      <c r="W518" s="13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3" t="n"/>
      <c r="AK518" s="12" t="n"/>
      <c r="AL518" s="12" t="n"/>
      <c r="AM518" s="12" t="n"/>
      <c r="AN518" s="12" t="n"/>
      <c r="AO518" s="12" t="n"/>
      <c r="AP518" s="12" t="n"/>
      <c r="AQ518" s="7">
        <f>IF(A518="","",IF(AP518&lt;&gt;"",AP518,IF(LEFT(Z518,11)="gads_marque","Google Search – Marque",IF(LEFT(Z518,12)="gads_mariage","Google Search – Mariage et privé",IF(LEFT(Z518,10)="gads_corpo","Google Search – Corporatif",IF(LEFT(Z518,5)="meta_","Meta – Leads",IF(LEFT(Z518,5)="msft_","Microsoft Ads",IF(LEFT(Z518,8)="chatgpt_","ChatGPT Ads – Test",IF(X518="gbp","Fiche Google (organique)","Autre / non payé")))))))))</f>
        <v/>
      </c>
      <c r="AR518" s="7">
        <f>IF(K518="","",IFERROR(VLOOKUP(K518,Listes!$F$3:$H$8,3,FALSE),""))</f>
        <v/>
      </c>
      <c r="AS518" s="7">
        <f>IF(O518="","",IF(AND(M518="Autre (plus de 40 km)",OR(O518="lt600",O518="600_999",O518="1000_2499")),"D",IF(OR(O518="lt600",AND(O518="600_999",K518&lt;&gt;"mariage",K518&lt;&gt;"prive")),"C",IF(OR(O518="2500_4999",O518="5000p",J518="entreprise",J518="organisme",J518="agence"),"A",IF(OR(O518="1000_2499",O518="600_999"),"B",IF(O518="inconnu",IF(OR(N518="75_149",N518="150p"),"A","B"),""))))))</f>
        <v/>
      </c>
      <c r="AT518" s="7">
        <f>IF(A518="","",IF(P518&lt;&gt;"",P518,AS518))</f>
        <v/>
      </c>
      <c r="AU518" s="7">
        <f>IF(A518="","",IF(OR(AT518="A",AT518="B"),1,0))</f>
        <v/>
      </c>
      <c r="AV518" s="7">
        <f>IF(A518="","",IF(OR(R518="Dépôt payé (gagné)",R518="Événement livré",R518="Avis obtenu"),1,0))</f>
        <v/>
      </c>
      <c r="AW518" s="7">
        <f>IF(A518="","",IF(Q518&gt;70,"Immédiat – propriétaire",IF(Q518&gt;=40,"15 min – personne de garde","Selon la route")))</f>
        <v/>
      </c>
      <c r="AX518" s="11">
        <f>IF(A518="","",IF(AT518="A",400,IF(AT518="B",150,0)))</f>
        <v/>
      </c>
      <c r="AY518" s="11">
        <f>IF(A518="","",IF(AV518=1,N(V518),IF(N(U518)&gt;0,ROUND(N(U518)*IFERROR(VLOOKUP(R518,Listes!$AE$3:$AG$12,2,FALSE),0),0),0)))</f>
        <v/>
      </c>
      <c r="AZ518" s="7">
        <f>IF(LEFT(A518,7)="EXEMPLE",1,0)</f>
        <v/>
      </c>
      <c r="BA518" s="7">
        <f>IF(AND(AV518=1,AZ518=0,AC518&lt;&gt;"",W518&lt;&gt;"",N(V518)&gt;0),COUNTIFS($AV$3:AV518,1,$AZ$3:AZ518,0,$AC$3:AC518,"&lt;&gt;",$W$3:W518,"&lt;&gt;",$V$3:V518,"&gt;0"),"")</f>
        <v/>
      </c>
    </row>
    <row r="519">
      <c r="A519" s="12" t="n"/>
      <c r="B519" s="13" t="n"/>
      <c r="C519" s="13" t="n"/>
      <c r="D519" s="7">
        <f>IF(OR(B519="",C519=""),"",ROUND((C519-B519)*1440,0))</f>
        <v/>
      </c>
      <c r="E519" s="12" t="n"/>
      <c r="F519" s="12" t="n"/>
      <c r="G519" s="12" t="n"/>
      <c r="H519" s="12" t="n"/>
      <c r="I519" s="12" t="n"/>
      <c r="J519" s="12" t="n"/>
      <c r="K519" s="12" t="n"/>
      <c r="L519" s="14" t="n"/>
      <c r="M519" s="12" t="n"/>
      <c r="N519" s="12" t="n"/>
      <c r="O519" s="12" t="n"/>
      <c r="P519" s="12" t="n"/>
      <c r="Q519" s="7">
        <f>IF(A519="","",IFERROR(VLOOKUP(O519,Listes!$R$3:$T$8,2,FALSE),0)+IFERROR(VLOOKUP(J519,Listes!$J$3:$L$6,2,FALSE),0)+IFERROR(VLOOKUP(N519,Listes!$N$3:$P$6,2,FALSE),0)+IF(OR(L519="",B519=""),0,IF(L519-INT(B519)&lt;10,8,IF(L519-INT(B519)&lt;=90,10,5)))+IFERROR(VLOOKUP(AN519,Listes!$V$3:$W$5,2,FALSE),0)+IFERROR(VLOOKUP(AO519,Listes!$Y$3:$Z$5,2,FALSE),0))</f>
        <v/>
      </c>
      <c r="R519" s="12" t="n"/>
      <c r="S519" s="12" t="n"/>
      <c r="T519" s="12" t="n"/>
      <c r="U519" s="15" t="n"/>
      <c r="V519" s="15" t="n"/>
      <c r="W519" s="13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3" t="n"/>
      <c r="AK519" s="12" t="n"/>
      <c r="AL519" s="12" t="n"/>
      <c r="AM519" s="12" t="n"/>
      <c r="AN519" s="12" t="n"/>
      <c r="AO519" s="12" t="n"/>
      <c r="AP519" s="12" t="n"/>
      <c r="AQ519" s="7">
        <f>IF(A519="","",IF(AP519&lt;&gt;"",AP519,IF(LEFT(Z519,11)="gads_marque","Google Search – Marque",IF(LEFT(Z519,12)="gads_mariage","Google Search – Mariage et privé",IF(LEFT(Z519,10)="gads_corpo","Google Search – Corporatif",IF(LEFT(Z519,5)="meta_","Meta – Leads",IF(LEFT(Z519,5)="msft_","Microsoft Ads",IF(LEFT(Z519,8)="chatgpt_","ChatGPT Ads – Test",IF(X519="gbp","Fiche Google (organique)","Autre / non payé")))))))))</f>
        <v/>
      </c>
      <c r="AR519" s="7">
        <f>IF(K519="","",IFERROR(VLOOKUP(K519,Listes!$F$3:$H$8,3,FALSE),""))</f>
        <v/>
      </c>
      <c r="AS519" s="7">
        <f>IF(O519="","",IF(AND(M519="Autre (plus de 40 km)",OR(O519="lt600",O519="600_999",O519="1000_2499")),"D",IF(OR(O519="lt600",AND(O519="600_999",K519&lt;&gt;"mariage",K519&lt;&gt;"prive")),"C",IF(OR(O519="2500_4999",O519="5000p",J519="entreprise",J519="organisme",J519="agence"),"A",IF(OR(O519="1000_2499",O519="600_999"),"B",IF(O519="inconnu",IF(OR(N519="75_149",N519="150p"),"A","B"),""))))))</f>
        <v/>
      </c>
      <c r="AT519" s="7">
        <f>IF(A519="","",IF(P519&lt;&gt;"",P519,AS519))</f>
        <v/>
      </c>
      <c r="AU519" s="7">
        <f>IF(A519="","",IF(OR(AT519="A",AT519="B"),1,0))</f>
        <v/>
      </c>
      <c r="AV519" s="7">
        <f>IF(A519="","",IF(OR(R519="Dépôt payé (gagné)",R519="Événement livré",R519="Avis obtenu"),1,0))</f>
        <v/>
      </c>
      <c r="AW519" s="7">
        <f>IF(A519="","",IF(Q519&gt;70,"Immédiat – propriétaire",IF(Q519&gt;=40,"15 min – personne de garde","Selon la route")))</f>
        <v/>
      </c>
      <c r="AX519" s="11">
        <f>IF(A519="","",IF(AT519="A",400,IF(AT519="B",150,0)))</f>
        <v/>
      </c>
      <c r="AY519" s="11">
        <f>IF(A519="","",IF(AV519=1,N(V519),IF(N(U519)&gt;0,ROUND(N(U519)*IFERROR(VLOOKUP(R519,Listes!$AE$3:$AG$12,2,FALSE),0),0),0)))</f>
        <v/>
      </c>
      <c r="AZ519" s="7">
        <f>IF(LEFT(A519,7)="EXEMPLE",1,0)</f>
        <v/>
      </c>
      <c r="BA519" s="7">
        <f>IF(AND(AV519=1,AZ519=0,AC519&lt;&gt;"",W519&lt;&gt;"",N(V519)&gt;0),COUNTIFS($AV$3:AV519,1,$AZ$3:AZ519,0,$AC$3:AC519,"&lt;&gt;",$W$3:W519,"&lt;&gt;",$V$3:V519,"&gt;0"),"")</f>
        <v/>
      </c>
    </row>
    <row r="520">
      <c r="A520" s="12" t="n"/>
      <c r="B520" s="13" t="n"/>
      <c r="C520" s="13" t="n"/>
      <c r="D520" s="7">
        <f>IF(OR(B520="",C520=""),"",ROUND((C520-B520)*1440,0))</f>
        <v/>
      </c>
      <c r="E520" s="12" t="n"/>
      <c r="F520" s="12" t="n"/>
      <c r="G520" s="12" t="n"/>
      <c r="H520" s="12" t="n"/>
      <c r="I520" s="12" t="n"/>
      <c r="J520" s="12" t="n"/>
      <c r="K520" s="12" t="n"/>
      <c r="L520" s="14" t="n"/>
      <c r="M520" s="12" t="n"/>
      <c r="N520" s="12" t="n"/>
      <c r="O520" s="12" t="n"/>
      <c r="P520" s="12" t="n"/>
      <c r="Q520" s="7">
        <f>IF(A520="","",IFERROR(VLOOKUP(O520,Listes!$R$3:$T$8,2,FALSE),0)+IFERROR(VLOOKUP(J520,Listes!$J$3:$L$6,2,FALSE),0)+IFERROR(VLOOKUP(N520,Listes!$N$3:$P$6,2,FALSE),0)+IF(OR(L520="",B520=""),0,IF(L520-INT(B520)&lt;10,8,IF(L520-INT(B520)&lt;=90,10,5)))+IFERROR(VLOOKUP(AN520,Listes!$V$3:$W$5,2,FALSE),0)+IFERROR(VLOOKUP(AO520,Listes!$Y$3:$Z$5,2,FALSE),0))</f>
        <v/>
      </c>
      <c r="R520" s="12" t="n"/>
      <c r="S520" s="12" t="n"/>
      <c r="T520" s="12" t="n"/>
      <c r="U520" s="15" t="n"/>
      <c r="V520" s="15" t="n"/>
      <c r="W520" s="13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3" t="n"/>
      <c r="AK520" s="12" t="n"/>
      <c r="AL520" s="12" t="n"/>
      <c r="AM520" s="12" t="n"/>
      <c r="AN520" s="12" t="n"/>
      <c r="AO520" s="12" t="n"/>
      <c r="AP520" s="12" t="n"/>
      <c r="AQ520" s="7">
        <f>IF(A520="","",IF(AP520&lt;&gt;"",AP520,IF(LEFT(Z520,11)="gads_marque","Google Search – Marque",IF(LEFT(Z520,12)="gads_mariage","Google Search – Mariage et privé",IF(LEFT(Z520,10)="gads_corpo","Google Search – Corporatif",IF(LEFT(Z520,5)="meta_","Meta – Leads",IF(LEFT(Z520,5)="msft_","Microsoft Ads",IF(LEFT(Z520,8)="chatgpt_","ChatGPT Ads – Test",IF(X520="gbp","Fiche Google (organique)","Autre / non payé")))))))))</f>
        <v/>
      </c>
      <c r="AR520" s="7">
        <f>IF(K520="","",IFERROR(VLOOKUP(K520,Listes!$F$3:$H$8,3,FALSE),""))</f>
        <v/>
      </c>
      <c r="AS520" s="7">
        <f>IF(O520="","",IF(AND(M520="Autre (plus de 40 km)",OR(O520="lt600",O520="600_999",O520="1000_2499")),"D",IF(OR(O520="lt600",AND(O520="600_999",K520&lt;&gt;"mariage",K520&lt;&gt;"prive")),"C",IF(OR(O520="2500_4999",O520="5000p",J520="entreprise",J520="organisme",J520="agence"),"A",IF(OR(O520="1000_2499",O520="600_999"),"B",IF(O520="inconnu",IF(OR(N520="75_149",N520="150p"),"A","B"),""))))))</f>
        <v/>
      </c>
      <c r="AT520" s="7">
        <f>IF(A520="","",IF(P520&lt;&gt;"",P520,AS520))</f>
        <v/>
      </c>
      <c r="AU520" s="7">
        <f>IF(A520="","",IF(OR(AT520="A",AT520="B"),1,0))</f>
        <v/>
      </c>
      <c r="AV520" s="7">
        <f>IF(A520="","",IF(OR(R520="Dépôt payé (gagné)",R520="Événement livré",R520="Avis obtenu"),1,0))</f>
        <v/>
      </c>
      <c r="AW520" s="7">
        <f>IF(A520="","",IF(Q520&gt;70,"Immédiat – propriétaire",IF(Q520&gt;=40,"15 min – personne de garde","Selon la route")))</f>
        <v/>
      </c>
      <c r="AX520" s="11">
        <f>IF(A520="","",IF(AT520="A",400,IF(AT520="B",150,0)))</f>
        <v/>
      </c>
      <c r="AY520" s="11">
        <f>IF(A520="","",IF(AV520=1,N(V520),IF(N(U520)&gt;0,ROUND(N(U520)*IFERROR(VLOOKUP(R520,Listes!$AE$3:$AG$12,2,FALSE),0),0),0)))</f>
        <v/>
      </c>
      <c r="AZ520" s="7">
        <f>IF(LEFT(A520,7)="EXEMPLE",1,0)</f>
        <v/>
      </c>
      <c r="BA520" s="7">
        <f>IF(AND(AV520=1,AZ520=0,AC520&lt;&gt;"",W520&lt;&gt;"",N(V520)&gt;0),COUNTIFS($AV$3:AV520,1,$AZ$3:AZ520,0,$AC$3:AC520,"&lt;&gt;",$W$3:W520,"&lt;&gt;",$V$3:V520,"&gt;0"),"")</f>
        <v/>
      </c>
    </row>
    <row r="521">
      <c r="A521" s="12" t="n"/>
      <c r="B521" s="13" t="n"/>
      <c r="C521" s="13" t="n"/>
      <c r="D521" s="7">
        <f>IF(OR(B521="",C521=""),"",ROUND((C521-B521)*1440,0))</f>
        <v/>
      </c>
      <c r="E521" s="12" t="n"/>
      <c r="F521" s="12" t="n"/>
      <c r="G521" s="12" t="n"/>
      <c r="H521" s="12" t="n"/>
      <c r="I521" s="12" t="n"/>
      <c r="J521" s="12" t="n"/>
      <c r="K521" s="12" t="n"/>
      <c r="L521" s="14" t="n"/>
      <c r="M521" s="12" t="n"/>
      <c r="N521" s="12" t="n"/>
      <c r="O521" s="12" t="n"/>
      <c r="P521" s="12" t="n"/>
      <c r="Q521" s="7">
        <f>IF(A521="","",IFERROR(VLOOKUP(O521,Listes!$R$3:$T$8,2,FALSE),0)+IFERROR(VLOOKUP(J521,Listes!$J$3:$L$6,2,FALSE),0)+IFERROR(VLOOKUP(N521,Listes!$N$3:$P$6,2,FALSE),0)+IF(OR(L521="",B521=""),0,IF(L521-INT(B521)&lt;10,8,IF(L521-INT(B521)&lt;=90,10,5)))+IFERROR(VLOOKUP(AN521,Listes!$V$3:$W$5,2,FALSE),0)+IFERROR(VLOOKUP(AO521,Listes!$Y$3:$Z$5,2,FALSE),0))</f>
        <v/>
      </c>
      <c r="R521" s="12" t="n"/>
      <c r="S521" s="12" t="n"/>
      <c r="T521" s="12" t="n"/>
      <c r="U521" s="15" t="n"/>
      <c r="V521" s="15" t="n"/>
      <c r="W521" s="13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3" t="n"/>
      <c r="AK521" s="12" t="n"/>
      <c r="AL521" s="12" t="n"/>
      <c r="AM521" s="12" t="n"/>
      <c r="AN521" s="12" t="n"/>
      <c r="AO521" s="12" t="n"/>
      <c r="AP521" s="12" t="n"/>
      <c r="AQ521" s="7">
        <f>IF(A521="","",IF(AP521&lt;&gt;"",AP521,IF(LEFT(Z521,11)="gads_marque","Google Search – Marque",IF(LEFT(Z521,12)="gads_mariage","Google Search – Mariage et privé",IF(LEFT(Z521,10)="gads_corpo","Google Search – Corporatif",IF(LEFT(Z521,5)="meta_","Meta – Leads",IF(LEFT(Z521,5)="msft_","Microsoft Ads",IF(LEFT(Z521,8)="chatgpt_","ChatGPT Ads – Test",IF(X521="gbp","Fiche Google (organique)","Autre / non payé")))))))))</f>
        <v/>
      </c>
      <c r="AR521" s="7">
        <f>IF(K521="","",IFERROR(VLOOKUP(K521,Listes!$F$3:$H$8,3,FALSE),""))</f>
        <v/>
      </c>
      <c r="AS521" s="7">
        <f>IF(O521="","",IF(AND(M521="Autre (plus de 40 km)",OR(O521="lt600",O521="600_999",O521="1000_2499")),"D",IF(OR(O521="lt600",AND(O521="600_999",K521&lt;&gt;"mariage",K521&lt;&gt;"prive")),"C",IF(OR(O521="2500_4999",O521="5000p",J521="entreprise",J521="organisme",J521="agence"),"A",IF(OR(O521="1000_2499",O521="600_999"),"B",IF(O521="inconnu",IF(OR(N521="75_149",N521="150p"),"A","B"),""))))))</f>
        <v/>
      </c>
      <c r="AT521" s="7">
        <f>IF(A521="","",IF(P521&lt;&gt;"",P521,AS521))</f>
        <v/>
      </c>
      <c r="AU521" s="7">
        <f>IF(A521="","",IF(OR(AT521="A",AT521="B"),1,0))</f>
        <v/>
      </c>
      <c r="AV521" s="7">
        <f>IF(A521="","",IF(OR(R521="Dépôt payé (gagné)",R521="Événement livré",R521="Avis obtenu"),1,0))</f>
        <v/>
      </c>
      <c r="AW521" s="7">
        <f>IF(A521="","",IF(Q521&gt;70,"Immédiat – propriétaire",IF(Q521&gt;=40,"15 min – personne de garde","Selon la route")))</f>
        <v/>
      </c>
      <c r="AX521" s="11">
        <f>IF(A521="","",IF(AT521="A",400,IF(AT521="B",150,0)))</f>
        <v/>
      </c>
      <c r="AY521" s="11">
        <f>IF(A521="","",IF(AV521=1,N(V521),IF(N(U521)&gt;0,ROUND(N(U521)*IFERROR(VLOOKUP(R521,Listes!$AE$3:$AG$12,2,FALSE),0),0),0)))</f>
        <v/>
      </c>
      <c r="AZ521" s="7">
        <f>IF(LEFT(A521,7)="EXEMPLE",1,0)</f>
        <v/>
      </c>
      <c r="BA521" s="7">
        <f>IF(AND(AV521=1,AZ521=0,AC521&lt;&gt;"",W521&lt;&gt;"",N(V521)&gt;0),COUNTIFS($AV$3:AV521,1,$AZ$3:AZ521,0,$AC$3:AC521,"&lt;&gt;",$W$3:W521,"&lt;&gt;",$V$3:V521,"&gt;0"),"")</f>
        <v/>
      </c>
    </row>
    <row r="522">
      <c r="A522" s="12" t="n"/>
      <c r="B522" s="13" t="n"/>
      <c r="C522" s="13" t="n"/>
      <c r="D522" s="7">
        <f>IF(OR(B522="",C522=""),"",ROUND((C522-B522)*1440,0))</f>
        <v/>
      </c>
      <c r="E522" s="12" t="n"/>
      <c r="F522" s="12" t="n"/>
      <c r="G522" s="12" t="n"/>
      <c r="H522" s="12" t="n"/>
      <c r="I522" s="12" t="n"/>
      <c r="J522" s="12" t="n"/>
      <c r="K522" s="12" t="n"/>
      <c r="L522" s="14" t="n"/>
      <c r="M522" s="12" t="n"/>
      <c r="N522" s="12" t="n"/>
      <c r="O522" s="12" t="n"/>
      <c r="P522" s="12" t="n"/>
      <c r="Q522" s="7">
        <f>IF(A522="","",IFERROR(VLOOKUP(O522,Listes!$R$3:$T$8,2,FALSE),0)+IFERROR(VLOOKUP(J522,Listes!$J$3:$L$6,2,FALSE),0)+IFERROR(VLOOKUP(N522,Listes!$N$3:$P$6,2,FALSE),0)+IF(OR(L522="",B522=""),0,IF(L522-INT(B522)&lt;10,8,IF(L522-INT(B522)&lt;=90,10,5)))+IFERROR(VLOOKUP(AN522,Listes!$V$3:$W$5,2,FALSE),0)+IFERROR(VLOOKUP(AO522,Listes!$Y$3:$Z$5,2,FALSE),0))</f>
        <v/>
      </c>
      <c r="R522" s="12" t="n"/>
      <c r="S522" s="12" t="n"/>
      <c r="T522" s="12" t="n"/>
      <c r="U522" s="15" t="n"/>
      <c r="V522" s="15" t="n"/>
      <c r="W522" s="13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3" t="n"/>
      <c r="AK522" s="12" t="n"/>
      <c r="AL522" s="12" t="n"/>
      <c r="AM522" s="12" t="n"/>
      <c r="AN522" s="12" t="n"/>
      <c r="AO522" s="12" t="n"/>
      <c r="AP522" s="12" t="n"/>
      <c r="AQ522" s="7">
        <f>IF(A522="","",IF(AP522&lt;&gt;"",AP522,IF(LEFT(Z522,11)="gads_marque","Google Search – Marque",IF(LEFT(Z522,12)="gads_mariage","Google Search – Mariage et privé",IF(LEFT(Z522,10)="gads_corpo","Google Search – Corporatif",IF(LEFT(Z522,5)="meta_","Meta – Leads",IF(LEFT(Z522,5)="msft_","Microsoft Ads",IF(LEFT(Z522,8)="chatgpt_","ChatGPT Ads – Test",IF(X522="gbp","Fiche Google (organique)","Autre / non payé")))))))))</f>
        <v/>
      </c>
      <c r="AR522" s="7">
        <f>IF(K522="","",IFERROR(VLOOKUP(K522,Listes!$F$3:$H$8,3,FALSE),""))</f>
        <v/>
      </c>
      <c r="AS522" s="7">
        <f>IF(O522="","",IF(AND(M522="Autre (plus de 40 km)",OR(O522="lt600",O522="600_999",O522="1000_2499")),"D",IF(OR(O522="lt600",AND(O522="600_999",K522&lt;&gt;"mariage",K522&lt;&gt;"prive")),"C",IF(OR(O522="2500_4999",O522="5000p",J522="entreprise",J522="organisme",J522="agence"),"A",IF(OR(O522="1000_2499",O522="600_999"),"B",IF(O522="inconnu",IF(OR(N522="75_149",N522="150p"),"A","B"),""))))))</f>
        <v/>
      </c>
      <c r="AT522" s="7">
        <f>IF(A522="","",IF(P522&lt;&gt;"",P522,AS522))</f>
        <v/>
      </c>
      <c r="AU522" s="7">
        <f>IF(A522="","",IF(OR(AT522="A",AT522="B"),1,0))</f>
        <v/>
      </c>
      <c r="AV522" s="7">
        <f>IF(A522="","",IF(OR(R522="Dépôt payé (gagné)",R522="Événement livré",R522="Avis obtenu"),1,0))</f>
        <v/>
      </c>
      <c r="AW522" s="7">
        <f>IF(A522="","",IF(Q522&gt;70,"Immédiat – propriétaire",IF(Q522&gt;=40,"15 min – personne de garde","Selon la route")))</f>
        <v/>
      </c>
      <c r="AX522" s="11">
        <f>IF(A522="","",IF(AT522="A",400,IF(AT522="B",150,0)))</f>
        <v/>
      </c>
      <c r="AY522" s="11">
        <f>IF(A522="","",IF(AV522=1,N(V522),IF(N(U522)&gt;0,ROUND(N(U522)*IFERROR(VLOOKUP(R522,Listes!$AE$3:$AG$12,2,FALSE),0),0),0)))</f>
        <v/>
      </c>
      <c r="AZ522" s="7">
        <f>IF(LEFT(A522,7)="EXEMPLE",1,0)</f>
        <v/>
      </c>
      <c r="BA522" s="7">
        <f>IF(AND(AV522=1,AZ522=0,AC522&lt;&gt;"",W522&lt;&gt;"",N(V522)&gt;0),COUNTIFS($AV$3:AV522,1,$AZ$3:AZ522,0,$AC$3:AC522,"&lt;&gt;",$W$3:W522,"&lt;&gt;",$V$3:V522,"&gt;0"),"")</f>
        <v/>
      </c>
    </row>
    <row r="523">
      <c r="A523" s="12" t="n"/>
      <c r="B523" s="13" t="n"/>
      <c r="C523" s="13" t="n"/>
      <c r="D523" s="7">
        <f>IF(OR(B523="",C523=""),"",ROUND((C523-B523)*1440,0))</f>
        <v/>
      </c>
      <c r="E523" s="12" t="n"/>
      <c r="F523" s="12" t="n"/>
      <c r="G523" s="12" t="n"/>
      <c r="H523" s="12" t="n"/>
      <c r="I523" s="12" t="n"/>
      <c r="J523" s="12" t="n"/>
      <c r="K523" s="12" t="n"/>
      <c r="L523" s="14" t="n"/>
      <c r="M523" s="12" t="n"/>
      <c r="N523" s="12" t="n"/>
      <c r="O523" s="12" t="n"/>
      <c r="P523" s="12" t="n"/>
      <c r="Q523" s="7">
        <f>IF(A523="","",IFERROR(VLOOKUP(O523,Listes!$R$3:$T$8,2,FALSE),0)+IFERROR(VLOOKUP(J523,Listes!$J$3:$L$6,2,FALSE),0)+IFERROR(VLOOKUP(N523,Listes!$N$3:$P$6,2,FALSE),0)+IF(OR(L523="",B523=""),0,IF(L523-INT(B523)&lt;10,8,IF(L523-INT(B523)&lt;=90,10,5)))+IFERROR(VLOOKUP(AN523,Listes!$V$3:$W$5,2,FALSE),0)+IFERROR(VLOOKUP(AO523,Listes!$Y$3:$Z$5,2,FALSE),0))</f>
        <v/>
      </c>
      <c r="R523" s="12" t="n"/>
      <c r="S523" s="12" t="n"/>
      <c r="T523" s="12" t="n"/>
      <c r="U523" s="15" t="n"/>
      <c r="V523" s="15" t="n"/>
      <c r="W523" s="13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3" t="n"/>
      <c r="AK523" s="12" t="n"/>
      <c r="AL523" s="12" t="n"/>
      <c r="AM523" s="12" t="n"/>
      <c r="AN523" s="12" t="n"/>
      <c r="AO523" s="12" t="n"/>
      <c r="AP523" s="12" t="n"/>
      <c r="AQ523" s="7">
        <f>IF(A523="","",IF(AP523&lt;&gt;"",AP523,IF(LEFT(Z523,11)="gads_marque","Google Search – Marque",IF(LEFT(Z523,12)="gads_mariage","Google Search – Mariage et privé",IF(LEFT(Z523,10)="gads_corpo","Google Search – Corporatif",IF(LEFT(Z523,5)="meta_","Meta – Leads",IF(LEFT(Z523,5)="msft_","Microsoft Ads",IF(LEFT(Z523,8)="chatgpt_","ChatGPT Ads – Test",IF(X523="gbp","Fiche Google (organique)","Autre / non payé")))))))))</f>
        <v/>
      </c>
      <c r="AR523" s="7">
        <f>IF(K523="","",IFERROR(VLOOKUP(K523,Listes!$F$3:$H$8,3,FALSE),""))</f>
        <v/>
      </c>
      <c r="AS523" s="7">
        <f>IF(O523="","",IF(AND(M523="Autre (plus de 40 km)",OR(O523="lt600",O523="600_999",O523="1000_2499")),"D",IF(OR(O523="lt600",AND(O523="600_999",K523&lt;&gt;"mariage",K523&lt;&gt;"prive")),"C",IF(OR(O523="2500_4999",O523="5000p",J523="entreprise",J523="organisme",J523="agence"),"A",IF(OR(O523="1000_2499",O523="600_999"),"B",IF(O523="inconnu",IF(OR(N523="75_149",N523="150p"),"A","B"),""))))))</f>
        <v/>
      </c>
      <c r="AT523" s="7">
        <f>IF(A523="","",IF(P523&lt;&gt;"",P523,AS523))</f>
        <v/>
      </c>
      <c r="AU523" s="7">
        <f>IF(A523="","",IF(OR(AT523="A",AT523="B"),1,0))</f>
        <v/>
      </c>
      <c r="AV523" s="7">
        <f>IF(A523="","",IF(OR(R523="Dépôt payé (gagné)",R523="Événement livré",R523="Avis obtenu"),1,0))</f>
        <v/>
      </c>
      <c r="AW523" s="7">
        <f>IF(A523="","",IF(Q523&gt;70,"Immédiat – propriétaire",IF(Q523&gt;=40,"15 min – personne de garde","Selon la route")))</f>
        <v/>
      </c>
      <c r="AX523" s="11">
        <f>IF(A523="","",IF(AT523="A",400,IF(AT523="B",150,0)))</f>
        <v/>
      </c>
      <c r="AY523" s="11">
        <f>IF(A523="","",IF(AV523=1,N(V523),IF(N(U523)&gt;0,ROUND(N(U523)*IFERROR(VLOOKUP(R523,Listes!$AE$3:$AG$12,2,FALSE),0),0),0)))</f>
        <v/>
      </c>
      <c r="AZ523" s="7">
        <f>IF(LEFT(A523,7)="EXEMPLE",1,0)</f>
        <v/>
      </c>
      <c r="BA523" s="7">
        <f>IF(AND(AV523=1,AZ523=0,AC523&lt;&gt;"",W523&lt;&gt;"",N(V523)&gt;0),COUNTIFS($AV$3:AV523,1,$AZ$3:AZ523,0,$AC$3:AC523,"&lt;&gt;",$W$3:W523,"&lt;&gt;",$V$3:V523,"&gt;0"),"")</f>
        <v/>
      </c>
    </row>
    <row r="524">
      <c r="A524" s="12" t="n"/>
      <c r="B524" s="13" t="n"/>
      <c r="C524" s="13" t="n"/>
      <c r="D524" s="7">
        <f>IF(OR(B524="",C524=""),"",ROUND((C524-B524)*1440,0))</f>
        <v/>
      </c>
      <c r="E524" s="12" t="n"/>
      <c r="F524" s="12" t="n"/>
      <c r="G524" s="12" t="n"/>
      <c r="H524" s="12" t="n"/>
      <c r="I524" s="12" t="n"/>
      <c r="J524" s="12" t="n"/>
      <c r="K524" s="12" t="n"/>
      <c r="L524" s="14" t="n"/>
      <c r="M524" s="12" t="n"/>
      <c r="N524" s="12" t="n"/>
      <c r="O524" s="12" t="n"/>
      <c r="P524" s="12" t="n"/>
      <c r="Q524" s="7">
        <f>IF(A524="","",IFERROR(VLOOKUP(O524,Listes!$R$3:$T$8,2,FALSE),0)+IFERROR(VLOOKUP(J524,Listes!$J$3:$L$6,2,FALSE),0)+IFERROR(VLOOKUP(N524,Listes!$N$3:$P$6,2,FALSE),0)+IF(OR(L524="",B524=""),0,IF(L524-INT(B524)&lt;10,8,IF(L524-INT(B524)&lt;=90,10,5)))+IFERROR(VLOOKUP(AN524,Listes!$V$3:$W$5,2,FALSE),0)+IFERROR(VLOOKUP(AO524,Listes!$Y$3:$Z$5,2,FALSE),0))</f>
        <v/>
      </c>
      <c r="R524" s="12" t="n"/>
      <c r="S524" s="12" t="n"/>
      <c r="T524" s="12" t="n"/>
      <c r="U524" s="15" t="n"/>
      <c r="V524" s="15" t="n"/>
      <c r="W524" s="13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3" t="n"/>
      <c r="AK524" s="12" t="n"/>
      <c r="AL524" s="12" t="n"/>
      <c r="AM524" s="12" t="n"/>
      <c r="AN524" s="12" t="n"/>
      <c r="AO524" s="12" t="n"/>
      <c r="AP524" s="12" t="n"/>
      <c r="AQ524" s="7">
        <f>IF(A524="","",IF(AP524&lt;&gt;"",AP524,IF(LEFT(Z524,11)="gads_marque","Google Search – Marque",IF(LEFT(Z524,12)="gads_mariage","Google Search – Mariage et privé",IF(LEFT(Z524,10)="gads_corpo","Google Search – Corporatif",IF(LEFT(Z524,5)="meta_","Meta – Leads",IF(LEFT(Z524,5)="msft_","Microsoft Ads",IF(LEFT(Z524,8)="chatgpt_","ChatGPT Ads – Test",IF(X524="gbp","Fiche Google (organique)","Autre / non payé")))))))))</f>
        <v/>
      </c>
      <c r="AR524" s="7">
        <f>IF(K524="","",IFERROR(VLOOKUP(K524,Listes!$F$3:$H$8,3,FALSE),""))</f>
        <v/>
      </c>
      <c r="AS524" s="7">
        <f>IF(O524="","",IF(AND(M524="Autre (plus de 40 km)",OR(O524="lt600",O524="600_999",O524="1000_2499")),"D",IF(OR(O524="lt600",AND(O524="600_999",K524&lt;&gt;"mariage",K524&lt;&gt;"prive")),"C",IF(OR(O524="2500_4999",O524="5000p",J524="entreprise",J524="organisme",J524="agence"),"A",IF(OR(O524="1000_2499",O524="600_999"),"B",IF(O524="inconnu",IF(OR(N524="75_149",N524="150p"),"A","B"),""))))))</f>
        <v/>
      </c>
      <c r="AT524" s="7">
        <f>IF(A524="","",IF(P524&lt;&gt;"",P524,AS524))</f>
        <v/>
      </c>
      <c r="AU524" s="7">
        <f>IF(A524="","",IF(OR(AT524="A",AT524="B"),1,0))</f>
        <v/>
      </c>
      <c r="AV524" s="7">
        <f>IF(A524="","",IF(OR(R524="Dépôt payé (gagné)",R524="Événement livré",R524="Avis obtenu"),1,0))</f>
        <v/>
      </c>
      <c r="AW524" s="7">
        <f>IF(A524="","",IF(Q524&gt;70,"Immédiat – propriétaire",IF(Q524&gt;=40,"15 min – personne de garde","Selon la route")))</f>
        <v/>
      </c>
      <c r="AX524" s="11">
        <f>IF(A524="","",IF(AT524="A",400,IF(AT524="B",150,0)))</f>
        <v/>
      </c>
      <c r="AY524" s="11">
        <f>IF(A524="","",IF(AV524=1,N(V524),IF(N(U524)&gt;0,ROUND(N(U524)*IFERROR(VLOOKUP(R524,Listes!$AE$3:$AG$12,2,FALSE),0),0),0)))</f>
        <v/>
      </c>
      <c r="AZ524" s="7">
        <f>IF(LEFT(A524,7)="EXEMPLE",1,0)</f>
        <v/>
      </c>
      <c r="BA524" s="7">
        <f>IF(AND(AV524=1,AZ524=0,AC524&lt;&gt;"",W524&lt;&gt;"",N(V524)&gt;0),COUNTIFS($AV$3:AV524,1,$AZ$3:AZ524,0,$AC$3:AC524,"&lt;&gt;",$W$3:W524,"&lt;&gt;",$V$3:V524,"&gt;0"),"")</f>
        <v/>
      </c>
    </row>
    <row r="525">
      <c r="A525" s="12" t="n"/>
      <c r="B525" s="13" t="n"/>
      <c r="C525" s="13" t="n"/>
      <c r="D525" s="7">
        <f>IF(OR(B525="",C525=""),"",ROUND((C525-B525)*1440,0))</f>
        <v/>
      </c>
      <c r="E525" s="12" t="n"/>
      <c r="F525" s="12" t="n"/>
      <c r="G525" s="12" t="n"/>
      <c r="H525" s="12" t="n"/>
      <c r="I525" s="12" t="n"/>
      <c r="J525" s="12" t="n"/>
      <c r="K525" s="12" t="n"/>
      <c r="L525" s="14" t="n"/>
      <c r="M525" s="12" t="n"/>
      <c r="N525" s="12" t="n"/>
      <c r="O525" s="12" t="n"/>
      <c r="P525" s="12" t="n"/>
      <c r="Q525" s="7">
        <f>IF(A525="","",IFERROR(VLOOKUP(O525,Listes!$R$3:$T$8,2,FALSE),0)+IFERROR(VLOOKUP(J525,Listes!$J$3:$L$6,2,FALSE),0)+IFERROR(VLOOKUP(N525,Listes!$N$3:$P$6,2,FALSE),0)+IF(OR(L525="",B525=""),0,IF(L525-INT(B525)&lt;10,8,IF(L525-INT(B525)&lt;=90,10,5)))+IFERROR(VLOOKUP(AN525,Listes!$V$3:$W$5,2,FALSE),0)+IFERROR(VLOOKUP(AO525,Listes!$Y$3:$Z$5,2,FALSE),0))</f>
        <v/>
      </c>
      <c r="R525" s="12" t="n"/>
      <c r="S525" s="12" t="n"/>
      <c r="T525" s="12" t="n"/>
      <c r="U525" s="15" t="n"/>
      <c r="V525" s="15" t="n"/>
      <c r="W525" s="13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3" t="n"/>
      <c r="AK525" s="12" t="n"/>
      <c r="AL525" s="12" t="n"/>
      <c r="AM525" s="12" t="n"/>
      <c r="AN525" s="12" t="n"/>
      <c r="AO525" s="12" t="n"/>
      <c r="AP525" s="12" t="n"/>
      <c r="AQ525" s="7">
        <f>IF(A525="","",IF(AP525&lt;&gt;"",AP525,IF(LEFT(Z525,11)="gads_marque","Google Search – Marque",IF(LEFT(Z525,12)="gads_mariage","Google Search – Mariage et privé",IF(LEFT(Z525,10)="gads_corpo","Google Search – Corporatif",IF(LEFT(Z525,5)="meta_","Meta – Leads",IF(LEFT(Z525,5)="msft_","Microsoft Ads",IF(LEFT(Z525,8)="chatgpt_","ChatGPT Ads – Test",IF(X525="gbp","Fiche Google (organique)","Autre / non payé")))))))))</f>
        <v/>
      </c>
      <c r="AR525" s="7">
        <f>IF(K525="","",IFERROR(VLOOKUP(K525,Listes!$F$3:$H$8,3,FALSE),""))</f>
        <v/>
      </c>
      <c r="AS525" s="7">
        <f>IF(O525="","",IF(AND(M525="Autre (plus de 40 km)",OR(O525="lt600",O525="600_999",O525="1000_2499")),"D",IF(OR(O525="lt600",AND(O525="600_999",K525&lt;&gt;"mariage",K525&lt;&gt;"prive")),"C",IF(OR(O525="2500_4999",O525="5000p",J525="entreprise",J525="organisme",J525="agence"),"A",IF(OR(O525="1000_2499",O525="600_999"),"B",IF(O525="inconnu",IF(OR(N525="75_149",N525="150p"),"A","B"),""))))))</f>
        <v/>
      </c>
      <c r="AT525" s="7">
        <f>IF(A525="","",IF(P525&lt;&gt;"",P525,AS525))</f>
        <v/>
      </c>
      <c r="AU525" s="7">
        <f>IF(A525="","",IF(OR(AT525="A",AT525="B"),1,0))</f>
        <v/>
      </c>
      <c r="AV525" s="7">
        <f>IF(A525="","",IF(OR(R525="Dépôt payé (gagné)",R525="Événement livré",R525="Avis obtenu"),1,0))</f>
        <v/>
      </c>
      <c r="AW525" s="7">
        <f>IF(A525="","",IF(Q525&gt;70,"Immédiat – propriétaire",IF(Q525&gt;=40,"15 min – personne de garde","Selon la route")))</f>
        <v/>
      </c>
      <c r="AX525" s="11">
        <f>IF(A525="","",IF(AT525="A",400,IF(AT525="B",150,0)))</f>
        <v/>
      </c>
      <c r="AY525" s="11">
        <f>IF(A525="","",IF(AV525=1,N(V525),IF(N(U525)&gt;0,ROUND(N(U525)*IFERROR(VLOOKUP(R525,Listes!$AE$3:$AG$12,2,FALSE),0),0),0)))</f>
        <v/>
      </c>
      <c r="AZ525" s="7">
        <f>IF(LEFT(A525,7)="EXEMPLE",1,0)</f>
        <v/>
      </c>
      <c r="BA525" s="7">
        <f>IF(AND(AV525=1,AZ525=0,AC525&lt;&gt;"",W525&lt;&gt;"",N(V525)&gt;0),COUNTIFS($AV$3:AV525,1,$AZ$3:AZ525,0,$AC$3:AC525,"&lt;&gt;",$W$3:W525,"&lt;&gt;",$V$3:V525,"&gt;0"),"")</f>
        <v/>
      </c>
    </row>
    <row r="526">
      <c r="A526" s="12" t="n"/>
      <c r="B526" s="13" t="n"/>
      <c r="C526" s="13" t="n"/>
      <c r="D526" s="7">
        <f>IF(OR(B526="",C526=""),"",ROUND((C526-B526)*1440,0))</f>
        <v/>
      </c>
      <c r="E526" s="12" t="n"/>
      <c r="F526" s="12" t="n"/>
      <c r="G526" s="12" t="n"/>
      <c r="H526" s="12" t="n"/>
      <c r="I526" s="12" t="n"/>
      <c r="J526" s="12" t="n"/>
      <c r="K526" s="12" t="n"/>
      <c r="L526" s="14" t="n"/>
      <c r="M526" s="12" t="n"/>
      <c r="N526" s="12" t="n"/>
      <c r="O526" s="12" t="n"/>
      <c r="P526" s="12" t="n"/>
      <c r="Q526" s="7">
        <f>IF(A526="","",IFERROR(VLOOKUP(O526,Listes!$R$3:$T$8,2,FALSE),0)+IFERROR(VLOOKUP(J526,Listes!$J$3:$L$6,2,FALSE),0)+IFERROR(VLOOKUP(N526,Listes!$N$3:$P$6,2,FALSE),0)+IF(OR(L526="",B526=""),0,IF(L526-INT(B526)&lt;10,8,IF(L526-INT(B526)&lt;=90,10,5)))+IFERROR(VLOOKUP(AN526,Listes!$V$3:$W$5,2,FALSE),0)+IFERROR(VLOOKUP(AO526,Listes!$Y$3:$Z$5,2,FALSE),0))</f>
        <v/>
      </c>
      <c r="R526" s="12" t="n"/>
      <c r="S526" s="12" t="n"/>
      <c r="T526" s="12" t="n"/>
      <c r="U526" s="15" t="n"/>
      <c r="V526" s="15" t="n"/>
      <c r="W526" s="13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3" t="n"/>
      <c r="AK526" s="12" t="n"/>
      <c r="AL526" s="12" t="n"/>
      <c r="AM526" s="12" t="n"/>
      <c r="AN526" s="12" t="n"/>
      <c r="AO526" s="12" t="n"/>
      <c r="AP526" s="12" t="n"/>
      <c r="AQ526" s="7">
        <f>IF(A526="","",IF(AP526&lt;&gt;"",AP526,IF(LEFT(Z526,11)="gads_marque","Google Search – Marque",IF(LEFT(Z526,12)="gads_mariage","Google Search – Mariage et privé",IF(LEFT(Z526,10)="gads_corpo","Google Search – Corporatif",IF(LEFT(Z526,5)="meta_","Meta – Leads",IF(LEFT(Z526,5)="msft_","Microsoft Ads",IF(LEFT(Z526,8)="chatgpt_","ChatGPT Ads – Test",IF(X526="gbp","Fiche Google (organique)","Autre / non payé")))))))))</f>
        <v/>
      </c>
      <c r="AR526" s="7">
        <f>IF(K526="","",IFERROR(VLOOKUP(K526,Listes!$F$3:$H$8,3,FALSE),""))</f>
        <v/>
      </c>
      <c r="AS526" s="7">
        <f>IF(O526="","",IF(AND(M526="Autre (plus de 40 km)",OR(O526="lt600",O526="600_999",O526="1000_2499")),"D",IF(OR(O526="lt600",AND(O526="600_999",K526&lt;&gt;"mariage",K526&lt;&gt;"prive")),"C",IF(OR(O526="2500_4999",O526="5000p",J526="entreprise",J526="organisme",J526="agence"),"A",IF(OR(O526="1000_2499",O526="600_999"),"B",IF(O526="inconnu",IF(OR(N526="75_149",N526="150p"),"A","B"),""))))))</f>
        <v/>
      </c>
      <c r="AT526" s="7">
        <f>IF(A526="","",IF(P526&lt;&gt;"",P526,AS526))</f>
        <v/>
      </c>
      <c r="AU526" s="7">
        <f>IF(A526="","",IF(OR(AT526="A",AT526="B"),1,0))</f>
        <v/>
      </c>
      <c r="AV526" s="7">
        <f>IF(A526="","",IF(OR(R526="Dépôt payé (gagné)",R526="Événement livré",R526="Avis obtenu"),1,0))</f>
        <v/>
      </c>
      <c r="AW526" s="7">
        <f>IF(A526="","",IF(Q526&gt;70,"Immédiat – propriétaire",IF(Q526&gt;=40,"15 min – personne de garde","Selon la route")))</f>
        <v/>
      </c>
      <c r="AX526" s="11">
        <f>IF(A526="","",IF(AT526="A",400,IF(AT526="B",150,0)))</f>
        <v/>
      </c>
      <c r="AY526" s="11">
        <f>IF(A526="","",IF(AV526=1,N(V526),IF(N(U526)&gt;0,ROUND(N(U526)*IFERROR(VLOOKUP(R526,Listes!$AE$3:$AG$12,2,FALSE),0),0),0)))</f>
        <v/>
      </c>
      <c r="AZ526" s="7">
        <f>IF(LEFT(A526,7)="EXEMPLE",1,0)</f>
        <v/>
      </c>
      <c r="BA526" s="7">
        <f>IF(AND(AV526=1,AZ526=0,AC526&lt;&gt;"",W526&lt;&gt;"",N(V526)&gt;0),COUNTIFS($AV$3:AV526,1,$AZ$3:AZ526,0,$AC$3:AC526,"&lt;&gt;",$W$3:W526,"&lt;&gt;",$V$3:V526,"&gt;0"),"")</f>
        <v/>
      </c>
    </row>
    <row r="527">
      <c r="A527" s="12" t="n"/>
      <c r="B527" s="13" t="n"/>
      <c r="C527" s="13" t="n"/>
      <c r="D527" s="7">
        <f>IF(OR(B527="",C527=""),"",ROUND((C527-B527)*1440,0))</f>
        <v/>
      </c>
      <c r="E527" s="12" t="n"/>
      <c r="F527" s="12" t="n"/>
      <c r="G527" s="12" t="n"/>
      <c r="H527" s="12" t="n"/>
      <c r="I527" s="12" t="n"/>
      <c r="J527" s="12" t="n"/>
      <c r="K527" s="12" t="n"/>
      <c r="L527" s="14" t="n"/>
      <c r="M527" s="12" t="n"/>
      <c r="N527" s="12" t="n"/>
      <c r="O527" s="12" t="n"/>
      <c r="P527" s="12" t="n"/>
      <c r="Q527" s="7">
        <f>IF(A527="","",IFERROR(VLOOKUP(O527,Listes!$R$3:$T$8,2,FALSE),0)+IFERROR(VLOOKUP(J527,Listes!$J$3:$L$6,2,FALSE),0)+IFERROR(VLOOKUP(N527,Listes!$N$3:$P$6,2,FALSE),0)+IF(OR(L527="",B527=""),0,IF(L527-INT(B527)&lt;10,8,IF(L527-INT(B527)&lt;=90,10,5)))+IFERROR(VLOOKUP(AN527,Listes!$V$3:$W$5,2,FALSE),0)+IFERROR(VLOOKUP(AO527,Listes!$Y$3:$Z$5,2,FALSE),0))</f>
        <v/>
      </c>
      <c r="R527" s="12" t="n"/>
      <c r="S527" s="12" t="n"/>
      <c r="T527" s="12" t="n"/>
      <c r="U527" s="15" t="n"/>
      <c r="V527" s="15" t="n"/>
      <c r="W527" s="13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3" t="n"/>
      <c r="AK527" s="12" t="n"/>
      <c r="AL527" s="12" t="n"/>
      <c r="AM527" s="12" t="n"/>
      <c r="AN527" s="12" t="n"/>
      <c r="AO527" s="12" t="n"/>
      <c r="AP527" s="12" t="n"/>
      <c r="AQ527" s="7">
        <f>IF(A527="","",IF(AP527&lt;&gt;"",AP527,IF(LEFT(Z527,11)="gads_marque","Google Search – Marque",IF(LEFT(Z527,12)="gads_mariage","Google Search – Mariage et privé",IF(LEFT(Z527,10)="gads_corpo","Google Search – Corporatif",IF(LEFT(Z527,5)="meta_","Meta – Leads",IF(LEFT(Z527,5)="msft_","Microsoft Ads",IF(LEFT(Z527,8)="chatgpt_","ChatGPT Ads – Test",IF(X527="gbp","Fiche Google (organique)","Autre / non payé")))))))))</f>
        <v/>
      </c>
      <c r="AR527" s="7">
        <f>IF(K527="","",IFERROR(VLOOKUP(K527,Listes!$F$3:$H$8,3,FALSE),""))</f>
        <v/>
      </c>
      <c r="AS527" s="7">
        <f>IF(O527="","",IF(AND(M527="Autre (plus de 40 km)",OR(O527="lt600",O527="600_999",O527="1000_2499")),"D",IF(OR(O527="lt600",AND(O527="600_999",K527&lt;&gt;"mariage",K527&lt;&gt;"prive")),"C",IF(OR(O527="2500_4999",O527="5000p",J527="entreprise",J527="organisme",J527="agence"),"A",IF(OR(O527="1000_2499",O527="600_999"),"B",IF(O527="inconnu",IF(OR(N527="75_149",N527="150p"),"A","B"),""))))))</f>
        <v/>
      </c>
      <c r="AT527" s="7">
        <f>IF(A527="","",IF(P527&lt;&gt;"",P527,AS527))</f>
        <v/>
      </c>
      <c r="AU527" s="7">
        <f>IF(A527="","",IF(OR(AT527="A",AT527="B"),1,0))</f>
        <v/>
      </c>
      <c r="AV527" s="7">
        <f>IF(A527="","",IF(OR(R527="Dépôt payé (gagné)",R527="Événement livré",R527="Avis obtenu"),1,0))</f>
        <v/>
      </c>
      <c r="AW527" s="7">
        <f>IF(A527="","",IF(Q527&gt;70,"Immédiat – propriétaire",IF(Q527&gt;=40,"15 min – personne de garde","Selon la route")))</f>
        <v/>
      </c>
      <c r="AX527" s="11">
        <f>IF(A527="","",IF(AT527="A",400,IF(AT527="B",150,0)))</f>
        <v/>
      </c>
      <c r="AY527" s="11">
        <f>IF(A527="","",IF(AV527=1,N(V527),IF(N(U527)&gt;0,ROUND(N(U527)*IFERROR(VLOOKUP(R527,Listes!$AE$3:$AG$12,2,FALSE),0),0),0)))</f>
        <v/>
      </c>
      <c r="AZ527" s="7">
        <f>IF(LEFT(A527,7)="EXEMPLE",1,0)</f>
        <v/>
      </c>
      <c r="BA527" s="7">
        <f>IF(AND(AV527=1,AZ527=0,AC527&lt;&gt;"",W527&lt;&gt;"",N(V527)&gt;0),COUNTIFS($AV$3:AV527,1,$AZ$3:AZ527,0,$AC$3:AC527,"&lt;&gt;",$W$3:W527,"&lt;&gt;",$V$3:V527,"&gt;0"),"")</f>
        <v/>
      </c>
    </row>
    <row r="528">
      <c r="A528" s="12" t="n"/>
      <c r="B528" s="13" t="n"/>
      <c r="C528" s="13" t="n"/>
      <c r="D528" s="7">
        <f>IF(OR(B528="",C528=""),"",ROUND((C528-B528)*1440,0))</f>
        <v/>
      </c>
      <c r="E528" s="12" t="n"/>
      <c r="F528" s="12" t="n"/>
      <c r="G528" s="12" t="n"/>
      <c r="H528" s="12" t="n"/>
      <c r="I528" s="12" t="n"/>
      <c r="J528" s="12" t="n"/>
      <c r="K528" s="12" t="n"/>
      <c r="L528" s="14" t="n"/>
      <c r="M528" s="12" t="n"/>
      <c r="N528" s="12" t="n"/>
      <c r="O528" s="12" t="n"/>
      <c r="P528" s="12" t="n"/>
      <c r="Q528" s="7">
        <f>IF(A528="","",IFERROR(VLOOKUP(O528,Listes!$R$3:$T$8,2,FALSE),0)+IFERROR(VLOOKUP(J528,Listes!$J$3:$L$6,2,FALSE),0)+IFERROR(VLOOKUP(N528,Listes!$N$3:$P$6,2,FALSE),0)+IF(OR(L528="",B528=""),0,IF(L528-INT(B528)&lt;10,8,IF(L528-INT(B528)&lt;=90,10,5)))+IFERROR(VLOOKUP(AN528,Listes!$V$3:$W$5,2,FALSE),0)+IFERROR(VLOOKUP(AO528,Listes!$Y$3:$Z$5,2,FALSE),0))</f>
        <v/>
      </c>
      <c r="R528" s="12" t="n"/>
      <c r="S528" s="12" t="n"/>
      <c r="T528" s="12" t="n"/>
      <c r="U528" s="15" t="n"/>
      <c r="V528" s="15" t="n"/>
      <c r="W528" s="13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3" t="n"/>
      <c r="AK528" s="12" t="n"/>
      <c r="AL528" s="12" t="n"/>
      <c r="AM528" s="12" t="n"/>
      <c r="AN528" s="12" t="n"/>
      <c r="AO528" s="12" t="n"/>
      <c r="AP528" s="12" t="n"/>
      <c r="AQ528" s="7">
        <f>IF(A528="","",IF(AP528&lt;&gt;"",AP528,IF(LEFT(Z528,11)="gads_marque","Google Search – Marque",IF(LEFT(Z528,12)="gads_mariage","Google Search – Mariage et privé",IF(LEFT(Z528,10)="gads_corpo","Google Search – Corporatif",IF(LEFT(Z528,5)="meta_","Meta – Leads",IF(LEFT(Z528,5)="msft_","Microsoft Ads",IF(LEFT(Z528,8)="chatgpt_","ChatGPT Ads – Test",IF(X528="gbp","Fiche Google (organique)","Autre / non payé")))))))))</f>
        <v/>
      </c>
      <c r="AR528" s="7">
        <f>IF(K528="","",IFERROR(VLOOKUP(K528,Listes!$F$3:$H$8,3,FALSE),""))</f>
        <v/>
      </c>
      <c r="AS528" s="7">
        <f>IF(O528="","",IF(AND(M528="Autre (plus de 40 km)",OR(O528="lt600",O528="600_999",O528="1000_2499")),"D",IF(OR(O528="lt600",AND(O528="600_999",K528&lt;&gt;"mariage",K528&lt;&gt;"prive")),"C",IF(OR(O528="2500_4999",O528="5000p",J528="entreprise",J528="organisme",J528="agence"),"A",IF(OR(O528="1000_2499",O528="600_999"),"B",IF(O528="inconnu",IF(OR(N528="75_149",N528="150p"),"A","B"),""))))))</f>
        <v/>
      </c>
      <c r="AT528" s="7">
        <f>IF(A528="","",IF(P528&lt;&gt;"",P528,AS528))</f>
        <v/>
      </c>
      <c r="AU528" s="7">
        <f>IF(A528="","",IF(OR(AT528="A",AT528="B"),1,0))</f>
        <v/>
      </c>
      <c r="AV528" s="7">
        <f>IF(A528="","",IF(OR(R528="Dépôt payé (gagné)",R528="Événement livré",R528="Avis obtenu"),1,0))</f>
        <v/>
      </c>
      <c r="AW528" s="7">
        <f>IF(A528="","",IF(Q528&gt;70,"Immédiat – propriétaire",IF(Q528&gt;=40,"15 min – personne de garde","Selon la route")))</f>
        <v/>
      </c>
      <c r="AX528" s="11">
        <f>IF(A528="","",IF(AT528="A",400,IF(AT528="B",150,0)))</f>
        <v/>
      </c>
      <c r="AY528" s="11">
        <f>IF(A528="","",IF(AV528=1,N(V528),IF(N(U528)&gt;0,ROUND(N(U528)*IFERROR(VLOOKUP(R528,Listes!$AE$3:$AG$12,2,FALSE),0),0),0)))</f>
        <v/>
      </c>
      <c r="AZ528" s="7">
        <f>IF(LEFT(A528,7)="EXEMPLE",1,0)</f>
        <v/>
      </c>
      <c r="BA528" s="7">
        <f>IF(AND(AV528=1,AZ528=0,AC528&lt;&gt;"",W528&lt;&gt;"",N(V528)&gt;0),COUNTIFS($AV$3:AV528,1,$AZ$3:AZ528,0,$AC$3:AC528,"&lt;&gt;",$W$3:W528,"&lt;&gt;",$V$3:V528,"&gt;0"),"")</f>
        <v/>
      </c>
    </row>
    <row r="529">
      <c r="A529" s="12" t="n"/>
      <c r="B529" s="13" t="n"/>
      <c r="C529" s="13" t="n"/>
      <c r="D529" s="7">
        <f>IF(OR(B529="",C529=""),"",ROUND((C529-B529)*1440,0))</f>
        <v/>
      </c>
      <c r="E529" s="12" t="n"/>
      <c r="F529" s="12" t="n"/>
      <c r="G529" s="12" t="n"/>
      <c r="H529" s="12" t="n"/>
      <c r="I529" s="12" t="n"/>
      <c r="J529" s="12" t="n"/>
      <c r="K529" s="12" t="n"/>
      <c r="L529" s="14" t="n"/>
      <c r="M529" s="12" t="n"/>
      <c r="N529" s="12" t="n"/>
      <c r="O529" s="12" t="n"/>
      <c r="P529" s="12" t="n"/>
      <c r="Q529" s="7">
        <f>IF(A529="","",IFERROR(VLOOKUP(O529,Listes!$R$3:$T$8,2,FALSE),0)+IFERROR(VLOOKUP(J529,Listes!$J$3:$L$6,2,FALSE),0)+IFERROR(VLOOKUP(N529,Listes!$N$3:$P$6,2,FALSE),0)+IF(OR(L529="",B529=""),0,IF(L529-INT(B529)&lt;10,8,IF(L529-INT(B529)&lt;=90,10,5)))+IFERROR(VLOOKUP(AN529,Listes!$V$3:$W$5,2,FALSE),0)+IFERROR(VLOOKUP(AO529,Listes!$Y$3:$Z$5,2,FALSE),0))</f>
        <v/>
      </c>
      <c r="R529" s="12" t="n"/>
      <c r="S529" s="12" t="n"/>
      <c r="T529" s="12" t="n"/>
      <c r="U529" s="15" t="n"/>
      <c r="V529" s="15" t="n"/>
      <c r="W529" s="13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3" t="n"/>
      <c r="AK529" s="12" t="n"/>
      <c r="AL529" s="12" t="n"/>
      <c r="AM529" s="12" t="n"/>
      <c r="AN529" s="12" t="n"/>
      <c r="AO529" s="12" t="n"/>
      <c r="AP529" s="12" t="n"/>
      <c r="AQ529" s="7">
        <f>IF(A529="","",IF(AP529&lt;&gt;"",AP529,IF(LEFT(Z529,11)="gads_marque","Google Search – Marque",IF(LEFT(Z529,12)="gads_mariage","Google Search – Mariage et privé",IF(LEFT(Z529,10)="gads_corpo","Google Search – Corporatif",IF(LEFT(Z529,5)="meta_","Meta – Leads",IF(LEFT(Z529,5)="msft_","Microsoft Ads",IF(LEFT(Z529,8)="chatgpt_","ChatGPT Ads – Test",IF(X529="gbp","Fiche Google (organique)","Autre / non payé")))))))))</f>
        <v/>
      </c>
      <c r="AR529" s="7">
        <f>IF(K529="","",IFERROR(VLOOKUP(K529,Listes!$F$3:$H$8,3,FALSE),""))</f>
        <v/>
      </c>
      <c r="AS529" s="7">
        <f>IF(O529="","",IF(AND(M529="Autre (plus de 40 km)",OR(O529="lt600",O529="600_999",O529="1000_2499")),"D",IF(OR(O529="lt600",AND(O529="600_999",K529&lt;&gt;"mariage",K529&lt;&gt;"prive")),"C",IF(OR(O529="2500_4999",O529="5000p",J529="entreprise",J529="organisme",J529="agence"),"A",IF(OR(O529="1000_2499",O529="600_999"),"B",IF(O529="inconnu",IF(OR(N529="75_149",N529="150p"),"A","B"),""))))))</f>
        <v/>
      </c>
      <c r="AT529" s="7">
        <f>IF(A529="","",IF(P529&lt;&gt;"",P529,AS529))</f>
        <v/>
      </c>
      <c r="AU529" s="7">
        <f>IF(A529="","",IF(OR(AT529="A",AT529="B"),1,0))</f>
        <v/>
      </c>
      <c r="AV529" s="7">
        <f>IF(A529="","",IF(OR(R529="Dépôt payé (gagné)",R529="Événement livré",R529="Avis obtenu"),1,0))</f>
        <v/>
      </c>
      <c r="AW529" s="7">
        <f>IF(A529="","",IF(Q529&gt;70,"Immédiat – propriétaire",IF(Q529&gt;=40,"15 min – personne de garde","Selon la route")))</f>
        <v/>
      </c>
      <c r="AX529" s="11">
        <f>IF(A529="","",IF(AT529="A",400,IF(AT529="B",150,0)))</f>
        <v/>
      </c>
      <c r="AY529" s="11">
        <f>IF(A529="","",IF(AV529=1,N(V529),IF(N(U529)&gt;0,ROUND(N(U529)*IFERROR(VLOOKUP(R529,Listes!$AE$3:$AG$12,2,FALSE),0),0),0)))</f>
        <v/>
      </c>
      <c r="AZ529" s="7">
        <f>IF(LEFT(A529,7)="EXEMPLE",1,0)</f>
        <v/>
      </c>
      <c r="BA529" s="7">
        <f>IF(AND(AV529=1,AZ529=0,AC529&lt;&gt;"",W529&lt;&gt;"",N(V529)&gt;0),COUNTIFS($AV$3:AV529,1,$AZ$3:AZ529,0,$AC$3:AC529,"&lt;&gt;",$W$3:W529,"&lt;&gt;",$V$3:V529,"&gt;0"),"")</f>
        <v/>
      </c>
    </row>
    <row r="530">
      <c r="A530" s="12" t="n"/>
      <c r="B530" s="13" t="n"/>
      <c r="C530" s="13" t="n"/>
      <c r="D530" s="7">
        <f>IF(OR(B530="",C530=""),"",ROUND((C530-B530)*1440,0))</f>
        <v/>
      </c>
      <c r="E530" s="12" t="n"/>
      <c r="F530" s="12" t="n"/>
      <c r="G530" s="12" t="n"/>
      <c r="H530" s="12" t="n"/>
      <c r="I530" s="12" t="n"/>
      <c r="J530" s="12" t="n"/>
      <c r="K530" s="12" t="n"/>
      <c r="L530" s="14" t="n"/>
      <c r="M530" s="12" t="n"/>
      <c r="N530" s="12" t="n"/>
      <c r="O530" s="12" t="n"/>
      <c r="P530" s="12" t="n"/>
      <c r="Q530" s="7">
        <f>IF(A530="","",IFERROR(VLOOKUP(O530,Listes!$R$3:$T$8,2,FALSE),0)+IFERROR(VLOOKUP(J530,Listes!$J$3:$L$6,2,FALSE),0)+IFERROR(VLOOKUP(N530,Listes!$N$3:$P$6,2,FALSE),0)+IF(OR(L530="",B530=""),0,IF(L530-INT(B530)&lt;10,8,IF(L530-INT(B530)&lt;=90,10,5)))+IFERROR(VLOOKUP(AN530,Listes!$V$3:$W$5,2,FALSE),0)+IFERROR(VLOOKUP(AO530,Listes!$Y$3:$Z$5,2,FALSE),0))</f>
        <v/>
      </c>
      <c r="R530" s="12" t="n"/>
      <c r="S530" s="12" t="n"/>
      <c r="T530" s="12" t="n"/>
      <c r="U530" s="15" t="n"/>
      <c r="V530" s="15" t="n"/>
      <c r="W530" s="13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3" t="n"/>
      <c r="AK530" s="12" t="n"/>
      <c r="AL530" s="12" t="n"/>
      <c r="AM530" s="12" t="n"/>
      <c r="AN530" s="12" t="n"/>
      <c r="AO530" s="12" t="n"/>
      <c r="AP530" s="12" t="n"/>
      <c r="AQ530" s="7">
        <f>IF(A530="","",IF(AP530&lt;&gt;"",AP530,IF(LEFT(Z530,11)="gads_marque","Google Search – Marque",IF(LEFT(Z530,12)="gads_mariage","Google Search – Mariage et privé",IF(LEFT(Z530,10)="gads_corpo","Google Search – Corporatif",IF(LEFT(Z530,5)="meta_","Meta – Leads",IF(LEFT(Z530,5)="msft_","Microsoft Ads",IF(LEFT(Z530,8)="chatgpt_","ChatGPT Ads – Test",IF(X530="gbp","Fiche Google (organique)","Autre / non payé")))))))))</f>
        <v/>
      </c>
      <c r="AR530" s="7">
        <f>IF(K530="","",IFERROR(VLOOKUP(K530,Listes!$F$3:$H$8,3,FALSE),""))</f>
        <v/>
      </c>
      <c r="AS530" s="7">
        <f>IF(O530="","",IF(AND(M530="Autre (plus de 40 km)",OR(O530="lt600",O530="600_999",O530="1000_2499")),"D",IF(OR(O530="lt600",AND(O530="600_999",K530&lt;&gt;"mariage",K530&lt;&gt;"prive")),"C",IF(OR(O530="2500_4999",O530="5000p",J530="entreprise",J530="organisme",J530="agence"),"A",IF(OR(O530="1000_2499",O530="600_999"),"B",IF(O530="inconnu",IF(OR(N530="75_149",N530="150p"),"A","B"),""))))))</f>
        <v/>
      </c>
      <c r="AT530" s="7">
        <f>IF(A530="","",IF(P530&lt;&gt;"",P530,AS530))</f>
        <v/>
      </c>
      <c r="AU530" s="7">
        <f>IF(A530="","",IF(OR(AT530="A",AT530="B"),1,0))</f>
        <v/>
      </c>
      <c r="AV530" s="7">
        <f>IF(A530="","",IF(OR(R530="Dépôt payé (gagné)",R530="Événement livré",R530="Avis obtenu"),1,0))</f>
        <v/>
      </c>
      <c r="AW530" s="7">
        <f>IF(A530="","",IF(Q530&gt;70,"Immédiat – propriétaire",IF(Q530&gt;=40,"15 min – personne de garde","Selon la route")))</f>
        <v/>
      </c>
      <c r="AX530" s="11">
        <f>IF(A530="","",IF(AT530="A",400,IF(AT530="B",150,0)))</f>
        <v/>
      </c>
      <c r="AY530" s="11">
        <f>IF(A530="","",IF(AV530=1,N(V530),IF(N(U530)&gt;0,ROUND(N(U530)*IFERROR(VLOOKUP(R530,Listes!$AE$3:$AG$12,2,FALSE),0),0),0)))</f>
        <v/>
      </c>
      <c r="AZ530" s="7">
        <f>IF(LEFT(A530,7)="EXEMPLE",1,0)</f>
        <v/>
      </c>
      <c r="BA530" s="7">
        <f>IF(AND(AV530=1,AZ530=0,AC530&lt;&gt;"",W530&lt;&gt;"",N(V530)&gt;0),COUNTIFS($AV$3:AV530,1,$AZ$3:AZ530,0,$AC$3:AC530,"&lt;&gt;",$W$3:W530,"&lt;&gt;",$V$3:V530,"&gt;0"),"")</f>
        <v/>
      </c>
    </row>
    <row r="531">
      <c r="A531" s="12" t="n"/>
      <c r="B531" s="13" t="n"/>
      <c r="C531" s="13" t="n"/>
      <c r="D531" s="7">
        <f>IF(OR(B531="",C531=""),"",ROUND((C531-B531)*1440,0))</f>
        <v/>
      </c>
      <c r="E531" s="12" t="n"/>
      <c r="F531" s="12" t="n"/>
      <c r="G531" s="12" t="n"/>
      <c r="H531" s="12" t="n"/>
      <c r="I531" s="12" t="n"/>
      <c r="J531" s="12" t="n"/>
      <c r="K531" s="12" t="n"/>
      <c r="L531" s="14" t="n"/>
      <c r="M531" s="12" t="n"/>
      <c r="N531" s="12" t="n"/>
      <c r="O531" s="12" t="n"/>
      <c r="P531" s="12" t="n"/>
      <c r="Q531" s="7">
        <f>IF(A531="","",IFERROR(VLOOKUP(O531,Listes!$R$3:$T$8,2,FALSE),0)+IFERROR(VLOOKUP(J531,Listes!$J$3:$L$6,2,FALSE),0)+IFERROR(VLOOKUP(N531,Listes!$N$3:$P$6,2,FALSE),0)+IF(OR(L531="",B531=""),0,IF(L531-INT(B531)&lt;10,8,IF(L531-INT(B531)&lt;=90,10,5)))+IFERROR(VLOOKUP(AN531,Listes!$V$3:$W$5,2,FALSE),0)+IFERROR(VLOOKUP(AO531,Listes!$Y$3:$Z$5,2,FALSE),0))</f>
        <v/>
      </c>
      <c r="R531" s="12" t="n"/>
      <c r="S531" s="12" t="n"/>
      <c r="T531" s="12" t="n"/>
      <c r="U531" s="15" t="n"/>
      <c r="V531" s="15" t="n"/>
      <c r="W531" s="13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3" t="n"/>
      <c r="AK531" s="12" t="n"/>
      <c r="AL531" s="12" t="n"/>
      <c r="AM531" s="12" t="n"/>
      <c r="AN531" s="12" t="n"/>
      <c r="AO531" s="12" t="n"/>
      <c r="AP531" s="12" t="n"/>
      <c r="AQ531" s="7">
        <f>IF(A531="","",IF(AP531&lt;&gt;"",AP531,IF(LEFT(Z531,11)="gads_marque","Google Search – Marque",IF(LEFT(Z531,12)="gads_mariage","Google Search – Mariage et privé",IF(LEFT(Z531,10)="gads_corpo","Google Search – Corporatif",IF(LEFT(Z531,5)="meta_","Meta – Leads",IF(LEFT(Z531,5)="msft_","Microsoft Ads",IF(LEFT(Z531,8)="chatgpt_","ChatGPT Ads – Test",IF(X531="gbp","Fiche Google (organique)","Autre / non payé")))))))))</f>
        <v/>
      </c>
      <c r="AR531" s="7">
        <f>IF(K531="","",IFERROR(VLOOKUP(K531,Listes!$F$3:$H$8,3,FALSE),""))</f>
        <v/>
      </c>
      <c r="AS531" s="7">
        <f>IF(O531="","",IF(AND(M531="Autre (plus de 40 km)",OR(O531="lt600",O531="600_999",O531="1000_2499")),"D",IF(OR(O531="lt600",AND(O531="600_999",K531&lt;&gt;"mariage",K531&lt;&gt;"prive")),"C",IF(OR(O531="2500_4999",O531="5000p",J531="entreprise",J531="organisme",J531="agence"),"A",IF(OR(O531="1000_2499",O531="600_999"),"B",IF(O531="inconnu",IF(OR(N531="75_149",N531="150p"),"A","B"),""))))))</f>
        <v/>
      </c>
      <c r="AT531" s="7">
        <f>IF(A531="","",IF(P531&lt;&gt;"",P531,AS531))</f>
        <v/>
      </c>
      <c r="AU531" s="7">
        <f>IF(A531="","",IF(OR(AT531="A",AT531="B"),1,0))</f>
        <v/>
      </c>
      <c r="AV531" s="7">
        <f>IF(A531="","",IF(OR(R531="Dépôt payé (gagné)",R531="Événement livré",R531="Avis obtenu"),1,0))</f>
        <v/>
      </c>
      <c r="AW531" s="7">
        <f>IF(A531="","",IF(Q531&gt;70,"Immédiat – propriétaire",IF(Q531&gt;=40,"15 min – personne de garde","Selon la route")))</f>
        <v/>
      </c>
      <c r="AX531" s="11">
        <f>IF(A531="","",IF(AT531="A",400,IF(AT531="B",150,0)))</f>
        <v/>
      </c>
      <c r="AY531" s="11">
        <f>IF(A531="","",IF(AV531=1,N(V531),IF(N(U531)&gt;0,ROUND(N(U531)*IFERROR(VLOOKUP(R531,Listes!$AE$3:$AG$12,2,FALSE),0),0),0)))</f>
        <v/>
      </c>
      <c r="AZ531" s="7">
        <f>IF(LEFT(A531,7)="EXEMPLE",1,0)</f>
        <v/>
      </c>
      <c r="BA531" s="7">
        <f>IF(AND(AV531=1,AZ531=0,AC531&lt;&gt;"",W531&lt;&gt;"",N(V531)&gt;0),COUNTIFS($AV$3:AV531,1,$AZ$3:AZ531,0,$AC$3:AC531,"&lt;&gt;",$W$3:W531,"&lt;&gt;",$V$3:V531,"&gt;0"),"")</f>
        <v/>
      </c>
    </row>
    <row r="532">
      <c r="A532" s="12" t="n"/>
      <c r="B532" s="13" t="n"/>
      <c r="C532" s="13" t="n"/>
      <c r="D532" s="7">
        <f>IF(OR(B532="",C532=""),"",ROUND((C532-B532)*1440,0))</f>
        <v/>
      </c>
      <c r="E532" s="12" t="n"/>
      <c r="F532" s="12" t="n"/>
      <c r="G532" s="12" t="n"/>
      <c r="H532" s="12" t="n"/>
      <c r="I532" s="12" t="n"/>
      <c r="J532" s="12" t="n"/>
      <c r="K532" s="12" t="n"/>
      <c r="L532" s="14" t="n"/>
      <c r="M532" s="12" t="n"/>
      <c r="N532" s="12" t="n"/>
      <c r="O532" s="12" t="n"/>
      <c r="P532" s="12" t="n"/>
      <c r="Q532" s="7">
        <f>IF(A532="","",IFERROR(VLOOKUP(O532,Listes!$R$3:$T$8,2,FALSE),0)+IFERROR(VLOOKUP(J532,Listes!$J$3:$L$6,2,FALSE),0)+IFERROR(VLOOKUP(N532,Listes!$N$3:$P$6,2,FALSE),0)+IF(OR(L532="",B532=""),0,IF(L532-INT(B532)&lt;10,8,IF(L532-INT(B532)&lt;=90,10,5)))+IFERROR(VLOOKUP(AN532,Listes!$V$3:$W$5,2,FALSE),0)+IFERROR(VLOOKUP(AO532,Listes!$Y$3:$Z$5,2,FALSE),0))</f>
        <v/>
      </c>
      <c r="R532" s="12" t="n"/>
      <c r="S532" s="12" t="n"/>
      <c r="T532" s="12" t="n"/>
      <c r="U532" s="15" t="n"/>
      <c r="V532" s="15" t="n"/>
      <c r="W532" s="13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3" t="n"/>
      <c r="AK532" s="12" t="n"/>
      <c r="AL532" s="12" t="n"/>
      <c r="AM532" s="12" t="n"/>
      <c r="AN532" s="12" t="n"/>
      <c r="AO532" s="12" t="n"/>
      <c r="AP532" s="12" t="n"/>
      <c r="AQ532" s="7">
        <f>IF(A532="","",IF(AP532&lt;&gt;"",AP532,IF(LEFT(Z532,11)="gads_marque","Google Search – Marque",IF(LEFT(Z532,12)="gads_mariage","Google Search – Mariage et privé",IF(LEFT(Z532,10)="gads_corpo","Google Search – Corporatif",IF(LEFT(Z532,5)="meta_","Meta – Leads",IF(LEFT(Z532,5)="msft_","Microsoft Ads",IF(LEFT(Z532,8)="chatgpt_","ChatGPT Ads – Test",IF(X532="gbp","Fiche Google (organique)","Autre / non payé")))))))))</f>
        <v/>
      </c>
      <c r="AR532" s="7">
        <f>IF(K532="","",IFERROR(VLOOKUP(K532,Listes!$F$3:$H$8,3,FALSE),""))</f>
        <v/>
      </c>
      <c r="AS532" s="7">
        <f>IF(O532="","",IF(AND(M532="Autre (plus de 40 km)",OR(O532="lt600",O532="600_999",O532="1000_2499")),"D",IF(OR(O532="lt600",AND(O532="600_999",K532&lt;&gt;"mariage",K532&lt;&gt;"prive")),"C",IF(OR(O532="2500_4999",O532="5000p",J532="entreprise",J532="organisme",J532="agence"),"A",IF(OR(O532="1000_2499",O532="600_999"),"B",IF(O532="inconnu",IF(OR(N532="75_149",N532="150p"),"A","B"),""))))))</f>
        <v/>
      </c>
      <c r="AT532" s="7">
        <f>IF(A532="","",IF(P532&lt;&gt;"",P532,AS532))</f>
        <v/>
      </c>
      <c r="AU532" s="7">
        <f>IF(A532="","",IF(OR(AT532="A",AT532="B"),1,0))</f>
        <v/>
      </c>
      <c r="AV532" s="7">
        <f>IF(A532="","",IF(OR(R532="Dépôt payé (gagné)",R532="Événement livré",R532="Avis obtenu"),1,0))</f>
        <v/>
      </c>
      <c r="AW532" s="7">
        <f>IF(A532="","",IF(Q532&gt;70,"Immédiat – propriétaire",IF(Q532&gt;=40,"15 min – personne de garde","Selon la route")))</f>
        <v/>
      </c>
      <c r="AX532" s="11">
        <f>IF(A532="","",IF(AT532="A",400,IF(AT532="B",150,0)))</f>
        <v/>
      </c>
      <c r="AY532" s="11">
        <f>IF(A532="","",IF(AV532=1,N(V532),IF(N(U532)&gt;0,ROUND(N(U532)*IFERROR(VLOOKUP(R532,Listes!$AE$3:$AG$12,2,FALSE),0),0),0)))</f>
        <v/>
      </c>
      <c r="AZ532" s="7">
        <f>IF(LEFT(A532,7)="EXEMPLE",1,0)</f>
        <v/>
      </c>
      <c r="BA532" s="7">
        <f>IF(AND(AV532=1,AZ532=0,AC532&lt;&gt;"",W532&lt;&gt;"",N(V532)&gt;0),COUNTIFS($AV$3:AV532,1,$AZ$3:AZ532,0,$AC$3:AC532,"&lt;&gt;",$W$3:W532,"&lt;&gt;",$V$3:V532,"&gt;0"),"")</f>
        <v/>
      </c>
    </row>
    <row r="533">
      <c r="A533" s="12" t="n"/>
      <c r="B533" s="13" t="n"/>
      <c r="C533" s="13" t="n"/>
      <c r="D533" s="7">
        <f>IF(OR(B533="",C533=""),"",ROUND((C533-B533)*1440,0))</f>
        <v/>
      </c>
      <c r="E533" s="12" t="n"/>
      <c r="F533" s="12" t="n"/>
      <c r="G533" s="12" t="n"/>
      <c r="H533" s="12" t="n"/>
      <c r="I533" s="12" t="n"/>
      <c r="J533" s="12" t="n"/>
      <c r="K533" s="12" t="n"/>
      <c r="L533" s="14" t="n"/>
      <c r="M533" s="12" t="n"/>
      <c r="N533" s="12" t="n"/>
      <c r="O533" s="12" t="n"/>
      <c r="P533" s="12" t="n"/>
      <c r="Q533" s="7">
        <f>IF(A533="","",IFERROR(VLOOKUP(O533,Listes!$R$3:$T$8,2,FALSE),0)+IFERROR(VLOOKUP(J533,Listes!$J$3:$L$6,2,FALSE),0)+IFERROR(VLOOKUP(N533,Listes!$N$3:$P$6,2,FALSE),0)+IF(OR(L533="",B533=""),0,IF(L533-INT(B533)&lt;10,8,IF(L533-INT(B533)&lt;=90,10,5)))+IFERROR(VLOOKUP(AN533,Listes!$V$3:$W$5,2,FALSE),0)+IFERROR(VLOOKUP(AO533,Listes!$Y$3:$Z$5,2,FALSE),0))</f>
        <v/>
      </c>
      <c r="R533" s="12" t="n"/>
      <c r="S533" s="12" t="n"/>
      <c r="T533" s="12" t="n"/>
      <c r="U533" s="15" t="n"/>
      <c r="V533" s="15" t="n"/>
      <c r="W533" s="13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3" t="n"/>
      <c r="AK533" s="12" t="n"/>
      <c r="AL533" s="12" t="n"/>
      <c r="AM533" s="12" t="n"/>
      <c r="AN533" s="12" t="n"/>
      <c r="AO533" s="12" t="n"/>
      <c r="AP533" s="12" t="n"/>
      <c r="AQ533" s="7">
        <f>IF(A533="","",IF(AP533&lt;&gt;"",AP533,IF(LEFT(Z533,11)="gads_marque","Google Search – Marque",IF(LEFT(Z533,12)="gads_mariage","Google Search – Mariage et privé",IF(LEFT(Z533,10)="gads_corpo","Google Search – Corporatif",IF(LEFT(Z533,5)="meta_","Meta – Leads",IF(LEFT(Z533,5)="msft_","Microsoft Ads",IF(LEFT(Z533,8)="chatgpt_","ChatGPT Ads – Test",IF(X533="gbp","Fiche Google (organique)","Autre / non payé")))))))))</f>
        <v/>
      </c>
      <c r="AR533" s="7">
        <f>IF(K533="","",IFERROR(VLOOKUP(K533,Listes!$F$3:$H$8,3,FALSE),""))</f>
        <v/>
      </c>
      <c r="AS533" s="7">
        <f>IF(O533="","",IF(AND(M533="Autre (plus de 40 km)",OR(O533="lt600",O533="600_999",O533="1000_2499")),"D",IF(OR(O533="lt600",AND(O533="600_999",K533&lt;&gt;"mariage",K533&lt;&gt;"prive")),"C",IF(OR(O533="2500_4999",O533="5000p",J533="entreprise",J533="organisme",J533="agence"),"A",IF(OR(O533="1000_2499",O533="600_999"),"B",IF(O533="inconnu",IF(OR(N533="75_149",N533="150p"),"A","B"),""))))))</f>
        <v/>
      </c>
      <c r="AT533" s="7">
        <f>IF(A533="","",IF(P533&lt;&gt;"",P533,AS533))</f>
        <v/>
      </c>
      <c r="AU533" s="7">
        <f>IF(A533="","",IF(OR(AT533="A",AT533="B"),1,0))</f>
        <v/>
      </c>
      <c r="AV533" s="7">
        <f>IF(A533="","",IF(OR(R533="Dépôt payé (gagné)",R533="Événement livré",R533="Avis obtenu"),1,0))</f>
        <v/>
      </c>
      <c r="AW533" s="7">
        <f>IF(A533="","",IF(Q533&gt;70,"Immédiat – propriétaire",IF(Q533&gt;=40,"15 min – personne de garde","Selon la route")))</f>
        <v/>
      </c>
      <c r="AX533" s="11">
        <f>IF(A533="","",IF(AT533="A",400,IF(AT533="B",150,0)))</f>
        <v/>
      </c>
      <c r="AY533" s="11">
        <f>IF(A533="","",IF(AV533=1,N(V533),IF(N(U533)&gt;0,ROUND(N(U533)*IFERROR(VLOOKUP(R533,Listes!$AE$3:$AG$12,2,FALSE),0),0),0)))</f>
        <v/>
      </c>
      <c r="AZ533" s="7">
        <f>IF(LEFT(A533,7)="EXEMPLE",1,0)</f>
        <v/>
      </c>
      <c r="BA533" s="7">
        <f>IF(AND(AV533=1,AZ533=0,AC533&lt;&gt;"",W533&lt;&gt;"",N(V533)&gt;0),COUNTIFS($AV$3:AV533,1,$AZ$3:AZ533,0,$AC$3:AC533,"&lt;&gt;",$W$3:W533,"&lt;&gt;",$V$3:V533,"&gt;0"),"")</f>
        <v/>
      </c>
    </row>
    <row r="534">
      <c r="A534" s="12" t="n"/>
      <c r="B534" s="13" t="n"/>
      <c r="C534" s="13" t="n"/>
      <c r="D534" s="7">
        <f>IF(OR(B534="",C534=""),"",ROUND((C534-B534)*1440,0))</f>
        <v/>
      </c>
      <c r="E534" s="12" t="n"/>
      <c r="F534" s="12" t="n"/>
      <c r="G534" s="12" t="n"/>
      <c r="H534" s="12" t="n"/>
      <c r="I534" s="12" t="n"/>
      <c r="J534" s="12" t="n"/>
      <c r="K534" s="12" t="n"/>
      <c r="L534" s="14" t="n"/>
      <c r="M534" s="12" t="n"/>
      <c r="N534" s="12" t="n"/>
      <c r="O534" s="12" t="n"/>
      <c r="P534" s="12" t="n"/>
      <c r="Q534" s="7">
        <f>IF(A534="","",IFERROR(VLOOKUP(O534,Listes!$R$3:$T$8,2,FALSE),0)+IFERROR(VLOOKUP(J534,Listes!$J$3:$L$6,2,FALSE),0)+IFERROR(VLOOKUP(N534,Listes!$N$3:$P$6,2,FALSE),0)+IF(OR(L534="",B534=""),0,IF(L534-INT(B534)&lt;10,8,IF(L534-INT(B534)&lt;=90,10,5)))+IFERROR(VLOOKUP(AN534,Listes!$V$3:$W$5,2,FALSE),0)+IFERROR(VLOOKUP(AO534,Listes!$Y$3:$Z$5,2,FALSE),0))</f>
        <v/>
      </c>
      <c r="R534" s="12" t="n"/>
      <c r="S534" s="12" t="n"/>
      <c r="T534" s="12" t="n"/>
      <c r="U534" s="15" t="n"/>
      <c r="V534" s="15" t="n"/>
      <c r="W534" s="13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3" t="n"/>
      <c r="AK534" s="12" t="n"/>
      <c r="AL534" s="12" t="n"/>
      <c r="AM534" s="12" t="n"/>
      <c r="AN534" s="12" t="n"/>
      <c r="AO534" s="12" t="n"/>
      <c r="AP534" s="12" t="n"/>
      <c r="AQ534" s="7">
        <f>IF(A534="","",IF(AP534&lt;&gt;"",AP534,IF(LEFT(Z534,11)="gads_marque","Google Search – Marque",IF(LEFT(Z534,12)="gads_mariage","Google Search – Mariage et privé",IF(LEFT(Z534,10)="gads_corpo","Google Search – Corporatif",IF(LEFT(Z534,5)="meta_","Meta – Leads",IF(LEFT(Z534,5)="msft_","Microsoft Ads",IF(LEFT(Z534,8)="chatgpt_","ChatGPT Ads – Test",IF(X534="gbp","Fiche Google (organique)","Autre / non payé")))))))))</f>
        <v/>
      </c>
      <c r="AR534" s="7">
        <f>IF(K534="","",IFERROR(VLOOKUP(K534,Listes!$F$3:$H$8,3,FALSE),""))</f>
        <v/>
      </c>
      <c r="AS534" s="7">
        <f>IF(O534="","",IF(AND(M534="Autre (plus de 40 km)",OR(O534="lt600",O534="600_999",O534="1000_2499")),"D",IF(OR(O534="lt600",AND(O534="600_999",K534&lt;&gt;"mariage",K534&lt;&gt;"prive")),"C",IF(OR(O534="2500_4999",O534="5000p",J534="entreprise",J534="organisme",J534="agence"),"A",IF(OR(O534="1000_2499",O534="600_999"),"B",IF(O534="inconnu",IF(OR(N534="75_149",N534="150p"),"A","B"),""))))))</f>
        <v/>
      </c>
      <c r="AT534" s="7">
        <f>IF(A534="","",IF(P534&lt;&gt;"",P534,AS534))</f>
        <v/>
      </c>
      <c r="AU534" s="7">
        <f>IF(A534="","",IF(OR(AT534="A",AT534="B"),1,0))</f>
        <v/>
      </c>
      <c r="AV534" s="7">
        <f>IF(A534="","",IF(OR(R534="Dépôt payé (gagné)",R534="Événement livré",R534="Avis obtenu"),1,0))</f>
        <v/>
      </c>
      <c r="AW534" s="7">
        <f>IF(A534="","",IF(Q534&gt;70,"Immédiat – propriétaire",IF(Q534&gt;=40,"15 min – personne de garde","Selon la route")))</f>
        <v/>
      </c>
      <c r="AX534" s="11">
        <f>IF(A534="","",IF(AT534="A",400,IF(AT534="B",150,0)))</f>
        <v/>
      </c>
      <c r="AY534" s="11">
        <f>IF(A534="","",IF(AV534=1,N(V534),IF(N(U534)&gt;0,ROUND(N(U534)*IFERROR(VLOOKUP(R534,Listes!$AE$3:$AG$12,2,FALSE),0),0),0)))</f>
        <v/>
      </c>
      <c r="AZ534" s="7">
        <f>IF(LEFT(A534,7)="EXEMPLE",1,0)</f>
        <v/>
      </c>
      <c r="BA534" s="7">
        <f>IF(AND(AV534=1,AZ534=0,AC534&lt;&gt;"",W534&lt;&gt;"",N(V534)&gt;0),COUNTIFS($AV$3:AV534,1,$AZ$3:AZ534,0,$AC$3:AC534,"&lt;&gt;",$W$3:W534,"&lt;&gt;",$V$3:V534,"&gt;0"),"")</f>
        <v/>
      </c>
    </row>
    <row r="535">
      <c r="A535" s="12" t="n"/>
      <c r="B535" s="13" t="n"/>
      <c r="C535" s="13" t="n"/>
      <c r="D535" s="7">
        <f>IF(OR(B535="",C535=""),"",ROUND((C535-B535)*1440,0))</f>
        <v/>
      </c>
      <c r="E535" s="12" t="n"/>
      <c r="F535" s="12" t="n"/>
      <c r="G535" s="12" t="n"/>
      <c r="H535" s="12" t="n"/>
      <c r="I535" s="12" t="n"/>
      <c r="J535" s="12" t="n"/>
      <c r="K535" s="12" t="n"/>
      <c r="L535" s="14" t="n"/>
      <c r="M535" s="12" t="n"/>
      <c r="N535" s="12" t="n"/>
      <c r="O535" s="12" t="n"/>
      <c r="P535" s="12" t="n"/>
      <c r="Q535" s="7">
        <f>IF(A535="","",IFERROR(VLOOKUP(O535,Listes!$R$3:$T$8,2,FALSE),0)+IFERROR(VLOOKUP(J535,Listes!$J$3:$L$6,2,FALSE),0)+IFERROR(VLOOKUP(N535,Listes!$N$3:$P$6,2,FALSE),0)+IF(OR(L535="",B535=""),0,IF(L535-INT(B535)&lt;10,8,IF(L535-INT(B535)&lt;=90,10,5)))+IFERROR(VLOOKUP(AN535,Listes!$V$3:$W$5,2,FALSE),0)+IFERROR(VLOOKUP(AO535,Listes!$Y$3:$Z$5,2,FALSE),0))</f>
        <v/>
      </c>
      <c r="R535" s="12" t="n"/>
      <c r="S535" s="12" t="n"/>
      <c r="T535" s="12" t="n"/>
      <c r="U535" s="15" t="n"/>
      <c r="V535" s="15" t="n"/>
      <c r="W535" s="13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3" t="n"/>
      <c r="AK535" s="12" t="n"/>
      <c r="AL535" s="12" t="n"/>
      <c r="AM535" s="12" t="n"/>
      <c r="AN535" s="12" t="n"/>
      <c r="AO535" s="12" t="n"/>
      <c r="AP535" s="12" t="n"/>
      <c r="AQ535" s="7">
        <f>IF(A535="","",IF(AP535&lt;&gt;"",AP535,IF(LEFT(Z535,11)="gads_marque","Google Search – Marque",IF(LEFT(Z535,12)="gads_mariage","Google Search – Mariage et privé",IF(LEFT(Z535,10)="gads_corpo","Google Search – Corporatif",IF(LEFT(Z535,5)="meta_","Meta – Leads",IF(LEFT(Z535,5)="msft_","Microsoft Ads",IF(LEFT(Z535,8)="chatgpt_","ChatGPT Ads – Test",IF(X535="gbp","Fiche Google (organique)","Autre / non payé")))))))))</f>
        <v/>
      </c>
      <c r="AR535" s="7">
        <f>IF(K535="","",IFERROR(VLOOKUP(K535,Listes!$F$3:$H$8,3,FALSE),""))</f>
        <v/>
      </c>
      <c r="AS535" s="7">
        <f>IF(O535="","",IF(AND(M535="Autre (plus de 40 km)",OR(O535="lt600",O535="600_999",O535="1000_2499")),"D",IF(OR(O535="lt600",AND(O535="600_999",K535&lt;&gt;"mariage",K535&lt;&gt;"prive")),"C",IF(OR(O535="2500_4999",O535="5000p",J535="entreprise",J535="organisme",J535="agence"),"A",IF(OR(O535="1000_2499",O535="600_999"),"B",IF(O535="inconnu",IF(OR(N535="75_149",N535="150p"),"A","B"),""))))))</f>
        <v/>
      </c>
      <c r="AT535" s="7">
        <f>IF(A535="","",IF(P535&lt;&gt;"",P535,AS535))</f>
        <v/>
      </c>
      <c r="AU535" s="7">
        <f>IF(A535="","",IF(OR(AT535="A",AT535="B"),1,0))</f>
        <v/>
      </c>
      <c r="AV535" s="7">
        <f>IF(A535="","",IF(OR(R535="Dépôt payé (gagné)",R535="Événement livré",R535="Avis obtenu"),1,0))</f>
        <v/>
      </c>
      <c r="AW535" s="7">
        <f>IF(A535="","",IF(Q535&gt;70,"Immédiat – propriétaire",IF(Q535&gt;=40,"15 min – personne de garde","Selon la route")))</f>
        <v/>
      </c>
      <c r="AX535" s="11">
        <f>IF(A535="","",IF(AT535="A",400,IF(AT535="B",150,0)))</f>
        <v/>
      </c>
      <c r="AY535" s="11">
        <f>IF(A535="","",IF(AV535=1,N(V535),IF(N(U535)&gt;0,ROUND(N(U535)*IFERROR(VLOOKUP(R535,Listes!$AE$3:$AG$12,2,FALSE),0),0),0)))</f>
        <v/>
      </c>
      <c r="AZ535" s="7">
        <f>IF(LEFT(A535,7)="EXEMPLE",1,0)</f>
        <v/>
      </c>
      <c r="BA535" s="7">
        <f>IF(AND(AV535=1,AZ535=0,AC535&lt;&gt;"",W535&lt;&gt;"",N(V535)&gt;0),COUNTIFS($AV$3:AV535,1,$AZ$3:AZ535,0,$AC$3:AC535,"&lt;&gt;",$W$3:W535,"&lt;&gt;",$V$3:V535,"&gt;0"),"")</f>
        <v/>
      </c>
    </row>
    <row r="536">
      <c r="A536" s="12" t="n"/>
      <c r="B536" s="13" t="n"/>
      <c r="C536" s="13" t="n"/>
      <c r="D536" s="7">
        <f>IF(OR(B536="",C536=""),"",ROUND((C536-B536)*1440,0))</f>
        <v/>
      </c>
      <c r="E536" s="12" t="n"/>
      <c r="F536" s="12" t="n"/>
      <c r="G536" s="12" t="n"/>
      <c r="H536" s="12" t="n"/>
      <c r="I536" s="12" t="n"/>
      <c r="J536" s="12" t="n"/>
      <c r="K536" s="12" t="n"/>
      <c r="L536" s="14" t="n"/>
      <c r="M536" s="12" t="n"/>
      <c r="N536" s="12" t="n"/>
      <c r="O536" s="12" t="n"/>
      <c r="P536" s="12" t="n"/>
      <c r="Q536" s="7">
        <f>IF(A536="","",IFERROR(VLOOKUP(O536,Listes!$R$3:$T$8,2,FALSE),0)+IFERROR(VLOOKUP(J536,Listes!$J$3:$L$6,2,FALSE),0)+IFERROR(VLOOKUP(N536,Listes!$N$3:$P$6,2,FALSE),0)+IF(OR(L536="",B536=""),0,IF(L536-INT(B536)&lt;10,8,IF(L536-INT(B536)&lt;=90,10,5)))+IFERROR(VLOOKUP(AN536,Listes!$V$3:$W$5,2,FALSE),0)+IFERROR(VLOOKUP(AO536,Listes!$Y$3:$Z$5,2,FALSE),0))</f>
        <v/>
      </c>
      <c r="R536" s="12" t="n"/>
      <c r="S536" s="12" t="n"/>
      <c r="T536" s="12" t="n"/>
      <c r="U536" s="15" t="n"/>
      <c r="V536" s="15" t="n"/>
      <c r="W536" s="13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3" t="n"/>
      <c r="AK536" s="12" t="n"/>
      <c r="AL536" s="12" t="n"/>
      <c r="AM536" s="12" t="n"/>
      <c r="AN536" s="12" t="n"/>
      <c r="AO536" s="12" t="n"/>
      <c r="AP536" s="12" t="n"/>
      <c r="AQ536" s="7">
        <f>IF(A536="","",IF(AP536&lt;&gt;"",AP536,IF(LEFT(Z536,11)="gads_marque","Google Search – Marque",IF(LEFT(Z536,12)="gads_mariage","Google Search – Mariage et privé",IF(LEFT(Z536,10)="gads_corpo","Google Search – Corporatif",IF(LEFT(Z536,5)="meta_","Meta – Leads",IF(LEFT(Z536,5)="msft_","Microsoft Ads",IF(LEFT(Z536,8)="chatgpt_","ChatGPT Ads – Test",IF(X536="gbp","Fiche Google (organique)","Autre / non payé")))))))))</f>
        <v/>
      </c>
      <c r="AR536" s="7">
        <f>IF(K536="","",IFERROR(VLOOKUP(K536,Listes!$F$3:$H$8,3,FALSE),""))</f>
        <v/>
      </c>
      <c r="AS536" s="7">
        <f>IF(O536="","",IF(AND(M536="Autre (plus de 40 km)",OR(O536="lt600",O536="600_999",O536="1000_2499")),"D",IF(OR(O536="lt600",AND(O536="600_999",K536&lt;&gt;"mariage",K536&lt;&gt;"prive")),"C",IF(OR(O536="2500_4999",O536="5000p",J536="entreprise",J536="organisme",J536="agence"),"A",IF(OR(O536="1000_2499",O536="600_999"),"B",IF(O536="inconnu",IF(OR(N536="75_149",N536="150p"),"A","B"),""))))))</f>
        <v/>
      </c>
      <c r="AT536" s="7">
        <f>IF(A536="","",IF(P536&lt;&gt;"",P536,AS536))</f>
        <v/>
      </c>
      <c r="AU536" s="7">
        <f>IF(A536="","",IF(OR(AT536="A",AT536="B"),1,0))</f>
        <v/>
      </c>
      <c r="AV536" s="7">
        <f>IF(A536="","",IF(OR(R536="Dépôt payé (gagné)",R536="Événement livré",R536="Avis obtenu"),1,0))</f>
        <v/>
      </c>
      <c r="AW536" s="7">
        <f>IF(A536="","",IF(Q536&gt;70,"Immédiat – propriétaire",IF(Q536&gt;=40,"15 min – personne de garde","Selon la route")))</f>
        <v/>
      </c>
      <c r="AX536" s="11">
        <f>IF(A536="","",IF(AT536="A",400,IF(AT536="B",150,0)))</f>
        <v/>
      </c>
      <c r="AY536" s="11">
        <f>IF(A536="","",IF(AV536=1,N(V536),IF(N(U536)&gt;0,ROUND(N(U536)*IFERROR(VLOOKUP(R536,Listes!$AE$3:$AG$12,2,FALSE),0),0),0)))</f>
        <v/>
      </c>
      <c r="AZ536" s="7">
        <f>IF(LEFT(A536,7)="EXEMPLE",1,0)</f>
        <v/>
      </c>
      <c r="BA536" s="7">
        <f>IF(AND(AV536=1,AZ536=0,AC536&lt;&gt;"",W536&lt;&gt;"",N(V536)&gt;0),COUNTIFS($AV$3:AV536,1,$AZ$3:AZ536,0,$AC$3:AC536,"&lt;&gt;",$W$3:W536,"&lt;&gt;",$V$3:V536,"&gt;0"),"")</f>
        <v/>
      </c>
    </row>
    <row r="537">
      <c r="A537" s="12" t="n"/>
      <c r="B537" s="13" t="n"/>
      <c r="C537" s="13" t="n"/>
      <c r="D537" s="7">
        <f>IF(OR(B537="",C537=""),"",ROUND((C537-B537)*1440,0))</f>
        <v/>
      </c>
      <c r="E537" s="12" t="n"/>
      <c r="F537" s="12" t="n"/>
      <c r="G537" s="12" t="n"/>
      <c r="H537" s="12" t="n"/>
      <c r="I537" s="12" t="n"/>
      <c r="J537" s="12" t="n"/>
      <c r="K537" s="12" t="n"/>
      <c r="L537" s="14" t="n"/>
      <c r="M537" s="12" t="n"/>
      <c r="N537" s="12" t="n"/>
      <c r="O537" s="12" t="n"/>
      <c r="P537" s="12" t="n"/>
      <c r="Q537" s="7">
        <f>IF(A537="","",IFERROR(VLOOKUP(O537,Listes!$R$3:$T$8,2,FALSE),0)+IFERROR(VLOOKUP(J537,Listes!$J$3:$L$6,2,FALSE),0)+IFERROR(VLOOKUP(N537,Listes!$N$3:$P$6,2,FALSE),0)+IF(OR(L537="",B537=""),0,IF(L537-INT(B537)&lt;10,8,IF(L537-INT(B537)&lt;=90,10,5)))+IFERROR(VLOOKUP(AN537,Listes!$V$3:$W$5,2,FALSE),0)+IFERROR(VLOOKUP(AO537,Listes!$Y$3:$Z$5,2,FALSE),0))</f>
        <v/>
      </c>
      <c r="R537" s="12" t="n"/>
      <c r="S537" s="12" t="n"/>
      <c r="T537" s="12" t="n"/>
      <c r="U537" s="15" t="n"/>
      <c r="V537" s="15" t="n"/>
      <c r="W537" s="13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3" t="n"/>
      <c r="AK537" s="12" t="n"/>
      <c r="AL537" s="12" t="n"/>
      <c r="AM537" s="12" t="n"/>
      <c r="AN537" s="12" t="n"/>
      <c r="AO537" s="12" t="n"/>
      <c r="AP537" s="12" t="n"/>
      <c r="AQ537" s="7">
        <f>IF(A537="","",IF(AP537&lt;&gt;"",AP537,IF(LEFT(Z537,11)="gads_marque","Google Search – Marque",IF(LEFT(Z537,12)="gads_mariage","Google Search – Mariage et privé",IF(LEFT(Z537,10)="gads_corpo","Google Search – Corporatif",IF(LEFT(Z537,5)="meta_","Meta – Leads",IF(LEFT(Z537,5)="msft_","Microsoft Ads",IF(LEFT(Z537,8)="chatgpt_","ChatGPT Ads – Test",IF(X537="gbp","Fiche Google (organique)","Autre / non payé")))))))))</f>
        <v/>
      </c>
      <c r="AR537" s="7">
        <f>IF(K537="","",IFERROR(VLOOKUP(K537,Listes!$F$3:$H$8,3,FALSE),""))</f>
        <v/>
      </c>
      <c r="AS537" s="7">
        <f>IF(O537="","",IF(AND(M537="Autre (plus de 40 km)",OR(O537="lt600",O537="600_999",O537="1000_2499")),"D",IF(OR(O537="lt600",AND(O537="600_999",K537&lt;&gt;"mariage",K537&lt;&gt;"prive")),"C",IF(OR(O537="2500_4999",O537="5000p",J537="entreprise",J537="organisme",J537="agence"),"A",IF(OR(O537="1000_2499",O537="600_999"),"B",IF(O537="inconnu",IF(OR(N537="75_149",N537="150p"),"A","B"),""))))))</f>
        <v/>
      </c>
      <c r="AT537" s="7">
        <f>IF(A537="","",IF(P537&lt;&gt;"",P537,AS537))</f>
        <v/>
      </c>
      <c r="AU537" s="7">
        <f>IF(A537="","",IF(OR(AT537="A",AT537="B"),1,0))</f>
        <v/>
      </c>
      <c r="AV537" s="7">
        <f>IF(A537="","",IF(OR(R537="Dépôt payé (gagné)",R537="Événement livré",R537="Avis obtenu"),1,0))</f>
        <v/>
      </c>
      <c r="AW537" s="7">
        <f>IF(A537="","",IF(Q537&gt;70,"Immédiat – propriétaire",IF(Q537&gt;=40,"15 min – personne de garde","Selon la route")))</f>
        <v/>
      </c>
      <c r="AX537" s="11">
        <f>IF(A537="","",IF(AT537="A",400,IF(AT537="B",150,0)))</f>
        <v/>
      </c>
      <c r="AY537" s="11">
        <f>IF(A537="","",IF(AV537=1,N(V537),IF(N(U537)&gt;0,ROUND(N(U537)*IFERROR(VLOOKUP(R537,Listes!$AE$3:$AG$12,2,FALSE),0),0),0)))</f>
        <v/>
      </c>
      <c r="AZ537" s="7">
        <f>IF(LEFT(A537,7)="EXEMPLE",1,0)</f>
        <v/>
      </c>
      <c r="BA537" s="7">
        <f>IF(AND(AV537=1,AZ537=0,AC537&lt;&gt;"",W537&lt;&gt;"",N(V537)&gt;0),COUNTIFS($AV$3:AV537,1,$AZ$3:AZ537,0,$AC$3:AC537,"&lt;&gt;",$W$3:W537,"&lt;&gt;",$V$3:V537,"&gt;0"),"")</f>
        <v/>
      </c>
    </row>
    <row r="538">
      <c r="A538" s="12" t="n"/>
      <c r="B538" s="13" t="n"/>
      <c r="C538" s="13" t="n"/>
      <c r="D538" s="7">
        <f>IF(OR(B538="",C538=""),"",ROUND((C538-B538)*1440,0))</f>
        <v/>
      </c>
      <c r="E538" s="12" t="n"/>
      <c r="F538" s="12" t="n"/>
      <c r="G538" s="12" t="n"/>
      <c r="H538" s="12" t="n"/>
      <c r="I538" s="12" t="n"/>
      <c r="J538" s="12" t="n"/>
      <c r="K538" s="12" t="n"/>
      <c r="L538" s="14" t="n"/>
      <c r="M538" s="12" t="n"/>
      <c r="N538" s="12" t="n"/>
      <c r="O538" s="12" t="n"/>
      <c r="P538" s="12" t="n"/>
      <c r="Q538" s="7">
        <f>IF(A538="","",IFERROR(VLOOKUP(O538,Listes!$R$3:$T$8,2,FALSE),0)+IFERROR(VLOOKUP(J538,Listes!$J$3:$L$6,2,FALSE),0)+IFERROR(VLOOKUP(N538,Listes!$N$3:$P$6,2,FALSE),0)+IF(OR(L538="",B538=""),0,IF(L538-INT(B538)&lt;10,8,IF(L538-INT(B538)&lt;=90,10,5)))+IFERROR(VLOOKUP(AN538,Listes!$V$3:$W$5,2,FALSE),0)+IFERROR(VLOOKUP(AO538,Listes!$Y$3:$Z$5,2,FALSE),0))</f>
        <v/>
      </c>
      <c r="R538" s="12" t="n"/>
      <c r="S538" s="12" t="n"/>
      <c r="T538" s="12" t="n"/>
      <c r="U538" s="15" t="n"/>
      <c r="V538" s="15" t="n"/>
      <c r="W538" s="13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3" t="n"/>
      <c r="AK538" s="12" t="n"/>
      <c r="AL538" s="12" t="n"/>
      <c r="AM538" s="12" t="n"/>
      <c r="AN538" s="12" t="n"/>
      <c r="AO538" s="12" t="n"/>
      <c r="AP538" s="12" t="n"/>
      <c r="AQ538" s="7">
        <f>IF(A538="","",IF(AP538&lt;&gt;"",AP538,IF(LEFT(Z538,11)="gads_marque","Google Search – Marque",IF(LEFT(Z538,12)="gads_mariage","Google Search – Mariage et privé",IF(LEFT(Z538,10)="gads_corpo","Google Search – Corporatif",IF(LEFT(Z538,5)="meta_","Meta – Leads",IF(LEFT(Z538,5)="msft_","Microsoft Ads",IF(LEFT(Z538,8)="chatgpt_","ChatGPT Ads – Test",IF(X538="gbp","Fiche Google (organique)","Autre / non payé")))))))))</f>
        <v/>
      </c>
      <c r="AR538" s="7">
        <f>IF(K538="","",IFERROR(VLOOKUP(K538,Listes!$F$3:$H$8,3,FALSE),""))</f>
        <v/>
      </c>
      <c r="AS538" s="7">
        <f>IF(O538="","",IF(AND(M538="Autre (plus de 40 km)",OR(O538="lt600",O538="600_999",O538="1000_2499")),"D",IF(OR(O538="lt600",AND(O538="600_999",K538&lt;&gt;"mariage",K538&lt;&gt;"prive")),"C",IF(OR(O538="2500_4999",O538="5000p",J538="entreprise",J538="organisme",J538="agence"),"A",IF(OR(O538="1000_2499",O538="600_999"),"B",IF(O538="inconnu",IF(OR(N538="75_149",N538="150p"),"A","B"),""))))))</f>
        <v/>
      </c>
      <c r="AT538" s="7">
        <f>IF(A538="","",IF(P538&lt;&gt;"",P538,AS538))</f>
        <v/>
      </c>
      <c r="AU538" s="7">
        <f>IF(A538="","",IF(OR(AT538="A",AT538="B"),1,0))</f>
        <v/>
      </c>
      <c r="AV538" s="7">
        <f>IF(A538="","",IF(OR(R538="Dépôt payé (gagné)",R538="Événement livré",R538="Avis obtenu"),1,0))</f>
        <v/>
      </c>
      <c r="AW538" s="7">
        <f>IF(A538="","",IF(Q538&gt;70,"Immédiat – propriétaire",IF(Q538&gt;=40,"15 min – personne de garde","Selon la route")))</f>
        <v/>
      </c>
      <c r="AX538" s="11">
        <f>IF(A538="","",IF(AT538="A",400,IF(AT538="B",150,0)))</f>
        <v/>
      </c>
      <c r="AY538" s="11">
        <f>IF(A538="","",IF(AV538=1,N(V538),IF(N(U538)&gt;0,ROUND(N(U538)*IFERROR(VLOOKUP(R538,Listes!$AE$3:$AG$12,2,FALSE),0),0),0)))</f>
        <v/>
      </c>
      <c r="AZ538" s="7">
        <f>IF(LEFT(A538,7)="EXEMPLE",1,0)</f>
        <v/>
      </c>
      <c r="BA538" s="7">
        <f>IF(AND(AV538=1,AZ538=0,AC538&lt;&gt;"",W538&lt;&gt;"",N(V538)&gt;0),COUNTIFS($AV$3:AV538,1,$AZ$3:AZ538,0,$AC$3:AC538,"&lt;&gt;",$W$3:W538,"&lt;&gt;",$V$3:V538,"&gt;0"),"")</f>
        <v/>
      </c>
    </row>
    <row r="539">
      <c r="A539" s="12" t="n"/>
      <c r="B539" s="13" t="n"/>
      <c r="C539" s="13" t="n"/>
      <c r="D539" s="7">
        <f>IF(OR(B539="",C539=""),"",ROUND((C539-B539)*1440,0))</f>
        <v/>
      </c>
      <c r="E539" s="12" t="n"/>
      <c r="F539" s="12" t="n"/>
      <c r="G539" s="12" t="n"/>
      <c r="H539" s="12" t="n"/>
      <c r="I539" s="12" t="n"/>
      <c r="J539" s="12" t="n"/>
      <c r="K539" s="12" t="n"/>
      <c r="L539" s="14" t="n"/>
      <c r="M539" s="12" t="n"/>
      <c r="N539" s="12" t="n"/>
      <c r="O539" s="12" t="n"/>
      <c r="P539" s="12" t="n"/>
      <c r="Q539" s="7">
        <f>IF(A539="","",IFERROR(VLOOKUP(O539,Listes!$R$3:$T$8,2,FALSE),0)+IFERROR(VLOOKUP(J539,Listes!$J$3:$L$6,2,FALSE),0)+IFERROR(VLOOKUP(N539,Listes!$N$3:$P$6,2,FALSE),0)+IF(OR(L539="",B539=""),0,IF(L539-INT(B539)&lt;10,8,IF(L539-INT(B539)&lt;=90,10,5)))+IFERROR(VLOOKUP(AN539,Listes!$V$3:$W$5,2,FALSE),0)+IFERROR(VLOOKUP(AO539,Listes!$Y$3:$Z$5,2,FALSE),0))</f>
        <v/>
      </c>
      <c r="R539" s="12" t="n"/>
      <c r="S539" s="12" t="n"/>
      <c r="T539" s="12" t="n"/>
      <c r="U539" s="15" t="n"/>
      <c r="V539" s="15" t="n"/>
      <c r="W539" s="13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3" t="n"/>
      <c r="AK539" s="12" t="n"/>
      <c r="AL539" s="12" t="n"/>
      <c r="AM539" s="12" t="n"/>
      <c r="AN539" s="12" t="n"/>
      <c r="AO539" s="12" t="n"/>
      <c r="AP539" s="12" t="n"/>
      <c r="AQ539" s="7">
        <f>IF(A539="","",IF(AP539&lt;&gt;"",AP539,IF(LEFT(Z539,11)="gads_marque","Google Search – Marque",IF(LEFT(Z539,12)="gads_mariage","Google Search – Mariage et privé",IF(LEFT(Z539,10)="gads_corpo","Google Search – Corporatif",IF(LEFT(Z539,5)="meta_","Meta – Leads",IF(LEFT(Z539,5)="msft_","Microsoft Ads",IF(LEFT(Z539,8)="chatgpt_","ChatGPT Ads – Test",IF(X539="gbp","Fiche Google (organique)","Autre / non payé")))))))))</f>
        <v/>
      </c>
      <c r="AR539" s="7">
        <f>IF(K539="","",IFERROR(VLOOKUP(K539,Listes!$F$3:$H$8,3,FALSE),""))</f>
        <v/>
      </c>
      <c r="AS539" s="7">
        <f>IF(O539="","",IF(AND(M539="Autre (plus de 40 km)",OR(O539="lt600",O539="600_999",O539="1000_2499")),"D",IF(OR(O539="lt600",AND(O539="600_999",K539&lt;&gt;"mariage",K539&lt;&gt;"prive")),"C",IF(OR(O539="2500_4999",O539="5000p",J539="entreprise",J539="organisme",J539="agence"),"A",IF(OR(O539="1000_2499",O539="600_999"),"B",IF(O539="inconnu",IF(OR(N539="75_149",N539="150p"),"A","B"),""))))))</f>
        <v/>
      </c>
      <c r="AT539" s="7">
        <f>IF(A539="","",IF(P539&lt;&gt;"",P539,AS539))</f>
        <v/>
      </c>
      <c r="AU539" s="7">
        <f>IF(A539="","",IF(OR(AT539="A",AT539="B"),1,0))</f>
        <v/>
      </c>
      <c r="AV539" s="7">
        <f>IF(A539="","",IF(OR(R539="Dépôt payé (gagné)",R539="Événement livré",R539="Avis obtenu"),1,0))</f>
        <v/>
      </c>
      <c r="AW539" s="7">
        <f>IF(A539="","",IF(Q539&gt;70,"Immédiat – propriétaire",IF(Q539&gt;=40,"15 min – personne de garde","Selon la route")))</f>
        <v/>
      </c>
      <c r="AX539" s="11">
        <f>IF(A539="","",IF(AT539="A",400,IF(AT539="B",150,0)))</f>
        <v/>
      </c>
      <c r="AY539" s="11">
        <f>IF(A539="","",IF(AV539=1,N(V539),IF(N(U539)&gt;0,ROUND(N(U539)*IFERROR(VLOOKUP(R539,Listes!$AE$3:$AG$12,2,FALSE),0),0),0)))</f>
        <v/>
      </c>
      <c r="AZ539" s="7">
        <f>IF(LEFT(A539,7)="EXEMPLE",1,0)</f>
        <v/>
      </c>
      <c r="BA539" s="7">
        <f>IF(AND(AV539=1,AZ539=0,AC539&lt;&gt;"",W539&lt;&gt;"",N(V539)&gt;0),COUNTIFS($AV$3:AV539,1,$AZ$3:AZ539,0,$AC$3:AC539,"&lt;&gt;",$W$3:W539,"&lt;&gt;",$V$3:V539,"&gt;0"),"")</f>
        <v/>
      </c>
    </row>
    <row r="540">
      <c r="A540" s="12" t="n"/>
      <c r="B540" s="13" t="n"/>
      <c r="C540" s="13" t="n"/>
      <c r="D540" s="7">
        <f>IF(OR(B540="",C540=""),"",ROUND((C540-B540)*1440,0))</f>
        <v/>
      </c>
      <c r="E540" s="12" t="n"/>
      <c r="F540" s="12" t="n"/>
      <c r="G540" s="12" t="n"/>
      <c r="H540" s="12" t="n"/>
      <c r="I540" s="12" t="n"/>
      <c r="J540" s="12" t="n"/>
      <c r="K540" s="12" t="n"/>
      <c r="L540" s="14" t="n"/>
      <c r="M540" s="12" t="n"/>
      <c r="N540" s="12" t="n"/>
      <c r="O540" s="12" t="n"/>
      <c r="P540" s="12" t="n"/>
      <c r="Q540" s="7">
        <f>IF(A540="","",IFERROR(VLOOKUP(O540,Listes!$R$3:$T$8,2,FALSE),0)+IFERROR(VLOOKUP(J540,Listes!$J$3:$L$6,2,FALSE),0)+IFERROR(VLOOKUP(N540,Listes!$N$3:$P$6,2,FALSE),0)+IF(OR(L540="",B540=""),0,IF(L540-INT(B540)&lt;10,8,IF(L540-INT(B540)&lt;=90,10,5)))+IFERROR(VLOOKUP(AN540,Listes!$V$3:$W$5,2,FALSE),0)+IFERROR(VLOOKUP(AO540,Listes!$Y$3:$Z$5,2,FALSE),0))</f>
        <v/>
      </c>
      <c r="R540" s="12" t="n"/>
      <c r="S540" s="12" t="n"/>
      <c r="T540" s="12" t="n"/>
      <c r="U540" s="15" t="n"/>
      <c r="V540" s="15" t="n"/>
      <c r="W540" s="13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3" t="n"/>
      <c r="AK540" s="12" t="n"/>
      <c r="AL540" s="12" t="n"/>
      <c r="AM540" s="12" t="n"/>
      <c r="AN540" s="12" t="n"/>
      <c r="AO540" s="12" t="n"/>
      <c r="AP540" s="12" t="n"/>
      <c r="AQ540" s="7">
        <f>IF(A540="","",IF(AP540&lt;&gt;"",AP540,IF(LEFT(Z540,11)="gads_marque","Google Search – Marque",IF(LEFT(Z540,12)="gads_mariage","Google Search – Mariage et privé",IF(LEFT(Z540,10)="gads_corpo","Google Search – Corporatif",IF(LEFT(Z540,5)="meta_","Meta – Leads",IF(LEFT(Z540,5)="msft_","Microsoft Ads",IF(LEFT(Z540,8)="chatgpt_","ChatGPT Ads – Test",IF(X540="gbp","Fiche Google (organique)","Autre / non payé")))))))))</f>
        <v/>
      </c>
      <c r="AR540" s="7">
        <f>IF(K540="","",IFERROR(VLOOKUP(K540,Listes!$F$3:$H$8,3,FALSE),""))</f>
        <v/>
      </c>
      <c r="AS540" s="7">
        <f>IF(O540="","",IF(AND(M540="Autre (plus de 40 km)",OR(O540="lt600",O540="600_999",O540="1000_2499")),"D",IF(OR(O540="lt600",AND(O540="600_999",K540&lt;&gt;"mariage",K540&lt;&gt;"prive")),"C",IF(OR(O540="2500_4999",O540="5000p",J540="entreprise",J540="organisme",J540="agence"),"A",IF(OR(O540="1000_2499",O540="600_999"),"B",IF(O540="inconnu",IF(OR(N540="75_149",N540="150p"),"A","B"),""))))))</f>
        <v/>
      </c>
      <c r="AT540" s="7">
        <f>IF(A540="","",IF(P540&lt;&gt;"",P540,AS540))</f>
        <v/>
      </c>
      <c r="AU540" s="7">
        <f>IF(A540="","",IF(OR(AT540="A",AT540="B"),1,0))</f>
        <v/>
      </c>
      <c r="AV540" s="7">
        <f>IF(A540="","",IF(OR(R540="Dépôt payé (gagné)",R540="Événement livré",R540="Avis obtenu"),1,0))</f>
        <v/>
      </c>
      <c r="AW540" s="7">
        <f>IF(A540="","",IF(Q540&gt;70,"Immédiat – propriétaire",IF(Q540&gt;=40,"15 min – personne de garde","Selon la route")))</f>
        <v/>
      </c>
      <c r="AX540" s="11">
        <f>IF(A540="","",IF(AT540="A",400,IF(AT540="B",150,0)))</f>
        <v/>
      </c>
      <c r="AY540" s="11">
        <f>IF(A540="","",IF(AV540=1,N(V540),IF(N(U540)&gt;0,ROUND(N(U540)*IFERROR(VLOOKUP(R540,Listes!$AE$3:$AG$12,2,FALSE),0),0),0)))</f>
        <v/>
      </c>
      <c r="AZ540" s="7">
        <f>IF(LEFT(A540,7)="EXEMPLE",1,0)</f>
        <v/>
      </c>
      <c r="BA540" s="7">
        <f>IF(AND(AV540=1,AZ540=0,AC540&lt;&gt;"",W540&lt;&gt;"",N(V540)&gt;0),COUNTIFS($AV$3:AV540,1,$AZ$3:AZ540,0,$AC$3:AC540,"&lt;&gt;",$W$3:W540,"&lt;&gt;",$V$3:V540,"&gt;0"),"")</f>
        <v/>
      </c>
    </row>
    <row r="541">
      <c r="A541" s="12" t="n"/>
      <c r="B541" s="13" t="n"/>
      <c r="C541" s="13" t="n"/>
      <c r="D541" s="7">
        <f>IF(OR(B541="",C541=""),"",ROUND((C541-B541)*1440,0))</f>
        <v/>
      </c>
      <c r="E541" s="12" t="n"/>
      <c r="F541" s="12" t="n"/>
      <c r="G541" s="12" t="n"/>
      <c r="H541" s="12" t="n"/>
      <c r="I541" s="12" t="n"/>
      <c r="J541" s="12" t="n"/>
      <c r="K541" s="12" t="n"/>
      <c r="L541" s="14" t="n"/>
      <c r="M541" s="12" t="n"/>
      <c r="N541" s="12" t="n"/>
      <c r="O541" s="12" t="n"/>
      <c r="P541" s="12" t="n"/>
      <c r="Q541" s="7">
        <f>IF(A541="","",IFERROR(VLOOKUP(O541,Listes!$R$3:$T$8,2,FALSE),0)+IFERROR(VLOOKUP(J541,Listes!$J$3:$L$6,2,FALSE),0)+IFERROR(VLOOKUP(N541,Listes!$N$3:$P$6,2,FALSE),0)+IF(OR(L541="",B541=""),0,IF(L541-INT(B541)&lt;10,8,IF(L541-INT(B541)&lt;=90,10,5)))+IFERROR(VLOOKUP(AN541,Listes!$V$3:$W$5,2,FALSE),0)+IFERROR(VLOOKUP(AO541,Listes!$Y$3:$Z$5,2,FALSE),0))</f>
        <v/>
      </c>
      <c r="R541" s="12" t="n"/>
      <c r="S541" s="12" t="n"/>
      <c r="T541" s="12" t="n"/>
      <c r="U541" s="15" t="n"/>
      <c r="V541" s="15" t="n"/>
      <c r="W541" s="13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3" t="n"/>
      <c r="AK541" s="12" t="n"/>
      <c r="AL541" s="12" t="n"/>
      <c r="AM541" s="12" t="n"/>
      <c r="AN541" s="12" t="n"/>
      <c r="AO541" s="12" t="n"/>
      <c r="AP541" s="12" t="n"/>
      <c r="AQ541" s="7">
        <f>IF(A541="","",IF(AP541&lt;&gt;"",AP541,IF(LEFT(Z541,11)="gads_marque","Google Search – Marque",IF(LEFT(Z541,12)="gads_mariage","Google Search – Mariage et privé",IF(LEFT(Z541,10)="gads_corpo","Google Search – Corporatif",IF(LEFT(Z541,5)="meta_","Meta – Leads",IF(LEFT(Z541,5)="msft_","Microsoft Ads",IF(LEFT(Z541,8)="chatgpt_","ChatGPT Ads – Test",IF(X541="gbp","Fiche Google (organique)","Autre / non payé")))))))))</f>
        <v/>
      </c>
      <c r="AR541" s="7">
        <f>IF(K541="","",IFERROR(VLOOKUP(K541,Listes!$F$3:$H$8,3,FALSE),""))</f>
        <v/>
      </c>
      <c r="AS541" s="7">
        <f>IF(O541="","",IF(AND(M541="Autre (plus de 40 km)",OR(O541="lt600",O541="600_999",O541="1000_2499")),"D",IF(OR(O541="lt600",AND(O541="600_999",K541&lt;&gt;"mariage",K541&lt;&gt;"prive")),"C",IF(OR(O541="2500_4999",O541="5000p",J541="entreprise",J541="organisme",J541="agence"),"A",IF(OR(O541="1000_2499",O541="600_999"),"B",IF(O541="inconnu",IF(OR(N541="75_149",N541="150p"),"A","B"),""))))))</f>
        <v/>
      </c>
      <c r="AT541" s="7">
        <f>IF(A541="","",IF(P541&lt;&gt;"",P541,AS541))</f>
        <v/>
      </c>
      <c r="AU541" s="7">
        <f>IF(A541="","",IF(OR(AT541="A",AT541="B"),1,0))</f>
        <v/>
      </c>
      <c r="AV541" s="7">
        <f>IF(A541="","",IF(OR(R541="Dépôt payé (gagné)",R541="Événement livré",R541="Avis obtenu"),1,0))</f>
        <v/>
      </c>
      <c r="AW541" s="7">
        <f>IF(A541="","",IF(Q541&gt;70,"Immédiat – propriétaire",IF(Q541&gt;=40,"15 min – personne de garde","Selon la route")))</f>
        <v/>
      </c>
      <c r="AX541" s="11">
        <f>IF(A541="","",IF(AT541="A",400,IF(AT541="B",150,0)))</f>
        <v/>
      </c>
      <c r="AY541" s="11">
        <f>IF(A541="","",IF(AV541=1,N(V541),IF(N(U541)&gt;0,ROUND(N(U541)*IFERROR(VLOOKUP(R541,Listes!$AE$3:$AG$12,2,FALSE),0),0),0)))</f>
        <v/>
      </c>
      <c r="AZ541" s="7">
        <f>IF(LEFT(A541,7)="EXEMPLE",1,0)</f>
        <v/>
      </c>
      <c r="BA541" s="7">
        <f>IF(AND(AV541=1,AZ541=0,AC541&lt;&gt;"",W541&lt;&gt;"",N(V541)&gt;0),COUNTIFS($AV$3:AV541,1,$AZ$3:AZ541,0,$AC$3:AC541,"&lt;&gt;",$W$3:W541,"&lt;&gt;",$V$3:V541,"&gt;0"),"")</f>
        <v/>
      </c>
    </row>
    <row r="542">
      <c r="A542" s="12" t="n"/>
      <c r="B542" s="13" t="n"/>
      <c r="C542" s="13" t="n"/>
      <c r="D542" s="7">
        <f>IF(OR(B542="",C542=""),"",ROUND((C542-B542)*1440,0))</f>
        <v/>
      </c>
      <c r="E542" s="12" t="n"/>
      <c r="F542" s="12" t="n"/>
      <c r="G542" s="12" t="n"/>
      <c r="H542" s="12" t="n"/>
      <c r="I542" s="12" t="n"/>
      <c r="J542" s="12" t="n"/>
      <c r="K542" s="12" t="n"/>
      <c r="L542" s="14" t="n"/>
      <c r="M542" s="12" t="n"/>
      <c r="N542" s="12" t="n"/>
      <c r="O542" s="12" t="n"/>
      <c r="P542" s="12" t="n"/>
      <c r="Q542" s="7">
        <f>IF(A542="","",IFERROR(VLOOKUP(O542,Listes!$R$3:$T$8,2,FALSE),0)+IFERROR(VLOOKUP(J542,Listes!$J$3:$L$6,2,FALSE),0)+IFERROR(VLOOKUP(N542,Listes!$N$3:$P$6,2,FALSE),0)+IF(OR(L542="",B542=""),0,IF(L542-INT(B542)&lt;10,8,IF(L542-INT(B542)&lt;=90,10,5)))+IFERROR(VLOOKUP(AN542,Listes!$V$3:$W$5,2,FALSE),0)+IFERROR(VLOOKUP(AO542,Listes!$Y$3:$Z$5,2,FALSE),0))</f>
        <v/>
      </c>
      <c r="R542" s="12" t="n"/>
      <c r="S542" s="12" t="n"/>
      <c r="T542" s="12" t="n"/>
      <c r="U542" s="15" t="n"/>
      <c r="V542" s="15" t="n"/>
      <c r="W542" s="13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3" t="n"/>
      <c r="AK542" s="12" t="n"/>
      <c r="AL542" s="12" t="n"/>
      <c r="AM542" s="12" t="n"/>
      <c r="AN542" s="12" t="n"/>
      <c r="AO542" s="12" t="n"/>
      <c r="AP542" s="12" t="n"/>
      <c r="AQ542" s="7">
        <f>IF(A542="","",IF(AP542&lt;&gt;"",AP542,IF(LEFT(Z542,11)="gads_marque","Google Search – Marque",IF(LEFT(Z542,12)="gads_mariage","Google Search – Mariage et privé",IF(LEFT(Z542,10)="gads_corpo","Google Search – Corporatif",IF(LEFT(Z542,5)="meta_","Meta – Leads",IF(LEFT(Z542,5)="msft_","Microsoft Ads",IF(LEFT(Z542,8)="chatgpt_","ChatGPT Ads – Test",IF(X542="gbp","Fiche Google (organique)","Autre / non payé")))))))))</f>
        <v/>
      </c>
      <c r="AR542" s="7">
        <f>IF(K542="","",IFERROR(VLOOKUP(K542,Listes!$F$3:$H$8,3,FALSE),""))</f>
        <v/>
      </c>
      <c r="AS542" s="7">
        <f>IF(O542="","",IF(AND(M542="Autre (plus de 40 km)",OR(O542="lt600",O542="600_999",O542="1000_2499")),"D",IF(OR(O542="lt600",AND(O542="600_999",K542&lt;&gt;"mariage",K542&lt;&gt;"prive")),"C",IF(OR(O542="2500_4999",O542="5000p",J542="entreprise",J542="organisme",J542="agence"),"A",IF(OR(O542="1000_2499",O542="600_999"),"B",IF(O542="inconnu",IF(OR(N542="75_149",N542="150p"),"A","B"),""))))))</f>
        <v/>
      </c>
      <c r="AT542" s="7">
        <f>IF(A542="","",IF(P542&lt;&gt;"",P542,AS542))</f>
        <v/>
      </c>
      <c r="AU542" s="7">
        <f>IF(A542="","",IF(OR(AT542="A",AT542="B"),1,0))</f>
        <v/>
      </c>
      <c r="AV542" s="7">
        <f>IF(A542="","",IF(OR(R542="Dépôt payé (gagné)",R542="Événement livré",R542="Avis obtenu"),1,0))</f>
        <v/>
      </c>
      <c r="AW542" s="7">
        <f>IF(A542="","",IF(Q542&gt;70,"Immédiat – propriétaire",IF(Q542&gt;=40,"15 min – personne de garde","Selon la route")))</f>
        <v/>
      </c>
      <c r="AX542" s="11">
        <f>IF(A542="","",IF(AT542="A",400,IF(AT542="B",150,0)))</f>
        <v/>
      </c>
      <c r="AY542" s="11">
        <f>IF(A542="","",IF(AV542=1,N(V542),IF(N(U542)&gt;0,ROUND(N(U542)*IFERROR(VLOOKUP(R542,Listes!$AE$3:$AG$12,2,FALSE),0),0),0)))</f>
        <v/>
      </c>
      <c r="AZ542" s="7">
        <f>IF(LEFT(A542,7)="EXEMPLE",1,0)</f>
        <v/>
      </c>
      <c r="BA542" s="7">
        <f>IF(AND(AV542=1,AZ542=0,AC542&lt;&gt;"",W542&lt;&gt;"",N(V542)&gt;0),COUNTIFS($AV$3:AV542,1,$AZ$3:AZ542,0,$AC$3:AC542,"&lt;&gt;",$W$3:W542,"&lt;&gt;",$V$3:V542,"&gt;0"),"")</f>
        <v/>
      </c>
    </row>
    <row r="543">
      <c r="A543" s="12" t="n"/>
      <c r="B543" s="13" t="n"/>
      <c r="C543" s="13" t="n"/>
      <c r="D543" s="7">
        <f>IF(OR(B543="",C543=""),"",ROUND((C543-B543)*1440,0))</f>
        <v/>
      </c>
      <c r="E543" s="12" t="n"/>
      <c r="F543" s="12" t="n"/>
      <c r="G543" s="12" t="n"/>
      <c r="H543" s="12" t="n"/>
      <c r="I543" s="12" t="n"/>
      <c r="J543" s="12" t="n"/>
      <c r="K543" s="12" t="n"/>
      <c r="L543" s="14" t="n"/>
      <c r="M543" s="12" t="n"/>
      <c r="N543" s="12" t="n"/>
      <c r="O543" s="12" t="n"/>
      <c r="P543" s="12" t="n"/>
      <c r="Q543" s="7">
        <f>IF(A543="","",IFERROR(VLOOKUP(O543,Listes!$R$3:$T$8,2,FALSE),0)+IFERROR(VLOOKUP(J543,Listes!$J$3:$L$6,2,FALSE),0)+IFERROR(VLOOKUP(N543,Listes!$N$3:$P$6,2,FALSE),0)+IF(OR(L543="",B543=""),0,IF(L543-INT(B543)&lt;10,8,IF(L543-INT(B543)&lt;=90,10,5)))+IFERROR(VLOOKUP(AN543,Listes!$V$3:$W$5,2,FALSE),0)+IFERROR(VLOOKUP(AO543,Listes!$Y$3:$Z$5,2,FALSE),0))</f>
        <v/>
      </c>
      <c r="R543" s="12" t="n"/>
      <c r="S543" s="12" t="n"/>
      <c r="T543" s="12" t="n"/>
      <c r="U543" s="15" t="n"/>
      <c r="V543" s="15" t="n"/>
      <c r="W543" s="13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3" t="n"/>
      <c r="AK543" s="12" t="n"/>
      <c r="AL543" s="12" t="n"/>
      <c r="AM543" s="12" t="n"/>
      <c r="AN543" s="12" t="n"/>
      <c r="AO543" s="12" t="n"/>
      <c r="AP543" s="12" t="n"/>
      <c r="AQ543" s="7">
        <f>IF(A543="","",IF(AP543&lt;&gt;"",AP543,IF(LEFT(Z543,11)="gads_marque","Google Search – Marque",IF(LEFT(Z543,12)="gads_mariage","Google Search – Mariage et privé",IF(LEFT(Z543,10)="gads_corpo","Google Search – Corporatif",IF(LEFT(Z543,5)="meta_","Meta – Leads",IF(LEFT(Z543,5)="msft_","Microsoft Ads",IF(LEFT(Z543,8)="chatgpt_","ChatGPT Ads – Test",IF(X543="gbp","Fiche Google (organique)","Autre / non payé")))))))))</f>
        <v/>
      </c>
      <c r="AR543" s="7">
        <f>IF(K543="","",IFERROR(VLOOKUP(K543,Listes!$F$3:$H$8,3,FALSE),""))</f>
        <v/>
      </c>
      <c r="AS543" s="7">
        <f>IF(O543="","",IF(AND(M543="Autre (plus de 40 km)",OR(O543="lt600",O543="600_999",O543="1000_2499")),"D",IF(OR(O543="lt600",AND(O543="600_999",K543&lt;&gt;"mariage",K543&lt;&gt;"prive")),"C",IF(OR(O543="2500_4999",O543="5000p",J543="entreprise",J543="organisme",J543="agence"),"A",IF(OR(O543="1000_2499",O543="600_999"),"B",IF(O543="inconnu",IF(OR(N543="75_149",N543="150p"),"A","B"),""))))))</f>
        <v/>
      </c>
      <c r="AT543" s="7">
        <f>IF(A543="","",IF(P543&lt;&gt;"",P543,AS543))</f>
        <v/>
      </c>
      <c r="AU543" s="7">
        <f>IF(A543="","",IF(OR(AT543="A",AT543="B"),1,0))</f>
        <v/>
      </c>
      <c r="AV543" s="7">
        <f>IF(A543="","",IF(OR(R543="Dépôt payé (gagné)",R543="Événement livré",R543="Avis obtenu"),1,0))</f>
        <v/>
      </c>
      <c r="AW543" s="7">
        <f>IF(A543="","",IF(Q543&gt;70,"Immédiat – propriétaire",IF(Q543&gt;=40,"15 min – personne de garde","Selon la route")))</f>
        <v/>
      </c>
      <c r="AX543" s="11">
        <f>IF(A543="","",IF(AT543="A",400,IF(AT543="B",150,0)))</f>
        <v/>
      </c>
      <c r="AY543" s="11">
        <f>IF(A543="","",IF(AV543=1,N(V543),IF(N(U543)&gt;0,ROUND(N(U543)*IFERROR(VLOOKUP(R543,Listes!$AE$3:$AG$12,2,FALSE),0),0),0)))</f>
        <v/>
      </c>
      <c r="AZ543" s="7">
        <f>IF(LEFT(A543,7)="EXEMPLE",1,0)</f>
        <v/>
      </c>
      <c r="BA543" s="7">
        <f>IF(AND(AV543=1,AZ543=0,AC543&lt;&gt;"",W543&lt;&gt;"",N(V543)&gt;0),COUNTIFS($AV$3:AV543,1,$AZ$3:AZ543,0,$AC$3:AC543,"&lt;&gt;",$W$3:W543,"&lt;&gt;",$V$3:V543,"&gt;0"),"")</f>
        <v/>
      </c>
    </row>
    <row r="544">
      <c r="A544" s="12" t="n"/>
      <c r="B544" s="13" t="n"/>
      <c r="C544" s="13" t="n"/>
      <c r="D544" s="7">
        <f>IF(OR(B544="",C544=""),"",ROUND((C544-B544)*1440,0))</f>
        <v/>
      </c>
      <c r="E544" s="12" t="n"/>
      <c r="F544" s="12" t="n"/>
      <c r="G544" s="12" t="n"/>
      <c r="H544" s="12" t="n"/>
      <c r="I544" s="12" t="n"/>
      <c r="J544" s="12" t="n"/>
      <c r="K544" s="12" t="n"/>
      <c r="L544" s="14" t="n"/>
      <c r="M544" s="12" t="n"/>
      <c r="N544" s="12" t="n"/>
      <c r="O544" s="12" t="n"/>
      <c r="P544" s="12" t="n"/>
      <c r="Q544" s="7">
        <f>IF(A544="","",IFERROR(VLOOKUP(O544,Listes!$R$3:$T$8,2,FALSE),0)+IFERROR(VLOOKUP(J544,Listes!$J$3:$L$6,2,FALSE),0)+IFERROR(VLOOKUP(N544,Listes!$N$3:$P$6,2,FALSE),0)+IF(OR(L544="",B544=""),0,IF(L544-INT(B544)&lt;10,8,IF(L544-INT(B544)&lt;=90,10,5)))+IFERROR(VLOOKUP(AN544,Listes!$V$3:$W$5,2,FALSE),0)+IFERROR(VLOOKUP(AO544,Listes!$Y$3:$Z$5,2,FALSE),0))</f>
        <v/>
      </c>
      <c r="R544" s="12" t="n"/>
      <c r="S544" s="12" t="n"/>
      <c r="T544" s="12" t="n"/>
      <c r="U544" s="15" t="n"/>
      <c r="V544" s="15" t="n"/>
      <c r="W544" s="13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3" t="n"/>
      <c r="AK544" s="12" t="n"/>
      <c r="AL544" s="12" t="n"/>
      <c r="AM544" s="12" t="n"/>
      <c r="AN544" s="12" t="n"/>
      <c r="AO544" s="12" t="n"/>
      <c r="AP544" s="12" t="n"/>
      <c r="AQ544" s="7">
        <f>IF(A544="","",IF(AP544&lt;&gt;"",AP544,IF(LEFT(Z544,11)="gads_marque","Google Search – Marque",IF(LEFT(Z544,12)="gads_mariage","Google Search – Mariage et privé",IF(LEFT(Z544,10)="gads_corpo","Google Search – Corporatif",IF(LEFT(Z544,5)="meta_","Meta – Leads",IF(LEFT(Z544,5)="msft_","Microsoft Ads",IF(LEFT(Z544,8)="chatgpt_","ChatGPT Ads – Test",IF(X544="gbp","Fiche Google (organique)","Autre / non payé")))))))))</f>
        <v/>
      </c>
      <c r="AR544" s="7">
        <f>IF(K544="","",IFERROR(VLOOKUP(K544,Listes!$F$3:$H$8,3,FALSE),""))</f>
        <v/>
      </c>
      <c r="AS544" s="7">
        <f>IF(O544="","",IF(AND(M544="Autre (plus de 40 km)",OR(O544="lt600",O544="600_999",O544="1000_2499")),"D",IF(OR(O544="lt600",AND(O544="600_999",K544&lt;&gt;"mariage",K544&lt;&gt;"prive")),"C",IF(OR(O544="2500_4999",O544="5000p",J544="entreprise",J544="organisme",J544="agence"),"A",IF(OR(O544="1000_2499",O544="600_999"),"B",IF(O544="inconnu",IF(OR(N544="75_149",N544="150p"),"A","B"),""))))))</f>
        <v/>
      </c>
      <c r="AT544" s="7">
        <f>IF(A544="","",IF(P544&lt;&gt;"",P544,AS544))</f>
        <v/>
      </c>
      <c r="AU544" s="7">
        <f>IF(A544="","",IF(OR(AT544="A",AT544="B"),1,0))</f>
        <v/>
      </c>
      <c r="AV544" s="7">
        <f>IF(A544="","",IF(OR(R544="Dépôt payé (gagné)",R544="Événement livré",R544="Avis obtenu"),1,0))</f>
        <v/>
      </c>
      <c r="AW544" s="7">
        <f>IF(A544="","",IF(Q544&gt;70,"Immédiat – propriétaire",IF(Q544&gt;=40,"15 min – personne de garde","Selon la route")))</f>
        <v/>
      </c>
      <c r="AX544" s="11">
        <f>IF(A544="","",IF(AT544="A",400,IF(AT544="B",150,0)))</f>
        <v/>
      </c>
      <c r="AY544" s="11">
        <f>IF(A544="","",IF(AV544=1,N(V544),IF(N(U544)&gt;0,ROUND(N(U544)*IFERROR(VLOOKUP(R544,Listes!$AE$3:$AG$12,2,FALSE),0),0),0)))</f>
        <v/>
      </c>
      <c r="AZ544" s="7">
        <f>IF(LEFT(A544,7)="EXEMPLE",1,0)</f>
        <v/>
      </c>
      <c r="BA544" s="7">
        <f>IF(AND(AV544=1,AZ544=0,AC544&lt;&gt;"",W544&lt;&gt;"",N(V544)&gt;0),COUNTIFS($AV$3:AV544,1,$AZ$3:AZ544,0,$AC$3:AC544,"&lt;&gt;",$W$3:W544,"&lt;&gt;",$V$3:V544,"&gt;0"),"")</f>
        <v/>
      </c>
    </row>
    <row r="545">
      <c r="A545" s="12" t="n"/>
      <c r="B545" s="13" t="n"/>
      <c r="C545" s="13" t="n"/>
      <c r="D545" s="7">
        <f>IF(OR(B545="",C545=""),"",ROUND((C545-B545)*1440,0))</f>
        <v/>
      </c>
      <c r="E545" s="12" t="n"/>
      <c r="F545" s="12" t="n"/>
      <c r="G545" s="12" t="n"/>
      <c r="H545" s="12" t="n"/>
      <c r="I545" s="12" t="n"/>
      <c r="J545" s="12" t="n"/>
      <c r="K545" s="12" t="n"/>
      <c r="L545" s="14" t="n"/>
      <c r="M545" s="12" t="n"/>
      <c r="N545" s="12" t="n"/>
      <c r="O545" s="12" t="n"/>
      <c r="P545" s="12" t="n"/>
      <c r="Q545" s="7">
        <f>IF(A545="","",IFERROR(VLOOKUP(O545,Listes!$R$3:$T$8,2,FALSE),0)+IFERROR(VLOOKUP(J545,Listes!$J$3:$L$6,2,FALSE),0)+IFERROR(VLOOKUP(N545,Listes!$N$3:$P$6,2,FALSE),0)+IF(OR(L545="",B545=""),0,IF(L545-INT(B545)&lt;10,8,IF(L545-INT(B545)&lt;=90,10,5)))+IFERROR(VLOOKUP(AN545,Listes!$V$3:$W$5,2,FALSE),0)+IFERROR(VLOOKUP(AO545,Listes!$Y$3:$Z$5,2,FALSE),0))</f>
        <v/>
      </c>
      <c r="R545" s="12" t="n"/>
      <c r="S545" s="12" t="n"/>
      <c r="T545" s="12" t="n"/>
      <c r="U545" s="15" t="n"/>
      <c r="V545" s="15" t="n"/>
      <c r="W545" s="13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3" t="n"/>
      <c r="AK545" s="12" t="n"/>
      <c r="AL545" s="12" t="n"/>
      <c r="AM545" s="12" t="n"/>
      <c r="AN545" s="12" t="n"/>
      <c r="AO545" s="12" t="n"/>
      <c r="AP545" s="12" t="n"/>
      <c r="AQ545" s="7">
        <f>IF(A545="","",IF(AP545&lt;&gt;"",AP545,IF(LEFT(Z545,11)="gads_marque","Google Search – Marque",IF(LEFT(Z545,12)="gads_mariage","Google Search – Mariage et privé",IF(LEFT(Z545,10)="gads_corpo","Google Search – Corporatif",IF(LEFT(Z545,5)="meta_","Meta – Leads",IF(LEFT(Z545,5)="msft_","Microsoft Ads",IF(LEFT(Z545,8)="chatgpt_","ChatGPT Ads – Test",IF(X545="gbp","Fiche Google (organique)","Autre / non payé")))))))))</f>
        <v/>
      </c>
      <c r="AR545" s="7">
        <f>IF(K545="","",IFERROR(VLOOKUP(K545,Listes!$F$3:$H$8,3,FALSE),""))</f>
        <v/>
      </c>
      <c r="AS545" s="7">
        <f>IF(O545="","",IF(AND(M545="Autre (plus de 40 km)",OR(O545="lt600",O545="600_999",O545="1000_2499")),"D",IF(OR(O545="lt600",AND(O545="600_999",K545&lt;&gt;"mariage",K545&lt;&gt;"prive")),"C",IF(OR(O545="2500_4999",O545="5000p",J545="entreprise",J545="organisme",J545="agence"),"A",IF(OR(O545="1000_2499",O545="600_999"),"B",IF(O545="inconnu",IF(OR(N545="75_149",N545="150p"),"A","B"),""))))))</f>
        <v/>
      </c>
      <c r="AT545" s="7">
        <f>IF(A545="","",IF(P545&lt;&gt;"",P545,AS545))</f>
        <v/>
      </c>
      <c r="AU545" s="7">
        <f>IF(A545="","",IF(OR(AT545="A",AT545="B"),1,0))</f>
        <v/>
      </c>
      <c r="AV545" s="7">
        <f>IF(A545="","",IF(OR(R545="Dépôt payé (gagné)",R545="Événement livré",R545="Avis obtenu"),1,0))</f>
        <v/>
      </c>
      <c r="AW545" s="7">
        <f>IF(A545="","",IF(Q545&gt;70,"Immédiat – propriétaire",IF(Q545&gt;=40,"15 min – personne de garde","Selon la route")))</f>
        <v/>
      </c>
      <c r="AX545" s="11">
        <f>IF(A545="","",IF(AT545="A",400,IF(AT545="B",150,0)))</f>
        <v/>
      </c>
      <c r="AY545" s="11">
        <f>IF(A545="","",IF(AV545=1,N(V545),IF(N(U545)&gt;0,ROUND(N(U545)*IFERROR(VLOOKUP(R545,Listes!$AE$3:$AG$12,2,FALSE),0),0),0)))</f>
        <v/>
      </c>
      <c r="AZ545" s="7">
        <f>IF(LEFT(A545,7)="EXEMPLE",1,0)</f>
        <v/>
      </c>
      <c r="BA545" s="7">
        <f>IF(AND(AV545=1,AZ545=0,AC545&lt;&gt;"",W545&lt;&gt;"",N(V545)&gt;0),COUNTIFS($AV$3:AV545,1,$AZ$3:AZ545,0,$AC$3:AC545,"&lt;&gt;",$W$3:W545,"&lt;&gt;",$V$3:V545,"&gt;0"),"")</f>
        <v/>
      </c>
    </row>
    <row r="546">
      <c r="A546" s="12" t="n"/>
      <c r="B546" s="13" t="n"/>
      <c r="C546" s="13" t="n"/>
      <c r="D546" s="7">
        <f>IF(OR(B546="",C546=""),"",ROUND((C546-B546)*1440,0))</f>
        <v/>
      </c>
      <c r="E546" s="12" t="n"/>
      <c r="F546" s="12" t="n"/>
      <c r="G546" s="12" t="n"/>
      <c r="H546" s="12" t="n"/>
      <c r="I546" s="12" t="n"/>
      <c r="J546" s="12" t="n"/>
      <c r="K546" s="12" t="n"/>
      <c r="L546" s="14" t="n"/>
      <c r="M546" s="12" t="n"/>
      <c r="N546" s="12" t="n"/>
      <c r="O546" s="12" t="n"/>
      <c r="P546" s="12" t="n"/>
      <c r="Q546" s="7">
        <f>IF(A546="","",IFERROR(VLOOKUP(O546,Listes!$R$3:$T$8,2,FALSE),0)+IFERROR(VLOOKUP(J546,Listes!$J$3:$L$6,2,FALSE),0)+IFERROR(VLOOKUP(N546,Listes!$N$3:$P$6,2,FALSE),0)+IF(OR(L546="",B546=""),0,IF(L546-INT(B546)&lt;10,8,IF(L546-INT(B546)&lt;=90,10,5)))+IFERROR(VLOOKUP(AN546,Listes!$V$3:$W$5,2,FALSE),0)+IFERROR(VLOOKUP(AO546,Listes!$Y$3:$Z$5,2,FALSE),0))</f>
        <v/>
      </c>
      <c r="R546" s="12" t="n"/>
      <c r="S546" s="12" t="n"/>
      <c r="T546" s="12" t="n"/>
      <c r="U546" s="15" t="n"/>
      <c r="V546" s="15" t="n"/>
      <c r="W546" s="13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3" t="n"/>
      <c r="AK546" s="12" t="n"/>
      <c r="AL546" s="12" t="n"/>
      <c r="AM546" s="12" t="n"/>
      <c r="AN546" s="12" t="n"/>
      <c r="AO546" s="12" t="n"/>
      <c r="AP546" s="12" t="n"/>
      <c r="AQ546" s="7">
        <f>IF(A546="","",IF(AP546&lt;&gt;"",AP546,IF(LEFT(Z546,11)="gads_marque","Google Search – Marque",IF(LEFT(Z546,12)="gads_mariage","Google Search – Mariage et privé",IF(LEFT(Z546,10)="gads_corpo","Google Search – Corporatif",IF(LEFT(Z546,5)="meta_","Meta – Leads",IF(LEFT(Z546,5)="msft_","Microsoft Ads",IF(LEFT(Z546,8)="chatgpt_","ChatGPT Ads – Test",IF(X546="gbp","Fiche Google (organique)","Autre / non payé")))))))))</f>
        <v/>
      </c>
      <c r="AR546" s="7">
        <f>IF(K546="","",IFERROR(VLOOKUP(K546,Listes!$F$3:$H$8,3,FALSE),""))</f>
        <v/>
      </c>
      <c r="AS546" s="7">
        <f>IF(O546="","",IF(AND(M546="Autre (plus de 40 km)",OR(O546="lt600",O546="600_999",O546="1000_2499")),"D",IF(OR(O546="lt600",AND(O546="600_999",K546&lt;&gt;"mariage",K546&lt;&gt;"prive")),"C",IF(OR(O546="2500_4999",O546="5000p",J546="entreprise",J546="organisme",J546="agence"),"A",IF(OR(O546="1000_2499",O546="600_999"),"B",IF(O546="inconnu",IF(OR(N546="75_149",N546="150p"),"A","B"),""))))))</f>
        <v/>
      </c>
      <c r="AT546" s="7">
        <f>IF(A546="","",IF(P546&lt;&gt;"",P546,AS546))</f>
        <v/>
      </c>
      <c r="AU546" s="7">
        <f>IF(A546="","",IF(OR(AT546="A",AT546="B"),1,0))</f>
        <v/>
      </c>
      <c r="AV546" s="7">
        <f>IF(A546="","",IF(OR(R546="Dépôt payé (gagné)",R546="Événement livré",R546="Avis obtenu"),1,0))</f>
        <v/>
      </c>
      <c r="AW546" s="7">
        <f>IF(A546="","",IF(Q546&gt;70,"Immédiat – propriétaire",IF(Q546&gt;=40,"15 min – personne de garde","Selon la route")))</f>
        <v/>
      </c>
      <c r="AX546" s="11">
        <f>IF(A546="","",IF(AT546="A",400,IF(AT546="B",150,0)))</f>
        <v/>
      </c>
      <c r="AY546" s="11">
        <f>IF(A546="","",IF(AV546=1,N(V546),IF(N(U546)&gt;0,ROUND(N(U546)*IFERROR(VLOOKUP(R546,Listes!$AE$3:$AG$12,2,FALSE),0),0),0)))</f>
        <v/>
      </c>
      <c r="AZ546" s="7">
        <f>IF(LEFT(A546,7)="EXEMPLE",1,0)</f>
        <v/>
      </c>
      <c r="BA546" s="7">
        <f>IF(AND(AV546=1,AZ546=0,AC546&lt;&gt;"",W546&lt;&gt;"",N(V546)&gt;0),COUNTIFS($AV$3:AV546,1,$AZ$3:AZ546,0,$AC$3:AC546,"&lt;&gt;",$W$3:W546,"&lt;&gt;",$V$3:V546,"&gt;0"),"")</f>
        <v/>
      </c>
    </row>
    <row r="547">
      <c r="A547" s="12" t="n"/>
      <c r="B547" s="13" t="n"/>
      <c r="C547" s="13" t="n"/>
      <c r="D547" s="7">
        <f>IF(OR(B547="",C547=""),"",ROUND((C547-B547)*1440,0))</f>
        <v/>
      </c>
      <c r="E547" s="12" t="n"/>
      <c r="F547" s="12" t="n"/>
      <c r="G547" s="12" t="n"/>
      <c r="H547" s="12" t="n"/>
      <c r="I547" s="12" t="n"/>
      <c r="J547" s="12" t="n"/>
      <c r="K547" s="12" t="n"/>
      <c r="L547" s="14" t="n"/>
      <c r="M547" s="12" t="n"/>
      <c r="N547" s="12" t="n"/>
      <c r="O547" s="12" t="n"/>
      <c r="P547" s="12" t="n"/>
      <c r="Q547" s="7">
        <f>IF(A547="","",IFERROR(VLOOKUP(O547,Listes!$R$3:$T$8,2,FALSE),0)+IFERROR(VLOOKUP(J547,Listes!$J$3:$L$6,2,FALSE),0)+IFERROR(VLOOKUP(N547,Listes!$N$3:$P$6,2,FALSE),0)+IF(OR(L547="",B547=""),0,IF(L547-INT(B547)&lt;10,8,IF(L547-INT(B547)&lt;=90,10,5)))+IFERROR(VLOOKUP(AN547,Listes!$V$3:$W$5,2,FALSE),0)+IFERROR(VLOOKUP(AO547,Listes!$Y$3:$Z$5,2,FALSE),0))</f>
        <v/>
      </c>
      <c r="R547" s="12" t="n"/>
      <c r="S547" s="12" t="n"/>
      <c r="T547" s="12" t="n"/>
      <c r="U547" s="15" t="n"/>
      <c r="V547" s="15" t="n"/>
      <c r="W547" s="13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3" t="n"/>
      <c r="AK547" s="12" t="n"/>
      <c r="AL547" s="12" t="n"/>
      <c r="AM547" s="12" t="n"/>
      <c r="AN547" s="12" t="n"/>
      <c r="AO547" s="12" t="n"/>
      <c r="AP547" s="12" t="n"/>
      <c r="AQ547" s="7">
        <f>IF(A547="","",IF(AP547&lt;&gt;"",AP547,IF(LEFT(Z547,11)="gads_marque","Google Search – Marque",IF(LEFT(Z547,12)="gads_mariage","Google Search – Mariage et privé",IF(LEFT(Z547,10)="gads_corpo","Google Search – Corporatif",IF(LEFT(Z547,5)="meta_","Meta – Leads",IF(LEFT(Z547,5)="msft_","Microsoft Ads",IF(LEFT(Z547,8)="chatgpt_","ChatGPT Ads – Test",IF(X547="gbp","Fiche Google (organique)","Autre / non payé")))))))))</f>
        <v/>
      </c>
      <c r="AR547" s="7">
        <f>IF(K547="","",IFERROR(VLOOKUP(K547,Listes!$F$3:$H$8,3,FALSE),""))</f>
        <v/>
      </c>
      <c r="AS547" s="7">
        <f>IF(O547="","",IF(AND(M547="Autre (plus de 40 km)",OR(O547="lt600",O547="600_999",O547="1000_2499")),"D",IF(OR(O547="lt600",AND(O547="600_999",K547&lt;&gt;"mariage",K547&lt;&gt;"prive")),"C",IF(OR(O547="2500_4999",O547="5000p",J547="entreprise",J547="organisme",J547="agence"),"A",IF(OR(O547="1000_2499",O547="600_999"),"B",IF(O547="inconnu",IF(OR(N547="75_149",N547="150p"),"A","B"),""))))))</f>
        <v/>
      </c>
      <c r="AT547" s="7">
        <f>IF(A547="","",IF(P547&lt;&gt;"",P547,AS547))</f>
        <v/>
      </c>
      <c r="AU547" s="7">
        <f>IF(A547="","",IF(OR(AT547="A",AT547="B"),1,0))</f>
        <v/>
      </c>
      <c r="AV547" s="7">
        <f>IF(A547="","",IF(OR(R547="Dépôt payé (gagné)",R547="Événement livré",R547="Avis obtenu"),1,0))</f>
        <v/>
      </c>
      <c r="AW547" s="7">
        <f>IF(A547="","",IF(Q547&gt;70,"Immédiat – propriétaire",IF(Q547&gt;=40,"15 min – personne de garde","Selon la route")))</f>
        <v/>
      </c>
      <c r="AX547" s="11">
        <f>IF(A547="","",IF(AT547="A",400,IF(AT547="B",150,0)))</f>
        <v/>
      </c>
      <c r="AY547" s="11">
        <f>IF(A547="","",IF(AV547=1,N(V547),IF(N(U547)&gt;0,ROUND(N(U547)*IFERROR(VLOOKUP(R547,Listes!$AE$3:$AG$12,2,FALSE),0),0),0)))</f>
        <v/>
      </c>
      <c r="AZ547" s="7">
        <f>IF(LEFT(A547,7)="EXEMPLE",1,0)</f>
        <v/>
      </c>
      <c r="BA547" s="7">
        <f>IF(AND(AV547=1,AZ547=0,AC547&lt;&gt;"",W547&lt;&gt;"",N(V547)&gt;0),COUNTIFS($AV$3:AV547,1,$AZ$3:AZ547,0,$AC$3:AC547,"&lt;&gt;",$W$3:W547,"&lt;&gt;",$V$3:V547,"&gt;0"),"")</f>
        <v/>
      </c>
    </row>
    <row r="548">
      <c r="A548" s="12" t="n"/>
      <c r="B548" s="13" t="n"/>
      <c r="C548" s="13" t="n"/>
      <c r="D548" s="7">
        <f>IF(OR(B548="",C548=""),"",ROUND((C548-B548)*1440,0))</f>
        <v/>
      </c>
      <c r="E548" s="12" t="n"/>
      <c r="F548" s="12" t="n"/>
      <c r="G548" s="12" t="n"/>
      <c r="H548" s="12" t="n"/>
      <c r="I548" s="12" t="n"/>
      <c r="J548" s="12" t="n"/>
      <c r="K548" s="12" t="n"/>
      <c r="L548" s="14" t="n"/>
      <c r="M548" s="12" t="n"/>
      <c r="N548" s="12" t="n"/>
      <c r="O548" s="12" t="n"/>
      <c r="P548" s="12" t="n"/>
      <c r="Q548" s="7">
        <f>IF(A548="","",IFERROR(VLOOKUP(O548,Listes!$R$3:$T$8,2,FALSE),0)+IFERROR(VLOOKUP(J548,Listes!$J$3:$L$6,2,FALSE),0)+IFERROR(VLOOKUP(N548,Listes!$N$3:$P$6,2,FALSE),0)+IF(OR(L548="",B548=""),0,IF(L548-INT(B548)&lt;10,8,IF(L548-INT(B548)&lt;=90,10,5)))+IFERROR(VLOOKUP(AN548,Listes!$V$3:$W$5,2,FALSE),0)+IFERROR(VLOOKUP(AO548,Listes!$Y$3:$Z$5,2,FALSE),0))</f>
        <v/>
      </c>
      <c r="R548" s="12" t="n"/>
      <c r="S548" s="12" t="n"/>
      <c r="T548" s="12" t="n"/>
      <c r="U548" s="15" t="n"/>
      <c r="V548" s="15" t="n"/>
      <c r="W548" s="13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3" t="n"/>
      <c r="AK548" s="12" t="n"/>
      <c r="AL548" s="12" t="n"/>
      <c r="AM548" s="12" t="n"/>
      <c r="AN548" s="12" t="n"/>
      <c r="AO548" s="12" t="n"/>
      <c r="AP548" s="12" t="n"/>
      <c r="AQ548" s="7">
        <f>IF(A548="","",IF(AP548&lt;&gt;"",AP548,IF(LEFT(Z548,11)="gads_marque","Google Search – Marque",IF(LEFT(Z548,12)="gads_mariage","Google Search – Mariage et privé",IF(LEFT(Z548,10)="gads_corpo","Google Search – Corporatif",IF(LEFT(Z548,5)="meta_","Meta – Leads",IF(LEFT(Z548,5)="msft_","Microsoft Ads",IF(LEFT(Z548,8)="chatgpt_","ChatGPT Ads – Test",IF(X548="gbp","Fiche Google (organique)","Autre / non payé")))))))))</f>
        <v/>
      </c>
      <c r="AR548" s="7">
        <f>IF(K548="","",IFERROR(VLOOKUP(K548,Listes!$F$3:$H$8,3,FALSE),""))</f>
        <v/>
      </c>
      <c r="AS548" s="7">
        <f>IF(O548="","",IF(AND(M548="Autre (plus de 40 km)",OR(O548="lt600",O548="600_999",O548="1000_2499")),"D",IF(OR(O548="lt600",AND(O548="600_999",K548&lt;&gt;"mariage",K548&lt;&gt;"prive")),"C",IF(OR(O548="2500_4999",O548="5000p",J548="entreprise",J548="organisme",J548="agence"),"A",IF(OR(O548="1000_2499",O548="600_999"),"B",IF(O548="inconnu",IF(OR(N548="75_149",N548="150p"),"A","B"),""))))))</f>
        <v/>
      </c>
      <c r="AT548" s="7">
        <f>IF(A548="","",IF(P548&lt;&gt;"",P548,AS548))</f>
        <v/>
      </c>
      <c r="AU548" s="7">
        <f>IF(A548="","",IF(OR(AT548="A",AT548="B"),1,0))</f>
        <v/>
      </c>
      <c r="AV548" s="7">
        <f>IF(A548="","",IF(OR(R548="Dépôt payé (gagné)",R548="Événement livré",R548="Avis obtenu"),1,0))</f>
        <v/>
      </c>
      <c r="AW548" s="7">
        <f>IF(A548="","",IF(Q548&gt;70,"Immédiat – propriétaire",IF(Q548&gt;=40,"15 min – personne de garde","Selon la route")))</f>
        <v/>
      </c>
      <c r="AX548" s="11">
        <f>IF(A548="","",IF(AT548="A",400,IF(AT548="B",150,0)))</f>
        <v/>
      </c>
      <c r="AY548" s="11">
        <f>IF(A548="","",IF(AV548=1,N(V548),IF(N(U548)&gt;0,ROUND(N(U548)*IFERROR(VLOOKUP(R548,Listes!$AE$3:$AG$12,2,FALSE),0),0),0)))</f>
        <v/>
      </c>
      <c r="AZ548" s="7">
        <f>IF(LEFT(A548,7)="EXEMPLE",1,0)</f>
        <v/>
      </c>
      <c r="BA548" s="7">
        <f>IF(AND(AV548=1,AZ548=0,AC548&lt;&gt;"",W548&lt;&gt;"",N(V548)&gt;0),COUNTIFS($AV$3:AV548,1,$AZ$3:AZ548,0,$AC$3:AC548,"&lt;&gt;",$W$3:W548,"&lt;&gt;",$V$3:V548,"&gt;0"),"")</f>
        <v/>
      </c>
    </row>
    <row r="549">
      <c r="A549" s="12" t="n"/>
      <c r="B549" s="13" t="n"/>
      <c r="C549" s="13" t="n"/>
      <c r="D549" s="7">
        <f>IF(OR(B549="",C549=""),"",ROUND((C549-B549)*1440,0))</f>
        <v/>
      </c>
      <c r="E549" s="12" t="n"/>
      <c r="F549" s="12" t="n"/>
      <c r="G549" s="12" t="n"/>
      <c r="H549" s="12" t="n"/>
      <c r="I549" s="12" t="n"/>
      <c r="J549" s="12" t="n"/>
      <c r="K549" s="12" t="n"/>
      <c r="L549" s="14" t="n"/>
      <c r="M549" s="12" t="n"/>
      <c r="N549" s="12" t="n"/>
      <c r="O549" s="12" t="n"/>
      <c r="P549" s="12" t="n"/>
      <c r="Q549" s="7">
        <f>IF(A549="","",IFERROR(VLOOKUP(O549,Listes!$R$3:$T$8,2,FALSE),0)+IFERROR(VLOOKUP(J549,Listes!$J$3:$L$6,2,FALSE),0)+IFERROR(VLOOKUP(N549,Listes!$N$3:$P$6,2,FALSE),0)+IF(OR(L549="",B549=""),0,IF(L549-INT(B549)&lt;10,8,IF(L549-INT(B549)&lt;=90,10,5)))+IFERROR(VLOOKUP(AN549,Listes!$V$3:$W$5,2,FALSE),0)+IFERROR(VLOOKUP(AO549,Listes!$Y$3:$Z$5,2,FALSE),0))</f>
        <v/>
      </c>
      <c r="R549" s="12" t="n"/>
      <c r="S549" s="12" t="n"/>
      <c r="T549" s="12" t="n"/>
      <c r="U549" s="15" t="n"/>
      <c r="V549" s="15" t="n"/>
      <c r="W549" s="13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3" t="n"/>
      <c r="AK549" s="12" t="n"/>
      <c r="AL549" s="12" t="n"/>
      <c r="AM549" s="12" t="n"/>
      <c r="AN549" s="12" t="n"/>
      <c r="AO549" s="12" t="n"/>
      <c r="AP549" s="12" t="n"/>
      <c r="AQ549" s="7">
        <f>IF(A549="","",IF(AP549&lt;&gt;"",AP549,IF(LEFT(Z549,11)="gads_marque","Google Search – Marque",IF(LEFT(Z549,12)="gads_mariage","Google Search – Mariage et privé",IF(LEFT(Z549,10)="gads_corpo","Google Search – Corporatif",IF(LEFT(Z549,5)="meta_","Meta – Leads",IF(LEFT(Z549,5)="msft_","Microsoft Ads",IF(LEFT(Z549,8)="chatgpt_","ChatGPT Ads – Test",IF(X549="gbp","Fiche Google (organique)","Autre / non payé")))))))))</f>
        <v/>
      </c>
      <c r="AR549" s="7">
        <f>IF(K549="","",IFERROR(VLOOKUP(K549,Listes!$F$3:$H$8,3,FALSE),""))</f>
        <v/>
      </c>
      <c r="AS549" s="7">
        <f>IF(O549="","",IF(AND(M549="Autre (plus de 40 km)",OR(O549="lt600",O549="600_999",O549="1000_2499")),"D",IF(OR(O549="lt600",AND(O549="600_999",K549&lt;&gt;"mariage",K549&lt;&gt;"prive")),"C",IF(OR(O549="2500_4999",O549="5000p",J549="entreprise",J549="organisme",J549="agence"),"A",IF(OR(O549="1000_2499",O549="600_999"),"B",IF(O549="inconnu",IF(OR(N549="75_149",N549="150p"),"A","B"),""))))))</f>
        <v/>
      </c>
      <c r="AT549" s="7">
        <f>IF(A549="","",IF(P549&lt;&gt;"",P549,AS549))</f>
        <v/>
      </c>
      <c r="AU549" s="7">
        <f>IF(A549="","",IF(OR(AT549="A",AT549="B"),1,0))</f>
        <v/>
      </c>
      <c r="AV549" s="7">
        <f>IF(A549="","",IF(OR(R549="Dépôt payé (gagné)",R549="Événement livré",R549="Avis obtenu"),1,0))</f>
        <v/>
      </c>
      <c r="AW549" s="7">
        <f>IF(A549="","",IF(Q549&gt;70,"Immédiat – propriétaire",IF(Q549&gt;=40,"15 min – personne de garde","Selon la route")))</f>
        <v/>
      </c>
      <c r="AX549" s="11">
        <f>IF(A549="","",IF(AT549="A",400,IF(AT549="B",150,0)))</f>
        <v/>
      </c>
      <c r="AY549" s="11">
        <f>IF(A549="","",IF(AV549=1,N(V549),IF(N(U549)&gt;0,ROUND(N(U549)*IFERROR(VLOOKUP(R549,Listes!$AE$3:$AG$12,2,FALSE),0),0),0)))</f>
        <v/>
      </c>
      <c r="AZ549" s="7">
        <f>IF(LEFT(A549,7)="EXEMPLE",1,0)</f>
        <v/>
      </c>
      <c r="BA549" s="7">
        <f>IF(AND(AV549=1,AZ549=0,AC549&lt;&gt;"",W549&lt;&gt;"",N(V549)&gt;0),COUNTIFS($AV$3:AV549,1,$AZ$3:AZ549,0,$AC$3:AC549,"&lt;&gt;",$W$3:W549,"&lt;&gt;",$V$3:V549,"&gt;0"),"")</f>
        <v/>
      </c>
    </row>
    <row r="550">
      <c r="A550" s="12" t="n"/>
      <c r="B550" s="13" t="n"/>
      <c r="C550" s="13" t="n"/>
      <c r="D550" s="7">
        <f>IF(OR(B550="",C550=""),"",ROUND((C550-B550)*1440,0))</f>
        <v/>
      </c>
      <c r="E550" s="12" t="n"/>
      <c r="F550" s="12" t="n"/>
      <c r="G550" s="12" t="n"/>
      <c r="H550" s="12" t="n"/>
      <c r="I550" s="12" t="n"/>
      <c r="J550" s="12" t="n"/>
      <c r="K550" s="12" t="n"/>
      <c r="L550" s="14" t="n"/>
      <c r="M550" s="12" t="n"/>
      <c r="N550" s="12" t="n"/>
      <c r="O550" s="12" t="n"/>
      <c r="P550" s="12" t="n"/>
      <c r="Q550" s="7">
        <f>IF(A550="","",IFERROR(VLOOKUP(O550,Listes!$R$3:$T$8,2,FALSE),0)+IFERROR(VLOOKUP(J550,Listes!$J$3:$L$6,2,FALSE),0)+IFERROR(VLOOKUP(N550,Listes!$N$3:$P$6,2,FALSE),0)+IF(OR(L550="",B550=""),0,IF(L550-INT(B550)&lt;10,8,IF(L550-INT(B550)&lt;=90,10,5)))+IFERROR(VLOOKUP(AN550,Listes!$V$3:$W$5,2,FALSE),0)+IFERROR(VLOOKUP(AO550,Listes!$Y$3:$Z$5,2,FALSE),0))</f>
        <v/>
      </c>
      <c r="R550" s="12" t="n"/>
      <c r="S550" s="12" t="n"/>
      <c r="T550" s="12" t="n"/>
      <c r="U550" s="15" t="n"/>
      <c r="V550" s="15" t="n"/>
      <c r="W550" s="13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3" t="n"/>
      <c r="AK550" s="12" t="n"/>
      <c r="AL550" s="12" t="n"/>
      <c r="AM550" s="12" t="n"/>
      <c r="AN550" s="12" t="n"/>
      <c r="AO550" s="12" t="n"/>
      <c r="AP550" s="12" t="n"/>
      <c r="AQ550" s="7">
        <f>IF(A550="","",IF(AP550&lt;&gt;"",AP550,IF(LEFT(Z550,11)="gads_marque","Google Search – Marque",IF(LEFT(Z550,12)="gads_mariage","Google Search – Mariage et privé",IF(LEFT(Z550,10)="gads_corpo","Google Search – Corporatif",IF(LEFT(Z550,5)="meta_","Meta – Leads",IF(LEFT(Z550,5)="msft_","Microsoft Ads",IF(LEFT(Z550,8)="chatgpt_","ChatGPT Ads – Test",IF(X550="gbp","Fiche Google (organique)","Autre / non payé")))))))))</f>
        <v/>
      </c>
      <c r="AR550" s="7">
        <f>IF(K550="","",IFERROR(VLOOKUP(K550,Listes!$F$3:$H$8,3,FALSE),""))</f>
        <v/>
      </c>
      <c r="AS550" s="7">
        <f>IF(O550="","",IF(AND(M550="Autre (plus de 40 km)",OR(O550="lt600",O550="600_999",O550="1000_2499")),"D",IF(OR(O550="lt600",AND(O550="600_999",K550&lt;&gt;"mariage",K550&lt;&gt;"prive")),"C",IF(OR(O550="2500_4999",O550="5000p",J550="entreprise",J550="organisme",J550="agence"),"A",IF(OR(O550="1000_2499",O550="600_999"),"B",IF(O550="inconnu",IF(OR(N550="75_149",N550="150p"),"A","B"),""))))))</f>
        <v/>
      </c>
      <c r="AT550" s="7">
        <f>IF(A550="","",IF(P550&lt;&gt;"",P550,AS550))</f>
        <v/>
      </c>
      <c r="AU550" s="7">
        <f>IF(A550="","",IF(OR(AT550="A",AT550="B"),1,0))</f>
        <v/>
      </c>
      <c r="AV550" s="7">
        <f>IF(A550="","",IF(OR(R550="Dépôt payé (gagné)",R550="Événement livré",R550="Avis obtenu"),1,0))</f>
        <v/>
      </c>
      <c r="AW550" s="7">
        <f>IF(A550="","",IF(Q550&gt;70,"Immédiat – propriétaire",IF(Q550&gt;=40,"15 min – personne de garde","Selon la route")))</f>
        <v/>
      </c>
      <c r="AX550" s="11">
        <f>IF(A550="","",IF(AT550="A",400,IF(AT550="B",150,0)))</f>
        <v/>
      </c>
      <c r="AY550" s="11">
        <f>IF(A550="","",IF(AV550=1,N(V550),IF(N(U550)&gt;0,ROUND(N(U550)*IFERROR(VLOOKUP(R550,Listes!$AE$3:$AG$12,2,FALSE),0),0),0)))</f>
        <v/>
      </c>
      <c r="AZ550" s="7">
        <f>IF(LEFT(A550,7)="EXEMPLE",1,0)</f>
        <v/>
      </c>
      <c r="BA550" s="7">
        <f>IF(AND(AV550=1,AZ550=0,AC550&lt;&gt;"",W550&lt;&gt;"",N(V550)&gt;0),COUNTIFS($AV$3:AV550,1,$AZ$3:AZ550,0,$AC$3:AC550,"&lt;&gt;",$W$3:W550,"&lt;&gt;",$V$3:V550,"&gt;0"),"")</f>
        <v/>
      </c>
    </row>
    <row r="551">
      <c r="A551" s="12" t="n"/>
      <c r="B551" s="13" t="n"/>
      <c r="C551" s="13" t="n"/>
      <c r="D551" s="7">
        <f>IF(OR(B551="",C551=""),"",ROUND((C551-B551)*1440,0))</f>
        <v/>
      </c>
      <c r="E551" s="12" t="n"/>
      <c r="F551" s="12" t="n"/>
      <c r="G551" s="12" t="n"/>
      <c r="H551" s="12" t="n"/>
      <c r="I551" s="12" t="n"/>
      <c r="J551" s="12" t="n"/>
      <c r="K551" s="12" t="n"/>
      <c r="L551" s="14" t="n"/>
      <c r="M551" s="12" t="n"/>
      <c r="N551" s="12" t="n"/>
      <c r="O551" s="12" t="n"/>
      <c r="P551" s="12" t="n"/>
      <c r="Q551" s="7">
        <f>IF(A551="","",IFERROR(VLOOKUP(O551,Listes!$R$3:$T$8,2,FALSE),0)+IFERROR(VLOOKUP(J551,Listes!$J$3:$L$6,2,FALSE),0)+IFERROR(VLOOKUP(N551,Listes!$N$3:$P$6,2,FALSE),0)+IF(OR(L551="",B551=""),0,IF(L551-INT(B551)&lt;10,8,IF(L551-INT(B551)&lt;=90,10,5)))+IFERROR(VLOOKUP(AN551,Listes!$V$3:$W$5,2,FALSE),0)+IFERROR(VLOOKUP(AO551,Listes!$Y$3:$Z$5,2,FALSE),0))</f>
        <v/>
      </c>
      <c r="R551" s="12" t="n"/>
      <c r="S551" s="12" t="n"/>
      <c r="T551" s="12" t="n"/>
      <c r="U551" s="15" t="n"/>
      <c r="V551" s="15" t="n"/>
      <c r="W551" s="13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3" t="n"/>
      <c r="AK551" s="12" t="n"/>
      <c r="AL551" s="12" t="n"/>
      <c r="AM551" s="12" t="n"/>
      <c r="AN551" s="12" t="n"/>
      <c r="AO551" s="12" t="n"/>
      <c r="AP551" s="12" t="n"/>
      <c r="AQ551" s="7">
        <f>IF(A551="","",IF(AP551&lt;&gt;"",AP551,IF(LEFT(Z551,11)="gads_marque","Google Search – Marque",IF(LEFT(Z551,12)="gads_mariage","Google Search – Mariage et privé",IF(LEFT(Z551,10)="gads_corpo","Google Search – Corporatif",IF(LEFT(Z551,5)="meta_","Meta – Leads",IF(LEFT(Z551,5)="msft_","Microsoft Ads",IF(LEFT(Z551,8)="chatgpt_","ChatGPT Ads – Test",IF(X551="gbp","Fiche Google (organique)","Autre / non payé")))))))))</f>
        <v/>
      </c>
      <c r="AR551" s="7">
        <f>IF(K551="","",IFERROR(VLOOKUP(K551,Listes!$F$3:$H$8,3,FALSE),""))</f>
        <v/>
      </c>
      <c r="AS551" s="7">
        <f>IF(O551="","",IF(AND(M551="Autre (plus de 40 km)",OR(O551="lt600",O551="600_999",O551="1000_2499")),"D",IF(OR(O551="lt600",AND(O551="600_999",K551&lt;&gt;"mariage",K551&lt;&gt;"prive")),"C",IF(OR(O551="2500_4999",O551="5000p",J551="entreprise",J551="organisme",J551="agence"),"A",IF(OR(O551="1000_2499",O551="600_999"),"B",IF(O551="inconnu",IF(OR(N551="75_149",N551="150p"),"A","B"),""))))))</f>
        <v/>
      </c>
      <c r="AT551" s="7">
        <f>IF(A551="","",IF(P551&lt;&gt;"",P551,AS551))</f>
        <v/>
      </c>
      <c r="AU551" s="7">
        <f>IF(A551="","",IF(OR(AT551="A",AT551="B"),1,0))</f>
        <v/>
      </c>
      <c r="AV551" s="7">
        <f>IF(A551="","",IF(OR(R551="Dépôt payé (gagné)",R551="Événement livré",R551="Avis obtenu"),1,0))</f>
        <v/>
      </c>
      <c r="AW551" s="7">
        <f>IF(A551="","",IF(Q551&gt;70,"Immédiat – propriétaire",IF(Q551&gt;=40,"15 min – personne de garde","Selon la route")))</f>
        <v/>
      </c>
      <c r="AX551" s="11">
        <f>IF(A551="","",IF(AT551="A",400,IF(AT551="B",150,0)))</f>
        <v/>
      </c>
      <c r="AY551" s="11">
        <f>IF(A551="","",IF(AV551=1,N(V551),IF(N(U551)&gt;0,ROUND(N(U551)*IFERROR(VLOOKUP(R551,Listes!$AE$3:$AG$12,2,FALSE),0),0),0)))</f>
        <v/>
      </c>
      <c r="AZ551" s="7">
        <f>IF(LEFT(A551,7)="EXEMPLE",1,0)</f>
        <v/>
      </c>
      <c r="BA551" s="7">
        <f>IF(AND(AV551=1,AZ551=0,AC551&lt;&gt;"",W551&lt;&gt;"",N(V551)&gt;0),COUNTIFS($AV$3:AV551,1,$AZ$3:AZ551,0,$AC$3:AC551,"&lt;&gt;",$W$3:W551,"&lt;&gt;",$V$3:V551,"&gt;0"),"")</f>
        <v/>
      </c>
    </row>
    <row r="552">
      <c r="A552" s="12" t="n"/>
      <c r="B552" s="13" t="n"/>
      <c r="C552" s="13" t="n"/>
      <c r="D552" s="7">
        <f>IF(OR(B552="",C552=""),"",ROUND((C552-B552)*1440,0))</f>
        <v/>
      </c>
      <c r="E552" s="12" t="n"/>
      <c r="F552" s="12" t="n"/>
      <c r="G552" s="12" t="n"/>
      <c r="H552" s="12" t="n"/>
      <c r="I552" s="12" t="n"/>
      <c r="J552" s="12" t="n"/>
      <c r="K552" s="12" t="n"/>
      <c r="L552" s="14" t="n"/>
      <c r="M552" s="12" t="n"/>
      <c r="N552" s="12" t="n"/>
      <c r="O552" s="12" t="n"/>
      <c r="P552" s="12" t="n"/>
      <c r="Q552" s="7">
        <f>IF(A552="","",IFERROR(VLOOKUP(O552,Listes!$R$3:$T$8,2,FALSE),0)+IFERROR(VLOOKUP(J552,Listes!$J$3:$L$6,2,FALSE),0)+IFERROR(VLOOKUP(N552,Listes!$N$3:$P$6,2,FALSE),0)+IF(OR(L552="",B552=""),0,IF(L552-INT(B552)&lt;10,8,IF(L552-INT(B552)&lt;=90,10,5)))+IFERROR(VLOOKUP(AN552,Listes!$V$3:$W$5,2,FALSE),0)+IFERROR(VLOOKUP(AO552,Listes!$Y$3:$Z$5,2,FALSE),0))</f>
        <v/>
      </c>
      <c r="R552" s="12" t="n"/>
      <c r="S552" s="12" t="n"/>
      <c r="T552" s="12" t="n"/>
      <c r="U552" s="15" t="n"/>
      <c r="V552" s="15" t="n"/>
      <c r="W552" s="13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3" t="n"/>
      <c r="AK552" s="12" t="n"/>
      <c r="AL552" s="12" t="n"/>
      <c r="AM552" s="12" t="n"/>
      <c r="AN552" s="12" t="n"/>
      <c r="AO552" s="12" t="n"/>
      <c r="AP552" s="12" t="n"/>
      <c r="AQ552" s="7">
        <f>IF(A552="","",IF(AP552&lt;&gt;"",AP552,IF(LEFT(Z552,11)="gads_marque","Google Search – Marque",IF(LEFT(Z552,12)="gads_mariage","Google Search – Mariage et privé",IF(LEFT(Z552,10)="gads_corpo","Google Search – Corporatif",IF(LEFT(Z552,5)="meta_","Meta – Leads",IF(LEFT(Z552,5)="msft_","Microsoft Ads",IF(LEFT(Z552,8)="chatgpt_","ChatGPT Ads – Test",IF(X552="gbp","Fiche Google (organique)","Autre / non payé")))))))))</f>
        <v/>
      </c>
      <c r="AR552" s="7">
        <f>IF(K552="","",IFERROR(VLOOKUP(K552,Listes!$F$3:$H$8,3,FALSE),""))</f>
        <v/>
      </c>
      <c r="AS552" s="7">
        <f>IF(O552="","",IF(AND(M552="Autre (plus de 40 km)",OR(O552="lt600",O552="600_999",O552="1000_2499")),"D",IF(OR(O552="lt600",AND(O552="600_999",K552&lt;&gt;"mariage",K552&lt;&gt;"prive")),"C",IF(OR(O552="2500_4999",O552="5000p",J552="entreprise",J552="organisme",J552="agence"),"A",IF(OR(O552="1000_2499",O552="600_999"),"B",IF(O552="inconnu",IF(OR(N552="75_149",N552="150p"),"A","B"),""))))))</f>
        <v/>
      </c>
      <c r="AT552" s="7">
        <f>IF(A552="","",IF(P552&lt;&gt;"",P552,AS552))</f>
        <v/>
      </c>
      <c r="AU552" s="7">
        <f>IF(A552="","",IF(OR(AT552="A",AT552="B"),1,0))</f>
        <v/>
      </c>
      <c r="AV552" s="7">
        <f>IF(A552="","",IF(OR(R552="Dépôt payé (gagné)",R552="Événement livré",R552="Avis obtenu"),1,0))</f>
        <v/>
      </c>
      <c r="AW552" s="7">
        <f>IF(A552="","",IF(Q552&gt;70,"Immédiat – propriétaire",IF(Q552&gt;=40,"15 min – personne de garde","Selon la route")))</f>
        <v/>
      </c>
      <c r="AX552" s="11">
        <f>IF(A552="","",IF(AT552="A",400,IF(AT552="B",150,0)))</f>
        <v/>
      </c>
      <c r="AY552" s="11">
        <f>IF(A552="","",IF(AV552=1,N(V552),IF(N(U552)&gt;0,ROUND(N(U552)*IFERROR(VLOOKUP(R552,Listes!$AE$3:$AG$12,2,FALSE),0),0),0)))</f>
        <v/>
      </c>
      <c r="AZ552" s="7">
        <f>IF(LEFT(A552,7)="EXEMPLE",1,0)</f>
        <v/>
      </c>
      <c r="BA552" s="7">
        <f>IF(AND(AV552=1,AZ552=0,AC552&lt;&gt;"",W552&lt;&gt;"",N(V552)&gt;0),COUNTIFS($AV$3:AV552,1,$AZ$3:AZ552,0,$AC$3:AC552,"&lt;&gt;",$W$3:W552,"&lt;&gt;",$V$3:V552,"&gt;0"),"")</f>
        <v/>
      </c>
    </row>
    <row r="553">
      <c r="A553" s="12" t="n"/>
      <c r="B553" s="13" t="n"/>
      <c r="C553" s="13" t="n"/>
      <c r="D553" s="7">
        <f>IF(OR(B553="",C553=""),"",ROUND((C553-B553)*1440,0))</f>
        <v/>
      </c>
      <c r="E553" s="12" t="n"/>
      <c r="F553" s="12" t="n"/>
      <c r="G553" s="12" t="n"/>
      <c r="H553" s="12" t="n"/>
      <c r="I553" s="12" t="n"/>
      <c r="J553" s="12" t="n"/>
      <c r="K553" s="12" t="n"/>
      <c r="L553" s="14" t="n"/>
      <c r="M553" s="12" t="n"/>
      <c r="N553" s="12" t="n"/>
      <c r="O553" s="12" t="n"/>
      <c r="P553" s="12" t="n"/>
      <c r="Q553" s="7">
        <f>IF(A553="","",IFERROR(VLOOKUP(O553,Listes!$R$3:$T$8,2,FALSE),0)+IFERROR(VLOOKUP(J553,Listes!$J$3:$L$6,2,FALSE),0)+IFERROR(VLOOKUP(N553,Listes!$N$3:$P$6,2,FALSE),0)+IF(OR(L553="",B553=""),0,IF(L553-INT(B553)&lt;10,8,IF(L553-INT(B553)&lt;=90,10,5)))+IFERROR(VLOOKUP(AN553,Listes!$V$3:$W$5,2,FALSE),0)+IFERROR(VLOOKUP(AO553,Listes!$Y$3:$Z$5,2,FALSE),0))</f>
        <v/>
      </c>
      <c r="R553" s="12" t="n"/>
      <c r="S553" s="12" t="n"/>
      <c r="T553" s="12" t="n"/>
      <c r="U553" s="15" t="n"/>
      <c r="V553" s="15" t="n"/>
      <c r="W553" s="13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3" t="n"/>
      <c r="AK553" s="12" t="n"/>
      <c r="AL553" s="12" t="n"/>
      <c r="AM553" s="12" t="n"/>
      <c r="AN553" s="12" t="n"/>
      <c r="AO553" s="12" t="n"/>
      <c r="AP553" s="12" t="n"/>
      <c r="AQ553" s="7">
        <f>IF(A553="","",IF(AP553&lt;&gt;"",AP553,IF(LEFT(Z553,11)="gads_marque","Google Search – Marque",IF(LEFT(Z553,12)="gads_mariage","Google Search – Mariage et privé",IF(LEFT(Z553,10)="gads_corpo","Google Search – Corporatif",IF(LEFT(Z553,5)="meta_","Meta – Leads",IF(LEFT(Z553,5)="msft_","Microsoft Ads",IF(LEFT(Z553,8)="chatgpt_","ChatGPT Ads – Test",IF(X553="gbp","Fiche Google (organique)","Autre / non payé")))))))))</f>
        <v/>
      </c>
      <c r="AR553" s="7">
        <f>IF(K553="","",IFERROR(VLOOKUP(K553,Listes!$F$3:$H$8,3,FALSE),""))</f>
        <v/>
      </c>
      <c r="AS553" s="7">
        <f>IF(O553="","",IF(AND(M553="Autre (plus de 40 km)",OR(O553="lt600",O553="600_999",O553="1000_2499")),"D",IF(OR(O553="lt600",AND(O553="600_999",K553&lt;&gt;"mariage",K553&lt;&gt;"prive")),"C",IF(OR(O553="2500_4999",O553="5000p",J553="entreprise",J553="organisme",J553="agence"),"A",IF(OR(O553="1000_2499",O553="600_999"),"B",IF(O553="inconnu",IF(OR(N553="75_149",N553="150p"),"A","B"),""))))))</f>
        <v/>
      </c>
      <c r="AT553" s="7">
        <f>IF(A553="","",IF(P553&lt;&gt;"",P553,AS553))</f>
        <v/>
      </c>
      <c r="AU553" s="7">
        <f>IF(A553="","",IF(OR(AT553="A",AT553="B"),1,0))</f>
        <v/>
      </c>
      <c r="AV553" s="7">
        <f>IF(A553="","",IF(OR(R553="Dépôt payé (gagné)",R553="Événement livré",R553="Avis obtenu"),1,0))</f>
        <v/>
      </c>
      <c r="AW553" s="7">
        <f>IF(A553="","",IF(Q553&gt;70,"Immédiat – propriétaire",IF(Q553&gt;=40,"15 min – personne de garde","Selon la route")))</f>
        <v/>
      </c>
      <c r="AX553" s="11">
        <f>IF(A553="","",IF(AT553="A",400,IF(AT553="B",150,0)))</f>
        <v/>
      </c>
      <c r="AY553" s="11">
        <f>IF(A553="","",IF(AV553=1,N(V553),IF(N(U553)&gt;0,ROUND(N(U553)*IFERROR(VLOOKUP(R553,Listes!$AE$3:$AG$12,2,FALSE),0),0),0)))</f>
        <v/>
      </c>
      <c r="AZ553" s="7">
        <f>IF(LEFT(A553,7)="EXEMPLE",1,0)</f>
        <v/>
      </c>
      <c r="BA553" s="7">
        <f>IF(AND(AV553=1,AZ553=0,AC553&lt;&gt;"",W553&lt;&gt;"",N(V553)&gt;0),COUNTIFS($AV$3:AV553,1,$AZ$3:AZ553,0,$AC$3:AC553,"&lt;&gt;",$W$3:W553,"&lt;&gt;",$V$3:V553,"&gt;0"),"")</f>
        <v/>
      </c>
    </row>
    <row r="554">
      <c r="A554" s="12" t="n"/>
      <c r="B554" s="13" t="n"/>
      <c r="C554" s="13" t="n"/>
      <c r="D554" s="7">
        <f>IF(OR(B554="",C554=""),"",ROUND((C554-B554)*1440,0))</f>
        <v/>
      </c>
      <c r="E554" s="12" t="n"/>
      <c r="F554" s="12" t="n"/>
      <c r="G554" s="12" t="n"/>
      <c r="H554" s="12" t="n"/>
      <c r="I554" s="12" t="n"/>
      <c r="J554" s="12" t="n"/>
      <c r="K554" s="12" t="n"/>
      <c r="L554" s="14" t="n"/>
      <c r="M554" s="12" t="n"/>
      <c r="N554" s="12" t="n"/>
      <c r="O554" s="12" t="n"/>
      <c r="P554" s="12" t="n"/>
      <c r="Q554" s="7">
        <f>IF(A554="","",IFERROR(VLOOKUP(O554,Listes!$R$3:$T$8,2,FALSE),0)+IFERROR(VLOOKUP(J554,Listes!$J$3:$L$6,2,FALSE),0)+IFERROR(VLOOKUP(N554,Listes!$N$3:$P$6,2,FALSE),0)+IF(OR(L554="",B554=""),0,IF(L554-INT(B554)&lt;10,8,IF(L554-INT(B554)&lt;=90,10,5)))+IFERROR(VLOOKUP(AN554,Listes!$V$3:$W$5,2,FALSE),0)+IFERROR(VLOOKUP(AO554,Listes!$Y$3:$Z$5,2,FALSE),0))</f>
        <v/>
      </c>
      <c r="R554" s="12" t="n"/>
      <c r="S554" s="12" t="n"/>
      <c r="T554" s="12" t="n"/>
      <c r="U554" s="15" t="n"/>
      <c r="V554" s="15" t="n"/>
      <c r="W554" s="13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3" t="n"/>
      <c r="AK554" s="12" t="n"/>
      <c r="AL554" s="12" t="n"/>
      <c r="AM554" s="12" t="n"/>
      <c r="AN554" s="12" t="n"/>
      <c r="AO554" s="12" t="n"/>
      <c r="AP554" s="12" t="n"/>
      <c r="AQ554" s="7">
        <f>IF(A554="","",IF(AP554&lt;&gt;"",AP554,IF(LEFT(Z554,11)="gads_marque","Google Search – Marque",IF(LEFT(Z554,12)="gads_mariage","Google Search – Mariage et privé",IF(LEFT(Z554,10)="gads_corpo","Google Search – Corporatif",IF(LEFT(Z554,5)="meta_","Meta – Leads",IF(LEFT(Z554,5)="msft_","Microsoft Ads",IF(LEFT(Z554,8)="chatgpt_","ChatGPT Ads – Test",IF(X554="gbp","Fiche Google (organique)","Autre / non payé")))))))))</f>
        <v/>
      </c>
      <c r="AR554" s="7">
        <f>IF(K554="","",IFERROR(VLOOKUP(K554,Listes!$F$3:$H$8,3,FALSE),""))</f>
        <v/>
      </c>
      <c r="AS554" s="7">
        <f>IF(O554="","",IF(AND(M554="Autre (plus de 40 km)",OR(O554="lt600",O554="600_999",O554="1000_2499")),"D",IF(OR(O554="lt600",AND(O554="600_999",K554&lt;&gt;"mariage",K554&lt;&gt;"prive")),"C",IF(OR(O554="2500_4999",O554="5000p",J554="entreprise",J554="organisme",J554="agence"),"A",IF(OR(O554="1000_2499",O554="600_999"),"B",IF(O554="inconnu",IF(OR(N554="75_149",N554="150p"),"A","B"),""))))))</f>
        <v/>
      </c>
      <c r="AT554" s="7">
        <f>IF(A554="","",IF(P554&lt;&gt;"",P554,AS554))</f>
        <v/>
      </c>
      <c r="AU554" s="7">
        <f>IF(A554="","",IF(OR(AT554="A",AT554="B"),1,0))</f>
        <v/>
      </c>
      <c r="AV554" s="7">
        <f>IF(A554="","",IF(OR(R554="Dépôt payé (gagné)",R554="Événement livré",R554="Avis obtenu"),1,0))</f>
        <v/>
      </c>
      <c r="AW554" s="7">
        <f>IF(A554="","",IF(Q554&gt;70,"Immédiat – propriétaire",IF(Q554&gt;=40,"15 min – personne de garde","Selon la route")))</f>
        <v/>
      </c>
      <c r="AX554" s="11">
        <f>IF(A554="","",IF(AT554="A",400,IF(AT554="B",150,0)))</f>
        <v/>
      </c>
      <c r="AY554" s="11">
        <f>IF(A554="","",IF(AV554=1,N(V554),IF(N(U554)&gt;0,ROUND(N(U554)*IFERROR(VLOOKUP(R554,Listes!$AE$3:$AG$12,2,FALSE),0),0),0)))</f>
        <v/>
      </c>
      <c r="AZ554" s="7">
        <f>IF(LEFT(A554,7)="EXEMPLE",1,0)</f>
        <v/>
      </c>
      <c r="BA554" s="7">
        <f>IF(AND(AV554=1,AZ554=0,AC554&lt;&gt;"",W554&lt;&gt;"",N(V554)&gt;0),COUNTIFS($AV$3:AV554,1,$AZ$3:AZ554,0,$AC$3:AC554,"&lt;&gt;",$W$3:W554,"&lt;&gt;",$V$3:V554,"&gt;0"),"")</f>
        <v/>
      </c>
    </row>
    <row r="555">
      <c r="A555" s="12" t="n"/>
      <c r="B555" s="13" t="n"/>
      <c r="C555" s="13" t="n"/>
      <c r="D555" s="7">
        <f>IF(OR(B555="",C555=""),"",ROUND((C555-B555)*1440,0))</f>
        <v/>
      </c>
      <c r="E555" s="12" t="n"/>
      <c r="F555" s="12" t="n"/>
      <c r="G555" s="12" t="n"/>
      <c r="H555" s="12" t="n"/>
      <c r="I555" s="12" t="n"/>
      <c r="J555" s="12" t="n"/>
      <c r="K555" s="12" t="n"/>
      <c r="L555" s="14" t="n"/>
      <c r="M555" s="12" t="n"/>
      <c r="N555" s="12" t="n"/>
      <c r="O555" s="12" t="n"/>
      <c r="P555" s="12" t="n"/>
      <c r="Q555" s="7">
        <f>IF(A555="","",IFERROR(VLOOKUP(O555,Listes!$R$3:$T$8,2,FALSE),0)+IFERROR(VLOOKUP(J555,Listes!$J$3:$L$6,2,FALSE),0)+IFERROR(VLOOKUP(N555,Listes!$N$3:$P$6,2,FALSE),0)+IF(OR(L555="",B555=""),0,IF(L555-INT(B555)&lt;10,8,IF(L555-INT(B555)&lt;=90,10,5)))+IFERROR(VLOOKUP(AN555,Listes!$V$3:$W$5,2,FALSE),0)+IFERROR(VLOOKUP(AO555,Listes!$Y$3:$Z$5,2,FALSE),0))</f>
        <v/>
      </c>
      <c r="R555" s="12" t="n"/>
      <c r="S555" s="12" t="n"/>
      <c r="T555" s="12" t="n"/>
      <c r="U555" s="15" t="n"/>
      <c r="V555" s="15" t="n"/>
      <c r="W555" s="13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3" t="n"/>
      <c r="AK555" s="12" t="n"/>
      <c r="AL555" s="12" t="n"/>
      <c r="AM555" s="12" t="n"/>
      <c r="AN555" s="12" t="n"/>
      <c r="AO555" s="12" t="n"/>
      <c r="AP555" s="12" t="n"/>
      <c r="AQ555" s="7">
        <f>IF(A555="","",IF(AP555&lt;&gt;"",AP555,IF(LEFT(Z555,11)="gads_marque","Google Search – Marque",IF(LEFT(Z555,12)="gads_mariage","Google Search – Mariage et privé",IF(LEFT(Z555,10)="gads_corpo","Google Search – Corporatif",IF(LEFT(Z555,5)="meta_","Meta – Leads",IF(LEFT(Z555,5)="msft_","Microsoft Ads",IF(LEFT(Z555,8)="chatgpt_","ChatGPT Ads – Test",IF(X555="gbp","Fiche Google (organique)","Autre / non payé")))))))))</f>
        <v/>
      </c>
      <c r="AR555" s="7">
        <f>IF(K555="","",IFERROR(VLOOKUP(K555,Listes!$F$3:$H$8,3,FALSE),""))</f>
        <v/>
      </c>
      <c r="AS555" s="7">
        <f>IF(O555="","",IF(AND(M555="Autre (plus de 40 km)",OR(O555="lt600",O555="600_999",O555="1000_2499")),"D",IF(OR(O555="lt600",AND(O555="600_999",K555&lt;&gt;"mariage",K555&lt;&gt;"prive")),"C",IF(OR(O555="2500_4999",O555="5000p",J555="entreprise",J555="organisme",J555="agence"),"A",IF(OR(O555="1000_2499",O555="600_999"),"B",IF(O555="inconnu",IF(OR(N555="75_149",N555="150p"),"A","B"),""))))))</f>
        <v/>
      </c>
      <c r="AT555" s="7">
        <f>IF(A555="","",IF(P555&lt;&gt;"",P555,AS555))</f>
        <v/>
      </c>
      <c r="AU555" s="7">
        <f>IF(A555="","",IF(OR(AT555="A",AT555="B"),1,0))</f>
        <v/>
      </c>
      <c r="AV555" s="7">
        <f>IF(A555="","",IF(OR(R555="Dépôt payé (gagné)",R555="Événement livré",R555="Avis obtenu"),1,0))</f>
        <v/>
      </c>
      <c r="AW555" s="7">
        <f>IF(A555="","",IF(Q555&gt;70,"Immédiat – propriétaire",IF(Q555&gt;=40,"15 min – personne de garde","Selon la route")))</f>
        <v/>
      </c>
      <c r="AX555" s="11">
        <f>IF(A555="","",IF(AT555="A",400,IF(AT555="B",150,0)))</f>
        <v/>
      </c>
      <c r="AY555" s="11">
        <f>IF(A555="","",IF(AV555=1,N(V555),IF(N(U555)&gt;0,ROUND(N(U555)*IFERROR(VLOOKUP(R555,Listes!$AE$3:$AG$12,2,FALSE),0),0),0)))</f>
        <v/>
      </c>
      <c r="AZ555" s="7">
        <f>IF(LEFT(A555,7)="EXEMPLE",1,0)</f>
        <v/>
      </c>
      <c r="BA555" s="7">
        <f>IF(AND(AV555=1,AZ555=0,AC555&lt;&gt;"",W555&lt;&gt;"",N(V555)&gt;0),COUNTIFS($AV$3:AV555,1,$AZ$3:AZ555,0,$AC$3:AC555,"&lt;&gt;",$W$3:W555,"&lt;&gt;",$V$3:V555,"&gt;0"),"")</f>
        <v/>
      </c>
    </row>
    <row r="556">
      <c r="A556" s="12" t="n"/>
      <c r="B556" s="13" t="n"/>
      <c r="C556" s="13" t="n"/>
      <c r="D556" s="7">
        <f>IF(OR(B556="",C556=""),"",ROUND((C556-B556)*1440,0))</f>
        <v/>
      </c>
      <c r="E556" s="12" t="n"/>
      <c r="F556" s="12" t="n"/>
      <c r="G556" s="12" t="n"/>
      <c r="H556" s="12" t="n"/>
      <c r="I556" s="12" t="n"/>
      <c r="J556" s="12" t="n"/>
      <c r="K556" s="12" t="n"/>
      <c r="L556" s="14" t="n"/>
      <c r="M556" s="12" t="n"/>
      <c r="N556" s="12" t="n"/>
      <c r="O556" s="12" t="n"/>
      <c r="P556" s="12" t="n"/>
      <c r="Q556" s="7">
        <f>IF(A556="","",IFERROR(VLOOKUP(O556,Listes!$R$3:$T$8,2,FALSE),0)+IFERROR(VLOOKUP(J556,Listes!$J$3:$L$6,2,FALSE),0)+IFERROR(VLOOKUP(N556,Listes!$N$3:$P$6,2,FALSE),0)+IF(OR(L556="",B556=""),0,IF(L556-INT(B556)&lt;10,8,IF(L556-INT(B556)&lt;=90,10,5)))+IFERROR(VLOOKUP(AN556,Listes!$V$3:$W$5,2,FALSE),0)+IFERROR(VLOOKUP(AO556,Listes!$Y$3:$Z$5,2,FALSE),0))</f>
        <v/>
      </c>
      <c r="R556" s="12" t="n"/>
      <c r="S556" s="12" t="n"/>
      <c r="T556" s="12" t="n"/>
      <c r="U556" s="15" t="n"/>
      <c r="V556" s="15" t="n"/>
      <c r="W556" s="13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3" t="n"/>
      <c r="AK556" s="12" t="n"/>
      <c r="AL556" s="12" t="n"/>
      <c r="AM556" s="12" t="n"/>
      <c r="AN556" s="12" t="n"/>
      <c r="AO556" s="12" t="n"/>
      <c r="AP556" s="12" t="n"/>
      <c r="AQ556" s="7">
        <f>IF(A556="","",IF(AP556&lt;&gt;"",AP556,IF(LEFT(Z556,11)="gads_marque","Google Search – Marque",IF(LEFT(Z556,12)="gads_mariage","Google Search – Mariage et privé",IF(LEFT(Z556,10)="gads_corpo","Google Search – Corporatif",IF(LEFT(Z556,5)="meta_","Meta – Leads",IF(LEFT(Z556,5)="msft_","Microsoft Ads",IF(LEFT(Z556,8)="chatgpt_","ChatGPT Ads – Test",IF(X556="gbp","Fiche Google (organique)","Autre / non payé")))))))))</f>
        <v/>
      </c>
      <c r="AR556" s="7">
        <f>IF(K556="","",IFERROR(VLOOKUP(K556,Listes!$F$3:$H$8,3,FALSE),""))</f>
        <v/>
      </c>
      <c r="AS556" s="7">
        <f>IF(O556="","",IF(AND(M556="Autre (plus de 40 km)",OR(O556="lt600",O556="600_999",O556="1000_2499")),"D",IF(OR(O556="lt600",AND(O556="600_999",K556&lt;&gt;"mariage",K556&lt;&gt;"prive")),"C",IF(OR(O556="2500_4999",O556="5000p",J556="entreprise",J556="organisme",J556="agence"),"A",IF(OR(O556="1000_2499",O556="600_999"),"B",IF(O556="inconnu",IF(OR(N556="75_149",N556="150p"),"A","B"),""))))))</f>
        <v/>
      </c>
      <c r="AT556" s="7">
        <f>IF(A556="","",IF(P556&lt;&gt;"",P556,AS556))</f>
        <v/>
      </c>
      <c r="AU556" s="7">
        <f>IF(A556="","",IF(OR(AT556="A",AT556="B"),1,0))</f>
        <v/>
      </c>
      <c r="AV556" s="7">
        <f>IF(A556="","",IF(OR(R556="Dépôt payé (gagné)",R556="Événement livré",R556="Avis obtenu"),1,0))</f>
        <v/>
      </c>
      <c r="AW556" s="7">
        <f>IF(A556="","",IF(Q556&gt;70,"Immédiat – propriétaire",IF(Q556&gt;=40,"15 min – personne de garde","Selon la route")))</f>
        <v/>
      </c>
      <c r="AX556" s="11">
        <f>IF(A556="","",IF(AT556="A",400,IF(AT556="B",150,0)))</f>
        <v/>
      </c>
      <c r="AY556" s="11">
        <f>IF(A556="","",IF(AV556=1,N(V556),IF(N(U556)&gt;0,ROUND(N(U556)*IFERROR(VLOOKUP(R556,Listes!$AE$3:$AG$12,2,FALSE),0),0),0)))</f>
        <v/>
      </c>
      <c r="AZ556" s="7">
        <f>IF(LEFT(A556,7)="EXEMPLE",1,0)</f>
        <v/>
      </c>
      <c r="BA556" s="7">
        <f>IF(AND(AV556=1,AZ556=0,AC556&lt;&gt;"",W556&lt;&gt;"",N(V556)&gt;0),COUNTIFS($AV$3:AV556,1,$AZ$3:AZ556,0,$AC$3:AC556,"&lt;&gt;",$W$3:W556,"&lt;&gt;",$V$3:V556,"&gt;0"),"")</f>
        <v/>
      </c>
    </row>
    <row r="557">
      <c r="A557" s="12" t="n"/>
      <c r="B557" s="13" t="n"/>
      <c r="C557" s="13" t="n"/>
      <c r="D557" s="7">
        <f>IF(OR(B557="",C557=""),"",ROUND((C557-B557)*1440,0))</f>
        <v/>
      </c>
      <c r="E557" s="12" t="n"/>
      <c r="F557" s="12" t="n"/>
      <c r="G557" s="12" t="n"/>
      <c r="H557" s="12" t="n"/>
      <c r="I557" s="12" t="n"/>
      <c r="J557" s="12" t="n"/>
      <c r="K557" s="12" t="n"/>
      <c r="L557" s="14" t="n"/>
      <c r="M557" s="12" t="n"/>
      <c r="N557" s="12" t="n"/>
      <c r="O557" s="12" t="n"/>
      <c r="P557" s="12" t="n"/>
      <c r="Q557" s="7">
        <f>IF(A557="","",IFERROR(VLOOKUP(O557,Listes!$R$3:$T$8,2,FALSE),0)+IFERROR(VLOOKUP(J557,Listes!$J$3:$L$6,2,FALSE),0)+IFERROR(VLOOKUP(N557,Listes!$N$3:$P$6,2,FALSE),0)+IF(OR(L557="",B557=""),0,IF(L557-INT(B557)&lt;10,8,IF(L557-INT(B557)&lt;=90,10,5)))+IFERROR(VLOOKUP(AN557,Listes!$V$3:$W$5,2,FALSE),0)+IFERROR(VLOOKUP(AO557,Listes!$Y$3:$Z$5,2,FALSE),0))</f>
        <v/>
      </c>
      <c r="R557" s="12" t="n"/>
      <c r="S557" s="12" t="n"/>
      <c r="T557" s="12" t="n"/>
      <c r="U557" s="15" t="n"/>
      <c r="V557" s="15" t="n"/>
      <c r="W557" s="13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3" t="n"/>
      <c r="AK557" s="12" t="n"/>
      <c r="AL557" s="12" t="n"/>
      <c r="AM557" s="12" t="n"/>
      <c r="AN557" s="12" t="n"/>
      <c r="AO557" s="12" t="n"/>
      <c r="AP557" s="12" t="n"/>
      <c r="AQ557" s="7">
        <f>IF(A557="","",IF(AP557&lt;&gt;"",AP557,IF(LEFT(Z557,11)="gads_marque","Google Search – Marque",IF(LEFT(Z557,12)="gads_mariage","Google Search – Mariage et privé",IF(LEFT(Z557,10)="gads_corpo","Google Search – Corporatif",IF(LEFT(Z557,5)="meta_","Meta – Leads",IF(LEFT(Z557,5)="msft_","Microsoft Ads",IF(LEFT(Z557,8)="chatgpt_","ChatGPT Ads – Test",IF(X557="gbp","Fiche Google (organique)","Autre / non payé")))))))))</f>
        <v/>
      </c>
      <c r="AR557" s="7">
        <f>IF(K557="","",IFERROR(VLOOKUP(K557,Listes!$F$3:$H$8,3,FALSE),""))</f>
        <v/>
      </c>
      <c r="AS557" s="7">
        <f>IF(O557="","",IF(AND(M557="Autre (plus de 40 km)",OR(O557="lt600",O557="600_999",O557="1000_2499")),"D",IF(OR(O557="lt600",AND(O557="600_999",K557&lt;&gt;"mariage",K557&lt;&gt;"prive")),"C",IF(OR(O557="2500_4999",O557="5000p",J557="entreprise",J557="organisme",J557="agence"),"A",IF(OR(O557="1000_2499",O557="600_999"),"B",IF(O557="inconnu",IF(OR(N557="75_149",N557="150p"),"A","B"),""))))))</f>
        <v/>
      </c>
      <c r="AT557" s="7">
        <f>IF(A557="","",IF(P557&lt;&gt;"",P557,AS557))</f>
        <v/>
      </c>
      <c r="AU557" s="7">
        <f>IF(A557="","",IF(OR(AT557="A",AT557="B"),1,0))</f>
        <v/>
      </c>
      <c r="AV557" s="7">
        <f>IF(A557="","",IF(OR(R557="Dépôt payé (gagné)",R557="Événement livré",R557="Avis obtenu"),1,0))</f>
        <v/>
      </c>
      <c r="AW557" s="7">
        <f>IF(A557="","",IF(Q557&gt;70,"Immédiat – propriétaire",IF(Q557&gt;=40,"15 min – personne de garde","Selon la route")))</f>
        <v/>
      </c>
      <c r="AX557" s="11">
        <f>IF(A557="","",IF(AT557="A",400,IF(AT557="B",150,0)))</f>
        <v/>
      </c>
      <c r="AY557" s="11">
        <f>IF(A557="","",IF(AV557=1,N(V557),IF(N(U557)&gt;0,ROUND(N(U557)*IFERROR(VLOOKUP(R557,Listes!$AE$3:$AG$12,2,FALSE),0),0),0)))</f>
        <v/>
      </c>
      <c r="AZ557" s="7">
        <f>IF(LEFT(A557,7)="EXEMPLE",1,0)</f>
        <v/>
      </c>
      <c r="BA557" s="7">
        <f>IF(AND(AV557=1,AZ557=0,AC557&lt;&gt;"",W557&lt;&gt;"",N(V557)&gt;0),COUNTIFS($AV$3:AV557,1,$AZ$3:AZ557,0,$AC$3:AC557,"&lt;&gt;",$W$3:W557,"&lt;&gt;",$V$3:V557,"&gt;0"),"")</f>
        <v/>
      </c>
    </row>
    <row r="558">
      <c r="A558" s="12" t="n"/>
      <c r="B558" s="13" t="n"/>
      <c r="C558" s="13" t="n"/>
      <c r="D558" s="7">
        <f>IF(OR(B558="",C558=""),"",ROUND((C558-B558)*1440,0))</f>
        <v/>
      </c>
      <c r="E558" s="12" t="n"/>
      <c r="F558" s="12" t="n"/>
      <c r="G558" s="12" t="n"/>
      <c r="H558" s="12" t="n"/>
      <c r="I558" s="12" t="n"/>
      <c r="J558" s="12" t="n"/>
      <c r="K558" s="12" t="n"/>
      <c r="L558" s="14" t="n"/>
      <c r="M558" s="12" t="n"/>
      <c r="N558" s="12" t="n"/>
      <c r="O558" s="12" t="n"/>
      <c r="P558" s="12" t="n"/>
      <c r="Q558" s="7">
        <f>IF(A558="","",IFERROR(VLOOKUP(O558,Listes!$R$3:$T$8,2,FALSE),0)+IFERROR(VLOOKUP(J558,Listes!$J$3:$L$6,2,FALSE),0)+IFERROR(VLOOKUP(N558,Listes!$N$3:$P$6,2,FALSE),0)+IF(OR(L558="",B558=""),0,IF(L558-INT(B558)&lt;10,8,IF(L558-INT(B558)&lt;=90,10,5)))+IFERROR(VLOOKUP(AN558,Listes!$V$3:$W$5,2,FALSE),0)+IFERROR(VLOOKUP(AO558,Listes!$Y$3:$Z$5,2,FALSE),0))</f>
        <v/>
      </c>
      <c r="R558" s="12" t="n"/>
      <c r="S558" s="12" t="n"/>
      <c r="T558" s="12" t="n"/>
      <c r="U558" s="15" t="n"/>
      <c r="V558" s="15" t="n"/>
      <c r="W558" s="13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3" t="n"/>
      <c r="AK558" s="12" t="n"/>
      <c r="AL558" s="12" t="n"/>
      <c r="AM558" s="12" t="n"/>
      <c r="AN558" s="12" t="n"/>
      <c r="AO558" s="12" t="n"/>
      <c r="AP558" s="12" t="n"/>
      <c r="AQ558" s="7">
        <f>IF(A558="","",IF(AP558&lt;&gt;"",AP558,IF(LEFT(Z558,11)="gads_marque","Google Search – Marque",IF(LEFT(Z558,12)="gads_mariage","Google Search – Mariage et privé",IF(LEFT(Z558,10)="gads_corpo","Google Search – Corporatif",IF(LEFT(Z558,5)="meta_","Meta – Leads",IF(LEFT(Z558,5)="msft_","Microsoft Ads",IF(LEFT(Z558,8)="chatgpt_","ChatGPT Ads – Test",IF(X558="gbp","Fiche Google (organique)","Autre / non payé")))))))))</f>
        <v/>
      </c>
      <c r="AR558" s="7">
        <f>IF(K558="","",IFERROR(VLOOKUP(K558,Listes!$F$3:$H$8,3,FALSE),""))</f>
        <v/>
      </c>
      <c r="AS558" s="7">
        <f>IF(O558="","",IF(AND(M558="Autre (plus de 40 km)",OR(O558="lt600",O558="600_999",O558="1000_2499")),"D",IF(OR(O558="lt600",AND(O558="600_999",K558&lt;&gt;"mariage",K558&lt;&gt;"prive")),"C",IF(OR(O558="2500_4999",O558="5000p",J558="entreprise",J558="organisme",J558="agence"),"A",IF(OR(O558="1000_2499",O558="600_999"),"B",IF(O558="inconnu",IF(OR(N558="75_149",N558="150p"),"A","B"),""))))))</f>
        <v/>
      </c>
      <c r="AT558" s="7">
        <f>IF(A558="","",IF(P558&lt;&gt;"",P558,AS558))</f>
        <v/>
      </c>
      <c r="AU558" s="7">
        <f>IF(A558="","",IF(OR(AT558="A",AT558="B"),1,0))</f>
        <v/>
      </c>
      <c r="AV558" s="7">
        <f>IF(A558="","",IF(OR(R558="Dépôt payé (gagné)",R558="Événement livré",R558="Avis obtenu"),1,0))</f>
        <v/>
      </c>
      <c r="AW558" s="7">
        <f>IF(A558="","",IF(Q558&gt;70,"Immédiat – propriétaire",IF(Q558&gt;=40,"15 min – personne de garde","Selon la route")))</f>
        <v/>
      </c>
      <c r="AX558" s="11">
        <f>IF(A558="","",IF(AT558="A",400,IF(AT558="B",150,0)))</f>
        <v/>
      </c>
      <c r="AY558" s="11">
        <f>IF(A558="","",IF(AV558=1,N(V558),IF(N(U558)&gt;0,ROUND(N(U558)*IFERROR(VLOOKUP(R558,Listes!$AE$3:$AG$12,2,FALSE),0),0),0)))</f>
        <v/>
      </c>
      <c r="AZ558" s="7">
        <f>IF(LEFT(A558,7)="EXEMPLE",1,0)</f>
        <v/>
      </c>
      <c r="BA558" s="7">
        <f>IF(AND(AV558=1,AZ558=0,AC558&lt;&gt;"",W558&lt;&gt;"",N(V558)&gt;0),COUNTIFS($AV$3:AV558,1,$AZ$3:AZ558,0,$AC$3:AC558,"&lt;&gt;",$W$3:W558,"&lt;&gt;",$V$3:V558,"&gt;0"),"")</f>
        <v/>
      </c>
    </row>
    <row r="559">
      <c r="A559" s="12" t="n"/>
      <c r="B559" s="13" t="n"/>
      <c r="C559" s="13" t="n"/>
      <c r="D559" s="7">
        <f>IF(OR(B559="",C559=""),"",ROUND((C559-B559)*1440,0))</f>
        <v/>
      </c>
      <c r="E559" s="12" t="n"/>
      <c r="F559" s="12" t="n"/>
      <c r="G559" s="12" t="n"/>
      <c r="H559" s="12" t="n"/>
      <c r="I559" s="12" t="n"/>
      <c r="J559" s="12" t="n"/>
      <c r="K559" s="12" t="n"/>
      <c r="L559" s="14" t="n"/>
      <c r="M559" s="12" t="n"/>
      <c r="N559" s="12" t="n"/>
      <c r="O559" s="12" t="n"/>
      <c r="P559" s="12" t="n"/>
      <c r="Q559" s="7">
        <f>IF(A559="","",IFERROR(VLOOKUP(O559,Listes!$R$3:$T$8,2,FALSE),0)+IFERROR(VLOOKUP(J559,Listes!$J$3:$L$6,2,FALSE),0)+IFERROR(VLOOKUP(N559,Listes!$N$3:$P$6,2,FALSE),0)+IF(OR(L559="",B559=""),0,IF(L559-INT(B559)&lt;10,8,IF(L559-INT(B559)&lt;=90,10,5)))+IFERROR(VLOOKUP(AN559,Listes!$V$3:$W$5,2,FALSE),0)+IFERROR(VLOOKUP(AO559,Listes!$Y$3:$Z$5,2,FALSE),0))</f>
        <v/>
      </c>
      <c r="R559" s="12" t="n"/>
      <c r="S559" s="12" t="n"/>
      <c r="T559" s="12" t="n"/>
      <c r="U559" s="15" t="n"/>
      <c r="V559" s="15" t="n"/>
      <c r="W559" s="13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3" t="n"/>
      <c r="AK559" s="12" t="n"/>
      <c r="AL559" s="12" t="n"/>
      <c r="AM559" s="12" t="n"/>
      <c r="AN559" s="12" t="n"/>
      <c r="AO559" s="12" t="n"/>
      <c r="AP559" s="12" t="n"/>
      <c r="AQ559" s="7">
        <f>IF(A559="","",IF(AP559&lt;&gt;"",AP559,IF(LEFT(Z559,11)="gads_marque","Google Search – Marque",IF(LEFT(Z559,12)="gads_mariage","Google Search – Mariage et privé",IF(LEFT(Z559,10)="gads_corpo","Google Search – Corporatif",IF(LEFT(Z559,5)="meta_","Meta – Leads",IF(LEFT(Z559,5)="msft_","Microsoft Ads",IF(LEFT(Z559,8)="chatgpt_","ChatGPT Ads – Test",IF(X559="gbp","Fiche Google (organique)","Autre / non payé")))))))))</f>
        <v/>
      </c>
      <c r="AR559" s="7">
        <f>IF(K559="","",IFERROR(VLOOKUP(K559,Listes!$F$3:$H$8,3,FALSE),""))</f>
        <v/>
      </c>
      <c r="AS559" s="7">
        <f>IF(O559="","",IF(AND(M559="Autre (plus de 40 km)",OR(O559="lt600",O559="600_999",O559="1000_2499")),"D",IF(OR(O559="lt600",AND(O559="600_999",K559&lt;&gt;"mariage",K559&lt;&gt;"prive")),"C",IF(OR(O559="2500_4999",O559="5000p",J559="entreprise",J559="organisme",J559="agence"),"A",IF(OR(O559="1000_2499",O559="600_999"),"B",IF(O559="inconnu",IF(OR(N559="75_149",N559="150p"),"A","B"),""))))))</f>
        <v/>
      </c>
      <c r="AT559" s="7">
        <f>IF(A559="","",IF(P559&lt;&gt;"",P559,AS559))</f>
        <v/>
      </c>
      <c r="AU559" s="7">
        <f>IF(A559="","",IF(OR(AT559="A",AT559="B"),1,0))</f>
        <v/>
      </c>
      <c r="AV559" s="7">
        <f>IF(A559="","",IF(OR(R559="Dépôt payé (gagné)",R559="Événement livré",R559="Avis obtenu"),1,0))</f>
        <v/>
      </c>
      <c r="AW559" s="7">
        <f>IF(A559="","",IF(Q559&gt;70,"Immédiat – propriétaire",IF(Q559&gt;=40,"15 min – personne de garde","Selon la route")))</f>
        <v/>
      </c>
      <c r="AX559" s="11">
        <f>IF(A559="","",IF(AT559="A",400,IF(AT559="B",150,0)))</f>
        <v/>
      </c>
      <c r="AY559" s="11">
        <f>IF(A559="","",IF(AV559=1,N(V559),IF(N(U559)&gt;0,ROUND(N(U559)*IFERROR(VLOOKUP(R559,Listes!$AE$3:$AG$12,2,FALSE),0),0),0)))</f>
        <v/>
      </c>
      <c r="AZ559" s="7">
        <f>IF(LEFT(A559,7)="EXEMPLE",1,0)</f>
        <v/>
      </c>
      <c r="BA559" s="7">
        <f>IF(AND(AV559=1,AZ559=0,AC559&lt;&gt;"",W559&lt;&gt;"",N(V559)&gt;0),COUNTIFS($AV$3:AV559,1,$AZ$3:AZ559,0,$AC$3:AC559,"&lt;&gt;",$W$3:W559,"&lt;&gt;",$V$3:V559,"&gt;0"),"")</f>
        <v/>
      </c>
    </row>
    <row r="560">
      <c r="A560" s="12" t="n"/>
      <c r="B560" s="13" t="n"/>
      <c r="C560" s="13" t="n"/>
      <c r="D560" s="7">
        <f>IF(OR(B560="",C560=""),"",ROUND((C560-B560)*1440,0))</f>
        <v/>
      </c>
      <c r="E560" s="12" t="n"/>
      <c r="F560" s="12" t="n"/>
      <c r="G560" s="12" t="n"/>
      <c r="H560" s="12" t="n"/>
      <c r="I560" s="12" t="n"/>
      <c r="J560" s="12" t="n"/>
      <c r="K560" s="12" t="n"/>
      <c r="L560" s="14" t="n"/>
      <c r="M560" s="12" t="n"/>
      <c r="N560" s="12" t="n"/>
      <c r="O560" s="12" t="n"/>
      <c r="P560" s="12" t="n"/>
      <c r="Q560" s="7">
        <f>IF(A560="","",IFERROR(VLOOKUP(O560,Listes!$R$3:$T$8,2,FALSE),0)+IFERROR(VLOOKUP(J560,Listes!$J$3:$L$6,2,FALSE),0)+IFERROR(VLOOKUP(N560,Listes!$N$3:$P$6,2,FALSE),0)+IF(OR(L560="",B560=""),0,IF(L560-INT(B560)&lt;10,8,IF(L560-INT(B560)&lt;=90,10,5)))+IFERROR(VLOOKUP(AN560,Listes!$V$3:$W$5,2,FALSE),0)+IFERROR(VLOOKUP(AO560,Listes!$Y$3:$Z$5,2,FALSE),0))</f>
        <v/>
      </c>
      <c r="R560" s="12" t="n"/>
      <c r="S560" s="12" t="n"/>
      <c r="T560" s="12" t="n"/>
      <c r="U560" s="15" t="n"/>
      <c r="V560" s="15" t="n"/>
      <c r="W560" s="13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3" t="n"/>
      <c r="AK560" s="12" t="n"/>
      <c r="AL560" s="12" t="n"/>
      <c r="AM560" s="12" t="n"/>
      <c r="AN560" s="12" t="n"/>
      <c r="AO560" s="12" t="n"/>
      <c r="AP560" s="12" t="n"/>
      <c r="AQ560" s="7">
        <f>IF(A560="","",IF(AP560&lt;&gt;"",AP560,IF(LEFT(Z560,11)="gads_marque","Google Search – Marque",IF(LEFT(Z560,12)="gads_mariage","Google Search – Mariage et privé",IF(LEFT(Z560,10)="gads_corpo","Google Search – Corporatif",IF(LEFT(Z560,5)="meta_","Meta – Leads",IF(LEFT(Z560,5)="msft_","Microsoft Ads",IF(LEFT(Z560,8)="chatgpt_","ChatGPT Ads – Test",IF(X560="gbp","Fiche Google (organique)","Autre / non payé")))))))))</f>
        <v/>
      </c>
      <c r="AR560" s="7">
        <f>IF(K560="","",IFERROR(VLOOKUP(K560,Listes!$F$3:$H$8,3,FALSE),""))</f>
        <v/>
      </c>
      <c r="AS560" s="7">
        <f>IF(O560="","",IF(AND(M560="Autre (plus de 40 km)",OR(O560="lt600",O560="600_999",O560="1000_2499")),"D",IF(OR(O560="lt600",AND(O560="600_999",K560&lt;&gt;"mariage",K560&lt;&gt;"prive")),"C",IF(OR(O560="2500_4999",O560="5000p",J560="entreprise",J560="organisme",J560="agence"),"A",IF(OR(O560="1000_2499",O560="600_999"),"B",IF(O560="inconnu",IF(OR(N560="75_149",N560="150p"),"A","B"),""))))))</f>
        <v/>
      </c>
      <c r="AT560" s="7">
        <f>IF(A560="","",IF(P560&lt;&gt;"",P560,AS560))</f>
        <v/>
      </c>
      <c r="AU560" s="7">
        <f>IF(A560="","",IF(OR(AT560="A",AT560="B"),1,0))</f>
        <v/>
      </c>
      <c r="AV560" s="7">
        <f>IF(A560="","",IF(OR(R560="Dépôt payé (gagné)",R560="Événement livré",R560="Avis obtenu"),1,0))</f>
        <v/>
      </c>
      <c r="AW560" s="7">
        <f>IF(A560="","",IF(Q560&gt;70,"Immédiat – propriétaire",IF(Q560&gt;=40,"15 min – personne de garde","Selon la route")))</f>
        <v/>
      </c>
      <c r="AX560" s="11">
        <f>IF(A560="","",IF(AT560="A",400,IF(AT560="B",150,0)))</f>
        <v/>
      </c>
      <c r="AY560" s="11">
        <f>IF(A560="","",IF(AV560=1,N(V560),IF(N(U560)&gt;0,ROUND(N(U560)*IFERROR(VLOOKUP(R560,Listes!$AE$3:$AG$12,2,FALSE),0),0),0)))</f>
        <v/>
      </c>
      <c r="AZ560" s="7">
        <f>IF(LEFT(A560,7)="EXEMPLE",1,0)</f>
        <v/>
      </c>
      <c r="BA560" s="7">
        <f>IF(AND(AV560=1,AZ560=0,AC560&lt;&gt;"",W560&lt;&gt;"",N(V560)&gt;0),COUNTIFS($AV$3:AV560,1,$AZ$3:AZ560,0,$AC$3:AC560,"&lt;&gt;",$W$3:W560,"&lt;&gt;",$V$3:V560,"&gt;0"),"")</f>
        <v/>
      </c>
    </row>
    <row r="561">
      <c r="A561" s="12" t="n"/>
      <c r="B561" s="13" t="n"/>
      <c r="C561" s="13" t="n"/>
      <c r="D561" s="7">
        <f>IF(OR(B561="",C561=""),"",ROUND((C561-B561)*1440,0))</f>
        <v/>
      </c>
      <c r="E561" s="12" t="n"/>
      <c r="F561" s="12" t="n"/>
      <c r="G561" s="12" t="n"/>
      <c r="H561" s="12" t="n"/>
      <c r="I561" s="12" t="n"/>
      <c r="J561" s="12" t="n"/>
      <c r="K561" s="12" t="n"/>
      <c r="L561" s="14" t="n"/>
      <c r="M561" s="12" t="n"/>
      <c r="N561" s="12" t="n"/>
      <c r="O561" s="12" t="n"/>
      <c r="P561" s="12" t="n"/>
      <c r="Q561" s="7">
        <f>IF(A561="","",IFERROR(VLOOKUP(O561,Listes!$R$3:$T$8,2,FALSE),0)+IFERROR(VLOOKUP(J561,Listes!$J$3:$L$6,2,FALSE),0)+IFERROR(VLOOKUP(N561,Listes!$N$3:$P$6,2,FALSE),0)+IF(OR(L561="",B561=""),0,IF(L561-INT(B561)&lt;10,8,IF(L561-INT(B561)&lt;=90,10,5)))+IFERROR(VLOOKUP(AN561,Listes!$V$3:$W$5,2,FALSE),0)+IFERROR(VLOOKUP(AO561,Listes!$Y$3:$Z$5,2,FALSE),0))</f>
        <v/>
      </c>
      <c r="R561" s="12" t="n"/>
      <c r="S561" s="12" t="n"/>
      <c r="T561" s="12" t="n"/>
      <c r="U561" s="15" t="n"/>
      <c r="V561" s="15" t="n"/>
      <c r="W561" s="13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3" t="n"/>
      <c r="AK561" s="12" t="n"/>
      <c r="AL561" s="12" t="n"/>
      <c r="AM561" s="12" t="n"/>
      <c r="AN561" s="12" t="n"/>
      <c r="AO561" s="12" t="n"/>
      <c r="AP561" s="12" t="n"/>
      <c r="AQ561" s="7">
        <f>IF(A561="","",IF(AP561&lt;&gt;"",AP561,IF(LEFT(Z561,11)="gads_marque","Google Search – Marque",IF(LEFT(Z561,12)="gads_mariage","Google Search – Mariage et privé",IF(LEFT(Z561,10)="gads_corpo","Google Search – Corporatif",IF(LEFT(Z561,5)="meta_","Meta – Leads",IF(LEFT(Z561,5)="msft_","Microsoft Ads",IF(LEFT(Z561,8)="chatgpt_","ChatGPT Ads – Test",IF(X561="gbp","Fiche Google (organique)","Autre / non payé")))))))))</f>
        <v/>
      </c>
      <c r="AR561" s="7">
        <f>IF(K561="","",IFERROR(VLOOKUP(K561,Listes!$F$3:$H$8,3,FALSE),""))</f>
        <v/>
      </c>
      <c r="AS561" s="7">
        <f>IF(O561="","",IF(AND(M561="Autre (plus de 40 km)",OR(O561="lt600",O561="600_999",O561="1000_2499")),"D",IF(OR(O561="lt600",AND(O561="600_999",K561&lt;&gt;"mariage",K561&lt;&gt;"prive")),"C",IF(OR(O561="2500_4999",O561="5000p",J561="entreprise",J561="organisme",J561="agence"),"A",IF(OR(O561="1000_2499",O561="600_999"),"B",IF(O561="inconnu",IF(OR(N561="75_149",N561="150p"),"A","B"),""))))))</f>
        <v/>
      </c>
      <c r="AT561" s="7">
        <f>IF(A561="","",IF(P561&lt;&gt;"",P561,AS561))</f>
        <v/>
      </c>
      <c r="AU561" s="7">
        <f>IF(A561="","",IF(OR(AT561="A",AT561="B"),1,0))</f>
        <v/>
      </c>
      <c r="AV561" s="7">
        <f>IF(A561="","",IF(OR(R561="Dépôt payé (gagné)",R561="Événement livré",R561="Avis obtenu"),1,0))</f>
        <v/>
      </c>
      <c r="AW561" s="7">
        <f>IF(A561="","",IF(Q561&gt;70,"Immédiat – propriétaire",IF(Q561&gt;=40,"15 min – personne de garde","Selon la route")))</f>
        <v/>
      </c>
      <c r="AX561" s="11">
        <f>IF(A561="","",IF(AT561="A",400,IF(AT561="B",150,0)))</f>
        <v/>
      </c>
      <c r="AY561" s="11">
        <f>IF(A561="","",IF(AV561=1,N(V561),IF(N(U561)&gt;0,ROUND(N(U561)*IFERROR(VLOOKUP(R561,Listes!$AE$3:$AG$12,2,FALSE),0),0),0)))</f>
        <v/>
      </c>
      <c r="AZ561" s="7">
        <f>IF(LEFT(A561,7)="EXEMPLE",1,0)</f>
        <v/>
      </c>
      <c r="BA561" s="7">
        <f>IF(AND(AV561=1,AZ561=0,AC561&lt;&gt;"",W561&lt;&gt;"",N(V561)&gt;0),COUNTIFS($AV$3:AV561,1,$AZ$3:AZ561,0,$AC$3:AC561,"&lt;&gt;",$W$3:W561,"&lt;&gt;",$V$3:V561,"&gt;0"),"")</f>
        <v/>
      </c>
    </row>
    <row r="562">
      <c r="A562" s="12" t="n"/>
      <c r="B562" s="13" t="n"/>
      <c r="C562" s="13" t="n"/>
      <c r="D562" s="7">
        <f>IF(OR(B562="",C562=""),"",ROUND((C562-B562)*1440,0))</f>
        <v/>
      </c>
      <c r="E562" s="12" t="n"/>
      <c r="F562" s="12" t="n"/>
      <c r="G562" s="12" t="n"/>
      <c r="H562" s="12" t="n"/>
      <c r="I562" s="12" t="n"/>
      <c r="J562" s="12" t="n"/>
      <c r="K562" s="12" t="n"/>
      <c r="L562" s="14" t="n"/>
      <c r="M562" s="12" t="n"/>
      <c r="N562" s="12" t="n"/>
      <c r="O562" s="12" t="n"/>
      <c r="P562" s="12" t="n"/>
      <c r="Q562" s="7">
        <f>IF(A562="","",IFERROR(VLOOKUP(O562,Listes!$R$3:$T$8,2,FALSE),0)+IFERROR(VLOOKUP(J562,Listes!$J$3:$L$6,2,FALSE),0)+IFERROR(VLOOKUP(N562,Listes!$N$3:$P$6,2,FALSE),0)+IF(OR(L562="",B562=""),0,IF(L562-INT(B562)&lt;10,8,IF(L562-INT(B562)&lt;=90,10,5)))+IFERROR(VLOOKUP(AN562,Listes!$V$3:$W$5,2,FALSE),0)+IFERROR(VLOOKUP(AO562,Listes!$Y$3:$Z$5,2,FALSE),0))</f>
        <v/>
      </c>
      <c r="R562" s="12" t="n"/>
      <c r="S562" s="12" t="n"/>
      <c r="T562" s="12" t="n"/>
      <c r="U562" s="15" t="n"/>
      <c r="V562" s="15" t="n"/>
      <c r="W562" s="13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3" t="n"/>
      <c r="AK562" s="12" t="n"/>
      <c r="AL562" s="12" t="n"/>
      <c r="AM562" s="12" t="n"/>
      <c r="AN562" s="12" t="n"/>
      <c r="AO562" s="12" t="n"/>
      <c r="AP562" s="12" t="n"/>
      <c r="AQ562" s="7">
        <f>IF(A562="","",IF(AP562&lt;&gt;"",AP562,IF(LEFT(Z562,11)="gads_marque","Google Search – Marque",IF(LEFT(Z562,12)="gads_mariage","Google Search – Mariage et privé",IF(LEFT(Z562,10)="gads_corpo","Google Search – Corporatif",IF(LEFT(Z562,5)="meta_","Meta – Leads",IF(LEFT(Z562,5)="msft_","Microsoft Ads",IF(LEFT(Z562,8)="chatgpt_","ChatGPT Ads – Test",IF(X562="gbp","Fiche Google (organique)","Autre / non payé")))))))))</f>
        <v/>
      </c>
      <c r="AR562" s="7">
        <f>IF(K562="","",IFERROR(VLOOKUP(K562,Listes!$F$3:$H$8,3,FALSE),""))</f>
        <v/>
      </c>
      <c r="AS562" s="7">
        <f>IF(O562="","",IF(AND(M562="Autre (plus de 40 km)",OR(O562="lt600",O562="600_999",O562="1000_2499")),"D",IF(OR(O562="lt600",AND(O562="600_999",K562&lt;&gt;"mariage",K562&lt;&gt;"prive")),"C",IF(OR(O562="2500_4999",O562="5000p",J562="entreprise",J562="organisme",J562="agence"),"A",IF(OR(O562="1000_2499",O562="600_999"),"B",IF(O562="inconnu",IF(OR(N562="75_149",N562="150p"),"A","B"),""))))))</f>
        <v/>
      </c>
      <c r="AT562" s="7">
        <f>IF(A562="","",IF(P562&lt;&gt;"",P562,AS562))</f>
        <v/>
      </c>
      <c r="AU562" s="7">
        <f>IF(A562="","",IF(OR(AT562="A",AT562="B"),1,0))</f>
        <v/>
      </c>
      <c r="AV562" s="7">
        <f>IF(A562="","",IF(OR(R562="Dépôt payé (gagné)",R562="Événement livré",R562="Avis obtenu"),1,0))</f>
        <v/>
      </c>
      <c r="AW562" s="7">
        <f>IF(A562="","",IF(Q562&gt;70,"Immédiat – propriétaire",IF(Q562&gt;=40,"15 min – personne de garde","Selon la route")))</f>
        <v/>
      </c>
      <c r="AX562" s="11">
        <f>IF(A562="","",IF(AT562="A",400,IF(AT562="B",150,0)))</f>
        <v/>
      </c>
      <c r="AY562" s="11">
        <f>IF(A562="","",IF(AV562=1,N(V562),IF(N(U562)&gt;0,ROUND(N(U562)*IFERROR(VLOOKUP(R562,Listes!$AE$3:$AG$12,2,FALSE),0),0),0)))</f>
        <v/>
      </c>
      <c r="AZ562" s="7">
        <f>IF(LEFT(A562,7)="EXEMPLE",1,0)</f>
        <v/>
      </c>
      <c r="BA562" s="7">
        <f>IF(AND(AV562=1,AZ562=0,AC562&lt;&gt;"",W562&lt;&gt;"",N(V562)&gt;0),COUNTIFS($AV$3:AV562,1,$AZ$3:AZ562,0,$AC$3:AC562,"&lt;&gt;",$W$3:W562,"&lt;&gt;",$V$3:V562,"&gt;0"),"")</f>
        <v/>
      </c>
    </row>
    <row r="563">
      <c r="A563" s="12" t="n"/>
      <c r="B563" s="13" t="n"/>
      <c r="C563" s="13" t="n"/>
      <c r="D563" s="7">
        <f>IF(OR(B563="",C563=""),"",ROUND((C563-B563)*1440,0))</f>
        <v/>
      </c>
      <c r="E563" s="12" t="n"/>
      <c r="F563" s="12" t="n"/>
      <c r="G563" s="12" t="n"/>
      <c r="H563" s="12" t="n"/>
      <c r="I563" s="12" t="n"/>
      <c r="J563" s="12" t="n"/>
      <c r="K563" s="12" t="n"/>
      <c r="L563" s="14" t="n"/>
      <c r="M563" s="12" t="n"/>
      <c r="N563" s="12" t="n"/>
      <c r="O563" s="12" t="n"/>
      <c r="P563" s="12" t="n"/>
      <c r="Q563" s="7">
        <f>IF(A563="","",IFERROR(VLOOKUP(O563,Listes!$R$3:$T$8,2,FALSE),0)+IFERROR(VLOOKUP(J563,Listes!$J$3:$L$6,2,FALSE),0)+IFERROR(VLOOKUP(N563,Listes!$N$3:$P$6,2,FALSE),0)+IF(OR(L563="",B563=""),0,IF(L563-INT(B563)&lt;10,8,IF(L563-INT(B563)&lt;=90,10,5)))+IFERROR(VLOOKUP(AN563,Listes!$V$3:$W$5,2,FALSE),0)+IFERROR(VLOOKUP(AO563,Listes!$Y$3:$Z$5,2,FALSE),0))</f>
        <v/>
      </c>
      <c r="R563" s="12" t="n"/>
      <c r="S563" s="12" t="n"/>
      <c r="T563" s="12" t="n"/>
      <c r="U563" s="15" t="n"/>
      <c r="V563" s="15" t="n"/>
      <c r="W563" s="13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3" t="n"/>
      <c r="AK563" s="12" t="n"/>
      <c r="AL563" s="12" t="n"/>
      <c r="AM563" s="12" t="n"/>
      <c r="AN563" s="12" t="n"/>
      <c r="AO563" s="12" t="n"/>
      <c r="AP563" s="12" t="n"/>
      <c r="AQ563" s="7">
        <f>IF(A563="","",IF(AP563&lt;&gt;"",AP563,IF(LEFT(Z563,11)="gads_marque","Google Search – Marque",IF(LEFT(Z563,12)="gads_mariage","Google Search – Mariage et privé",IF(LEFT(Z563,10)="gads_corpo","Google Search – Corporatif",IF(LEFT(Z563,5)="meta_","Meta – Leads",IF(LEFT(Z563,5)="msft_","Microsoft Ads",IF(LEFT(Z563,8)="chatgpt_","ChatGPT Ads – Test",IF(X563="gbp","Fiche Google (organique)","Autre / non payé")))))))))</f>
        <v/>
      </c>
      <c r="AR563" s="7">
        <f>IF(K563="","",IFERROR(VLOOKUP(K563,Listes!$F$3:$H$8,3,FALSE),""))</f>
        <v/>
      </c>
      <c r="AS563" s="7">
        <f>IF(O563="","",IF(AND(M563="Autre (plus de 40 km)",OR(O563="lt600",O563="600_999",O563="1000_2499")),"D",IF(OR(O563="lt600",AND(O563="600_999",K563&lt;&gt;"mariage",K563&lt;&gt;"prive")),"C",IF(OR(O563="2500_4999",O563="5000p",J563="entreprise",J563="organisme",J563="agence"),"A",IF(OR(O563="1000_2499",O563="600_999"),"B",IF(O563="inconnu",IF(OR(N563="75_149",N563="150p"),"A","B"),""))))))</f>
        <v/>
      </c>
      <c r="AT563" s="7">
        <f>IF(A563="","",IF(P563&lt;&gt;"",P563,AS563))</f>
        <v/>
      </c>
      <c r="AU563" s="7">
        <f>IF(A563="","",IF(OR(AT563="A",AT563="B"),1,0))</f>
        <v/>
      </c>
      <c r="AV563" s="7">
        <f>IF(A563="","",IF(OR(R563="Dépôt payé (gagné)",R563="Événement livré",R563="Avis obtenu"),1,0))</f>
        <v/>
      </c>
      <c r="AW563" s="7">
        <f>IF(A563="","",IF(Q563&gt;70,"Immédiat – propriétaire",IF(Q563&gt;=40,"15 min – personne de garde","Selon la route")))</f>
        <v/>
      </c>
      <c r="AX563" s="11">
        <f>IF(A563="","",IF(AT563="A",400,IF(AT563="B",150,0)))</f>
        <v/>
      </c>
      <c r="AY563" s="11">
        <f>IF(A563="","",IF(AV563=1,N(V563),IF(N(U563)&gt;0,ROUND(N(U563)*IFERROR(VLOOKUP(R563,Listes!$AE$3:$AG$12,2,FALSE),0),0),0)))</f>
        <v/>
      </c>
      <c r="AZ563" s="7">
        <f>IF(LEFT(A563,7)="EXEMPLE",1,0)</f>
        <v/>
      </c>
      <c r="BA563" s="7">
        <f>IF(AND(AV563=1,AZ563=0,AC563&lt;&gt;"",W563&lt;&gt;"",N(V563)&gt;0),COUNTIFS($AV$3:AV563,1,$AZ$3:AZ563,0,$AC$3:AC563,"&lt;&gt;",$W$3:W563,"&lt;&gt;",$V$3:V563,"&gt;0"),"")</f>
        <v/>
      </c>
    </row>
    <row r="564">
      <c r="A564" s="12" t="n"/>
      <c r="B564" s="13" t="n"/>
      <c r="C564" s="13" t="n"/>
      <c r="D564" s="7">
        <f>IF(OR(B564="",C564=""),"",ROUND((C564-B564)*1440,0))</f>
        <v/>
      </c>
      <c r="E564" s="12" t="n"/>
      <c r="F564" s="12" t="n"/>
      <c r="G564" s="12" t="n"/>
      <c r="H564" s="12" t="n"/>
      <c r="I564" s="12" t="n"/>
      <c r="J564" s="12" t="n"/>
      <c r="K564" s="12" t="n"/>
      <c r="L564" s="14" t="n"/>
      <c r="M564" s="12" t="n"/>
      <c r="N564" s="12" t="n"/>
      <c r="O564" s="12" t="n"/>
      <c r="P564" s="12" t="n"/>
      <c r="Q564" s="7">
        <f>IF(A564="","",IFERROR(VLOOKUP(O564,Listes!$R$3:$T$8,2,FALSE),0)+IFERROR(VLOOKUP(J564,Listes!$J$3:$L$6,2,FALSE),0)+IFERROR(VLOOKUP(N564,Listes!$N$3:$P$6,2,FALSE),0)+IF(OR(L564="",B564=""),0,IF(L564-INT(B564)&lt;10,8,IF(L564-INT(B564)&lt;=90,10,5)))+IFERROR(VLOOKUP(AN564,Listes!$V$3:$W$5,2,FALSE),0)+IFERROR(VLOOKUP(AO564,Listes!$Y$3:$Z$5,2,FALSE),0))</f>
        <v/>
      </c>
      <c r="R564" s="12" t="n"/>
      <c r="S564" s="12" t="n"/>
      <c r="T564" s="12" t="n"/>
      <c r="U564" s="15" t="n"/>
      <c r="V564" s="15" t="n"/>
      <c r="W564" s="13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3" t="n"/>
      <c r="AK564" s="12" t="n"/>
      <c r="AL564" s="12" t="n"/>
      <c r="AM564" s="12" t="n"/>
      <c r="AN564" s="12" t="n"/>
      <c r="AO564" s="12" t="n"/>
      <c r="AP564" s="12" t="n"/>
      <c r="AQ564" s="7">
        <f>IF(A564="","",IF(AP564&lt;&gt;"",AP564,IF(LEFT(Z564,11)="gads_marque","Google Search – Marque",IF(LEFT(Z564,12)="gads_mariage","Google Search – Mariage et privé",IF(LEFT(Z564,10)="gads_corpo","Google Search – Corporatif",IF(LEFT(Z564,5)="meta_","Meta – Leads",IF(LEFT(Z564,5)="msft_","Microsoft Ads",IF(LEFT(Z564,8)="chatgpt_","ChatGPT Ads – Test",IF(X564="gbp","Fiche Google (organique)","Autre / non payé")))))))))</f>
        <v/>
      </c>
      <c r="AR564" s="7">
        <f>IF(K564="","",IFERROR(VLOOKUP(K564,Listes!$F$3:$H$8,3,FALSE),""))</f>
        <v/>
      </c>
      <c r="AS564" s="7">
        <f>IF(O564="","",IF(AND(M564="Autre (plus de 40 km)",OR(O564="lt600",O564="600_999",O564="1000_2499")),"D",IF(OR(O564="lt600",AND(O564="600_999",K564&lt;&gt;"mariage",K564&lt;&gt;"prive")),"C",IF(OR(O564="2500_4999",O564="5000p",J564="entreprise",J564="organisme",J564="agence"),"A",IF(OR(O564="1000_2499",O564="600_999"),"B",IF(O564="inconnu",IF(OR(N564="75_149",N564="150p"),"A","B"),""))))))</f>
        <v/>
      </c>
      <c r="AT564" s="7">
        <f>IF(A564="","",IF(P564&lt;&gt;"",P564,AS564))</f>
        <v/>
      </c>
      <c r="AU564" s="7">
        <f>IF(A564="","",IF(OR(AT564="A",AT564="B"),1,0))</f>
        <v/>
      </c>
      <c r="AV564" s="7">
        <f>IF(A564="","",IF(OR(R564="Dépôt payé (gagné)",R564="Événement livré",R564="Avis obtenu"),1,0))</f>
        <v/>
      </c>
      <c r="AW564" s="7">
        <f>IF(A564="","",IF(Q564&gt;70,"Immédiat – propriétaire",IF(Q564&gt;=40,"15 min – personne de garde","Selon la route")))</f>
        <v/>
      </c>
      <c r="AX564" s="11">
        <f>IF(A564="","",IF(AT564="A",400,IF(AT564="B",150,0)))</f>
        <v/>
      </c>
      <c r="AY564" s="11">
        <f>IF(A564="","",IF(AV564=1,N(V564),IF(N(U564)&gt;0,ROUND(N(U564)*IFERROR(VLOOKUP(R564,Listes!$AE$3:$AG$12,2,FALSE),0),0),0)))</f>
        <v/>
      </c>
      <c r="AZ564" s="7">
        <f>IF(LEFT(A564,7)="EXEMPLE",1,0)</f>
        <v/>
      </c>
      <c r="BA564" s="7">
        <f>IF(AND(AV564=1,AZ564=0,AC564&lt;&gt;"",W564&lt;&gt;"",N(V564)&gt;0),COUNTIFS($AV$3:AV564,1,$AZ$3:AZ564,0,$AC$3:AC564,"&lt;&gt;",$W$3:W564,"&lt;&gt;",$V$3:V564,"&gt;0"),"")</f>
        <v/>
      </c>
    </row>
    <row r="565">
      <c r="A565" s="12" t="n"/>
      <c r="B565" s="13" t="n"/>
      <c r="C565" s="13" t="n"/>
      <c r="D565" s="7">
        <f>IF(OR(B565="",C565=""),"",ROUND((C565-B565)*1440,0))</f>
        <v/>
      </c>
      <c r="E565" s="12" t="n"/>
      <c r="F565" s="12" t="n"/>
      <c r="G565" s="12" t="n"/>
      <c r="H565" s="12" t="n"/>
      <c r="I565" s="12" t="n"/>
      <c r="J565" s="12" t="n"/>
      <c r="K565" s="12" t="n"/>
      <c r="L565" s="14" t="n"/>
      <c r="M565" s="12" t="n"/>
      <c r="N565" s="12" t="n"/>
      <c r="O565" s="12" t="n"/>
      <c r="P565" s="12" t="n"/>
      <c r="Q565" s="7">
        <f>IF(A565="","",IFERROR(VLOOKUP(O565,Listes!$R$3:$T$8,2,FALSE),0)+IFERROR(VLOOKUP(J565,Listes!$J$3:$L$6,2,FALSE),0)+IFERROR(VLOOKUP(N565,Listes!$N$3:$P$6,2,FALSE),0)+IF(OR(L565="",B565=""),0,IF(L565-INT(B565)&lt;10,8,IF(L565-INT(B565)&lt;=90,10,5)))+IFERROR(VLOOKUP(AN565,Listes!$V$3:$W$5,2,FALSE),0)+IFERROR(VLOOKUP(AO565,Listes!$Y$3:$Z$5,2,FALSE),0))</f>
        <v/>
      </c>
      <c r="R565" s="12" t="n"/>
      <c r="S565" s="12" t="n"/>
      <c r="T565" s="12" t="n"/>
      <c r="U565" s="15" t="n"/>
      <c r="V565" s="15" t="n"/>
      <c r="W565" s="13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3" t="n"/>
      <c r="AK565" s="12" t="n"/>
      <c r="AL565" s="12" t="n"/>
      <c r="AM565" s="12" t="n"/>
      <c r="AN565" s="12" t="n"/>
      <c r="AO565" s="12" t="n"/>
      <c r="AP565" s="12" t="n"/>
      <c r="AQ565" s="7">
        <f>IF(A565="","",IF(AP565&lt;&gt;"",AP565,IF(LEFT(Z565,11)="gads_marque","Google Search – Marque",IF(LEFT(Z565,12)="gads_mariage","Google Search – Mariage et privé",IF(LEFT(Z565,10)="gads_corpo","Google Search – Corporatif",IF(LEFT(Z565,5)="meta_","Meta – Leads",IF(LEFT(Z565,5)="msft_","Microsoft Ads",IF(LEFT(Z565,8)="chatgpt_","ChatGPT Ads – Test",IF(X565="gbp","Fiche Google (organique)","Autre / non payé")))))))))</f>
        <v/>
      </c>
      <c r="AR565" s="7">
        <f>IF(K565="","",IFERROR(VLOOKUP(K565,Listes!$F$3:$H$8,3,FALSE),""))</f>
        <v/>
      </c>
      <c r="AS565" s="7">
        <f>IF(O565="","",IF(AND(M565="Autre (plus de 40 km)",OR(O565="lt600",O565="600_999",O565="1000_2499")),"D",IF(OR(O565="lt600",AND(O565="600_999",K565&lt;&gt;"mariage",K565&lt;&gt;"prive")),"C",IF(OR(O565="2500_4999",O565="5000p",J565="entreprise",J565="organisme",J565="agence"),"A",IF(OR(O565="1000_2499",O565="600_999"),"B",IF(O565="inconnu",IF(OR(N565="75_149",N565="150p"),"A","B"),""))))))</f>
        <v/>
      </c>
      <c r="AT565" s="7">
        <f>IF(A565="","",IF(P565&lt;&gt;"",P565,AS565))</f>
        <v/>
      </c>
      <c r="AU565" s="7">
        <f>IF(A565="","",IF(OR(AT565="A",AT565="B"),1,0))</f>
        <v/>
      </c>
      <c r="AV565" s="7">
        <f>IF(A565="","",IF(OR(R565="Dépôt payé (gagné)",R565="Événement livré",R565="Avis obtenu"),1,0))</f>
        <v/>
      </c>
      <c r="AW565" s="7">
        <f>IF(A565="","",IF(Q565&gt;70,"Immédiat – propriétaire",IF(Q565&gt;=40,"15 min – personne de garde","Selon la route")))</f>
        <v/>
      </c>
      <c r="AX565" s="11">
        <f>IF(A565="","",IF(AT565="A",400,IF(AT565="B",150,0)))</f>
        <v/>
      </c>
      <c r="AY565" s="11">
        <f>IF(A565="","",IF(AV565=1,N(V565),IF(N(U565)&gt;0,ROUND(N(U565)*IFERROR(VLOOKUP(R565,Listes!$AE$3:$AG$12,2,FALSE),0),0),0)))</f>
        <v/>
      </c>
      <c r="AZ565" s="7">
        <f>IF(LEFT(A565,7)="EXEMPLE",1,0)</f>
        <v/>
      </c>
      <c r="BA565" s="7">
        <f>IF(AND(AV565=1,AZ565=0,AC565&lt;&gt;"",W565&lt;&gt;"",N(V565)&gt;0),COUNTIFS($AV$3:AV565,1,$AZ$3:AZ565,0,$AC$3:AC565,"&lt;&gt;",$W$3:W565,"&lt;&gt;",$V$3:V565,"&gt;0"),"")</f>
        <v/>
      </c>
    </row>
    <row r="566">
      <c r="A566" s="12" t="n"/>
      <c r="B566" s="13" t="n"/>
      <c r="C566" s="13" t="n"/>
      <c r="D566" s="7">
        <f>IF(OR(B566="",C566=""),"",ROUND((C566-B566)*1440,0))</f>
        <v/>
      </c>
      <c r="E566" s="12" t="n"/>
      <c r="F566" s="12" t="n"/>
      <c r="G566" s="12" t="n"/>
      <c r="H566" s="12" t="n"/>
      <c r="I566" s="12" t="n"/>
      <c r="J566" s="12" t="n"/>
      <c r="K566" s="12" t="n"/>
      <c r="L566" s="14" t="n"/>
      <c r="M566" s="12" t="n"/>
      <c r="N566" s="12" t="n"/>
      <c r="O566" s="12" t="n"/>
      <c r="P566" s="12" t="n"/>
      <c r="Q566" s="7">
        <f>IF(A566="","",IFERROR(VLOOKUP(O566,Listes!$R$3:$T$8,2,FALSE),0)+IFERROR(VLOOKUP(J566,Listes!$J$3:$L$6,2,FALSE),0)+IFERROR(VLOOKUP(N566,Listes!$N$3:$P$6,2,FALSE),0)+IF(OR(L566="",B566=""),0,IF(L566-INT(B566)&lt;10,8,IF(L566-INT(B566)&lt;=90,10,5)))+IFERROR(VLOOKUP(AN566,Listes!$V$3:$W$5,2,FALSE),0)+IFERROR(VLOOKUP(AO566,Listes!$Y$3:$Z$5,2,FALSE),0))</f>
        <v/>
      </c>
      <c r="R566" s="12" t="n"/>
      <c r="S566" s="12" t="n"/>
      <c r="T566" s="12" t="n"/>
      <c r="U566" s="15" t="n"/>
      <c r="V566" s="15" t="n"/>
      <c r="W566" s="13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3" t="n"/>
      <c r="AK566" s="12" t="n"/>
      <c r="AL566" s="12" t="n"/>
      <c r="AM566" s="12" t="n"/>
      <c r="AN566" s="12" t="n"/>
      <c r="AO566" s="12" t="n"/>
      <c r="AP566" s="12" t="n"/>
      <c r="AQ566" s="7">
        <f>IF(A566="","",IF(AP566&lt;&gt;"",AP566,IF(LEFT(Z566,11)="gads_marque","Google Search – Marque",IF(LEFT(Z566,12)="gads_mariage","Google Search – Mariage et privé",IF(LEFT(Z566,10)="gads_corpo","Google Search – Corporatif",IF(LEFT(Z566,5)="meta_","Meta – Leads",IF(LEFT(Z566,5)="msft_","Microsoft Ads",IF(LEFT(Z566,8)="chatgpt_","ChatGPT Ads – Test",IF(X566="gbp","Fiche Google (organique)","Autre / non payé")))))))))</f>
        <v/>
      </c>
      <c r="AR566" s="7">
        <f>IF(K566="","",IFERROR(VLOOKUP(K566,Listes!$F$3:$H$8,3,FALSE),""))</f>
        <v/>
      </c>
      <c r="AS566" s="7">
        <f>IF(O566="","",IF(AND(M566="Autre (plus de 40 km)",OR(O566="lt600",O566="600_999",O566="1000_2499")),"D",IF(OR(O566="lt600",AND(O566="600_999",K566&lt;&gt;"mariage",K566&lt;&gt;"prive")),"C",IF(OR(O566="2500_4999",O566="5000p",J566="entreprise",J566="organisme",J566="agence"),"A",IF(OR(O566="1000_2499",O566="600_999"),"B",IF(O566="inconnu",IF(OR(N566="75_149",N566="150p"),"A","B"),""))))))</f>
        <v/>
      </c>
      <c r="AT566" s="7">
        <f>IF(A566="","",IF(P566&lt;&gt;"",P566,AS566))</f>
        <v/>
      </c>
      <c r="AU566" s="7">
        <f>IF(A566="","",IF(OR(AT566="A",AT566="B"),1,0))</f>
        <v/>
      </c>
      <c r="AV566" s="7">
        <f>IF(A566="","",IF(OR(R566="Dépôt payé (gagné)",R566="Événement livré",R566="Avis obtenu"),1,0))</f>
        <v/>
      </c>
      <c r="AW566" s="7">
        <f>IF(A566="","",IF(Q566&gt;70,"Immédiat – propriétaire",IF(Q566&gt;=40,"15 min – personne de garde","Selon la route")))</f>
        <v/>
      </c>
      <c r="AX566" s="11">
        <f>IF(A566="","",IF(AT566="A",400,IF(AT566="B",150,0)))</f>
        <v/>
      </c>
      <c r="AY566" s="11">
        <f>IF(A566="","",IF(AV566=1,N(V566),IF(N(U566)&gt;0,ROUND(N(U566)*IFERROR(VLOOKUP(R566,Listes!$AE$3:$AG$12,2,FALSE),0),0),0)))</f>
        <v/>
      </c>
      <c r="AZ566" s="7">
        <f>IF(LEFT(A566,7)="EXEMPLE",1,0)</f>
        <v/>
      </c>
      <c r="BA566" s="7">
        <f>IF(AND(AV566=1,AZ566=0,AC566&lt;&gt;"",W566&lt;&gt;"",N(V566)&gt;0),COUNTIFS($AV$3:AV566,1,$AZ$3:AZ566,0,$AC$3:AC566,"&lt;&gt;",$W$3:W566,"&lt;&gt;",$V$3:V566,"&gt;0"),"")</f>
        <v/>
      </c>
    </row>
    <row r="567">
      <c r="A567" s="12" t="n"/>
      <c r="B567" s="13" t="n"/>
      <c r="C567" s="13" t="n"/>
      <c r="D567" s="7">
        <f>IF(OR(B567="",C567=""),"",ROUND((C567-B567)*1440,0))</f>
        <v/>
      </c>
      <c r="E567" s="12" t="n"/>
      <c r="F567" s="12" t="n"/>
      <c r="G567" s="12" t="n"/>
      <c r="H567" s="12" t="n"/>
      <c r="I567" s="12" t="n"/>
      <c r="J567" s="12" t="n"/>
      <c r="K567" s="12" t="n"/>
      <c r="L567" s="14" t="n"/>
      <c r="M567" s="12" t="n"/>
      <c r="N567" s="12" t="n"/>
      <c r="O567" s="12" t="n"/>
      <c r="P567" s="12" t="n"/>
      <c r="Q567" s="7">
        <f>IF(A567="","",IFERROR(VLOOKUP(O567,Listes!$R$3:$T$8,2,FALSE),0)+IFERROR(VLOOKUP(J567,Listes!$J$3:$L$6,2,FALSE),0)+IFERROR(VLOOKUP(N567,Listes!$N$3:$P$6,2,FALSE),0)+IF(OR(L567="",B567=""),0,IF(L567-INT(B567)&lt;10,8,IF(L567-INT(B567)&lt;=90,10,5)))+IFERROR(VLOOKUP(AN567,Listes!$V$3:$W$5,2,FALSE),0)+IFERROR(VLOOKUP(AO567,Listes!$Y$3:$Z$5,2,FALSE),0))</f>
        <v/>
      </c>
      <c r="R567" s="12" t="n"/>
      <c r="S567" s="12" t="n"/>
      <c r="T567" s="12" t="n"/>
      <c r="U567" s="15" t="n"/>
      <c r="V567" s="15" t="n"/>
      <c r="W567" s="13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3" t="n"/>
      <c r="AK567" s="12" t="n"/>
      <c r="AL567" s="12" t="n"/>
      <c r="AM567" s="12" t="n"/>
      <c r="AN567" s="12" t="n"/>
      <c r="AO567" s="12" t="n"/>
      <c r="AP567" s="12" t="n"/>
      <c r="AQ567" s="7">
        <f>IF(A567="","",IF(AP567&lt;&gt;"",AP567,IF(LEFT(Z567,11)="gads_marque","Google Search – Marque",IF(LEFT(Z567,12)="gads_mariage","Google Search – Mariage et privé",IF(LEFT(Z567,10)="gads_corpo","Google Search – Corporatif",IF(LEFT(Z567,5)="meta_","Meta – Leads",IF(LEFT(Z567,5)="msft_","Microsoft Ads",IF(LEFT(Z567,8)="chatgpt_","ChatGPT Ads – Test",IF(X567="gbp","Fiche Google (organique)","Autre / non payé")))))))))</f>
        <v/>
      </c>
      <c r="AR567" s="7">
        <f>IF(K567="","",IFERROR(VLOOKUP(K567,Listes!$F$3:$H$8,3,FALSE),""))</f>
        <v/>
      </c>
      <c r="AS567" s="7">
        <f>IF(O567="","",IF(AND(M567="Autre (plus de 40 km)",OR(O567="lt600",O567="600_999",O567="1000_2499")),"D",IF(OR(O567="lt600",AND(O567="600_999",K567&lt;&gt;"mariage",K567&lt;&gt;"prive")),"C",IF(OR(O567="2500_4999",O567="5000p",J567="entreprise",J567="organisme",J567="agence"),"A",IF(OR(O567="1000_2499",O567="600_999"),"B",IF(O567="inconnu",IF(OR(N567="75_149",N567="150p"),"A","B"),""))))))</f>
        <v/>
      </c>
      <c r="AT567" s="7">
        <f>IF(A567="","",IF(P567&lt;&gt;"",P567,AS567))</f>
        <v/>
      </c>
      <c r="AU567" s="7">
        <f>IF(A567="","",IF(OR(AT567="A",AT567="B"),1,0))</f>
        <v/>
      </c>
      <c r="AV567" s="7">
        <f>IF(A567="","",IF(OR(R567="Dépôt payé (gagné)",R567="Événement livré",R567="Avis obtenu"),1,0))</f>
        <v/>
      </c>
      <c r="AW567" s="7">
        <f>IF(A567="","",IF(Q567&gt;70,"Immédiat – propriétaire",IF(Q567&gt;=40,"15 min – personne de garde","Selon la route")))</f>
        <v/>
      </c>
      <c r="AX567" s="11">
        <f>IF(A567="","",IF(AT567="A",400,IF(AT567="B",150,0)))</f>
        <v/>
      </c>
      <c r="AY567" s="11">
        <f>IF(A567="","",IF(AV567=1,N(V567),IF(N(U567)&gt;0,ROUND(N(U567)*IFERROR(VLOOKUP(R567,Listes!$AE$3:$AG$12,2,FALSE),0),0),0)))</f>
        <v/>
      </c>
      <c r="AZ567" s="7">
        <f>IF(LEFT(A567,7)="EXEMPLE",1,0)</f>
        <v/>
      </c>
      <c r="BA567" s="7">
        <f>IF(AND(AV567=1,AZ567=0,AC567&lt;&gt;"",W567&lt;&gt;"",N(V567)&gt;0),COUNTIFS($AV$3:AV567,1,$AZ$3:AZ567,0,$AC$3:AC567,"&lt;&gt;",$W$3:W567,"&lt;&gt;",$V$3:V567,"&gt;0"),"")</f>
        <v/>
      </c>
    </row>
    <row r="568">
      <c r="A568" s="12" t="n"/>
      <c r="B568" s="13" t="n"/>
      <c r="C568" s="13" t="n"/>
      <c r="D568" s="7">
        <f>IF(OR(B568="",C568=""),"",ROUND((C568-B568)*1440,0))</f>
        <v/>
      </c>
      <c r="E568" s="12" t="n"/>
      <c r="F568" s="12" t="n"/>
      <c r="G568" s="12" t="n"/>
      <c r="H568" s="12" t="n"/>
      <c r="I568" s="12" t="n"/>
      <c r="J568" s="12" t="n"/>
      <c r="K568" s="12" t="n"/>
      <c r="L568" s="14" t="n"/>
      <c r="M568" s="12" t="n"/>
      <c r="N568" s="12" t="n"/>
      <c r="O568" s="12" t="n"/>
      <c r="P568" s="12" t="n"/>
      <c r="Q568" s="7">
        <f>IF(A568="","",IFERROR(VLOOKUP(O568,Listes!$R$3:$T$8,2,FALSE),0)+IFERROR(VLOOKUP(J568,Listes!$J$3:$L$6,2,FALSE),0)+IFERROR(VLOOKUP(N568,Listes!$N$3:$P$6,2,FALSE),0)+IF(OR(L568="",B568=""),0,IF(L568-INT(B568)&lt;10,8,IF(L568-INT(B568)&lt;=90,10,5)))+IFERROR(VLOOKUP(AN568,Listes!$V$3:$W$5,2,FALSE),0)+IFERROR(VLOOKUP(AO568,Listes!$Y$3:$Z$5,2,FALSE),0))</f>
        <v/>
      </c>
      <c r="R568" s="12" t="n"/>
      <c r="S568" s="12" t="n"/>
      <c r="T568" s="12" t="n"/>
      <c r="U568" s="15" t="n"/>
      <c r="V568" s="15" t="n"/>
      <c r="W568" s="13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3" t="n"/>
      <c r="AK568" s="12" t="n"/>
      <c r="AL568" s="12" t="n"/>
      <c r="AM568" s="12" t="n"/>
      <c r="AN568" s="12" t="n"/>
      <c r="AO568" s="12" t="n"/>
      <c r="AP568" s="12" t="n"/>
      <c r="AQ568" s="7">
        <f>IF(A568="","",IF(AP568&lt;&gt;"",AP568,IF(LEFT(Z568,11)="gads_marque","Google Search – Marque",IF(LEFT(Z568,12)="gads_mariage","Google Search – Mariage et privé",IF(LEFT(Z568,10)="gads_corpo","Google Search – Corporatif",IF(LEFT(Z568,5)="meta_","Meta – Leads",IF(LEFT(Z568,5)="msft_","Microsoft Ads",IF(LEFT(Z568,8)="chatgpt_","ChatGPT Ads – Test",IF(X568="gbp","Fiche Google (organique)","Autre / non payé")))))))))</f>
        <v/>
      </c>
      <c r="AR568" s="7">
        <f>IF(K568="","",IFERROR(VLOOKUP(K568,Listes!$F$3:$H$8,3,FALSE),""))</f>
        <v/>
      </c>
      <c r="AS568" s="7">
        <f>IF(O568="","",IF(AND(M568="Autre (plus de 40 km)",OR(O568="lt600",O568="600_999",O568="1000_2499")),"D",IF(OR(O568="lt600",AND(O568="600_999",K568&lt;&gt;"mariage",K568&lt;&gt;"prive")),"C",IF(OR(O568="2500_4999",O568="5000p",J568="entreprise",J568="organisme",J568="agence"),"A",IF(OR(O568="1000_2499",O568="600_999"),"B",IF(O568="inconnu",IF(OR(N568="75_149",N568="150p"),"A","B"),""))))))</f>
        <v/>
      </c>
      <c r="AT568" s="7">
        <f>IF(A568="","",IF(P568&lt;&gt;"",P568,AS568))</f>
        <v/>
      </c>
      <c r="AU568" s="7">
        <f>IF(A568="","",IF(OR(AT568="A",AT568="B"),1,0))</f>
        <v/>
      </c>
      <c r="AV568" s="7">
        <f>IF(A568="","",IF(OR(R568="Dépôt payé (gagné)",R568="Événement livré",R568="Avis obtenu"),1,0))</f>
        <v/>
      </c>
      <c r="AW568" s="7">
        <f>IF(A568="","",IF(Q568&gt;70,"Immédiat – propriétaire",IF(Q568&gt;=40,"15 min – personne de garde","Selon la route")))</f>
        <v/>
      </c>
      <c r="AX568" s="11">
        <f>IF(A568="","",IF(AT568="A",400,IF(AT568="B",150,0)))</f>
        <v/>
      </c>
      <c r="AY568" s="11">
        <f>IF(A568="","",IF(AV568=1,N(V568),IF(N(U568)&gt;0,ROUND(N(U568)*IFERROR(VLOOKUP(R568,Listes!$AE$3:$AG$12,2,FALSE),0),0),0)))</f>
        <v/>
      </c>
      <c r="AZ568" s="7">
        <f>IF(LEFT(A568,7)="EXEMPLE",1,0)</f>
        <v/>
      </c>
      <c r="BA568" s="7">
        <f>IF(AND(AV568=1,AZ568=0,AC568&lt;&gt;"",W568&lt;&gt;"",N(V568)&gt;0),COUNTIFS($AV$3:AV568,1,$AZ$3:AZ568,0,$AC$3:AC568,"&lt;&gt;",$W$3:W568,"&lt;&gt;",$V$3:V568,"&gt;0"),"")</f>
        <v/>
      </c>
    </row>
    <row r="569">
      <c r="A569" s="12" t="n"/>
      <c r="B569" s="13" t="n"/>
      <c r="C569" s="13" t="n"/>
      <c r="D569" s="7">
        <f>IF(OR(B569="",C569=""),"",ROUND((C569-B569)*1440,0))</f>
        <v/>
      </c>
      <c r="E569" s="12" t="n"/>
      <c r="F569" s="12" t="n"/>
      <c r="G569" s="12" t="n"/>
      <c r="H569" s="12" t="n"/>
      <c r="I569" s="12" t="n"/>
      <c r="J569" s="12" t="n"/>
      <c r="K569" s="12" t="n"/>
      <c r="L569" s="14" t="n"/>
      <c r="M569" s="12" t="n"/>
      <c r="N569" s="12" t="n"/>
      <c r="O569" s="12" t="n"/>
      <c r="P569" s="12" t="n"/>
      <c r="Q569" s="7">
        <f>IF(A569="","",IFERROR(VLOOKUP(O569,Listes!$R$3:$T$8,2,FALSE),0)+IFERROR(VLOOKUP(J569,Listes!$J$3:$L$6,2,FALSE),0)+IFERROR(VLOOKUP(N569,Listes!$N$3:$P$6,2,FALSE),0)+IF(OR(L569="",B569=""),0,IF(L569-INT(B569)&lt;10,8,IF(L569-INT(B569)&lt;=90,10,5)))+IFERROR(VLOOKUP(AN569,Listes!$V$3:$W$5,2,FALSE),0)+IFERROR(VLOOKUP(AO569,Listes!$Y$3:$Z$5,2,FALSE),0))</f>
        <v/>
      </c>
      <c r="R569" s="12" t="n"/>
      <c r="S569" s="12" t="n"/>
      <c r="T569" s="12" t="n"/>
      <c r="U569" s="15" t="n"/>
      <c r="V569" s="15" t="n"/>
      <c r="W569" s="13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3" t="n"/>
      <c r="AK569" s="12" t="n"/>
      <c r="AL569" s="12" t="n"/>
      <c r="AM569" s="12" t="n"/>
      <c r="AN569" s="12" t="n"/>
      <c r="AO569" s="12" t="n"/>
      <c r="AP569" s="12" t="n"/>
      <c r="AQ569" s="7">
        <f>IF(A569="","",IF(AP569&lt;&gt;"",AP569,IF(LEFT(Z569,11)="gads_marque","Google Search – Marque",IF(LEFT(Z569,12)="gads_mariage","Google Search – Mariage et privé",IF(LEFT(Z569,10)="gads_corpo","Google Search – Corporatif",IF(LEFT(Z569,5)="meta_","Meta – Leads",IF(LEFT(Z569,5)="msft_","Microsoft Ads",IF(LEFT(Z569,8)="chatgpt_","ChatGPT Ads – Test",IF(X569="gbp","Fiche Google (organique)","Autre / non payé")))))))))</f>
        <v/>
      </c>
      <c r="AR569" s="7">
        <f>IF(K569="","",IFERROR(VLOOKUP(K569,Listes!$F$3:$H$8,3,FALSE),""))</f>
        <v/>
      </c>
      <c r="AS569" s="7">
        <f>IF(O569="","",IF(AND(M569="Autre (plus de 40 km)",OR(O569="lt600",O569="600_999",O569="1000_2499")),"D",IF(OR(O569="lt600",AND(O569="600_999",K569&lt;&gt;"mariage",K569&lt;&gt;"prive")),"C",IF(OR(O569="2500_4999",O569="5000p",J569="entreprise",J569="organisme",J569="agence"),"A",IF(OR(O569="1000_2499",O569="600_999"),"B",IF(O569="inconnu",IF(OR(N569="75_149",N569="150p"),"A","B"),""))))))</f>
        <v/>
      </c>
      <c r="AT569" s="7">
        <f>IF(A569="","",IF(P569&lt;&gt;"",P569,AS569))</f>
        <v/>
      </c>
      <c r="AU569" s="7">
        <f>IF(A569="","",IF(OR(AT569="A",AT569="B"),1,0))</f>
        <v/>
      </c>
      <c r="AV569" s="7">
        <f>IF(A569="","",IF(OR(R569="Dépôt payé (gagné)",R569="Événement livré",R569="Avis obtenu"),1,0))</f>
        <v/>
      </c>
      <c r="AW569" s="7">
        <f>IF(A569="","",IF(Q569&gt;70,"Immédiat – propriétaire",IF(Q569&gt;=40,"15 min – personne de garde","Selon la route")))</f>
        <v/>
      </c>
      <c r="AX569" s="11">
        <f>IF(A569="","",IF(AT569="A",400,IF(AT569="B",150,0)))</f>
        <v/>
      </c>
      <c r="AY569" s="11">
        <f>IF(A569="","",IF(AV569=1,N(V569),IF(N(U569)&gt;0,ROUND(N(U569)*IFERROR(VLOOKUP(R569,Listes!$AE$3:$AG$12,2,FALSE),0),0),0)))</f>
        <v/>
      </c>
      <c r="AZ569" s="7">
        <f>IF(LEFT(A569,7)="EXEMPLE",1,0)</f>
        <v/>
      </c>
      <c r="BA569" s="7">
        <f>IF(AND(AV569=1,AZ569=0,AC569&lt;&gt;"",W569&lt;&gt;"",N(V569)&gt;0),COUNTIFS($AV$3:AV569,1,$AZ$3:AZ569,0,$AC$3:AC569,"&lt;&gt;",$W$3:W569,"&lt;&gt;",$V$3:V569,"&gt;0"),"")</f>
        <v/>
      </c>
    </row>
    <row r="570">
      <c r="A570" s="12" t="n"/>
      <c r="B570" s="13" t="n"/>
      <c r="C570" s="13" t="n"/>
      <c r="D570" s="7">
        <f>IF(OR(B570="",C570=""),"",ROUND((C570-B570)*1440,0))</f>
        <v/>
      </c>
      <c r="E570" s="12" t="n"/>
      <c r="F570" s="12" t="n"/>
      <c r="G570" s="12" t="n"/>
      <c r="H570" s="12" t="n"/>
      <c r="I570" s="12" t="n"/>
      <c r="J570" s="12" t="n"/>
      <c r="K570" s="12" t="n"/>
      <c r="L570" s="14" t="n"/>
      <c r="M570" s="12" t="n"/>
      <c r="N570" s="12" t="n"/>
      <c r="O570" s="12" t="n"/>
      <c r="P570" s="12" t="n"/>
      <c r="Q570" s="7">
        <f>IF(A570="","",IFERROR(VLOOKUP(O570,Listes!$R$3:$T$8,2,FALSE),0)+IFERROR(VLOOKUP(J570,Listes!$J$3:$L$6,2,FALSE),0)+IFERROR(VLOOKUP(N570,Listes!$N$3:$P$6,2,FALSE),0)+IF(OR(L570="",B570=""),0,IF(L570-INT(B570)&lt;10,8,IF(L570-INT(B570)&lt;=90,10,5)))+IFERROR(VLOOKUP(AN570,Listes!$V$3:$W$5,2,FALSE),0)+IFERROR(VLOOKUP(AO570,Listes!$Y$3:$Z$5,2,FALSE),0))</f>
        <v/>
      </c>
      <c r="R570" s="12" t="n"/>
      <c r="S570" s="12" t="n"/>
      <c r="T570" s="12" t="n"/>
      <c r="U570" s="15" t="n"/>
      <c r="V570" s="15" t="n"/>
      <c r="W570" s="13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3" t="n"/>
      <c r="AK570" s="12" t="n"/>
      <c r="AL570" s="12" t="n"/>
      <c r="AM570" s="12" t="n"/>
      <c r="AN570" s="12" t="n"/>
      <c r="AO570" s="12" t="n"/>
      <c r="AP570" s="12" t="n"/>
      <c r="AQ570" s="7">
        <f>IF(A570="","",IF(AP570&lt;&gt;"",AP570,IF(LEFT(Z570,11)="gads_marque","Google Search – Marque",IF(LEFT(Z570,12)="gads_mariage","Google Search – Mariage et privé",IF(LEFT(Z570,10)="gads_corpo","Google Search – Corporatif",IF(LEFT(Z570,5)="meta_","Meta – Leads",IF(LEFT(Z570,5)="msft_","Microsoft Ads",IF(LEFT(Z570,8)="chatgpt_","ChatGPT Ads – Test",IF(X570="gbp","Fiche Google (organique)","Autre / non payé")))))))))</f>
        <v/>
      </c>
      <c r="AR570" s="7">
        <f>IF(K570="","",IFERROR(VLOOKUP(K570,Listes!$F$3:$H$8,3,FALSE),""))</f>
        <v/>
      </c>
      <c r="AS570" s="7">
        <f>IF(O570="","",IF(AND(M570="Autre (plus de 40 km)",OR(O570="lt600",O570="600_999",O570="1000_2499")),"D",IF(OR(O570="lt600",AND(O570="600_999",K570&lt;&gt;"mariage",K570&lt;&gt;"prive")),"C",IF(OR(O570="2500_4999",O570="5000p",J570="entreprise",J570="organisme",J570="agence"),"A",IF(OR(O570="1000_2499",O570="600_999"),"B",IF(O570="inconnu",IF(OR(N570="75_149",N570="150p"),"A","B"),""))))))</f>
        <v/>
      </c>
      <c r="AT570" s="7">
        <f>IF(A570="","",IF(P570&lt;&gt;"",P570,AS570))</f>
        <v/>
      </c>
      <c r="AU570" s="7">
        <f>IF(A570="","",IF(OR(AT570="A",AT570="B"),1,0))</f>
        <v/>
      </c>
      <c r="AV570" s="7">
        <f>IF(A570="","",IF(OR(R570="Dépôt payé (gagné)",R570="Événement livré",R570="Avis obtenu"),1,0))</f>
        <v/>
      </c>
      <c r="AW570" s="7">
        <f>IF(A570="","",IF(Q570&gt;70,"Immédiat – propriétaire",IF(Q570&gt;=40,"15 min – personne de garde","Selon la route")))</f>
        <v/>
      </c>
      <c r="AX570" s="11">
        <f>IF(A570="","",IF(AT570="A",400,IF(AT570="B",150,0)))</f>
        <v/>
      </c>
      <c r="AY570" s="11">
        <f>IF(A570="","",IF(AV570=1,N(V570),IF(N(U570)&gt;0,ROUND(N(U570)*IFERROR(VLOOKUP(R570,Listes!$AE$3:$AG$12,2,FALSE),0),0),0)))</f>
        <v/>
      </c>
      <c r="AZ570" s="7">
        <f>IF(LEFT(A570,7)="EXEMPLE",1,0)</f>
        <v/>
      </c>
      <c r="BA570" s="7">
        <f>IF(AND(AV570=1,AZ570=0,AC570&lt;&gt;"",W570&lt;&gt;"",N(V570)&gt;0),COUNTIFS($AV$3:AV570,1,$AZ$3:AZ570,0,$AC$3:AC570,"&lt;&gt;",$W$3:W570,"&lt;&gt;",$V$3:V570,"&gt;0"),"")</f>
        <v/>
      </c>
    </row>
    <row r="571">
      <c r="A571" s="12" t="n"/>
      <c r="B571" s="13" t="n"/>
      <c r="C571" s="13" t="n"/>
      <c r="D571" s="7">
        <f>IF(OR(B571="",C571=""),"",ROUND((C571-B571)*1440,0))</f>
        <v/>
      </c>
      <c r="E571" s="12" t="n"/>
      <c r="F571" s="12" t="n"/>
      <c r="G571" s="12" t="n"/>
      <c r="H571" s="12" t="n"/>
      <c r="I571" s="12" t="n"/>
      <c r="J571" s="12" t="n"/>
      <c r="K571" s="12" t="n"/>
      <c r="L571" s="14" t="n"/>
      <c r="M571" s="12" t="n"/>
      <c r="N571" s="12" t="n"/>
      <c r="O571" s="12" t="n"/>
      <c r="P571" s="12" t="n"/>
      <c r="Q571" s="7">
        <f>IF(A571="","",IFERROR(VLOOKUP(O571,Listes!$R$3:$T$8,2,FALSE),0)+IFERROR(VLOOKUP(J571,Listes!$J$3:$L$6,2,FALSE),0)+IFERROR(VLOOKUP(N571,Listes!$N$3:$P$6,2,FALSE),0)+IF(OR(L571="",B571=""),0,IF(L571-INT(B571)&lt;10,8,IF(L571-INT(B571)&lt;=90,10,5)))+IFERROR(VLOOKUP(AN571,Listes!$V$3:$W$5,2,FALSE),0)+IFERROR(VLOOKUP(AO571,Listes!$Y$3:$Z$5,2,FALSE),0))</f>
        <v/>
      </c>
      <c r="R571" s="12" t="n"/>
      <c r="S571" s="12" t="n"/>
      <c r="T571" s="12" t="n"/>
      <c r="U571" s="15" t="n"/>
      <c r="V571" s="15" t="n"/>
      <c r="W571" s="13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3" t="n"/>
      <c r="AK571" s="12" t="n"/>
      <c r="AL571" s="12" t="n"/>
      <c r="AM571" s="12" t="n"/>
      <c r="AN571" s="12" t="n"/>
      <c r="AO571" s="12" t="n"/>
      <c r="AP571" s="12" t="n"/>
      <c r="AQ571" s="7">
        <f>IF(A571="","",IF(AP571&lt;&gt;"",AP571,IF(LEFT(Z571,11)="gads_marque","Google Search – Marque",IF(LEFT(Z571,12)="gads_mariage","Google Search – Mariage et privé",IF(LEFT(Z571,10)="gads_corpo","Google Search – Corporatif",IF(LEFT(Z571,5)="meta_","Meta – Leads",IF(LEFT(Z571,5)="msft_","Microsoft Ads",IF(LEFT(Z571,8)="chatgpt_","ChatGPT Ads – Test",IF(X571="gbp","Fiche Google (organique)","Autre / non payé")))))))))</f>
        <v/>
      </c>
      <c r="AR571" s="7">
        <f>IF(K571="","",IFERROR(VLOOKUP(K571,Listes!$F$3:$H$8,3,FALSE),""))</f>
        <v/>
      </c>
      <c r="AS571" s="7">
        <f>IF(O571="","",IF(AND(M571="Autre (plus de 40 km)",OR(O571="lt600",O571="600_999",O571="1000_2499")),"D",IF(OR(O571="lt600",AND(O571="600_999",K571&lt;&gt;"mariage",K571&lt;&gt;"prive")),"C",IF(OR(O571="2500_4999",O571="5000p",J571="entreprise",J571="organisme",J571="agence"),"A",IF(OR(O571="1000_2499",O571="600_999"),"B",IF(O571="inconnu",IF(OR(N571="75_149",N571="150p"),"A","B"),""))))))</f>
        <v/>
      </c>
      <c r="AT571" s="7">
        <f>IF(A571="","",IF(P571&lt;&gt;"",P571,AS571))</f>
        <v/>
      </c>
      <c r="AU571" s="7">
        <f>IF(A571="","",IF(OR(AT571="A",AT571="B"),1,0))</f>
        <v/>
      </c>
      <c r="AV571" s="7">
        <f>IF(A571="","",IF(OR(R571="Dépôt payé (gagné)",R571="Événement livré",R571="Avis obtenu"),1,0))</f>
        <v/>
      </c>
      <c r="AW571" s="7">
        <f>IF(A571="","",IF(Q571&gt;70,"Immédiat – propriétaire",IF(Q571&gt;=40,"15 min – personne de garde","Selon la route")))</f>
        <v/>
      </c>
      <c r="AX571" s="11">
        <f>IF(A571="","",IF(AT571="A",400,IF(AT571="B",150,0)))</f>
        <v/>
      </c>
      <c r="AY571" s="11">
        <f>IF(A571="","",IF(AV571=1,N(V571),IF(N(U571)&gt;0,ROUND(N(U571)*IFERROR(VLOOKUP(R571,Listes!$AE$3:$AG$12,2,FALSE),0),0),0)))</f>
        <v/>
      </c>
      <c r="AZ571" s="7">
        <f>IF(LEFT(A571,7)="EXEMPLE",1,0)</f>
        <v/>
      </c>
      <c r="BA571" s="7">
        <f>IF(AND(AV571=1,AZ571=0,AC571&lt;&gt;"",W571&lt;&gt;"",N(V571)&gt;0),COUNTIFS($AV$3:AV571,1,$AZ$3:AZ571,0,$AC$3:AC571,"&lt;&gt;",$W$3:W571,"&lt;&gt;",$V$3:V571,"&gt;0"),"")</f>
        <v/>
      </c>
    </row>
    <row r="572">
      <c r="A572" s="12" t="n"/>
      <c r="B572" s="13" t="n"/>
      <c r="C572" s="13" t="n"/>
      <c r="D572" s="7">
        <f>IF(OR(B572="",C572=""),"",ROUND((C572-B572)*1440,0))</f>
        <v/>
      </c>
      <c r="E572" s="12" t="n"/>
      <c r="F572" s="12" t="n"/>
      <c r="G572" s="12" t="n"/>
      <c r="H572" s="12" t="n"/>
      <c r="I572" s="12" t="n"/>
      <c r="J572" s="12" t="n"/>
      <c r="K572" s="12" t="n"/>
      <c r="L572" s="14" t="n"/>
      <c r="M572" s="12" t="n"/>
      <c r="N572" s="12" t="n"/>
      <c r="O572" s="12" t="n"/>
      <c r="P572" s="12" t="n"/>
      <c r="Q572" s="7">
        <f>IF(A572="","",IFERROR(VLOOKUP(O572,Listes!$R$3:$T$8,2,FALSE),0)+IFERROR(VLOOKUP(J572,Listes!$J$3:$L$6,2,FALSE),0)+IFERROR(VLOOKUP(N572,Listes!$N$3:$P$6,2,FALSE),0)+IF(OR(L572="",B572=""),0,IF(L572-INT(B572)&lt;10,8,IF(L572-INT(B572)&lt;=90,10,5)))+IFERROR(VLOOKUP(AN572,Listes!$V$3:$W$5,2,FALSE),0)+IFERROR(VLOOKUP(AO572,Listes!$Y$3:$Z$5,2,FALSE),0))</f>
        <v/>
      </c>
      <c r="R572" s="12" t="n"/>
      <c r="S572" s="12" t="n"/>
      <c r="T572" s="12" t="n"/>
      <c r="U572" s="15" t="n"/>
      <c r="V572" s="15" t="n"/>
      <c r="W572" s="13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3" t="n"/>
      <c r="AK572" s="12" t="n"/>
      <c r="AL572" s="12" t="n"/>
      <c r="AM572" s="12" t="n"/>
      <c r="AN572" s="12" t="n"/>
      <c r="AO572" s="12" t="n"/>
      <c r="AP572" s="12" t="n"/>
      <c r="AQ572" s="7">
        <f>IF(A572="","",IF(AP572&lt;&gt;"",AP572,IF(LEFT(Z572,11)="gads_marque","Google Search – Marque",IF(LEFT(Z572,12)="gads_mariage","Google Search – Mariage et privé",IF(LEFT(Z572,10)="gads_corpo","Google Search – Corporatif",IF(LEFT(Z572,5)="meta_","Meta – Leads",IF(LEFT(Z572,5)="msft_","Microsoft Ads",IF(LEFT(Z572,8)="chatgpt_","ChatGPT Ads – Test",IF(X572="gbp","Fiche Google (organique)","Autre / non payé")))))))))</f>
        <v/>
      </c>
      <c r="AR572" s="7">
        <f>IF(K572="","",IFERROR(VLOOKUP(K572,Listes!$F$3:$H$8,3,FALSE),""))</f>
        <v/>
      </c>
      <c r="AS572" s="7">
        <f>IF(O572="","",IF(AND(M572="Autre (plus de 40 km)",OR(O572="lt600",O572="600_999",O572="1000_2499")),"D",IF(OR(O572="lt600",AND(O572="600_999",K572&lt;&gt;"mariage",K572&lt;&gt;"prive")),"C",IF(OR(O572="2500_4999",O572="5000p",J572="entreprise",J572="organisme",J572="agence"),"A",IF(OR(O572="1000_2499",O572="600_999"),"B",IF(O572="inconnu",IF(OR(N572="75_149",N572="150p"),"A","B"),""))))))</f>
        <v/>
      </c>
      <c r="AT572" s="7">
        <f>IF(A572="","",IF(P572&lt;&gt;"",P572,AS572))</f>
        <v/>
      </c>
      <c r="AU572" s="7">
        <f>IF(A572="","",IF(OR(AT572="A",AT572="B"),1,0))</f>
        <v/>
      </c>
      <c r="AV572" s="7">
        <f>IF(A572="","",IF(OR(R572="Dépôt payé (gagné)",R572="Événement livré",R572="Avis obtenu"),1,0))</f>
        <v/>
      </c>
      <c r="AW572" s="7">
        <f>IF(A572="","",IF(Q572&gt;70,"Immédiat – propriétaire",IF(Q572&gt;=40,"15 min – personne de garde","Selon la route")))</f>
        <v/>
      </c>
      <c r="AX572" s="11">
        <f>IF(A572="","",IF(AT572="A",400,IF(AT572="B",150,0)))</f>
        <v/>
      </c>
      <c r="AY572" s="11">
        <f>IF(A572="","",IF(AV572=1,N(V572),IF(N(U572)&gt;0,ROUND(N(U572)*IFERROR(VLOOKUP(R572,Listes!$AE$3:$AG$12,2,FALSE),0),0),0)))</f>
        <v/>
      </c>
      <c r="AZ572" s="7">
        <f>IF(LEFT(A572,7)="EXEMPLE",1,0)</f>
        <v/>
      </c>
      <c r="BA572" s="7">
        <f>IF(AND(AV572=1,AZ572=0,AC572&lt;&gt;"",W572&lt;&gt;"",N(V572)&gt;0),COUNTIFS($AV$3:AV572,1,$AZ$3:AZ572,0,$AC$3:AC572,"&lt;&gt;",$W$3:W572,"&lt;&gt;",$V$3:V572,"&gt;0"),"")</f>
        <v/>
      </c>
    </row>
    <row r="573">
      <c r="A573" s="12" t="n"/>
      <c r="B573" s="13" t="n"/>
      <c r="C573" s="13" t="n"/>
      <c r="D573" s="7">
        <f>IF(OR(B573="",C573=""),"",ROUND((C573-B573)*1440,0))</f>
        <v/>
      </c>
      <c r="E573" s="12" t="n"/>
      <c r="F573" s="12" t="n"/>
      <c r="G573" s="12" t="n"/>
      <c r="H573" s="12" t="n"/>
      <c r="I573" s="12" t="n"/>
      <c r="J573" s="12" t="n"/>
      <c r="K573" s="12" t="n"/>
      <c r="L573" s="14" t="n"/>
      <c r="M573" s="12" t="n"/>
      <c r="N573" s="12" t="n"/>
      <c r="O573" s="12" t="n"/>
      <c r="P573" s="12" t="n"/>
      <c r="Q573" s="7">
        <f>IF(A573="","",IFERROR(VLOOKUP(O573,Listes!$R$3:$T$8,2,FALSE),0)+IFERROR(VLOOKUP(J573,Listes!$J$3:$L$6,2,FALSE),0)+IFERROR(VLOOKUP(N573,Listes!$N$3:$P$6,2,FALSE),0)+IF(OR(L573="",B573=""),0,IF(L573-INT(B573)&lt;10,8,IF(L573-INT(B573)&lt;=90,10,5)))+IFERROR(VLOOKUP(AN573,Listes!$V$3:$W$5,2,FALSE),0)+IFERROR(VLOOKUP(AO573,Listes!$Y$3:$Z$5,2,FALSE),0))</f>
        <v/>
      </c>
      <c r="R573" s="12" t="n"/>
      <c r="S573" s="12" t="n"/>
      <c r="T573" s="12" t="n"/>
      <c r="U573" s="15" t="n"/>
      <c r="V573" s="15" t="n"/>
      <c r="W573" s="13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3" t="n"/>
      <c r="AK573" s="12" t="n"/>
      <c r="AL573" s="12" t="n"/>
      <c r="AM573" s="12" t="n"/>
      <c r="AN573" s="12" t="n"/>
      <c r="AO573" s="12" t="n"/>
      <c r="AP573" s="12" t="n"/>
      <c r="AQ573" s="7">
        <f>IF(A573="","",IF(AP573&lt;&gt;"",AP573,IF(LEFT(Z573,11)="gads_marque","Google Search – Marque",IF(LEFT(Z573,12)="gads_mariage","Google Search – Mariage et privé",IF(LEFT(Z573,10)="gads_corpo","Google Search – Corporatif",IF(LEFT(Z573,5)="meta_","Meta – Leads",IF(LEFT(Z573,5)="msft_","Microsoft Ads",IF(LEFT(Z573,8)="chatgpt_","ChatGPT Ads – Test",IF(X573="gbp","Fiche Google (organique)","Autre / non payé")))))))))</f>
        <v/>
      </c>
      <c r="AR573" s="7">
        <f>IF(K573="","",IFERROR(VLOOKUP(K573,Listes!$F$3:$H$8,3,FALSE),""))</f>
        <v/>
      </c>
      <c r="AS573" s="7">
        <f>IF(O573="","",IF(AND(M573="Autre (plus de 40 km)",OR(O573="lt600",O573="600_999",O573="1000_2499")),"D",IF(OR(O573="lt600",AND(O573="600_999",K573&lt;&gt;"mariage",K573&lt;&gt;"prive")),"C",IF(OR(O573="2500_4999",O573="5000p",J573="entreprise",J573="organisme",J573="agence"),"A",IF(OR(O573="1000_2499",O573="600_999"),"B",IF(O573="inconnu",IF(OR(N573="75_149",N573="150p"),"A","B"),""))))))</f>
        <v/>
      </c>
      <c r="AT573" s="7">
        <f>IF(A573="","",IF(P573&lt;&gt;"",P573,AS573))</f>
        <v/>
      </c>
      <c r="AU573" s="7">
        <f>IF(A573="","",IF(OR(AT573="A",AT573="B"),1,0))</f>
        <v/>
      </c>
      <c r="AV573" s="7">
        <f>IF(A573="","",IF(OR(R573="Dépôt payé (gagné)",R573="Événement livré",R573="Avis obtenu"),1,0))</f>
        <v/>
      </c>
      <c r="AW573" s="7">
        <f>IF(A573="","",IF(Q573&gt;70,"Immédiat – propriétaire",IF(Q573&gt;=40,"15 min – personne de garde","Selon la route")))</f>
        <v/>
      </c>
      <c r="AX573" s="11">
        <f>IF(A573="","",IF(AT573="A",400,IF(AT573="B",150,0)))</f>
        <v/>
      </c>
      <c r="AY573" s="11">
        <f>IF(A573="","",IF(AV573=1,N(V573),IF(N(U573)&gt;0,ROUND(N(U573)*IFERROR(VLOOKUP(R573,Listes!$AE$3:$AG$12,2,FALSE),0),0),0)))</f>
        <v/>
      </c>
      <c r="AZ573" s="7">
        <f>IF(LEFT(A573,7)="EXEMPLE",1,0)</f>
        <v/>
      </c>
      <c r="BA573" s="7">
        <f>IF(AND(AV573=1,AZ573=0,AC573&lt;&gt;"",W573&lt;&gt;"",N(V573)&gt;0),COUNTIFS($AV$3:AV573,1,$AZ$3:AZ573,0,$AC$3:AC573,"&lt;&gt;",$W$3:W573,"&lt;&gt;",$V$3:V573,"&gt;0"),"")</f>
        <v/>
      </c>
    </row>
    <row r="574">
      <c r="A574" s="12" t="n"/>
      <c r="B574" s="13" t="n"/>
      <c r="C574" s="13" t="n"/>
      <c r="D574" s="7">
        <f>IF(OR(B574="",C574=""),"",ROUND((C574-B574)*1440,0))</f>
        <v/>
      </c>
      <c r="E574" s="12" t="n"/>
      <c r="F574" s="12" t="n"/>
      <c r="G574" s="12" t="n"/>
      <c r="H574" s="12" t="n"/>
      <c r="I574" s="12" t="n"/>
      <c r="J574" s="12" t="n"/>
      <c r="K574" s="12" t="n"/>
      <c r="L574" s="14" t="n"/>
      <c r="M574" s="12" t="n"/>
      <c r="N574" s="12" t="n"/>
      <c r="O574" s="12" t="n"/>
      <c r="P574" s="12" t="n"/>
      <c r="Q574" s="7">
        <f>IF(A574="","",IFERROR(VLOOKUP(O574,Listes!$R$3:$T$8,2,FALSE),0)+IFERROR(VLOOKUP(J574,Listes!$J$3:$L$6,2,FALSE),0)+IFERROR(VLOOKUP(N574,Listes!$N$3:$P$6,2,FALSE),0)+IF(OR(L574="",B574=""),0,IF(L574-INT(B574)&lt;10,8,IF(L574-INT(B574)&lt;=90,10,5)))+IFERROR(VLOOKUP(AN574,Listes!$V$3:$W$5,2,FALSE),0)+IFERROR(VLOOKUP(AO574,Listes!$Y$3:$Z$5,2,FALSE),0))</f>
        <v/>
      </c>
      <c r="R574" s="12" t="n"/>
      <c r="S574" s="12" t="n"/>
      <c r="T574" s="12" t="n"/>
      <c r="U574" s="15" t="n"/>
      <c r="V574" s="15" t="n"/>
      <c r="W574" s="13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3" t="n"/>
      <c r="AK574" s="12" t="n"/>
      <c r="AL574" s="12" t="n"/>
      <c r="AM574" s="12" t="n"/>
      <c r="AN574" s="12" t="n"/>
      <c r="AO574" s="12" t="n"/>
      <c r="AP574" s="12" t="n"/>
      <c r="AQ574" s="7">
        <f>IF(A574="","",IF(AP574&lt;&gt;"",AP574,IF(LEFT(Z574,11)="gads_marque","Google Search – Marque",IF(LEFT(Z574,12)="gads_mariage","Google Search – Mariage et privé",IF(LEFT(Z574,10)="gads_corpo","Google Search – Corporatif",IF(LEFT(Z574,5)="meta_","Meta – Leads",IF(LEFT(Z574,5)="msft_","Microsoft Ads",IF(LEFT(Z574,8)="chatgpt_","ChatGPT Ads – Test",IF(X574="gbp","Fiche Google (organique)","Autre / non payé")))))))))</f>
        <v/>
      </c>
      <c r="AR574" s="7">
        <f>IF(K574="","",IFERROR(VLOOKUP(K574,Listes!$F$3:$H$8,3,FALSE),""))</f>
        <v/>
      </c>
      <c r="AS574" s="7">
        <f>IF(O574="","",IF(AND(M574="Autre (plus de 40 km)",OR(O574="lt600",O574="600_999",O574="1000_2499")),"D",IF(OR(O574="lt600",AND(O574="600_999",K574&lt;&gt;"mariage",K574&lt;&gt;"prive")),"C",IF(OR(O574="2500_4999",O574="5000p",J574="entreprise",J574="organisme",J574="agence"),"A",IF(OR(O574="1000_2499",O574="600_999"),"B",IF(O574="inconnu",IF(OR(N574="75_149",N574="150p"),"A","B"),""))))))</f>
        <v/>
      </c>
      <c r="AT574" s="7">
        <f>IF(A574="","",IF(P574&lt;&gt;"",P574,AS574))</f>
        <v/>
      </c>
      <c r="AU574" s="7">
        <f>IF(A574="","",IF(OR(AT574="A",AT574="B"),1,0))</f>
        <v/>
      </c>
      <c r="AV574" s="7">
        <f>IF(A574="","",IF(OR(R574="Dépôt payé (gagné)",R574="Événement livré",R574="Avis obtenu"),1,0))</f>
        <v/>
      </c>
      <c r="AW574" s="7">
        <f>IF(A574="","",IF(Q574&gt;70,"Immédiat – propriétaire",IF(Q574&gt;=40,"15 min – personne de garde","Selon la route")))</f>
        <v/>
      </c>
      <c r="AX574" s="11">
        <f>IF(A574="","",IF(AT574="A",400,IF(AT574="B",150,0)))</f>
        <v/>
      </c>
      <c r="AY574" s="11">
        <f>IF(A574="","",IF(AV574=1,N(V574),IF(N(U574)&gt;0,ROUND(N(U574)*IFERROR(VLOOKUP(R574,Listes!$AE$3:$AG$12,2,FALSE),0),0),0)))</f>
        <v/>
      </c>
      <c r="AZ574" s="7">
        <f>IF(LEFT(A574,7)="EXEMPLE",1,0)</f>
        <v/>
      </c>
      <c r="BA574" s="7">
        <f>IF(AND(AV574=1,AZ574=0,AC574&lt;&gt;"",W574&lt;&gt;"",N(V574)&gt;0),COUNTIFS($AV$3:AV574,1,$AZ$3:AZ574,0,$AC$3:AC574,"&lt;&gt;",$W$3:W574,"&lt;&gt;",$V$3:V574,"&gt;0"),"")</f>
        <v/>
      </c>
    </row>
    <row r="575">
      <c r="A575" s="12" t="n"/>
      <c r="B575" s="13" t="n"/>
      <c r="C575" s="13" t="n"/>
      <c r="D575" s="7">
        <f>IF(OR(B575="",C575=""),"",ROUND((C575-B575)*1440,0))</f>
        <v/>
      </c>
      <c r="E575" s="12" t="n"/>
      <c r="F575" s="12" t="n"/>
      <c r="G575" s="12" t="n"/>
      <c r="H575" s="12" t="n"/>
      <c r="I575" s="12" t="n"/>
      <c r="J575" s="12" t="n"/>
      <c r="K575" s="12" t="n"/>
      <c r="L575" s="14" t="n"/>
      <c r="M575" s="12" t="n"/>
      <c r="N575" s="12" t="n"/>
      <c r="O575" s="12" t="n"/>
      <c r="P575" s="12" t="n"/>
      <c r="Q575" s="7">
        <f>IF(A575="","",IFERROR(VLOOKUP(O575,Listes!$R$3:$T$8,2,FALSE),0)+IFERROR(VLOOKUP(J575,Listes!$J$3:$L$6,2,FALSE),0)+IFERROR(VLOOKUP(N575,Listes!$N$3:$P$6,2,FALSE),0)+IF(OR(L575="",B575=""),0,IF(L575-INT(B575)&lt;10,8,IF(L575-INT(B575)&lt;=90,10,5)))+IFERROR(VLOOKUP(AN575,Listes!$V$3:$W$5,2,FALSE),0)+IFERROR(VLOOKUP(AO575,Listes!$Y$3:$Z$5,2,FALSE),0))</f>
        <v/>
      </c>
      <c r="R575" s="12" t="n"/>
      <c r="S575" s="12" t="n"/>
      <c r="T575" s="12" t="n"/>
      <c r="U575" s="15" t="n"/>
      <c r="V575" s="15" t="n"/>
      <c r="W575" s="13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3" t="n"/>
      <c r="AK575" s="12" t="n"/>
      <c r="AL575" s="12" t="n"/>
      <c r="AM575" s="12" t="n"/>
      <c r="AN575" s="12" t="n"/>
      <c r="AO575" s="12" t="n"/>
      <c r="AP575" s="12" t="n"/>
      <c r="AQ575" s="7">
        <f>IF(A575="","",IF(AP575&lt;&gt;"",AP575,IF(LEFT(Z575,11)="gads_marque","Google Search – Marque",IF(LEFT(Z575,12)="gads_mariage","Google Search – Mariage et privé",IF(LEFT(Z575,10)="gads_corpo","Google Search – Corporatif",IF(LEFT(Z575,5)="meta_","Meta – Leads",IF(LEFT(Z575,5)="msft_","Microsoft Ads",IF(LEFT(Z575,8)="chatgpt_","ChatGPT Ads – Test",IF(X575="gbp","Fiche Google (organique)","Autre / non payé")))))))))</f>
        <v/>
      </c>
      <c r="AR575" s="7">
        <f>IF(K575="","",IFERROR(VLOOKUP(K575,Listes!$F$3:$H$8,3,FALSE),""))</f>
        <v/>
      </c>
      <c r="AS575" s="7">
        <f>IF(O575="","",IF(AND(M575="Autre (plus de 40 km)",OR(O575="lt600",O575="600_999",O575="1000_2499")),"D",IF(OR(O575="lt600",AND(O575="600_999",K575&lt;&gt;"mariage",K575&lt;&gt;"prive")),"C",IF(OR(O575="2500_4999",O575="5000p",J575="entreprise",J575="organisme",J575="agence"),"A",IF(OR(O575="1000_2499",O575="600_999"),"B",IF(O575="inconnu",IF(OR(N575="75_149",N575="150p"),"A","B"),""))))))</f>
        <v/>
      </c>
      <c r="AT575" s="7">
        <f>IF(A575="","",IF(P575&lt;&gt;"",P575,AS575))</f>
        <v/>
      </c>
      <c r="AU575" s="7">
        <f>IF(A575="","",IF(OR(AT575="A",AT575="B"),1,0))</f>
        <v/>
      </c>
      <c r="AV575" s="7">
        <f>IF(A575="","",IF(OR(R575="Dépôt payé (gagné)",R575="Événement livré",R575="Avis obtenu"),1,0))</f>
        <v/>
      </c>
      <c r="AW575" s="7">
        <f>IF(A575="","",IF(Q575&gt;70,"Immédiat – propriétaire",IF(Q575&gt;=40,"15 min – personne de garde","Selon la route")))</f>
        <v/>
      </c>
      <c r="AX575" s="11">
        <f>IF(A575="","",IF(AT575="A",400,IF(AT575="B",150,0)))</f>
        <v/>
      </c>
      <c r="AY575" s="11">
        <f>IF(A575="","",IF(AV575=1,N(V575),IF(N(U575)&gt;0,ROUND(N(U575)*IFERROR(VLOOKUP(R575,Listes!$AE$3:$AG$12,2,FALSE),0),0),0)))</f>
        <v/>
      </c>
      <c r="AZ575" s="7">
        <f>IF(LEFT(A575,7)="EXEMPLE",1,0)</f>
        <v/>
      </c>
      <c r="BA575" s="7">
        <f>IF(AND(AV575=1,AZ575=0,AC575&lt;&gt;"",W575&lt;&gt;"",N(V575)&gt;0),COUNTIFS($AV$3:AV575,1,$AZ$3:AZ575,0,$AC$3:AC575,"&lt;&gt;",$W$3:W575,"&lt;&gt;",$V$3:V575,"&gt;0"),"")</f>
        <v/>
      </c>
    </row>
    <row r="576">
      <c r="A576" s="12" t="n"/>
      <c r="B576" s="13" t="n"/>
      <c r="C576" s="13" t="n"/>
      <c r="D576" s="7">
        <f>IF(OR(B576="",C576=""),"",ROUND((C576-B576)*1440,0))</f>
        <v/>
      </c>
      <c r="E576" s="12" t="n"/>
      <c r="F576" s="12" t="n"/>
      <c r="G576" s="12" t="n"/>
      <c r="H576" s="12" t="n"/>
      <c r="I576" s="12" t="n"/>
      <c r="J576" s="12" t="n"/>
      <c r="K576" s="12" t="n"/>
      <c r="L576" s="14" t="n"/>
      <c r="M576" s="12" t="n"/>
      <c r="N576" s="12" t="n"/>
      <c r="O576" s="12" t="n"/>
      <c r="P576" s="12" t="n"/>
      <c r="Q576" s="7">
        <f>IF(A576="","",IFERROR(VLOOKUP(O576,Listes!$R$3:$T$8,2,FALSE),0)+IFERROR(VLOOKUP(J576,Listes!$J$3:$L$6,2,FALSE),0)+IFERROR(VLOOKUP(N576,Listes!$N$3:$P$6,2,FALSE),0)+IF(OR(L576="",B576=""),0,IF(L576-INT(B576)&lt;10,8,IF(L576-INT(B576)&lt;=90,10,5)))+IFERROR(VLOOKUP(AN576,Listes!$V$3:$W$5,2,FALSE),0)+IFERROR(VLOOKUP(AO576,Listes!$Y$3:$Z$5,2,FALSE),0))</f>
        <v/>
      </c>
      <c r="R576" s="12" t="n"/>
      <c r="S576" s="12" t="n"/>
      <c r="T576" s="12" t="n"/>
      <c r="U576" s="15" t="n"/>
      <c r="V576" s="15" t="n"/>
      <c r="W576" s="13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3" t="n"/>
      <c r="AK576" s="12" t="n"/>
      <c r="AL576" s="12" t="n"/>
      <c r="AM576" s="12" t="n"/>
      <c r="AN576" s="12" t="n"/>
      <c r="AO576" s="12" t="n"/>
      <c r="AP576" s="12" t="n"/>
      <c r="AQ576" s="7">
        <f>IF(A576="","",IF(AP576&lt;&gt;"",AP576,IF(LEFT(Z576,11)="gads_marque","Google Search – Marque",IF(LEFT(Z576,12)="gads_mariage","Google Search – Mariage et privé",IF(LEFT(Z576,10)="gads_corpo","Google Search – Corporatif",IF(LEFT(Z576,5)="meta_","Meta – Leads",IF(LEFT(Z576,5)="msft_","Microsoft Ads",IF(LEFT(Z576,8)="chatgpt_","ChatGPT Ads – Test",IF(X576="gbp","Fiche Google (organique)","Autre / non payé")))))))))</f>
        <v/>
      </c>
      <c r="AR576" s="7">
        <f>IF(K576="","",IFERROR(VLOOKUP(K576,Listes!$F$3:$H$8,3,FALSE),""))</f>
        <v/>
      </c>
      <c r="AS576" s="7">
        <f>IF(O576="","",IF(AND(M576="Autre (plus de 40 km)",OR(O576="lt600",O576="600_999",O576="1000_2499")),"D",IF(OR(O576="lt600",AND(O576="600_999",K576&lt;&gt;"mariage",K576&lt;&gt;"prive")),"C",IF(OR(O576="2500_4999",O576="5000p",J576="entreprise",J576="organisme",J576="agence"),"A",IF(OR(O576="1000_2499",O576="600_999"),"B",IF(O576="inconnu",IF(OR(N576="75_149",N576="150p"),"A","B"),""))))))</f>
        <v/>
      </c>
      <c r="AT576" s="7">
        <f>IF(A576="","",IF(P576&lt;&gt;"",P576,AS576))</f>
        <v/>
      </c>
      <c r="AU576" s="7">
        <f>IF(A576="","",IF(OR(AT576="A",AT576="B"),1,0))</f>
        <v/>
      </c>
      <c r="AV576" s="7">
        <f>IF(A576="","",IF(OR(R576="Dépôt payé (gagné)",R576="Événement livré",R576="Avis obtenu"),1,0))</f>
        <v/>
      </c>
      <c r="AW576" s="7">
        <f>IF(A576="","",IF(Q576&gt;70,"Immédiat – propriétaire",IF(Q576&gt;=40,"15 min – personne de garde","Selon la route")))</f>
        <v/>
      </c>
      <c r="AX576" s="11">
        <f>IF(A576="","",IF(AT576="A",400,IF(AT576="B",150,0)))</f>
        <v/>
      </c>
      <c r="AY576" s="11">
        <f>IF(A576="","",IF(AV576=1,N(V576),IF(N(U576)&gt;0,ROUND(N(U576)*IFERROR(VLOOKUP(R576,Listes!$AE$3:$AG$12,2,FALSE),0),0),0)))</f>
        <v/>
      </c>
      <c r="AZ576" s="7">
        <f>IF(LEFT(A576,7)="EXEMPLE",1,0)</f>
        <v/>
      </c>
      <c r="BA576" s="7">
        <f>IF(AND(AV576=1,AZ576=0,AC576&lt;&gt;"",W576&lt;&gt;"",N(V576)&gt;0),COUNTIFS($AV$3:AV576,1,$AZ$3:AZ576,0,$AC$3:AC576,"&lt;&gt;",$W$3:W576,"&lt;&gt;",$V$3:V576,"&gt;0"),"")</f>
        <v/>
      </c>
    </row>
    <row r="577">
      <c r="A577" s="12" t="n"/>
      <c r="B577" s="13" t="n"/>
      <c r="C577" s="13" t="n"/>
      <c r="D577" s="7">
        <f>IF(OR(B577="",C577=""),"",ROUND((C577-B577)*1440,0))</f>
        <v/>
      </c>
      <c r="E577" s="12" t="n"/>
      <c r="F577" s="12" t="n"/>
      <c r="G577" s="12" t="n"/>
      <c r="H577" s="12" t="n"/>
      <c r="I577" s="12" t="n"/>
      <c r="J577" s="12" t="n"/>
      <c r="K577" s="12" t="n"/>
      <c r="L577" s="14" t="n"/>
      <c r="M577" s="12" t="n"/>
      <c r="N577" s="12" t="n"/>
      <c r="O577" s="12" t="n"/>
      <c r="P577" s="12" t="n"/>
      <c r="Q577" s="7">
        <f>IF(A577="","",IFERROR(VLOOKUP(O577,Listes!$R$3:$T$8,2,FALSE),0)+IFERROR(VLOOKUP(J577,Listes!$J$3:$L$6,2,FALSE),0)+IFERROR(VLOOKUP(N577,Listes!$N$3:$P$6,2,FALSE),0)+IF(OR(L577="",B577=""),0,IF(L577-INT(B577)&lt;10,8,IF(L577-INT(B577)&lt;=90,10,5)))+IFERROR(VLOOKUP(AN577,Listes!$V$3:$W$5,2,FALSE),0)+IFERROR(VLOOKUP(AO577,Listes!$Y$3:$Z$5,2,FALSE),0))</f>
        <v/>
      </c>
      <c r="R577" s="12" t="n"/>
      <c r="S577" s="12" t="n"/>
      <c r="T577" s="12" t="n"/>
      <c r="U577" s="15" t="n"/>
      <c r="V577" s="15" t="n"/>
      <c r="W577" s="13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3" t="n"/>
      <c r="AK577" s="12" t="n"/>
      <c r="AL577" s="12" t="n"/>
      <c r="AM577" s="12" t="n"/>
      <c r="AN577" s="12" t="n"/>
      <c r="AO577" s="12" t="n"/>
      <c r="AP577" s="12" t="n"/>
      <c r="AQ577" s="7">
        <f>IF(A577="","",IF(AP577&lt;&gt;"",AP577,IF(LEFT(Z577,11)="gads_marque","Google Search – Marque",IF(LEFT(Z577,12)="gads_mariage","Google Search – Mariage et privé",IF(LEFT(Z577,10)="gads_corpo","Google Search – Corporatif",IF(LEFT(Z577,5)="meta_","Meta – Leads",IF(LEFT(Z577,5)="msft_","Microsoft Ads",IF(LEFT(Z577,8)="chatgpt_","ChatGPT Ads – Test",IF(X577="gbp","Fiche Google (organique)","Autre / non payé")))))))))</f>
        <v/>
      </c>
      <c r="AR577" s="7">
        <f>IF(K577="","",IFERROR(VLOOKUP(K577,Listes!$F$3:$H$8,3,FALSE),""))</f>
        <v/>
      </c>
      <c r="AS577" s="7">
        <f>IF(O577="","",IF(AND(M577="Autre (plus de 40 km)",OR(O577="lt600",O577="600_999",O577="1000_2499")),"D",IF(OR(O577="lt600",AND(O577="600_999",K577&lt;&gt;"mariage",K577&lt;&gt;"prive")),"C",IF(OR(O577="2500_4999",O577="5000p",J577="entreprise",J577="organisme",J577="agence"),"A",IF(OR(O577="1000_2499",O577="600_999"),"B",IF(O577="inconnu",IF(OR(N577="75_149",N577="150p"),"A","B"),""))))))</f>
        <v/>
      </c>
      <c r="AT577" s="7">
        <f>IF(A577="","",IF(P577&lt;&gt;"",P577,AS577))</f>
        <v/>
      </c>
      <c r="AU577" s="7">
        <f>IF(A577="","",IF(OR(AT577="A",AT577="B"),1,0))</f>
        <v/>
      </c>
      <c r="AV577" s="7">
        <f>IF(A577="","",IF(OR(R577="Dépôt payé (gagné)",R577="Événement livré",R577="Avis obtenu"),1,0))</f>
        <v/>
      </c>
      <c r="AW577" s="7">
        <f>IF(A577="","",IF(Q577&gt;70,"Immédiat – propriétaire",IF(Q577&gt;=40,"15 min – personne de garde","Selon la route")))</f>
        <v/>
      </c>
      <c r="AX577" s="11">
        <f>IF(A577="","",IF(AT577="A",400,IF(AT577="B",150,0)))</f>
        <v/>
      </c>
      <c r="AY577" s="11">
        <f>IF(A577="","",IF(AV577=1,N(V577),IF(N(U577)&gt;0,ROUND(N(U577)*IFERROR(VLOOKUP(R577,Listes!$AE$3:$AG$12,2,FALSE),0),0),0)))</f>
        <v/>
      </c>
      <c r="AZ577" s="7">
        <f>IF(LEFT(A577,7)="EXEMPLE",1,0)</f>
        <v/>
      </c>
      <c r="BA577" s="7">
        <f>IF(AND(AV577=1,AZ577=0,AC577&lt;&gt;"",W577&lt;&gt;"",N(V577)&gt;0),COUNTIFS($AV$3:AV577,1,$AZ$3:AZ577,0,$AC$3:AC577,"&lt;&gt;",$W$3:W577,"&lt;&gt;",$V$3:V577,"&gt;0"),"")</f>
        <v/>
      </c>
    </row>
    <row r="578">
      <c r="A578" s="12" t="n"/>
      <c r="B578" s="13" t="n"/>
      <c r="C578" s="13" t="n"/>
      <c r="D578" s="7">
        <f>IF(OR(B578="",C578=""),"",ROUND((C578-B578)*1440,0))</f>
        <v/>
      </c>
      <c r="E578" s="12" t="n"/>
      <c r="F578" s="12" t="n"/>
      <c r="G578" s="12" t="n"/>
      <c r="H578" s="12" t="n"/>
      <c r="I578" s="12" t="n"/>
      <c r="J578" s="12" t="n"/>
      <c r="K578" s="12" t="n"/>
      <c r="L578" s="14" t="n"/>
      <c r="M578" s="12" t="n"/>
      <c r="N578" s="12" t="n"/>
      <c r="O578" s="12" t="n"/>
      <c r="P578" s="12" t="n"/>
      <c r="Q578" s="7">
        <f>IF(A578="","",IFERROR(VLOOKUP(O578,Listes!$R$3:$T$8,2,FALSE),0)+IFERROR(VLOOKUP(J578,Listes!$J$3:$L$6,2,FALSE),0)+IFERROR(VLOOKUP(N578,Listes!$N$3:$P$6,2,FALSE),0)+IF(OR(L578="",B578=""),0,IF(L578-INT(B578)&lt;10,8,IF(L578-INT(B578)&lt;=90,10,5)))+IFERROR(VLOOKUP(AN578,Listes!$V$3:$W$5,2,FALSE),0)+IFERROR(VLOOKUP(AO578,Listes!$Y$3:$Z$5,2,FALSE),0))</f>
        <v/>
      </c>
      <c r="R578" s="12" t="n"/>
      <c r="S578" s="12" t="n"/>
      <c r="T578" s="12" t="n"/>
      <c r="U578" s="15" t="n"/>
      <c r="V578" s="15" t="n"/>
      <c r="W578" s="13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3" t="n"/>
      <c r="AK578" s="12" t="n"/>
      <c r="AL578" s="12" t="n"/>
      <c r="AM578" s="12" t="n"/>
      <c r="AN578" s="12" t="n"/>
      <c r="AO578" s="12" t="n"/>
      <c r="AP578" s="12" t="n"/>
      <c r="AQ578" s="7">
        <f>IF(A578="","",IF(AP578&lt;&gt;"",AP578,IF(LEFT(Z578,11)="gads_marque","Google Search – Marque",IF(LEFT(Z578,12)="gads_mariage","Google Search – Mariage et privé",IF(LEFT(Z578,10)="gads_corpo","Google Search – Corporatif",IF(LEFT(Z578,5)="meta_","Meta – Leads",IF(LEFT(Z578,5)="msft_","Microsoft Ads",IF(LEFT(Z578,8)="chatgpt_","ChatGPT Ads – Test",IF(X578="gbp","Fiche Google (organique)","Autre / non payé")))))))))</f>
        <v/>
      </c>
      <c r="AR578" s="7">
        <f>IF(K578="","",IFERROR(VLOOKUP(K578,Listes!$F$3:$H$8,3,FALSE),""))</f>
        <v/>
      </c>
      <c r="AS578" s="7">
        <f>IF(O578="","",IF(AND(M578="Autre (plus de 40 km)",OR(O578="lt600",O578="600_999",O578="1000_2499")),"D",IF(OR(O578="lt600",AND(O578="600_999",K578&lt;&gt;"mariage",K578&lt;&gt;"prive")),"C",IF(OR(O578="2500_4999",O578="5000p",J578="entreprise",J578="organisme",J578="agence"),"A",IF(OR(O578="1000_2499",O578="600_999"),"B",IF(O578="inconnu",IF(OR(N578="75_149",N578="150p"),"A","B"),""))))))</f>
        <v/>
      </c>
      <c r="AT578" s="7">
        <f>IF(A578="","",IF(P578&lt;&gt;"",P578,AS578))</f>
        <v/>
      </c>
      <c r="AU578" s="7">
        <f>IF(A578="","",IF(OR(AT578="A",AT578="B"),1,0))</f>
        <v/>
      </c>
      <c r="AV578" s="7">
        <f>IF(A578="","",IF(OR(R578="Dépôt payé (gagné)",R578="Événement livré",R578="Avis obtenu"),1,0))</f>
        <v/>
      </c>
      <c r="AW578" s="7">
        <f>IF(A578="","",IF(Q578&gt;70,"Immédiat – propriétaire",IF(Q578&gt;=40,"15 min – personne de garde","Selon la route")))</f>
        <v/>
      </c>
      <c r="AX578" s="11">
        <f>IF(A578="","",IF(AT578="A",400,IF(AT578="B",150,0)))</f>
        <v/>
      </c>
      <c r="AY578" s="11">
        <f>IF(A578="","",IF(AV578=1,N(V578),IF(N(U578)&gt;0,ROUND(N(U578)*IFERROR(VLOOKUP(R578,Listes!$AE$3:$AG$12,2,FALSE),0),0),0)))</f>
        <v/>
      </c>
      <c r="AZ578" s="7">
        <f>IF(LEFT(A578,7)="EXEMPLE",1,0)</f>
        <v/>
      </c>
      <c r="BA578" s="7">
        <f>IF(AND(AV578=1,AZ578=0,AC578&lt;&gt;"",W578&lt;&gt;"",N(V578)&gt;0),COUNTIFS($AV$3:AV578,1,$AZ$3:AZ578,0,$AC$3:AC578,"&lt;&gt;",$W$3:W578,"&lt;&gt;",$V$3:V578,"&gt;0"),"")</f>
        <v/>
      </c>
    </row>
    <row r="579">
      <c r="A579" s="12" t="n"/>
      <c r="B579" s="13" t="n"/>
      <c r="C579" s="13" t="n"/>
      <c r="D579" s="7">
        <f>IF(OR(B579="",C579=""),"",ROUND((C579-B579)*1440,0))</f>
        <v/>
      </c>
      <c r="E579" s="12" t="n"/>
      <c r="F579" s="12" t="n"/>
      <c r="G579" s="12" t="n"/>
      <c r="H579" s="12" t="n"/>
      <c r="I579" s="12" t="n"/>
      <c r="J579" s="12" t="n"/>
      <c r="K579" s="12" t="n"/>
      <c r="L579" s="14" t="n"/>
      <c r="M579" s="12" t="n"/>
      <c r="N579" s="12" t="n"/>
      <c r="O579" s="12" t="n"/>
      <c r="P579" s="12" t="n"/>
      <c r="Q579" s="7">
        <f>IF(A579="","",IFERROR(VLOOKUP(O579,Listes!$R$3:$T$8,2,FALSE),0)+IFERROR(VLOOKUP(J579,Listes!$J$3:$L$6,2,FALSE),0)+IFERROR(VLOOKUP(N579,Listes!$N$3:$P$6,2,FALSE),0)+IF(OR(L579="",B579=""),0,IF(L579-INT(B579)&lt;10,8,IF(L579-INT(B579)&lt;=90,10,5)))+IFERROR(VLOOKUP(AN579,Listes!$V$3:$W$5,2,FALSE),0)+IFERROR(VLOOKUP(AO579,Listes!$Y$3:$Z$5,2,FALSE),0))</f>
        <v/>
      </c>
      <c r="R579" s="12" t="n"/>
      <c r="S579" s="12" t="n"/>
      <c r="T579" s="12" t="n"/>
      <c r="U579" s="15" t="n"/>
      <c r="V579" s="15" t="n"/>
      <c r="W579" s="13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3" t="n"/>
      <c r="AK579" s="12" t="n"/>
      <c r="AL579" s="12" t="n"/>
      <c r="AM579" s="12" t="n"/>
      <c r="AN579" s="12" t="n"/>
      <c r="AO579" s="12" t="n"/>
      <c r="AP579" s="12" t="n"/>
      <c r="AQ579" s="7">
        <f>IF(A579="","",IF(AP579&lt;&gt;"",AP579,IF(LEFT(Z579,11)="gads_marque","Google Search – Marque",IF(LEFT(Z579,12)="gads_mariage","Google Search – Mariage et privé",IF(LEFT(Z579,10)="gads_corpo","Google Search – Corporatif",IF(LEFT(Z579,5)="meta_","Meta – Leads",IF(LEFT(Z579,5)="msft_","Microsoft Ads",IF(LEFT(Z579,8)="chatgpt_","ChatGPT Ads – Test",IF(X579="gbp","Fiche Google (organique)","Autre / non payé")))))))))</f>
        <v/>
      </c>
      <c r="AR579" s="7">
        <f>IF(K579="","",IFERROR(VLOOKUP(K579,Listes!$F$3:$H$8,3,FALSE),""))</f>
        <v/>
      </c>
      <c r="AS579" s="7">
        <f>IF(O579="","",IF(AND(M579="Autre (plus de 40 km)",OR(O579="lt600",O579="600_999",O579="1000_2499")),"D",IF(OR(O579="lt600",AND(O579="600_999",K579&lt;&gt;"mariage",K579&lt;&gt;"prive")),"C",IF(OR(O579="2500_4999",O579="5000p",J579="entreprise",J579="organisme",J579="agence"),"A",IF(OR(O579="1000_2499",O579="600_999"),"B",IF(O579="inconnu",IF(OR(N579="75_149",N579="150p"),"A","B"),""))))))</f>
        <v/>
      </c>
      <c r="AT579" s="7">
        <f>IF(A579="","",IF(P579&lt;&gt;"",P579,AS579))</f>
        <v/>
      </c>
      <c r="AU579" s="7">
        <f>IF(A579="","",IF(OR(AT579="A",AT579="B"),1,0))</f>
        <v/>
      </c>
      <c r="AV579" s="7">
        <f>IF(A579="","",IF(OR(R579="Dépôt payé (gagné)",R579="Événement livré",R579="Avis obtenu"),1,0))</f>
        <v/>
      </c>
      <c r="AW579" s="7">
        <f>IF(A579="","",IF(Q579&gt;70,"Immédiat – propriétaire",IF(Q579&gt;=40,"15 min – personne de garde","Selon la route")))</f>
        <v/>
      </c>
      <c r="AX579" s="11">
        <f>IF(A579="","",IF(AT579="A",400,IF(AT579="B",150,0)))</f>
        <v/>
      </c>
      <c r="AY579" s="11">
        <f>IF(A579="","",IF(AV579=1,N(V579),IF(N(U579)&gt;0,ROUND(N(U579)*IFERROR(VLOOKUP(R579,Listes!$AE$3:$AG$12,2,FALSE),0),0),0)))</f>
        <v/>
      </c>
      <c r="AZ579" s="7">
        <f>IF(LEFT(A579,7)="EXEMPLE",1,0)</f>
        <v/>
      </c>
      <c r="BA579" s="7">
        <f>IF(AND(AV579=1,AZ579=0,AC579&lt;&gt;"",W579&lt;&gt;"",N(V579)&gt;0),COUNTIFS($AV$3:AV579,1,$AZ$3:AZ579,0,$AC$3:AC579,"&lt;&gt;",$W$3:W579,"&lt;&gt;",$V$3:V579,"&gt;0"),"")</f>
        <v/>
      </c>
    </row>
    <row r="580">
      <c r="A580" s="12" t="n"/>
      <c r="B580" s="13" t="n"/>
      <c r="C580" s="13" t="n"/>
      <c r="D580" s="7">
        <f>IF(OR(B580="",C580=""),"",ROUND((C580-B580)*1440,0))</f>
        <v/>
      </c>
      <c r="E580" s="12" t="n"/>
      <c r="F580" s="12" t="n"/>
      <c r="G580" s="12" t="n"/>
      <c r="H580" s="12" t="n"/>
      <c r="I580" s="12" t="n"/>
      <c r="J580" s="12" t="n"/>
      <c r="K580" s="12" t="n"/>
      <c r="L580" s="14" t="n"/>
      <c r="M580" s="12" t="n"/>
      <c r="N580" s="12" t="n"/>
      <c r="O580" s="12" t="n"/>
      <c r="P580" s="12" t="n"/>
      <c r="Q580" s="7">
        <f>IF(A580="","",IFERROR(VLOOKUP(O580,Listes!$R$3:$T$8,2,FALSE),0)+IFERROR(VLOOKUP(J580,Listes!$J$3:$L$6,2,FALSE),0)+IFERROR(VLOOKUP(N580,Listes!$N$3:$P$6,2,FALSE),0)+IF(OR(L580="",B580=""),0,IF(L580-INT(B580)&lt;10,8,IF(L580-INT(B580)&lt;=90,10,5)))+IFERROR(VLOOKUP(AN580,Listes!$V$3:$W$5,2,FALSE),0)+IFERROR(VLOOKUP(AO580,Listes!$Y$3:$Z$5,2,FALSE),0))</f>
        <v/>
      </c>
      <c r="R580" s="12" t="n"/>
      <c r="S580" s="12" t="n"/>
      <c r="T580" s="12" t="n"/>
      <c r="U580" s="15" t="n"/>
      <c r="V580" s="15" t="n"/>
      <c r="W580" s="13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3" t="n"/>
      <c r="AK580" s="12" t="n"/>
      <c r="AL580" s="12" t="n"/>
      <c r="AM580" s="12" t="n"/>
      <c r="AN580" s="12" t="n"/>
      <c r="AO580" s="12" t="n"/>
      <c r="AP580" s="12" t="n"/>
      <c r="AQ580" s="7">
        <f>IF(A580="","",IF(AP580&lt;&gt;"",AP580,IF(LEFT(Z580,11)="gads_marque","Google Search – Marque",IF(LEFT(Z580,12)="gads_mariage","Google Search – Mariage et privé",IF(LEFT(Z580,10)="gads_corpo","Google Search – Corporatif",IF(LEFT(Z580,5)="meta_","Meta – Leads",IF(LEFT(Z580,5)="msft_","Microsoft Ads",IF(LEFT(Z580,8)="chatgpt_","ChatGPT Ads – Test",IF(X580="gbp","Fiche Google (organique)","Autre / non payé")))))))))</f>
        <v/>
      </c>
      <c r="AR580" s="7">
        <f>IF(K580="","",IFERROR(VLOOKUP(K580,Listes!$F$3:$H$8,3,FALSE),""))</f>
        <v/>
      </c>
      <c r="AS580" s="7">
        <f>IF(O580="","",IF(AND(M580="Autre (plus de 40 km)",OR(O580="lt600",O580="600_999",O580="1000_2499")),"D",IF(OR(O580="lt600",AND(O580="600_999",K580&lt;&gt;"mariage",K580&lt;&gt;"prive")),"C",IF(OR(O580="2500_4999",O580="5000p",J580="entreprise",J580="organisme",J580="agence"),"A",IF(OR(O580="1000_2499",O580="600_999"),"B",IF(O580="inconnu",IF(OR(N580="75_149",N580="150p"),"A","B"),""))))))</f>
        <v/>
      </c>
      <c r="AT580" s="7">
        <f>IF(A580="","",IF(P580&lt;&gt;"",P580,AS580))</f>
        <v/>
      </c>
      <c r="AU580" s="7">
        <f>IF(A580="","",IF(OR(AT580="A",AT580="B"),1,0))</f>
        <v/>
      </c>
      <c r="AV580" s="7">
        <f>IF(A580="","",IF(OR(R580="Dépôt payé (gagné)",R580="Événement livré",R580="Avis obtenu"),1,0))</f>
        <v/>
      </c>
      <c r="AW580" s="7">
        <f>IF(A580="","",IF(Q580&gt;70,"Immédiat – propriétaire",IF(Q580&gt;=40,"15 min – personne de garde","Selon la route")))</f>
        <v/>
      </c>
      <c r="AX580" s="11">
        <f>IF(A580="","",IF(AT580="A",400,IF(AT580="B",150,0)))</f>
        <v/>
      </c>
      <c r="AY580" s="11">
        <f>IF(A580="","",IF(AV580=1,N(V580),IF(N(U580)&gt;0,ROUND(N(U580)*IFERROR(VLOOKUP(R580,Listes!$AE$3:$AG$12,2,FALSE),0),0),0)))</f>
        <v/>
      </c>
      <c r="AZ580" s="7">
        <f>IF(LEFT(A580,7)="EXEMPLE",1,0)</f>
        <v/>
      </c>
      <c r="BA580" s="7">
        <f>IF(AND(AV580=1,AZ580=0,AC580&lt;&gt;"",W580&lt;&gt;"",N(V580)&gt;0),COUNTIFS($AV$3:AV580,1,$AZ$3:AZ580,0,$AC$3:AC580,"&lt;&gt;",$W$3:W580,"&lt;&gt;",$V$3:V580,"&gt;0"),"")</f>
        <v/>
      </c>
    </row>
    <row r="581">
      <c r="A581" s="12" t="n"/>
      <c r="B581" s="13" t="n"/>
      <c r="C581" s="13" t="n"/>
      <c r="D581" s="7">
        <f>IF(OR(B581="",C581=""),"",ROUND((C581-B581)*1440,0))</f>
        <v/>
      </c>
      <c r="E581" s="12" t="n"/>
      <c r="F581" s="12" t="n"/>
      <c r="G581" s="12" t="n"/>
      <c r="H581" s="12" t="n"/>
      <c r="I581" s="12" t="n"/>
      <c r="J581" s="12" t="n"/>
      <c r="K581" s="12" t="n"/>
      <c r="L581" s="14" t="n"/>
      <c r="M581" s="12" t="n"/>
      <c r="N581" s="12" t="n"/>
      <c r="O581" s="12" t="n"/>
      <c r="P581" s="12" t="n"/>
      <c r="Q581" s="7">
        <f>IF(A581="","",IFERROR(VLOOKUP(O581,Listes!$R$3:$T$8,2,FALSE),0)+IFERROR(VLOOKUP(J581,Listes!$J$3:$L$6,2,FALSE),0)+IFERROR(VLOOKUP(N581,Listes!$N$3:$P$6,2,FALSE),0)+IF(OR(L581="",B581=""),0,IF(L581-INT(B581)&lt;10,8,IF(L581-INT(B581)&lt;=90,10,5)))+IFERROR(VLOOKUP(AN581,Listes!$V$3:$W$5,2,FALSE),0)+IFERROR(VLOOKUP(AO581,Listes!$Y$3:$Z$5,2,FALSE),0))</f>
        <v/>
      </c>
      <c r="R581" s="12" t="n"/>
      <c r="S581" s="12" t="n"/>
      <c r="T581" s="12" t="n"/>
      <c r="U581" s="15" t="n"/>
      <c r="V581" s="15" t="n"/>
      <c r="W581" s="13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3" t="n"/>
      <c r="AK581" s="12" t="n"/>
      <c r="AL581" s="12" t="n"/>
      <c r="AM581" s="12" t="n"/>
      <c r="AN581" s="12" t="n"/>
      <c r="AO581" s="12" t="n"/>
      <c r="AP581" s="12" t="n"/>
      <c r="AQ581" s="7">
        <f>IF(A581="","",IF(AP581&lt;&gt;"",AP581,IF(LEFT(Z581,11)="gads_marque","Google Search – Marque",IF(LEFT(Z581,12)="gads_mariage","Google Search – Mariage et privé",IF(LEFT(Z581,10)="gads_corpo","Google Search – Corporatif",IF(LEFT(Z581,5)="meta_","Meta – Leads",IF(LEFT(Z581,5)="msft_","Microsoft Ads",IF(LEFT(Z581,8)="chatgpt_","ChatGPT Ads – Test",IF(X581="gbp","Fiche Google (organique)","Autre / non payé")))))))))</f>
        <v/>
      </c>
      <c r="AR581" s="7">
        <f>IF(K581="","",IFERROR(VLOOKUP(K581,Listes!$F$3:$H$8,3,FALSE),""))</f>
        <v/>
      </c>
      <c r="AS581" s="7">
        <f>IF(O581="","",IF(AND(M581="Autre (plus de 40 km)",OR(O581="lt600",O581="600_999",O581="1000_2499")),"D",IF(OR(O581="lt600",AND(O581="600_999",K581&lt;&gt;"mariage",K581&lt;&gt;"prive")),"C",IF(OR(O581="2500_4999",O581="5000p",J581="entreprise",J581="organisme",J581="agence"),"A",IF(OR(O581="1000_2499",O581="600_999"),"B",IF(O581="inconnu",IF(OR(N581="75_149",N581="150p"),"A","B"),""))))))</f>
        <v/>
      </c>
      <c r="AT581" s="7">
        <f>IF(A581="","",IF(P581&lt;&gt;"",P581,AS581))</f>
        <v/>
      </c>
      <c r="AU581" s="7">
        <f>IF(A581="","",IF(OR(AT581="A",AT581="B"),1,0))</f>
        <v/>
      </c>
      <c r="AV581" s="7">
        <f>IF(A581="","",IF(OR(R581="Dépôt payé (gagné)",R581="Événement livré",R581="Avis obtenu"),1,0))</f>
        <v/>
      </c>
      <c r="AW581" s="7">
        <f>IF(A581="","",IF(Q581&gt;70,"Immédiat – propriétaire",IF(Q581&gt;=40,"15 min – personne de garde","Selon la route")))</f>
        <v/>
      </c>
      <c r="AX581" s="11">
        <f>IF(A581="","",IF(AT581="A",400,IF(AT581="B",150,0)))</f>
        <v/>
      </c>
      <c r="AY581" s="11">
        <f>IF(A581="","",IF(AV581=1,N(V581),IF(N(U581)&gt;0,ROUND(N(U581)*IFERROR(VLOOKUP(R581,Listes!$AE$3:$AG$12,2,FALSE),0),0),0)))</f>
        <v/>
      </c>
      <c r="AZ581" s="7">
        <f>IF(LEFT(A581,7)="EXEMPLE",1,0)</f>
        <v/>
      </c>
      <c r="BA581" s="7">
        <f>IF(AND(AV581=1,AZ581=0,AC581&lt;&gt;"",W581&lt;&gt;"",N(V581)&gt;0),COUNTIFS($AV$3:AV581,1,$AZ$3:AZ581,0,$AC$3:AC581,"&lt;&gt;",$W$3:W581,"&lt;&gt;",$V$3:V581,"&gt;0"),"")</f>
        <v/>
      </c>
    </row>
    <row r="582">
      <c r="A582" s="12" t="n"/>
      <c r="B582" s="13" t="n"/>
      <c r="C582" s="13" t="n"/>
      <c r="D582" s="7">
        <f>IF(OR(B582="",C582=""),"",ROUND((C582-B582)*1440,0))</f>
        <v/>
      </c>
      <c r="E582" s="12" t="n"/>
      <c r="F582" s="12" t="n"/>
      <c r="G582" s="12" t="n"/>
      <c r="H582" s="12" t="n"/>
      <c r="I582" s="12" t="n"/>
      <c r="J582" s="12" t="n"/>
      <c r="K582" s="12" t="n"/>
      <c r="L582" s="14" t="n"/>
      <c r="M582" s="12" t="n"/>
      <c r="N582" s="12" t="n"/>
      <c r="O582" s="12" t="n"/>
      <c r="P582" s="12" t="n"/>
      <c r="Q582" s="7">
        <f>IF(A582="","",IFERROR(VLOOKUP(O582,Listes!$R$3:$T$8,2,FALSE),0)+IFERROR(VLOOKUP(J582,Listes!$J$3:$L$6,2,FALSE),0)+IFERROR(VLOOKUP(N582,Listes!$N$3:$P$6,2,FALSE),0)+IF(OR(L582="",B582=""),0,IF(L582-INT(B582)&lt;10,8,IF(L582-INT(B582)&lt;=90,10,5)))+IFERROR(VLOOKUP(AN582,Listes!$V$3:$W$5,2,FALSE),0)+IFERROR(VLOOKUP(AO582,Listes!$Y$3:$Z$5,2,FALSE),0))</f>
        <v/>
      </c>
      <c r="R582" s="12" t="n"/>
      <c r="S582" s="12" t="n"/>
      <c r="T582" s="12" t="n"/>
      <c r="U582" s="15" t="n"/>
      <c r="V582" s="15" t="n"/>
      <c r="W582" s="13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3" t="n"/>
      <c r="AK582" s="12" t="n"/>
      <c r="AL582" s="12" t="n"/>
      <c r="AM582" s="12" t="n"/>
      <c r="AN582" s="12" t="n"/>
      <c r="AO582" s="12" t="n"/>
      <c r="AP582" s="12" t="n"/>
      <c r="AQ582" s="7">
        <f>IF(A582="","",IF(AP582&lt;&gt;"",AP582,IF(LEFT(Z582,11)="gads_marque","Google Search – Marque",IF(LEFT(Z582,12)="gads_mariage","Google Search – Mariage et privé",IF(LEFT(Z582,10)="gads_corpo","Google Search – Corporatif",IF(LEFT(Z582,5)="meta_","Meta – Leads",IF(LEFT(Z582,5)="msft_","Microsoft Ads",IF(LEFT(Z582,8)="chatgpt_","ChatGPT Ads – Test",IF(X582="gbp","Fiche Google (organique)","Autre / non payé")))))))))</f>
        <v/>
      </c>
      <c r="AR582" s="7">
        <f>IF(K582="","",IFERROR(VLOOKUP(K582,Listes!$F$3:$H$8,3,FALSE),""))</f>
        <v/>
      </c>
      <c r="AS582" s="7">
        <f>IF(O582="","",IF(AND(M582="Autre (plus de 40 km)",OR(O582="lt600",O582="600_999",O582="1000_2499")),"D",IF(OR(O582="lt600",AND(O582="600_999",K582&lt;&gt;"mariage",K582&lt;&gt;"prive")),"C",IF(OR(O582="2500_4999",O582="5000p",J582="entreprise",J582="organisme",J582="agence"),"A",IF(OR(O582="1000_2499",O582="600_999"),"B",IF(O582="inconnu",IF(OR(N582="75_149",N582="150p"),"A","B"),""))))))</f>
        <v/>
      </c>
      <c r="AT582" s="7">
        <f>IF(A582="","",IF(P582&lt;&gt;"",P582,AS582))</f>
        <v/>
      </c>
      <c r="AU582" s="7">
        <f>IF(A582="","",IF(OR(AT582="A",AT582="B"),1,0))</f>
        <v/>
      </c>
      <c r="AV582" s="7">
        <f>IF(A582="","",IF(OR(R582="Dépôt payé (gagné)",R582="Événement livré",R582="Avis obtenu"),1,0))</f>
        <v/>
      </c>
      <c r="AW582" s="7">
        <f>IF(A582="","",IF(Q582&gt;70,"Immédiat – propriétaire",IF(Q582&gt;=40,"15 min – personne de garde","Selon la route")))</f>
        <v/>
      </c>
      <c r="AX582" s="11">
        <f>IF(A582="","",IF(AT582="A",400,IF(AT582="B",150,0)))</f>
        <v/>
      </c>
      <c r="AY582" s="11">
        <f>IF(A582="","",IF(AV582=1,N(V582),IF(N(U582)&gt;0,ROUND(N(U582)*IFERROR(VLOOKUP(R582,Listes!$AE$3:$AG$12,2,FALSE),0),0),0)))</f>
        <v/>
      </c>
      <c r="AZ582" s="7">
        <f>IF(LEFT(A582,7)="EXEMPLE",1,0)</f>
        <v/>
      </c>
      <c r="BA582" s="7">
        <f>IF(AND(AV582=1,AZ582=0,AC582&lt;&gt;"",W582&lt;&gt;"",N(V582)&gt;0),COUNTIFS($AV$3:AV582,1,$AZ$3:AZ582,0,$AC$3:AC582,"&lt;&gt;",$W$3:W582,"&lt;&gt;",$V$3:V582,"&gt;0"),"")</f>
        <v/>
      </c>
    </row>
    <row r="583">
      <c r="A583" s="12" t="n"/>
      <c r="B583" s="13" t="n"/>
      <c r="C583" s="13" t="n"/>
      <c r="D583" s="7">
        <f>IF(OR(B583="",C583=""),"",ROUND((C583-B583)*1440,0))</f>
        <v/>
      </c>
      <c r="E583" s="12" t="n"/>
      <c r="F583" s="12" t="n"/>
      <c r="G583" s="12" t="n"/>
      <c r="H583" s="12" t="n"/>
      <c r="I583" s="12" t="n"/>
      <c r="J583" s="12" t="n"/>
      <c r="K583" s="12" t="n"/>
      <c r="L583" s="14" t="n"/>
      <c r="M583" s="12" t="n"/>
      <c r="N583" s="12" t="n"/>
      <c r="O583" s="12" t="n"/>
      <c r="P583" s="12" t="n"/>
      <c r="Q583" s="7">
        <f>IF(A583="","",IFERROR(VLOOKUP(O583,Listes!$R$3:$T$8,2,FALSE),0)+IFERROR(VLOOKUP(J583,Listes!$J$3:$L$6,2,FALSE),0)+IFERROR(VLOOKUP(N583,Listes!$N$3:$P$6,2,FALSE),0)+IF(OR(L583="",B583=""),0,IF(L583-INT(B583)&lt;10,8,IF(L583-INT(B583)&lt;=90,10,5)))+IFERROR(VLOOKUP(AN583,Listes!$V$3:$W$5,2,FALSE),0)+IFERROR(VLOOKUP(AO583,Listes!$Y$3:$Z$5,2,FALSE),0))</f>
        <v/>
      </c>
      <c r="R583" s="12" t="n"/>
      <c r="S583" s="12" t="n"/>
      <c r="T583" s="12" t="n"/>
      <c r="U583" s="15" t="n"/>
      <c r="V583" s="15" t="n"/>
      <c r="W583" s="13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3" t="n"/>
      <c r="AK583" s="12" t="n"/>
      <c r="AL583" s="12" t="n"/>
      <c r="AM583" s="12" t="n"/>
      <c r="AN583" s="12" t="n"/>
      <c r="AO583" s="12" t="n"/>
      <c r="AP583" s="12" t="n"/>
      <c r="AQ583" s="7">
        <f>IF(A583="","",IF(AP583&lt;&gt;"",AP583,IF(LEFT(Z583,11)="gads_marque","Google Search – Marque",IF(LEFT(Z583,12)="gads_mariage","Google Search – Mariage et privé",IF(LEFT(Z583,10)="gads_corpo","Google Search – Corporatif",IF(LEFT(Z583,5)="meta_","Meta – Leads",IF(LEFT(Z583,5)="msft_","Microsoft Ads",IF(LEFT(Z583,8)="chatgpt_","ChatGPT Ads – Test",IF(X583="gbp","Fiche Google (organique)","Autre / non payé")))))))))</f>
        <v/>
      </c>
      <c r="AR583" s="7">
        <f>IF(K583="","",IFERROR(VLOOKUP(K583,Listes!$F$3:$H$8,3,FALSE),""))</f>
        <v/>
      </c>
      <c r="AS583" s="7">
        <f>IF(O583="","",IF(AND(M583="Autre (plus de 40 km)",OR(O583="lt600",O583="600_999",O583="1000_2499")),"D",IF(OR(O583="lt600",AND(O583="600_999",K583&lt;&gt;"mariage",K583&lt;&gt;"prive")),"C",IF(OR(O583="2500_4999",O583="5000p",J583="entreprise",J583="organisme",J583="agence"),"A",IF(OR(O583="1000_2499",O583="600_999"),"B",IF(O583="inconnu",IF(OR(N583="75_149",N583="150p"),"A","B"),""))))))</f>
        <v/>
      </c>
      <c r="AT583" s="7">
        <f>IF(A583="","",IF(P583&lt;&gt;"",P583,AS583))</f>
        <v/>
      </c>
      <c r="AU583" s="7">
        <f>IF(A583="","",IF(OR(AT583="A",AT583="B"),1,0))</f>
        <v/>
      </c>
      <c r="AV583" s="7">
        <f>IF(A583="","",IF(OR(R583="Dépôt payé (gagné)",R583="Événement livré",R583="Avis obtenu"),1,0))</f>
        <v/>
      </c>
      <c r="AW583" s="7">
        <f>IF(A583="","",IF(Q583&gt;70,"Immédiat – propriétaire",IF(Q583&gt;=40,"15 min – personne de garde","Selon la route")))</f>
        <v/>
      </c>
      <c r="AX583" s="11">
        <f>IF(A583="","",IF(AT583="A",400,IF(AT583="B",150,0)))</f>
        <v/>
      </c>
      <c r="AY583" s="11">
        <f>IF(A583="","",IF(AV583=1,N(V583),IF(N(U583)&gt;0,ROUND(N(U583)*IFERROR(VLOOKUP(R583,Listes!$AE$3:$AG$12,2,FALSE),0),0),0)))</f>
        <v/>
      </c>
      <c r="AZ583" s="7">
        <f>IF(LEFT(A583,7)="EXEMPLE",1,0)</f>
        <v/>
      </c>
      <c r="BA583" s="7">
        <f>IF(AND(AV583=1,AZ583=0,AC583&lt;&gt;"",W583&lt;&gt;"",N(V583)&gt;0),COUNTIFS($AV$3:AV583,1,$AZ$3:AZ583,0,$AC$3:AC583,"&lt;&gt;",$W$3:W583,"&lt;&gt;",$V$3:V583,"&gt;0"),"")</f>
        <v/>
      </c>
    </row>
    <row r="584">
      <c r="A584" s="12" t="n"/>
      <c r="B584" s="13" t="n"/>
      <c r="C584" s="13" t="n"/>
      <c r="D584" s="7">
        <f>IF(OR(B584="",C584=""),"",ROUND((C584-B584)*1440,0))</f>
        <v/>
      </c>
      <c r="E584" s="12" t="n"/>
      <c r="F584" s="12" t="n"/>
      <c r="G584" s="12" t="n"/>
      <c r="H584" s="12" t="n"/>
      <c r="I584" s="12" t="n"/>
      <c r="J584" s="12" t="n"/>
      <c r="K584" s="12" t="n"/>
      <c r="L584" s="14" t="n"/>
      <c r="M584" s="12" t="n"/>
      <c r="N584" s="12" t="n"/>
      <c r="O584" s="12" t="n"/>
      <c r="P584" s="12" t="n"/>
      <c r="Q584" s="7">
        <f>IF(A584="","",IFERROR(VLOOKUP(O584,Listes!$R$3:$T$8,2,FALSE),0)+IFERROR(VLOOKUP(J584,Listes!$J$3:$L$6,2,FALSE),0)+IFERROR(VLOOKUP(N584,Listes!$N$3:$P$6,2,FALSE),0)+IF(OR(L584="",B584=""),0,IF(L584-INT(B584)&lt;10,8,IF(L584-INT(B584)&lt;=90,10,5)))+IFERROR(VLOOKUP(AN584,Listes!$V$3:$W$5,2,FALSE),0)+IFERROR(VLOOKUP(AO584,Listes!$Y$3:$Z$5,2,FALSE),0))</f>
        <v/>
      </c>
      <c r="R584" s="12" t="n"/>
      <c r="S584" s="12" t="n"/>
      <c r="T584" s="12" t="n"/>
      <c r="U584" s="15" t="n"/>
      <c r="V584" s="15" t="n"/>
      <c r="W584" s="13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3" t="n"/>
      <c r="AK584" s="12" t="n"/>
      <c r="AL584" s="12" t="n"/>
      <c r="AM584" s="12" t="n"/>
      <c r="AN584" s="12" t="n"/>
      <c r="AO584" s="12" t="n"/>
      <c r="AP584" s="12" t="n"/>
      <c r="AQ584" s="7">
        <f>IF(A584="","",IF(AP584&lt;&gt;"",AP584,IF(LEFT(Z584,11)="gads_marque","Google Search – Marque",IF(LEFT(Z584,12)="gads_mariage","Google Search – Mariage et privé",IF(LEFT(Z584,10)="gads_corpo","Google Search – Corporatif",IF(LEFT(Z584,5)="meta_","Meta – Leads",IF(LEFT(Z584,5)="msft_","Microsoft Ads",IF(LEFT(Z584,8)="chatgpt_","ChatGPT Ads – Test",IF(X584="gbp","Fiche Google (organique)","Autre / non payé")))))))))</f>
        <v/>
      </c>
      <c r="AR584" s="7">
        <f>IF(K584="","",IFERROR(VLOOKUP(K584,Listes!$F$3:$H$8,3,FALSE),""))</f>
        <v/>
      </c>
      <c r="AS584" s="7">
        <f>IF(O584="","",IF(AND(M584="Autre (plus de 40 km)",OR(O584="lt600",O584="600_999",O584="1000_2499")),"D",IF(OR(O584="lt600",AND(O584="600_999",K584&lt;&gt;"mariage",K584&lt;&gt;"prive")),"C",IF(OR(O584="2500_4999",O584="5000p",J584="entreprise",J584="organisme",J584="agence"),"A",IF(OR(O584="1000_2499",O584="600_999"),"B",IF(O584="inconnu",IF(OR(N584="75_149",N584="150p"),"A","B"),""))))))</f>
        <v/>
      </c>
      <c r="AT584" s="7">
        <f>IF(A584="","",IF(P584&lt;&gt;"",P584,AS584))</f>
        <v/>
      </c>
      <c r="AU584" s="7">
        <f>IF(A584="","",IF(OR(AT584="A",AT584="B"),1,0))</f>
        <v/>
      </c>
      <c r="AV584" s="7">
        <f>IF(A584="","",IF(OR(R584="Dépôt payé (gagné)",R584="Événement livré",R584="Avis obtenu"),1,0))</f>
        <v/>
      </c>
      <c r="AW584" s="7">
        <f>IF(A584="","",IF(Q584&gt;70,"Immédiat – propriétaire",IF(Q584&gt;=40,"15 min – personne de garde","Selon la route")))</f>
        <v/>
      </c>
      <c r="AX584" s="11">
        <f>IF(A584="","",IF(AT584="A",400,IF(AT584="B",150,0)))</f>
        <v/>
      </c>
      <c r="AY584" s="11">
        <f>IF(A584="","",IF(AV584=1,N(V584),IF(N(U584)&gt;0,ROUND(N(U584)*IFERROR(VLOOKUP(R584,Listes!$AE$3:$AG$12,2,FALSE),0),0),0)))</f>
        <v/>
      </c>
      <c r="AZ584" s="7">
        <f>IF(LEFT(A584,7)="EXEMPLE",1,0)</f>
        <v/>
      </c>
      <c r="BA584" s="7">
        <f>IF(AND(AV584=1,AZ584=0,AC584&lt;&gt;"",W584&lt;&gt;"",N(V584)&gt;0),COUNTIFS($AV$3:AV584,1,$AZ$3:AZ584,0,$AC$3:AC584,"&lt;&gt;",$W$3:W584,"&lt;&gt;",$V$3:V584,"&gt;0"),"")</f>
        <v/>
      </c>
    </row>
    <row r="585">
      <c r="A585" s="12" t="n"/>
      <c r="B585" s="13" t="n"/>
      <c r="C585" s="13" t="n"/>
      <c r="D585" s="7">
        <f>IF(OR(B585="",C585=""),"",ROUND((C585-B585)*1440,0))</f>
        <v/>
      </c>
      <c r="E585" s="12" t="n"/>
      <c r="F585" s="12" t="n"/>
      <c r="G585" s="12" t="n"/>
      <c r="H585" s="12" t="n"/>
      <c r="I585" s="12" t="n"/>
      <c r="J585" s="12" t="n"/>
      <c r="K585" s="12" t="n"/>
      <c r="L585" s="14" t="n"/>
      <c r="M585" s="12" t="n"/>
      <c r="N585" s="12" t="n"/>
      <c r="O585" s="12" t="n"/>
      <c r="P585" s="12" t="n"/>
      <c r="Q585" s="7">
        <f>IF(A585="","",IFERROR(VLOOKUP(O585,Listes!$R$3:$T$8,2,FALSE),0)+IFERROR(VLOOKUP(J585,Listes!$J$3:$L$6,2,FALSE),0)+IFERROR(VLOOKUP(N585,Listes!$N$3:$P$6,2,FALSE),0)+IF(OR(L585="",B585=""),0,IF(L585-INT(B585)&lt;10,8,IF(L585-INT(B585)&lt;=90,10,5)))+IFERROR(VLOOKUP(AN585,Listes!$V$3:$W$5,2,FALSE),0)+IFERROR(VLOOKUP(AO585,Listes!$Y$3:$Z$5,2,FALSE),0))</f>
        <v/>
      </c>
      <c r="R585" s="12" t="n"/>
      <c r="S585" s="12" t="n"/>
      <c r="T585" s="12" t="n"/>
      <c r="U585" s="15" t="n"/>
      <c r="V585" s="15" t="n"/>
      <c r="W585" s="13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3" t="n"/>
      <c r="AK585" s="12" t="n"/>
      <c r="AL585" s="12" t="n"/>
      <c r="AM585" s="12" t="n"/>
      <c r="AN585" s="12" t="n"/>
      <c r="AO585" s="12" t="n"/>
      <c r="AP585" s="12" t="n"/>
      <c r="AQ585" s="7">
        <f>IF(A585="","",IF(AP585&lt;&gt;"",AP585,IF(LEFT(Z585,11)="gads_marque","Google Search – Marque",IF(LEFT(Z585,12)="gads_mariage","Google Search – Mariage et privé",IF(LEFT(Z585,10)="gads_corpo","Google Search – Corporatif",IF(LEFT(Z585,5)="meta_","Meta – Leads",IF(LEFT(Z585,5)="msft_","Microsoft Ads",IF(LEFT(Z585,8)="chatgpt_","ChatGPT Ads – Test",IF(X585="gbp","Fiche Google (organique)","Autre / non payé")))))))))</f>
        <v/>
      </c>
      <c r="AR585" s="7">
        <f>IF(K585="","",IFERROR(VLOOKUP(K585,Listes!$F$3:$H$8,3,FALSE),""))</f>
        <v/>
      </c>
      <c r="AS585" s="7">
        <f>IF(O585="","",IF(AND(M585="Autre (plus de 40 km)",OR(O585="lt600",O585="600_999",O585="1000_2499")),"D",IF(OR(O585="lt600",AND(O585="600_999",K585&lt;&gt;"mariage",K585&lt;&gt;"prive")),"C",IF(OR(O585="2500_4999",O585="5000p",J585="entreprise",J585="organisme",J585="agence"),"A",IF(OR(O585="1000_2499",O585="600_999"),"B",IF(O585="inconnu",IF(OR(N585="75_149",N585="150p"),"A","B"),""))))))</f>
        <v/>
      </c>
      <c r="AT585" s="7">
        <f>IF(A585="","",IF(P585&lt;&gt;"",P585,AS585))</f>
        <v/>
      </c>
      <c r="AU585" s="7">
        <f>IF(A585="","",IF(OR(AT585="A",AT585="B"),1,0))</f>
        <v/>
      </c>
      <c r="AV585" s="7">
        <f>IF(A585="","",IF(OR(R585="Dépôt payé (gagné)",R585="Événement livré",R585="Avis obtenu"),1,0))</f>
        <v/>
      </c>
      <c r="AW585" s="7">
        <f>IF(A585="","",IF(Q585&gt;70,"Immédiat – propriétaire",IF(Q585&gt;=40,"15 min – personne de garde","Selon la route")))</f>
        <v/>
      </c>
      <c r="AX585" s="11">
        <f>IF(A585="","",IF(AT585="A",400,IF(AT585="B",150,0)))</f>
        <v/>
      </c>
      <c r="AY585" s="11">
        <f>IF(A585="","",IF(AV585=1,N(V585),IF(N(U585)&gt;0,ROUND(N(U585)*IFERROR(VLOOKUP(R585,Listes!$AE$3:$AG$12,2,FALSE),0),0),0)))</f>
        <v/>
      </c>
      <c r="AZ585" s="7">
        <f>IF(LEFT(A585,7)="EXEMPLE",1,0)</f>
        <v/>
      </c>
      <c r="BA585" s="7">
        <f>IF(AND(AV585=1,AZ585=0,AC585&lt;&gt;"",W585&lt;&gt;"",N(V585)&gt;0),COUNTIFS($AV$3:AV585,1,$AZ$3:AZ585,0,$AC$3:AC585,"&lt;&gt;",$W$3:W585,"&lt;&gt;",$V$3:V585,"&gt;0"),"")</f>
        <v/>
      </c>
    </row>
    <row r="586">
      <c r="A586" s="12" t="n"/>
      <c r="B586" s="13" t="n"/>
      <c r="C586" s="13" t="n"/>
      <c r="D586" s="7">
        <f>IF(OR(B586="",C586=""),"",ROUND((C586-B586)*1440,0))</f>
        <v/>
      </c>
      <c r="E586" s="12" t="n"/>
      <c r="F586" s="12" t="n"/>
      <c r="G586" s="12" t="n"/>
      <c r="H586" s="12" t="n"/>
      <c r="I586" s="12" t="n"/>
      <c r="J586" s="12" t="n"/>
      <c r="K586" s="12" t="n"/>
      <c r="L586" s="14" t="n"/>
      <c r="M586" s="12" t="n"/>
      <c r="N586" s="12" t="n"/>
      <c r="O586" s="12" t="n"/>
      <c r="P586" s="12" t="n"/>
      <c r="Q586" s="7">
        <f>IF(A586="","",IFERROR(VLOOKUP(O586,Listes!$R$3:$T$8,2,FALSE),0)+IFERROR(VLOOKUP(J586,Listes!$J$3:$L$6,2,FALSE),0)+IFERROR(VLOOKUP(N586,Listes!$N$3:$P$6,2,FALSE),0)+IF(OR(L586="",B586=""),0,IF(L586-INT(B586)&lt;10,8,IF(L586-INT(B586)&lt;=90,10,5)))+IFERROR(VLOOKUP(AN586,Listes!$V$3:$W$5,2,FALSE),0)+IFERROR(VLOOKUP(AO586,Listes!$Y$3:$Z$5,2,FALSE),0))</f>
        <v/>
      </c>
      <c r="R586" s="12" t="n"/>
      <c r="S586" s="12" t="n"/>
      <c r="T586" s="12" t="n"/>
      <c r="U586" s="15" t="n"/>
      <c r="V586" s="15" t="n"/>
      <c r="W586" s="13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3" t="n"/>
      <c r="AK586" s="12" t="n"/>
      <c r="AL586" s="12" t="n"/>
      <c r="AM586" s="12" t="n"/>
      <c r="AN586" s="12" t="n"/>
      <c r="AO586" s="12" t="n"/>
      <c r="AP586" s="12" t="n"/>
      <c r="AQ586" s="7">
        <f>IF(A586="","",IF(AP586&lt;&gt;"",AP586,IF(LEFT(Z586,11)="gads_marque","Google Search – Marque",IF(LEFT(Z586,12)="gads_mariage","Google Search – Mariage et privé",IF(LEFT(Z586,10)="gads_corpo","Google Search – Corporatif",IF(LEFT(Z586,5)="meta_","Meta – Leads",IF(LEFT(Z586,5)="msft_","Microsoft Ads",IF(LEFT(Z586,8)="chatgpt_","ChatGPT Ads – Test",IF(X586="gbp","Fiche Google (organique)","Autre / non payé")))))))))</f>
        <v/>
      </c>
      <c r="AR586" s="7">
        <f>IF(K586="","",IFERROR(VLOOKUP(K586,Listes!$F$3:$H$8,3,FALSE),""))</f>
        <v/>
      </c>
      <c r="AS586" s="7">
        <f>IF(O586="","",IF(AND(M586="Autre (plus de 40 km)",OR(O586="lt600",O586="600_999",O586="1000_2499")),"D",IF(OR(O586="lt600",AND(O586="600_999",K586&lt;&gt;"mariage",K586&lt;&gt;"prive")),"C",IF(OR(O586="2500_4999",O586="5000p",J586="entreprise",J586="organisme",J586="agence"),"A",IF(OR(O586="1000_2499",O586="600_999"),"B",IF(O586="inconnu",IF(OR(N586="75_149",N586="150p"),"A","B"),""))))))</f>
        <v/>
      </c>
      <c r="AT586" s="7">
        <f>IF(A586="","",IF(P586&lt;&gt;"",P586,AS586))</f>
        <v/>
      </c>
      <c r="AU586" s="7">
        <f>IF(A586="","",IF(OR(AT586="A",AT586="B"),1,0))</f>
        <v/>
      </c>
      <c r="AV586" s="7">
        <f>IF(A586="","",IF(OR(R586="Dépôt payé (gagné)",R586="Événement livré",R586="Avis obtenu"),1,0))</f>
        <v/>
      </c>
      <c r="AW586" s="7">
        <f>IF(A586="","",IF(Q586&gt;70,"Immédiat – propriétaire",IF(Q586&gt;=40,"15 min – personne de garde","Selon la route")))</f>
        <v/>
      </c>
      <c r="AX586" s="11">
        <f>IF(A586="","",IF(AT586="A",400,IF(AT586="B",150,0)))</f>
        <v/>
      </c>
      <c r="AY586" s="11">
        <f>IF(A586="","",IF(AV586=1,N(V586),IF(N(U586)&gt;0,ROUND(N(U586)*IFERROR(VLOOKUP(R586,Listes!$AE$3:$AG$12,2,FALSE),0),0),0)))</f>
        <v/>
      </c>
      <c r="AZ586" s="7">
        <f>IF(LEFT(A586,7)="EXEMPLE",1,0)</f>
        <v/>
      </c>
      <c r="BA586" s="7">
        <f>IF(AND(AV586=1,AZ586=0,AC586&lt;&gt;"",W586&lt;&gt;"",N(V586)&gt;0),COUNTIFS($AV$3:AV586,1,$AZ$3:AZ586,0,$AC$3:AC586,"&lt;&gt;",$W$3:W586,"&lt;&gt;",$V$3:V586,"&gt;0"),"")</f>
        <v/>
      </c>
    </row>
    <row r="587">
      <c r="A587" s="12" t="n"/>
      <c r="B587" s="13" t="n"/>
      <c r="C587" s="13" t="n"/>
      <c r="D587" s="7">
        <f>IF(OR(B587="",C587=""),"",ROUND((C587-B587)*1440,0))</f>
        <v/>
      </c>
      <c r="E587" s="12" t="n"/>
      <c r="F587" s="12" t="n"/>
      <c r="G587" s="12" t="n"/>
      <c r="H587" s="12" t="n"/>
      <c r="I587" s="12" t="n"/>
      <c r="J587" s="12" t="n"/>
      <c r="K587" s="12" t="n"/>
      <c r="L587" s="14" t="n"/>
      <c r="M587" s="12" t="n"/>
      <c r="N587" s="12" t="n"/>
      <c r="O587" s="12" t="n"/>
      <c r="P587" s="12" t="n"/>
      <c r="Q587" s="7">
        <f>IF(A587="","",IFERROR(VLOOKUP(O587,Listes!$R$3:$T$8,2,FALSE),0)+IFERROR(VLOOKUP(J587,Listes!$J$3:$L$6,2,FALSE),0)+IFERROR(VLOOKUP(N587,Listes!$N$3:$P$6,2,FALSE),0)+IF(OR(L587="",B587=""),0,IF(L587-INT(B587)&lt;10,8,IF(L587-INT(B587)&lt;=90,10,5)))+IFERROR(VLOOKUP(AN587,Listes!$V$3:$W$5,2,FALSE),0)+IFERROR(VLOOKUP(AO587,Listes!$Y$3:$Z$5,2,FALSE),0))</f>
        <v/>
      </c>
      <c r="R587" s="12" t="n"/>
      <c r="S587" s="12" t="n"/>
      <c r="T587" s="12" t="n"/>
      <c r="U587" s="15" t="n"/>
      <c r="V587" s="15" t="n"/>
      <c r="W587" s="13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3" t="n"/>
      <c r="AK587" s="12" t="n"/>
      <c r="AL587" s="12" t="n"/>
      <c r="AM587" s="12" t="n"/>
      <c r="AN587" s="12" t="n"/>
      <c r="AO587" s="12" t="n"/>
      <c r="AP587" s="12" t="n"/>
      <c r="AQ587" s="7">
        <f>IF(A587="","",IF(AP587&lt;&gt;"",AP587,IF(LEFT(Z587,11)="gads_marque","Google Search – Marque",IF(LEFT(Z587,12)="gads_mariage","Google Search – Mariage et privé",IF(LEFT(Z587,10)="gads_corpo","Google Search – Corporatif",IF(LEFT(Z587,5)="meta_","Meta – Leads",IF(LEFT(Z587,5)="msft_","Microsoft Ads",IF(LEFT(Z587,8)="chatgpt_","ChatGPT Ads – Test",IF(X587="gbp","Fiche Google (organique)","Autre / non payé")))))))))</f>
        <v/>
      </c>
      <c r="AR587" s="7">
        <f>IF(K587="","",IFERROR(VLOOKUP(K587,Listes!$F$3:$H$8,3,FALSE),""))</f>
        <v/>
      </c>
      <c r="AS587" s="7">
        <f>IF(O587="","",IF(AND(M587="Autre (plus de 40 km)",OR(O587="lt600",O587="600_999",O587="1000_2499")),"D",IF(OR(O587="lt600",AND(O587="600_999",K587&lt;&gt;"mariage",K587&lt;&gt;"prive")),"C",IF(OR(O587="2500_4999",O587="5000p",J587="entreprise",J587="organisme",J587="agence"),"A",IF(OR(O587="1000_2499",O587="600_999"),"B",IF(O587="inconnu",IF(OR(N587="75_149",N587="150p"),"A","B"),""))))))</f>
        <v/>
      </c>
      <c r="AT587" s="7">
        <f>IF(A587="","",IF(P587&lt;&gt;"",P587,AS587))</f>
        <v/>
      </c>
      <c r="AU587" s="7">
        <f>IF(A587="","",IF(OR(AT587="A",AT587="B"),1,0))</f>
        <v/>
      </c>
      <c r="AV587" s="7">
        <f>IF(A587="","",IF(OR(R587="Dépôt payé (gagné)",R587="Événement livré",R587="Avis obtenu"),1,0))</f>
        <v/>
      </c>
      <c r="AW587" s="7">
        <f>IF(A587="","",IF(Q587&gt;70,"Immédiat – propriétaire",IF(Q587&gt;=40,"15 min – personne de garde","Selon la route")))</f>
        <v/>
      </c>
      <c r="AX587" s="11">
        <f>IF(A587="","",IF(AT587="A",400,IF(AT587="B",150,0)))</f>
        <v/>
      </c>
      <c r="AY587" s="11">
        <f>IF(A587="","",IF(AV587=1,N(V587),IF(N(U587)&gt;0,ROUND(N(U587)*IFERROR(VLOOKUP(R587,Listes!$AE$3:$AG$12,2,FALSE),0),0),0)))</f>
        <v/>
      </c>
      <c r="AZ587" s="7">
        <f>IF(LEFT(A587,7)="EXEMPLE",1,0)</f>
        <v/>
      </c>
      <c r="BA587" s="7">
        <f>IF(AND(AV587=1,AZ587=0,AC587&lt;&gt;"",W587&lt;&gt;"",N(V587)&gt;0),COUNTIFS($AV$3:AV587,1,$AZ$3:AZ587,0,$AC$3:AC587,"&lt;&gt;",$W$3:W587,"&lt;&gt;",$V$3:V587,"&gt;0"),"")</f>
        <v/>
      </c>
    </row>
    <row r="588">
      <c r="A588" s="12" t="n"/>
      <c r="B588" s="13" t="n"/>
      <c r="C588" s="13" t="n"/>
      <c r="D588" s="7">
        <f>IF(OR(B588="",C588=""),"",ROUND((C588-B588)*1440,0))</f>
        <v/>
      </c>
      <c r="E588" s="12" t="n"/>
      <c r="F588" s="12" t="n"/>
      <c r="G588" s="12" t="n"/>
      <c r="H588" s="12" t="n"/>
      <c r="I588" s="12" t="n"/>
      <c r="J588" s="12" t="n"/>
      <c r="K588" s="12" t="n"/>
      <c r="L588" s="14" t="n"/>
      <c r="M588" s="12" t="n"/>
      <c r="N588" s="12" t="n"/>
      <c r="O588" s="12" t="n"/>
      <c r="P588" s="12" t="n"/>
      <c r="Q588" s="7">
        <f>IF(A588="","",IFERROR(VLOOKUP(O588,Listes!$R$3:$T$8,2,FALSE),0)+IFERROR(VLOOKUP(J588,Listes!$J$3:$L$6,2,FALSE),0)+IFERROR(VLOOKUP(N588,Listes!$N$3:$P$6,2,FALSE),0)+IF(OR(L588="",B588=""),0,IF(L588-INT(B588)&lt;10,8,IF(L588-INT(B588)&lt;=90,10,5)))+IFERROR(VLOOKUP(AN588,Listes!$V$3:$W$5,2,FALSE),0)+IFERROR(VLOOKUP(AO588,Listes!$Y$3:$Z$5,2,FALSE),0))</f>
        <v/>
      </c>
      <c r="R588" s="12" t="n"/>
      <c r="S588" s="12" t="n"/>
      <c r="T588" s="12" t="n"/>
      <c r="U588" s="15" t="n"/>
      <c r="V588" s="15" t="n"/>
      <c r="W588" s="13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3" t="n"/>
      <c r="AK588" s="12" t="n"/>
      <c r="AL588" s="12" t="n"/>
      <c r="AM588" s="12" t="n"/>
      <c r="AN588" s="12" t="n"/>
      <c r="AO588" s="12" t="n"/>
      <c r="AP588" s="12" t="n"/>
      <c r="AQ588" s="7">
        <f>IF(A588="","",IF(AP588&lt;&gt;"",AP588,IF(LEFT(Z588,11)="gads_marque","Google Search – Marque",IF(LEFT(Z588,12)="gads_mariage","Google Search – Mariage et privé",IF(LEFT(Z588,10)="gads_corpo","Google Search – Corporatif",IF(LEFT(Z588,5)="meta_","Meta – Leads",IF(LEFT(Z588,5)="msft_","Microsoft Ads",IF(LEFT(Z588,8)="chatgpt_","ChatGPT Ads – Test",IF(X588="gbp","Fiche Google (organique)","Autre / non payé")))))))))</f>
        <v/>
      </c>
      <c r="AR588" s="7">
        <f>IF(K588="","",IFERROR(VLOOKUP(K588,Listes!$F$3:$H$8,3,FALSE),""))</f>
        <v/>
      </c>
      <c r="AS588" s="7">
        <f>IF(O588="","",IF(AND(M588="Autre (plus de 40 km)",OR(O588="lt600",O588="600_999",O588="1000_2499")),"D",IF(OR(O588="lt600",AND(O588="600_999",K588&lt;&gt;"mariage",K588&lt;&gt;"prive")),"C",IF(OR(O588="2500_4999",O588="5000p",J588="entreprise",J588="organisme",J588="agence"),"A",IF(OR(O588="1000_2499",O588="600_999"),"B",IF(O588="inconnu",IF(OR(N588="75_149",N588="150p"),"A","B"),""))))))</f>
        <v/>
      </c>
      <c r="AT588" s="7">
        <f>IF(A588="","",IF(P588&lt;&gt;"",P588,AS588))</f>
        <v/>
      </c>
      <c r="AU588" s="7">
        <f>IF(A588="","",IF(OR(AT588="A",AT588="B"),1,0))</f>
        <v/>
      </c>
      <c r="AV588" s="7">
        <f>IF(A588="","",IF(OR(R588="Dépôt payé (gagné)",R588="Événement livré",R588="Avis obtenu"),1,0))</f>
        <v/>
      </c>
      <c r="AW588" s="7">
        <f>IF(A588="","",IF(Q588&gt;70,"Immédiat – propriétaire",IF(Q588&gt;=40,"15 min – personne de garde","Selon la route")))</f>
        <v/>
      </c>
      <c r="AX588" s="11">
        <f>IF(A588="","",IF(AT588="A",400,IF(AT588="B",150,0)))</f>
        <v/>
      </c>
      <c r="AY588" s="11">
        <f>IF(A588="","",IF(AV588=1,N(V588),IF(N(U588)&gt;0,ROUND(N(U588)*IFERROR(VLOOKUP(R588,Listes!$AE$3:$AG$12,2,FALSE),0),0),0)))</f>
        <v/>
      </c>
      <c r="AZ588" s="7">
        <f>IF(LEFT(A588,7)="EXEMPLE",1,0)</f>
        <v/>
      </c>
      <c r="BA588" s="7">
        <f>IF(AND(AV588=1,AZ588=0,AC588&lt;&gt;"",W588&lt;&gt;"",N(V588)&gt;0),COUNTIFS($AV$3:AV588,1,$AZ$3:AZ588,0,$AC$3:AC588,"&lt;&gt;",$W$3:W588,"&lt;&gt;",$V$3:V588,"&gt;0"),"")</f>
        <v/>
      </c>
    </row>
    <row r="589">
      <c r="A589" s="12" t="n"/>
      <c r="B589" s="13" t="n"/>
      <c r="C589" s="13" t="n"/>
      <c r="D589" s="7">
        <f>IF(OR(B589="",C589=""),"",ROUND((C589-B589)*1440,0))</f>
        <v/>
      </c>
      <c r="E589" s="12" t="n"/>
      <c r="F589" s="12" t="n"/>
      <c r="G589" s="12" t="n"/>
      <c r="H589" s="12" t="n"/>
      <c r="I589" s="12" t="n"/>
      <c r="J589" s="12" t="n"/>
      <c r="K589" s="12" t="n"/>
      <c r="L589" s="14" t="n"/>
      <c r="M589" s="12" t="n"/>
      <c r="N589" s="12" t="n"/>
      <c r="O589" s="12" t="n"/>
      <c r="P589" s="12" t="n"/>
      <c r="Q589" s="7">
        <f>IF(A589="","",IFERROR(VLOOKUP(O589,Listes!$R$3:$T$8,2,FALSE),0)+IFERROR(VLOOKUP(J589,Listes!$J$3:$L$6,2,FALSE),0)+IFERROR(VLOOKUP(N589,Listes!$N$3:$P$6,2,FALSE),0)+IF(OR(L589="",B589=""),0,IF(L589-INT(B589)&lt;10,8,IF(L589-INT(B589)&lt;=90,10,5)))+IFERROR(VLOOKUP(AN589,Listes!$V$3:$W$5,2,FALSE),0)+IFERROR(VLOOKUP(AO589,Listes!$Y$3:$Z$5,2,FALSE),0))</f>
        <v/>
      </c>
      <c r="R589" s="12" t="n"/>
      <c r="S589" s="12" t="n"/>
      <c r="T589" s="12" t="n"/>
      <c r="U589" s="15" t="n"/>
      <c r="V589" s="15" t="n"/>
      <c r="W589" s="13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3" t="n"/>
      <c r="AK589" s="12" t="n"/>
      <c r="AL589" s="12" t="n"/>
      <c r="AM589" s="12" t="n"/>
      <c r="AN589" s="12" t="n"/>
      <c r="AO589" s="12" t="n"/>
      <c r="AP589" s="12" t="n"/>
      <c r="AQ589" s="7">
        <f>IF(A589="","",IF(AP589&lt;&gt;"",AP589,IF(LEFT(Z589,11)="gads_marque","Google Search – Marque",IF(LEFT(Z589,12)="gads_mariage","Google Search – Mariage et privé",IF(LEFT(Z589,10)="gads_corpo","Google Search – Corporatif",IF(LEFT(Z589,5)="meta_","Meta – Leads",IF(LEFT(Z589,5)="msft_","Microsoft Ads",IF(LEFT(Z589,8)="chatgpt_","ChatGPT Ads – Test",IF(X589="gbp","Fiche Google (organique)","Autre / non payé")))))))))</f>
        <v/>
      </c>
      <c r="AR589" s="7">
        <f>IF(K589="","",IFERROR(VLOOKUP(K589,Listes!$F$3:$H$8,3,FALSE),""))</f>
        <v/>
      </c>
      <c r="AS589" s="7">
        <f>IF(O589="","",IF(AND(M589="Autre (plus de 40 km)",OR(O589="lt600",O589="600_999",O589="1000_2499")),"D",IF(OR(O589="lt600",AND(O589="600_999",K589&lt;&gt;"mariage",K589&lt;&gt;"prive")),"C",IF(OR(O589="2500_4999",O589="5000p",J589="entreprise",J589="organisme",J589="agence"),"A",IF(OR(O589="1000_2499",O589="600_999"),"B",IF(O589="inconnu",IF(OR(N589="75_149",N589="150p"),"A","B"),""))))))</f>
        <v/>
      </c>
      <c r="AT589" s="7">
        <f>IF(A589="","",IF(P589&lt;&gt;"",P589,AS589))</f>
        <v/>
      </c>
      <c r="AU589" s="7">
        <f>IF(A589="","",IF(OR(AT589="A",AT589="B"),1,0))</f>
        <v/>
      </c>
      <c r="AV589" s="7">
        <f>IF(A589="","",IF(OR(R589="Dépôt payé (gagné)",R589="Événement livré",R589="Avis obtenu"),1,0))</f>
        <v/>
      </c>
      <c r="AW589" s="7">
        <f>IF(A589="","",IF(Q589&gt;70,"Immédiat – propriétaire",IF(Q589&gt;=40,"15 min – personne de garde","Selon la route")))</f>
        <v/>
      </c>
      <c r="AX589" s="11">
        <f>IF(A589="","",IF(AT589="A",400,IF(AT589="B",150,0)))</f>
        <v/>
      </c>
      <c r="AY589" s="11">
        <f>IF(A589="","",IF(AV589=1,N(V589),IF(N(U589)&gt;0,ROUND(N(U589)*IFERROR(VLOOKUP(R589,Listes!$AE$3:$AG$12,2,FALSE),0),0),0)))</f>
        <v/>
      </c>
      <c r="AZ589" s="7">
        <f>IF(LEFT(A589,7)="EXEMPLE",1,0)</f>
        <v/>
      </c>
      <c r="BA589" s="7">
        <f>IF(AND(AV589=1,AZ589=0,AC589&lt;&gt;"",W589&lt;&gt;"",N(V589)&gt;0),COUNTIFS($AV$3:AV589,1,$AZ$3:AZ589,0,$AC$3:AC589,"&lt;&gt;",$W$3:W589,"&lt;&gt;",$V$3:V589,"&gt;0"),"")</f>
        <v/>
      </c>
    </row>
    <row r="590">
      <c r="A590" s="12" t="n"/>
      <c r="B590" s="13" t="n"/>
      <c r="C590" s="13" t="n"/>
      <c r="D590" s="7">
        <f>IF(OR(B590="",C590=""),"",ROUND((C590-B590)*1440,0))</f>
        <v/>
      </c>
      <c r="E590" s="12" t="n"/>
      <c r="F590" s="12" t="n"/>
      <c r="G590" s="12" t="n"/>
      <c r="H590" s="12" t="n"/>
      <c r="I590" s="12" t="n"/>
      <c r="J590" s="12" t="n"/>
      <c r="K590" s="12" t="n"/>
      <c r="L590" s="14" t="n"/>
      <c r="M590" s="12" t="n"/>
      <c r="N590" s="12" t="n"/>
      <c r="O590" s="12" t="n"/>
      <c r="P590" s="12" t="n"/>
      <c r="Q590" s="7">
        <f>IF(A590="","",IFERROR(VLOOKUP(O590,Listes!$R$3:$T$8,2,FALSE),0)+IFERROR(VLOOKUP(J590,Listes!$J$3:$L$6,2,FALSE),0)+IFERROR(VLOOKUP(N590,Listes!$N$3:$P$6,2,FALSE),0)+IF(OR(L590="",B590=""),0,IF(L590-INT(B590)&lt;10,8,IF(L590-INT(B590)&lt;=90,10,5)))+IFERROR(VLOOKUP(AN590,Listes!$V$3:$W$5,2,FALSE),0)+IFERROR(VLOOKUP(AO590,Listes!$Y$3:$Z$5,2,FALSE),0))</f>
        <v/>
      </c>
      <c r="R590" s="12" t="n"/>
      <c r="S590" s="12" t="n"/>
      <c r="T590" s="12" t="n"/>
      <c r="U590" s="15" t="n"/>
      <c r="V590" s="15" t="n"/>
      <c r="W590" s="13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3" t="n"/>
      <c r="AK590" s="12" t="n"/>
      <c r="AL590" s="12" t="n"/>
      <c r="AM590" s="12" t="n"/>
      <c r="AN590" s="12" t="n"/>
      <c r="AO590" s="12" t="n"/>
      <c r="AP590" s="12" t="n"/>
      <c r="AQ590" s="7">
        <f>IF(A590="","",IF(AP590&lt;&gt;"",AP590,IF(LEFT(Z590,11)="gads_marque","Google Search – Marque",IF(LEFT(Z590,12)="gads_mariage","Google Search – Mariage et privé",IF(LEFT(Z590,10)="gads_corpo","Google Search – Corporatif",IF(LEFT(Z590,5)="meta_","Meta – Leads",IF(LEFT(Z590,5)="msft_","Microsoft Ads",IF(LEFT(Z590,8)="chatgpt_","ChatGPT Ads – Test",IF(X590="gbp","Fiche Google (organique)","Autre / non payé")))))))))</f>
        <v/>
      </c>
      <c r="AR590" s="7">
        <f>IF(K590="","",IFERROR(VLOOKUP(K590,Listes!$F$3:$H$8,3,FALSE),""))</f>
        <v/>
      </c>
      <c r="AS590" s="7">
        <f>IF(O590="","",IF(AND(M590="Autre (plus de 40 km)",OR(O590="lt600",O590="600_999",O590="1000_2499")),"D",IF(OR(O590="lt600",AND(O590="600_999",K590&lt;&gt;"mariage",K590&lt;&gt;"prive")),"C",IF(OR(O590="2500_4999",O590="5000p",J590="entreprise",J590="organisme",J590="agence"),"A",IF(OR(O590="1000_2499",O590="600_999"),"B",IF(O590="inconnu",IF(OR(N590="75_149",N590="150p"),"A","B"),""))))))</f>
        <v/>
      </c>
      <c r="AT590" s="7">
        <f>IF(A590="","",IF(P590&lt;&gt;"",P590,AS590))</f>
        <v/>
      </c>
      <c r="AU590" s="7">
        <f>IF(A590="","",IF(OR(AT590="A",AT590="B"),1,0))</f>
        <v/>
      </c>
      <c r="AV590" s="7">
        <f>IF(A590="","",IF(OR(R590="Dépôt payé (gagné)",R590="Événement livré",R590="Avis obtenu"),1,0))</f>
        <v/>
      </c>
      <c r="AW590" s="7">
        <f>IF(A590="","",IF(Q590&gt;70,"Immédiat – propriétaire",IF(Q590&gt;=40,"15 min – personne de garde","Selon la route")))</f>
        <v/>
      </c>
      <c r="AX590" s="11">
        <f>IF(A590="","",IF(AT590="A",400,IF(AT590="B",150,0)))</f>
        <v/>
      </c>
      <c r="AY590" s="11">
        <f>IF(A590="","",IF(AV590=1,N(V590),IF(N(U590)&gt;0,ROUND(N(U590)*IFERROR(VLOOKUP(R590,Listes!$AE$3:$AG$12,2,FALSE),0),0),0)))</f>
        <v/>
      </c>
      <c r="AZ590" s="7">
        <f>IF(LEFT(A590,7)="EXEMPLE",1,0)</f>
        <v/>
      </c>
      <c r="BA590" s="7">
        <f>IF(AND(AV590=1,AZ590=0,AC590&lt;&gt;"",W590&lt;&gt;"",N(V590)&gt;0),COUNTIFS($AV$3:AV590,1,$AZ$3:AZ590,0,$AC$3:AC590,"&lt;&gt;",$W$3:W590,"&lt;&gt;",$V$3:V590,"&gt;0"),"")</f>
        <v/>
      </c>
    </row>
    <row r="591">
      <c r="A591" s="12" t="n"/>
      <c r="B591" s="13" t="n"/>
      <c r="C591" s="13" t="n"/>
      <c r="D591" s="7">
        <f>IF(OR(B591="",C591=""),"",ROUND((C591-B591)*1440,0))</f>
        <v/>
      </c>
      <c r="E591" s="12" t="n"/>
      <c r="F591" s="12" t="n"/>
      <c r="G591" s="12" t="n"/>
      <c r="H591" s="12" t="n"/>
      <c r="I591" s="12" t="n"/>
      <c r="J591" s="12" t="n"/>
      <c r="K591" s="12" t="n"/>
      <c r="L591" s="14" t="n"/>
      <c r="M591" s="12" t="n"/>
      <c r="N591" s="12" t="n"/>
      <c r="O591" s="12" t="n"/>
      <c r="P591" s="12" t="n"/>
      <c r="Q591" s="7">
        <f>IF(A591="","",IFERROR(VLOOKUP(O591,Listes!$R$3:$T$8,2,FALSE),0)+IFERROR(VLOOKUP(J591,Listes!$J$3:$L$6,2,FALSE),0)+IFERROR(VLOOKUP(N591,Listes!$N$3:$P$6,2,FALSE),0)+IF(OR(L591="",B591=""),0,IF(L591-INT(B591)&lt;10,8,IF(L591-INT(B591)&lt;=90,10,5)))+IFERROR(VLOOKUP(AN591,Listes!$V$3:$W$5,2,FALSE),0)+IFERROR(VLOOKUP(AO591,Listes!$Y$3:$Z$5,2,FALSE),0))</f>
        <v/>
      </c>
      <c r="R591" s="12" t="n"/>
      <c r="S591" s="12" t="n"/>
      <c r="T591" s="12" t="n"/>
      <c r="U591" s="15" t="n"/>
      <c r="V591" s="15" t="n"/>
      <c r="W591" s="13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3" t="n"/>
      <c r="AK591" s="12" t="n"/>
      <c r="AL591" s="12" t="n"/>
      <c r="AM591" s="12" t="n"/>
      <c r="AN591" s="12" t="n"/>
      <c r="AO591" s="12" t="n"/>
      <c r="AP591" s="12" t="n"/>
      <c r="AQ591" s="7">
        <f>IF(A591="","",IF(AP591&lt;&gt;"",AP591,IF(LEFT(Z591,11)="gads_marque","Google Search – Marque",IF(LEFT(Z591,12)="gads_mariage","Google Search – Mariage et privé",IF(LEFT(Z591,10)="gads_corpo","Google Search – Corporatif",IF(LEFT(Z591,5)="meta_","Meta – Leads",IF(LEFT(Z591,5)="msft_","Microsoft Ads",IF(LEFT(Z591,8)="chatgpt_","ChatGPT Ads – Test",IF(X591="gbp","Fiche Google (organique)","Autre / non payé")))))))))</f>
        <v/>
      </c>
      <c r="AR591" s="7">
        <f>IF(K591="","",IFERROR(VLOOKUP(K591,Listes!$F$3:$H$8,3,FALSE),""))</f>
        <v/>
      </c>
      <c r="AS591" s="7">
        <f>IF(O591="","",IF(AND(M591="Autre (plus de 40 km)",OR(O591="lt600",O591="600_999",O591="1000_2499")),"D",IF(OR(O591="lt600",AND(O591="600_999",K591&lt;&gt;"mariage",K591&lt;&gt;"prive")),"C",IF(OR(O591="2500_4999",O591="5000p",J591="entreprise",J591="organisme",J591="agence"),"A",IF(OR(O591="1000_2499",O591="600_999"),"B",IF(O591="inconnu",IF(OR(N591="75_149",N591="150p"),"A","B"),""))))))</f>
        <v/>
      </c>
      <c r="AT591" s="7">
        <f>IF(A591="","",IF(P591&lt;&gt;"",P591,AS591))</f>
        <v/>
      </c>
      <c r="AU591" s="7">
        <f>IF(A591="","",IF(OR(AT591="A",AT591="B"),1,0))</f>
        <v/>
      </c>
      <c r="AV591" s="7">
        <f>IF(A591="","",IF(OR(R591="Dépôt payé (gagné)",R591="Événement livré",R591="Avis obtenu"),1,0))</f>
        <v/>
      </c>
      <c r="AW591" s="7">
        <f>IF(A591="","",IF(Q591&gt;70,"Immédiat – propriétaire",IF(Q591&gt;=40,"15 min – personne de garde","Selon la route")))</f>
        <v/>
      </c>
      <c r="AX591" s="11">
        <f>IF(A591="","",IF(AT591="A",400,IF(AT591="B",150,0)))</f>
        <v/>
      </c>
      <c r="AY591" s="11">
        <f>IF(A591="","",IF(AV591=1,N(V591),IF(N(U591)&gt;0,ROUND(N(U591)*IFERROR(VLOOKUP(R591,Listes!$AE$3:$AG$12,2,FALSE),0),0),0)))</f>
        <v/>
      </c>
      <c r="AZ591" s="7">
        <f>IF(LEFT(A591,7)="EXEMPLE",1,0)</f>
        <v/>
      </c>
      <c r="BA591" s="7">
        <f>IF(AND(AV591=1,AZ591=0,AC591&lt;&gt;"",W591&lt;&gt;"",N(V591)&gt;0),COUNTIFS($AV$3:AV591,1,$AZ$3:AZ591,0,$AC$3:AC591,"&lt;&gt;",$W$3:W591,"&lt;&gt;",$V$3:V591,"&gt;0"),"")</f>
        <v/>
      </c>
    </row>
    <row r="592">
      <c r="A592" s="12" t="n"/>
      <c r="B592" s="13" t="n"/>
      <c r="C592" s="13" t="n"/>
      <c r="D592" s="7">
        <f>IF(OR(B592="",C592=""),"",ROUND((C592-B592)*1440,0))</f>
        <v/>
      </c>
      <c r="E592" s="12" t="n"/>
      <c r="F592" s="12" t="n"/>
      <c r="G592" s="12" t="n"/>
      <c r="H592" s="12" t="n"/>
      <c r="I592" s="12" t="n"/>
      <c r="J592" s="12" t="n"/>
      <c r="K592" s="12" t="n"/>
      <c r="L592" s="14" t="n"/>
      <c r="M592" s="12" t="n"/>
      <c r="N592" s="12" t="n"/>
      <c r="O592" s="12" t="n"/>
      <c r="P592" s="12" t="n"/>
      <c r="Q592" s="7">
        <f>IF(A592="","",IFERROR(VLOOKUP(O592,Listes!$R$3:$T$8,2,FALSE),0)+IFERROR(VLOOKUP(J592,Listes!$J$3:$L$6,2,FALSE),0)+IFERROR(VLOOKUP(N592,Listes!$N$3:$P$6,2,FALSE),0)+IF(OR(L592="",B592=""),0,IF(L592-INT(B592)&lt;10,8,IF(L592-INT(B592)&lt;=90,10,5)))+IFERROR(VLOOKUP(AN592,Listes!$V$3:$W$5,2,FALSE),0)+IFERROR(VLOOKUP(AO592,Listes!$Y$3:$Z$5,2,FALSE),0))</f>
        <v/>
      </c>
      <c r="R592" s="12" t="n"/>
      <c r="S592" s="12" t="n"/>
      <c r="T592" s="12" t="n"/>
      <c r="U592" s="15" t="n"/>
      <c r="V592" s="15" t="n"/>
      <c r="W592" s="13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3" t="n"/>
      <c r="AK592" s="12" t="n"/>
      <c r="AL592" s="12" t="n"/>
      <c r="AM592" s="12" t="n"/>
      <c r="AN592" s="12" t="n"/>
      <c r="AO592" s="12" t="n"/>
      <c r="AP592" s="12" t="n"/>
      <c r="AQ592" s="7">
        <f>IF(A592="","",IF(AP592&lt;&gt;"",AP592,IF(LEFT(Z592,11)="gads_marque","Google Search – Marque",IF(LEFT(Z592,12)="gads_mariage","Google Search – Mariage et privé",IF(LEFT(Z592,10)="gads_corpo","Google Search – Corporatif",IF(LEFT(Z592,5)="meta_","Meta – Leads",IF(LEFT(Z592,5)="msft_","Microsoft Ads",IF(LEFT(Z592,8)="chatgpt_","ChatGPT Ads – Test",IF(X592="gbp","Fiche Google (organique)","Autre / non payé")))))))))</f>
        <v/>
      </c>
      <c r="AR592" s="7">
        <f>IF(K592="","",IFERROR(VLOOKUP(K592,Listes!$F$3:$H$8,3,FALSE),""))</f>
        <v/>
      </c>
      <c r="AS592" s="7">
        <f>IF(O592="","",IF(AND(M592="Autre (plus de 40 km)",OR(O592="lt600",O592="600_999",O592="1000_2499")),"D",IF(OR(O592="lt600",AND(O592="600_999",K592&lt;&gt;"mariage",K592&lt;&gt;"prive")),"C",IF(OR(O592="2500_4999",O592="5000p",J592="entreprise",J592="organisme",J592="agence"),"A",IF(OR(O592="1000_2499",O592="600_999"),"B",IF(O592="inconnu",IF(OR(N592="75_149",N592="150p"),"A","B"),""))))))</f>
        <v/>
      </c>
      <c r="AT592" s="7">
        <f>IF(A592="","",IF(P592&lt;&gt;"",P592,AS592))</f>
        <v/>
      </c>
      <c r="AU592" s="7">
        <f>IF(A592="","",IF(OR(AT592="A",AT592="B"),1,0))</f>
        <v/>
      </c>
      <c r="AV592" s="7">
        <f>IF(A592="","",IF(OR(R592="Dépôt payé (gagné)",R592="Événement livré",R592="Avis obtenu"),1,0))</f>
        <v/>
      </c>
      <c r="AW592" s="7">
        <f>IF(A592="","",IF(Q592&gt;70,"Immédiat – propriétaire",IF(Q592&gt;=40,"15 min – personne de garde","Selon la route")))</f>
        <v/>
      </c>
      <c r="AX592" s="11">
        <f>IF(A592="","",IF(AT592="A",400,IF(AT592="B",150,0)))</f>
        <v/>
      </c>
      <c r="AY592" s="11">
        <f>IF(A592="","",IF(AV592=1,N(V592),IF(N(U592)&gt;0,ROUND(N(U592)*IFERROR(VLOOKUP(R592,Listes!$AE$3:$AG$12,2,FALSE),0),0),0)))</f>
        <v/>
      </c>
      <c r="AZ592" s="7">
        <f>IF(LEFT(A592,7)="EXEMPLE",1,0)</f>
        <v/>
      </c>
      <c r="BA592" s="7">
        <f>IF(AND(AV592=1,AZ592=0,AC592&lt;&gt;"",W592&lt;&gt;"",N(V592)&gt;0),COUNTIFS($AV$3:AV592,1,$AZ$3:AZ592,0,$AC$3:AC592,"&lt;&gt;",$W$3:W592,"&lt;&gt;",$V$3:V592,"&gt;0"),"")</f>
        <v/>
      </c>
    </row>
    <row r="593">
      <c r="A593" s="12" t="n"/>
      <c r="B593" s="13" t="n"/>
      <c r="C593" s="13" t="n"/>
      <c r="D593" s="7">
        <f>IF(OR(B593="",C593=""),"",ROUND((C593-B593)*1440,0))</f>
        <v/>
      </c>
      <c r="E593" s="12" t="n"/>
      <c r="F593" s="12" t="n"/>
      <c r="G593" s="12" t="n"/>
      <c r="H593" s="12" t="n"/>
      <c r="I593" s="12" t="n"/>
      <c r="J593" s="12" t="n"/>
      <c r="K593" s="12" t="n"/>
      <c r="L593" s="14" t="n"/>
      <c r="M593" s="12" t="n"/>
      <c r="N593" s="12" t="n"/>
      <c r="O593" s="12" t="n"/>
      <c r="P593" s="12" t="n"/>
      <c r="Q593" s="7">
        <f>IF(A593="","",IFERROR(VLOOKUP(O593,Listes!$R$3:$T$8,2,FALSE),0)+IFERROR(VLOOKUP(J593,Listes!$J$3:$L$6,2,FALSE),0)+IFERROR(VLOOKUP(N593,Listes!$N$3:$P$6,2,FALSE),0)+IF(OR(L593="",B593=""),0,IF(L593-INT(B593)&lt;10,8,IF(L593-INT(B593)&lt;=90,10,5)))+IFERROR(VLOOKUP(AN593,Listes!$V$3:$W$5,2,FALSE),0)+IFERROR(VLOOKUP(AO593,Listes!$Y$3:$Z$5,2,FALSE),0))</f>
        <v/>
      </c>
      <c r="R593" s="12" t="n"/>
      <c r="S593" s="12" t="n"/>
      <c r="T593" s="12" t="n"/>
      <c r="U593" s="15" t="n"/>
      <c r="V593" s="15" t="n"/>
      <c r="W593" s="13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3" t="n"/>
      <c r="AK593" s="12" t="n"/>
      <c r="AL593" s="12" t="n"/>
      <c r="AM593" s="12" t="n"/>
      <c r="AN593" s="12" t="n"/>
      <c r="AO593" s="12" t="n"/>
      <c r="AP593" s="12" t="n"/>
      <c r="AQ593" s="7">
        <f>IF(A593="","",IF(AP593&lt;&gt;"",AP593,IF(LEFT(Z593,11)="gads_marque","Google Search – Marque",IF(LEFT(Z593,12)="gads_mariage","Google Search – Mariage et privé",IF(LEFT(Z593,10)="gads_corpo","Google Search – Corporatif",IF(LEFT(Z593,5)="meta_","Meta – Leads",IF(LEFT(Z593,5)="msft_","Microsoft Ads",IF(LEFT(Z593,8)="chatgpt_","ChatGPT Ads – Test",IF(X593="gbp","Fiche Google (organique)","Autre / non payé")))))))))</f>
        <v/>
      </c>
      <c r="AR593" s="7">
        <f>IF(K593="","",IFERROR(VLOOKUP(K593,Listes!$F$3:$H$8,3,FALSE),""))</f>
        <v/>
      </c>
      <c r="AS593" s="7">
        <f>IF(O593="","",IF(AND(M593="Autre (plus de 40 km)",OR(O593="lt600",O593="600_999",O593="1000_2499")),"D",IF(OR(O593="lt600",AND(O593="600_999",K593&lt;&gt;"mariage",K593&lt;&gt;"prive")),"C",IF(OR(O593="2500_4999",O593="5000p",J593="entreprise",J593="organisme",J593="agence"),"A",IF(OR(O593="1000_2499",O593="600_999"),"B",IF(O593="inconnu",IF(OR(N593="75_149",N593="150p"),"A","B"),""))))))</f>
        <v/>
      </c>
      <c r="AT593" s="7">
        <f>IF(A593="","",IF(P593&lt;&gt;"",P593,AS593))</f>
        <v/>
      </c>
      <c r="AU593" s="7">
        <f>IF(A593="","",IF(OR(AT593="A",AT593="B"),1,0))</f>
        <v/>
      </c>
      <c r="AV593" s="7">
        <f>IF(A593="","",IF(OR(R593="Dépôt payé (gagné)",R593="Événement livré",R593="Avis obtenu"),1,0))</f>
        <v/>
      </c>
      <c r="AW593" s="7">
        <f>IF(A593="","",IF(Q593&gt;70,"Immédiat – propriétaire",IF(Q593&gt;=40,"15 min – personne de garde","Selon la route")))</f>
        <v/>
      </c>
      <c r="AX593" s="11">
        <f>IF(A593="","",IF(AT593="A",400,IF(AT593="B",150,0)))</f>
        <v/>
      </c>
      <c r="AY593" s="11">
        <f>IF(A593="","",IF(AV593=1,N(V593),IF(N(U593)&gt;0,ROUND(N(U593)*IFERROR(VLOOKUP(R593,Listes!$AE$3:$AG$12,2,FALSE),0),0),0)))</f>
        <v/>
      </c>
      <c r="AZ593" s="7">
        <f>IF(LEFT(A593,7)="EXEMPLE",1,0)</f>
        <v/>
      </c>
      <c r="BA593" s="7">
        <f>IF(AND(AV593=1,AZ593=0,AC593&lt;&gt;"",W593&lt;&gt;"",N(V593)&gt;0),COUNTIFS($AV$3:AV593,1,$AZ$3:AZ593,0,$AC$3:AC593,"&lt;&gt;",$W$3:W593,"&lt;&gt;",$V$3:V593,"&gt;0"),"")</f>
        <v/>
      </c>
    </row>
    <row r="594">
      <c r="A594" s="12" t="n"/>
      <c r="B594" s="13" t="n"/>
      <c r="C594" s="13" t="n"/>
      <c r="D594" s="7">
        <f>IF(OR(B594="",C594=""),"",ROUND((C594-B594)*1440,0))</f>
        <v/>
      </c>
      <c r="E594" s="12" t="n"/>
      <c r="F594" s="12" t="n"/>
      <c r="G594" s="12" t="n"/>
      <c r="H594" s="12" t="n"/>
      <c r="I594" s="12" t="n"/>
      <c r="J594" s="12" t="n"/>
      <c r="K594" s="12" t="n"/>
      <c r="L594" s="14" t="n"/>
      <c r="M594" s="12" t="n"/>
      <c r="N594" s="12" t="n"/>
      <c r="O594" s="12" t="n"/>
      <c r="P594" s="12" t="n"/>
      <c r="Q594" s="7">
        <f>IF(A594="","",IFERROR(VLOOKUP(O594,Listes!$R$3:$T$8,2,FALSE),0)+IFERROR(VLOOKUP(J594,Listes!$J$3:$L$6,2,FALSE),0)+IFERROR(VLOOKUP(N594,Listes!$N$3:$P$6,2,FALSE),0)+IF(OR(L594="",B594=""),0,IF(L594-INT(B594)&lt;10,8,IF(L594-INT(B594)&lt;=90,10,5)))+IFERROR(VLOOKUP(AN594,Listes!$V$3:$W$5,2,FALSE),0)+IFERROR(VLOOKUP(AO594,Listes!$Y$3:$Z$5,2,FALSE),0))</f>
        <v/>
      </c>
      <c r="R594" s="12" t="n"/>
      <c r="S594" s="12" t="n"/>
      <c r="T594" s="12" t="n"/>
      <c r="U594" s="15" t="n"/>
      <c r="V594" s="15" t="n"/>
      <c r="W594" s="13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3" t="n"/>
      <c r="AK594" s="12" t="n"/>
      <c r="AL594" s="12" t="n"/>
      <c r="AM594" s="12" t="n"/>
      <c r="AN594" s="12" t="n"/>
      <c r="AO594" s="12" t="n"/>
      <c r="AP594" s="12" t="n"/>
      <c r="AQ594" s="7">
        <f>IF(A594="","",IF(AP594&lt;&gt;"",AP594,IF(LEFT(Z594,11)="gads_marque","Google Search – Marque",IF(LEFT(Z594,12)="gads_mariage","Google Search – Mariage et privé",IF(LEFT(Z594,10)="gads_corpo","Google Search – Corporatif",IF(LEFT(Z594,5)="meta_","Meta – Leads",IF(LEFT(Z594,5)="msft_","Microsoft Ads",IF(LEFT(Z594,8)="chatgpt_","ChatGPT Ads – Test",IF(X594="gbp","Fiche Google (organique)","Autre / non payé")))))))))</f>
        <v/>
      </c>
      <c r="AR594" s="7">
        <f>IF(K594="","",IFERROR(VLOOKUP(K594,Listes!$F$3:$H$8,3,FALSE),""))</f>
        <v/>
      </c>
      <c r="AS594" s="7">
        <f>IF(O594="","",IF(AND(M594="Autre (plus de 40 km)",OR(O594="lt600",O594="600_999",O594="1000_2499")),"D",IF(OR(O594="lt600",AND(O594="600_999",K594&lt;&gt;"mariage",K594&lt;&gt;"prive")),"C",IF(OR(O594="2500_4999",O594="5000p",J594="entreprise",J594="organisme",J594="agence"),"A",IF(OR(O594="1000_2499",O594="600_999"),"B",IF(O594="inconnu",IF(OR(N594="75_149",N594="150p"),"A","B"),""))))))</f>
        <v/>
      </c>
      <c r="AT594" s="7">
        <f>IF(A594="","",IF(P594&lt;&gt;"",P594,AS594))</f>
        <v/>
      </c>
      <c r="AU594" s="7">
        <f>IF(A594="","",IF(OR(AT594="A",AT594="B"),1,0))</f>
        <v/>
      </c>
      <c r="AV594" s="7">
        <f>IF(A594="","",IF(OR(R594="Dépôt payé (gagné)",R594="Événement livré",R594="Avis obtenu"),1,0))</f>
        <v/>
      </c>
      <c r="AW594" s="7">
        <f>IF(A594="","",IF(Q594&gt;70,"Immédiat – propriétaire",IF(Q594&gt;=40,"15 min – personne de garde","Selon la route")))</f>
        <v/>
      </c>
      <c r="AX594" s="11">
        <f>IF(A594="","",IF(AT594="A",400,IF(AT594="B",150,0)))</f>
        <v/>
      </c>
      <c r="AY594" s="11">
        <f>IF(A594="","",IF(AV594=1,N(V594),IF(N(U594)&gt;0,ROUND(N(U594)*IFERROR(VLOOKUP(R594,Listes!$AE$3:$AG$12,2,FALSE),0),0),0)))</f>
        <v/>
      </c>
      <c r="AZ594" s="7">
        <f>IF(LEFT(A594,7)="EXEMPLE",1,0)</f>
        <v/>
      </c>
      <c r="BA594" s="7">
        <f>IF(AND(AV594=1,AZ594=0,AC594&lt;&gt;"",W594&lt;&gt;"",N(V594)&gt;0),COUNTIFS($AV$3:AV594,1,$AZ$3:AZ594,0,$AC$3:AC594,"&lt;&gt;",$W$3:W594,"&lt;&gt;",$V$3:V594,"&gt;0"),"")</f>
        <v/>
      </c>
    </row>
    <row r="595">
      <c r="A595" s="12" t="n"/>
      <c r="B595" s="13" t="n"/>
      <c r="C595" s="13" t="n"/>
      <c r="D595" s="7">
        <f>IF(OR(B595="",C595=""),"",ROUND((C595-B595)*1440,0))</f>
        <v/>
      </c>
      <c r="E595" s="12" t="n"/>
      <c r="F595" s="12" t="n"/>
      <c r="G595" s="12" t="n"/>
      <c r="H595" s="12" t="n"/>
      <c r="I595" s="12" t="n"/>
      <c r="J595" s="12" t="n"/>
      <c r="K595" s="12" t="n"/>
      <c r="L595" s="14" t="n"/>
      <c r="M595" s="12" t="n"/>
      <c r="N595" s="12" t="n"/>
      <c r="O595" s="12" t="n"/>
      <c r="P595" s="12" t="n"/>
      <c r="Q595" s="7">
        <f>IF(A595="","",IFERROR(VLOOKUP(O595,Listes!$R$3:$T$8,2,FALSE),0)+IFERROR(VLOOKUP(J595,Listes!$J$3:$L$6,2,FALSE),0)+IFERROR(VLOOKUP(N595,Listes!$N$3:$P$6,2,FALSE),0)+IF(OR(L595="",B595=""),0,IF(L595-INT(B595)&lt;10,8,IF(L595-INT(B595)&lt;=90,10,5)))+IFERROR(VLOOKUP(AN595,Listes!$V$3:$W$5,2,FALSE),0)+IFERROR(VLOOKUP(AO595,Listes!$Y$3:$Z$5,2,FALSE),0))</f>
        <v/>
      </c>
      <c r="R595" s="12" t="n"/>
      <c r="S595" s="12" t="n"/>
      <c r="T595" s="12" t="n"/>
      <c r="U595" s="15" t="n"/>
      <c r="V595" s="15" t="n"/>
      <c r="W595" s="13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3" t="n"/>
      <c r="AK595" s="12" t="n"/>
      <c r="AL595" s="12" t="n"/>
      <c r="AM595" s="12" t="n"/>
      <c r="AN595" s="12" t="n"/>
      <c r="AO595" s="12" t="n"/>
      <c r="AP595" s="12" t="n"/>
      <c r="AQ595" s="7">
        <f>IF(A595="","",IF(AP595&lt;&gt;"",AP595,IF(LEFT(Z595,11)="gads_marque","Google Search – Marque",IF(LEFT(Z595,12)="gads_mariage","Google Search – Mariage et privé",IF(LEFT(Z595,10)="gads_corpo","Google Search – Corporatif",IF(LEFT(Z595,5)="meta_","Meta – Leads",IF(LEFT(Z595,5)="msft_","Microsoft Ads",IF(LEFT(Z595,8)="chatgpt_","ChatGPT Ads – Test",IF(X595="gbp","Fiche Google (organique)","Autre / non payé")))))))))</f>
        <v/>
      </c>
      <c r="AR595" s="7">
        <f>IF(K595="","",IFERROR(VLOOKUP(K595,Listes!$F$3:$H$8,3,FALSE),""))</f>
        <v/>
      </c>
      <c r="AS595" s="7">
        <f>IF(O595="","",IF(AND(M595="Autre (plus de 40 km)",OR(O595="lt600",O595="600_999",O595="1000_2499")),"D",IF(OR(O595="lt600",AND(O595="600_999",K595&lt;&gt;"mariage",K595&lt;&gt;"prive")),"C",IF(OR(O595="2500_4999",O595="5000p",J595="entreprise",J595="organisme",J595="agence"),"A",IF(OR(O595="1000_2499",O595="600_999"),"B",IF(O595="inconnu",IF(OR(N595="75_149",N595="150p"),"A","B"),""))))))</f>
        <v/>
      </c>
      <c r="AT595" s="7">
        <f>IF(A595="","",IF(P595&lt;&gt;"",P595,AS595))</f>
        <v/>
      </c>
      <c r="AU595" s="7">
        <f>IF(A595="","",IF(OR(AT595="A",AT595="B"),1,0))</f>
        <v/>
      </c>
      <c r="AV595" s="7">
        <f>IF(A595="","",IF(OR(R595="Dépôt payé (gagné)",R595="Événement livré",R595="Avis obtenu"),1,0))</f>
        <v/>
      </c>
      <c r="AW595" s="7">
        <f>IF(A595="","",IF(Q595&gt;70,"Immédiat – propriétaire",IF(Q595&gt;=40,"15 min – personne de garde","Selon la route")))</f>
        <v/>
      </c>
      <c r="AX595" s="11">
        <f>IF(A595="","",IF(AT595="A",400,IF(AT595="B",150,0)))</f>
        <v/>
      </c>
      <c r="AY595" s="11">
        <f>IF(A595="","",IF(AV595=1,N(V595),IF(N(U595)&gt;0,ROUND(N(U595)*IFERROR(VLOOKUP(R595,Listes!$AE$3:$AG$12,2,FALSE),0),0),0)))</f>
        <v/>
      </c>
      <c r="AZ595" s="7">
        <f>IF(LEFT(A595,7)="EXEMPLE",1,0)</f>
        <v/>
      </c>
      <c r="BA595" s="7">
        <f>IF(AND(AV595=1,AZ595=0,AC595&lt;&gt;"",W595&lt;&gt;"",N(V595)&gt;0),COUNTIFS($AV$3:AV595,1,$AZ$3:AZ595,0,$AC$3:AC595,"&lt;&gt;",$W$3:W595,"&lt;&gt;",$V$3:V595,"&gt;0"),"")</f>
        <v/>
      </c>
    </row>
    <row r="596">
      <c r="A596" s="12" t="n"/>
      <c r="B596" s="13" t="n"/>
      <c r="C596" s="13" t="n"/>
      <c r="D596" s="7">
        <f>IF(OR(B596="",C596=""),"",ROUND((C596-B596)*1440,0))</f>
        <v/>
      </c>
      <c r="E596" s="12" t="n"/>
      <c r="F596" s="12" t="n"/>
      <c r="G596" s="12" t="n"/>
      <c r="H596" s="12" t="n"/>
      <c r="I596" s="12" t="n"/>
      <c r="J596" s="12" t="n"/>
      <c r="K596" s="12" t="n"/>
      <c r="L596" s="14" t="n"/>
      <c r="M596" s="12" t="n"/>
      <c r="N596" s="12" t="n"/>
      <c r="O596" s="12" t="n"/>
      <c r="P596" s="12" t="n"/>
      <c r="Q596" s="7">
        <f>IF(A596="","",IFERROR(VLOOKUP(O596,Listes!$R$3:$T$8,2,FALSE),0)+IFERROR(VLOOKUP(J596,Listes!$J$3:$L$6,2,FALSE),0)+IFERROR(VLOOKUP(N596,Listes!$N$3:$P$6,2,FALSE),0)+IF(OR(L596="",B596=""),0,IF(L596-INT(B596)&lt;10,8,IF(L596-INT(B596)&lt;=90,10,5)))+IFERROR(VLOOKUP(AN596,Listes!$V$3:$W$5,2,FALSE),0)+IFERROR(VLOOKUP(AO596,Listes!$Y$3:$Z$5,2,FALSE),0))</f>
        <v/>
      </c>
      <c r="R596" s="12" t="n"/>
      <c r="S596" s="12" t="n"/>
      <c r="T596" s="12" t="n"/>
      <c r="U596" s="15" t="n"/>
      <c r="V596" s="15" t="n"/>
      <c r="W596" s="13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3" t="n"/>
      <c r="AK596" s="12" t="n"/>
      <c r="AL596" s="12" t="n"/>
      <c r="AM596" s="12" t="n"/>
      <c r="AN596" s="12" t="n"/>
      <c r="AO596" s="12" t="n"/>
      <c r="AP596" s="12" t="n"/>
      <c r="AQ596" s="7">
        <f>IF(A596="","",IF(AP596&lt;&gt;"",AP596,IF(LEFT(Z596,11)="gads_marque","Google Search – Marque",IF(LEFT(Z596,12)="gads_mariage","Google Search – Mariage et privé",IF(LEFT(Z596,10)="gads_corpo","Google Search – Corporatif",IF(LEFT(Z596,5)="meta_","Meta – Leads",IF(LEFT(Z596,5)="msft_","Microsoft Ads",IF(LEFT(Z596,8)="chatgpt_","ChatGPT Ads – Test",IF(X596="gbp","Fiche Google (organique)","Autre / non payé")))))))))</f>
        <v/>
      </c>
      <c r="AR596" s="7">
        <f>IF(K596="","",IFERROR(VLOOKUP(K596,Listes!$F$3:$H$8,3,FALSE),""))</f>
        <v/>
      </c>
      <c r="AS596" s="7">
        <f>IF(O596="","",IF(AND(M596="Autre (plus de 40 km)",OR(O596="lt600",O596="600_999",O596="1000_2499")),"D",IF(OR(O596="lt600",AND(O596="600_999",K596&lt;&gt;"mariage",K596&lt;&gt;"prive")),"C",IF(OR(O596="2500_4999",O596="5000p",J596="entreprise",J596="organisme",J596="agence"),"A",IF(OR(O596="1000_2499",O596="600_999"),"B",IF(O596="inconnu",IF(OR(N596="75_149",N596="150p"),"A","B"),""))))))</f>
        <v/>
      </c>
      <c r="AT596" s="7">
        <f>IF(A596="","",IF(P596&lt;&gt;"",P596,AS596))</f>
        <v/>
      </c>
      <c r="AU596" s="7">
        <f>IF(A596="","",IF(OR(AT596="A",AT596="B"),1,0))</f>
        <v/>
      </c>
      <c r="AV596" s="7">
        <f>IF(A596="","",IF(OR(R596="Dépôt payé (gagné)",R596="Événement livré",R596="Avis obtenu"),1,0))</f>
        <v/>
      </c>
      <c r="AW596" s="7">
        <f>IF(A596="","",IF(Q596&gt;70,"Immédiat – propriétaire",IF(Q596&gt;=40,"15 min – personne de garde","Selon la route")))</f>
        <v/>
      </c>
      <c r="AX596" s="11">
        <f>IF(A596="","",IF(AT596="A",400,IF(AT596="B",150,0)))</f>
        <v/>
      </c>
      <c r="AY596" s="11">
        <f>IF(A596="","",IF(AV596=1,N(V596),IF(N(U596)&gt;0,ROUND(N(U596)*IFERROR(VLOOKUP(R596,Listes!$AE$3:$AG$12,2,FALSE),0),0),0)))</f>
        <v/>
      </c>
      <c r="AZ596" s="7">
        <f>IF(LEFT(A596,7)="EXEMPLE",1,0)</f>
        <v/>
      </c>
      <c r="BA596" s="7">
        <f>IF(AND(AV596=1,AZ596=0,AC596&lt;&gt;"",W596&lt;&gt;"",N(V596)&gt;0),COUNTIFS($AV$3:AV596,1,$AZ$3:AZ596,0,$AC$3:AC596,"&lt;&gt;",$W$3:W596,"&lt;&gt;",$V$3:V596,"&gt;0"),"")</f>
        <v/>
      </c>
    </row>
    <row r="597">
      <c r="A597" s="12" t="n"/>
      <c r="B597" s="13" t="n"/>
      <c r="C597" s="13" t="n"/>
      <c r="D597" s="7">
        <f>IF(OR(B597="",C597=""),"",ROUND((C597-B597)*1440,0))</f>
        <v/>
      </c>
      <c r="E597" s="12" t="n"/>
      <c r="F597" s="12" t="n"/>
      <c r="G597" s="12" t="n"/>
      <c r="H597" s="12" t="n"/>
      <c r="I597" s="12" t="n"/>
      <c r="J597" s="12" t="n"/>
      <c r="K597" s="12" t="n"/>
      <c r="L597" s="14" t="n"/>
      <c r="M597" s="12" t="n"/>
      <c r="N597" s="12" t="n"/>
      <c r="O597" s="12" t="n"/>
      <c r="P597" s="12" t="n"/>
      <c r="Q597" s="7">
        <f>IF(A597="","",IFERROR(VLOOKUP(O597,Listes!$R$3:$T$8,2,FALSE),0)+IFERROR(VLOOKUP(J597,Listes!$J$3:$L$6,2,FALSE),0)+IFERROR(VLOOKUP(N597,Listes!$N$3:$P$6,2,FALSE),0)+IF(OR(L597="",B597=""),0,IF(L597-INT(B597)&lt;10,8,IF(L597-INT(B597)&lt;=90,10,5)))+IFERROR(VLOOKUP(AN597,Listes!$V$3:$W$5,2,FALSE),0)+IFERROR(VLOOKUP(AO597,Listes!$Y$3:$Z$5,2,FALSE),0))</f>
        <v/>
      </c>
      <c r="R597" s="12" t="n"/>
      <c r="S597" s="12" t="n"/>
      <c r="T597" s="12" t="n"/>
      <c r="U597" s="15" t="n"/>
      <c r="V597" s="15" t="n"/>
      <c r="W597" s="13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3" t="n"/>
      <c r="AK597" s="12" t="n"/>
      <c r="AL597" s="12" t="n"/>
      <c r="AM597" s="12" t="n"/>
      <c r="AN597" s="12" t="n"/>
      <c r="AO597" s="12" t="n"/>
      <c r="AP597" s="12" t="n"/>
      <c r="AQ597" s="7">
        <f>IF(A597="","",IF(AP597&lt;&gt;"",AP597,IF(LEFT(Z597,11)="gads_marque","Google Search – Marque",IF(LEFT(Z597,12)="gads_mariage","Google Search – Mariage et privé",IF(LEFT(Z597,10)="gads_corpo","Google Search – Corporatif",IF(LEFT(Z597,5)="meta_","Meta – Leads",IF(LEFT(Z597,5)="msft_","Microsoft Ads",IF(LEFT(Z597,8)="chatgpt_","ChatGPT Ads – Test",IF(X597="gbp","Fiche Google (organique)","Autre / non payé")))))))))</f>
        <v/>
      </c>
      <c r="AR597" s="7">
        <f>IF(K597="","",IFERROR(VLOOKUP(K597,Listes!$F$3:$H$8,3,FALSE),""))</f>
        <v/>
      </c>
      <c r="AS597" s="7">
        <f>IF(O597="","",IF(AND(M597="Autre (plus de 40 km)",OR(O597="lt600",O597="600_999",O597="1000_2499")),"D",IF(OR(O597="lt600",AND(O597="600_999",K597&lt;&gt;"mariage",K597&lt;&gt;"prive")),"C",IF(OR(O597="2500_4999",O597="5000p",J597="entreprise",J597="organisme",J597="agence"),"A",IF(OR(O597="1000_2499",O597="600_999"),"B",IF(O597="inconnu",IF(OR(N597="75_149",N597="150p"),"A","B"),""))))))</f>
        <v/>
      </c>
      <c r="AT597" s="7">
        <f>IF(A597="","",IF(P597&lt;&gt;"",P597,AS597))</f>
        <v/>
      </c>
      <c r="AU597" s="7">
        <f>IF(A597="","",IF(OR(AT597="A",AT597="B"),1,0))</f>
        <v/>
      </c>
      <c r="AV597" s="7">
        <f>IF(A597="","",IF(OR(R597="Dépôt payé (gagné)",R597="Événement livré",R597="Avis obtenu"),1,0))</f>
        <v/>
      </c>
      <c r="AW597" s="7">
        <f>IF(A597="","",IF(Q597&gt;70,"Immédiat – propriétaire",IF(Q597&gt;=40,"15 min – personne de garde","Selon la route")))</f>
        <v/>
      </c>
      <c r="AX597" s="11">
        <f>IF(A597="","",IF(AT597="A",400,IF(AT597="B",150,0)))</f>
        <v/>
      </c>
      <c r="AY597" s="11">
        <f>IF(A597="","",IF(AV597=1,N(V597),IF(N(U597)&gt;0,ROUND(N(U597)*IFERROR(VLOOKUP(R597,Listes!$AE$3:$AG$12,2,FALSE),0),0),0)))</f>
        <v/>
      </c>
      <c r="AZ597" s="7">
        <f>IF(LEFT(A597,7)="EXEMPLE",1,0)</f>
        <v/>
      </c>
      <c r="BA597" s="7">
        <f>IF(AND(AV597=1,AZ597=0,AC597&lt;&gt;"",W597&lt;&gt;"",N(V597)&gt;0),COUNTIFS($AV$3:AV597,1,$AZ$3:AZ597,0,$AC$3:AC597,"&lt;&gt;",$W$3:W597,"&lt;&gt;",$V$3:V597,"&gt;0"),"")</f>
        <v/>
      </c>
    </row>
    <row r="598">
      <c r="A598" s="12" t="n"/>
      <c r="B598" s="13" t="n"/>
      <c r="C598" s="13" t="n"/>
      <c r="D598" s="7">
        <f>IF(OR(B598="",C598=""),"",ROUND((C598-B598)*1440,0))</f>
        <v/>
      </c>
      <c r="E598" s="12" t="n"/>
      <c r="F598" s="12" t="n"/>
      <c r="G598" s="12" t="n"/>
      <c r="H598" s="12" t="n"/>
      <c r="I598" s="12" t="n"/>
      <c r="J598" s="12" t="n"/>
      <c r="K598" s="12" t="n"/>
      <c r="L598" s="14" t="n"/>
      <c r="M598" s="12" t="n"/>
      <c r="N598" s="12" t="n"/>
      <c r="O598" s="12" t="n"/>
      <c r="P598" s="12" t="n"/>
      <c r="Q598" s="7">
        <f>IF(A598="","",IFERROR(VLOOKUP(O598,Listes!$R$3:$T$8,2,FALSE),0)+IFERROR(VLOOKUP(J598,Listes!$J$3:$L$6,2,FALSE),0)+IFERROR(VLOOKUP(N598,Listes!$N$3:$P$6,2,FALSE),0)+IF(OR(L598="",B598=""),0,IF(L598-INT(B598)&lt;10,8,IF(L598-INT(B598)&lt;=90,10,5)))+IFERROR(VLOOKUP(AN598,Listes!$V$3:$W$5,2,FALSE),0)+IFERROR(VLOOKUP(AO598,Listes!$Y$3:$Z$5,2,FALSE),0))</f>
        <v/>
      </c>
      <c r="R598" s="12" t="n"/>
      <c r="S598" s="12" t="n"/>
      <c r="T598" s="12" t="n"/>
      <c r="U598" s="15" t="n"/>
      <c r="V598" s="15" t="n"/>
      <c r="W598" s="13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3" t="n"/>
      <c r="AK598" s="12" t="n"/>
      <c r="AL598" s="12" t="n"/>
      <c r="AM598" s="12" t="n"/>
      <c r="AN598" s="12" t="n"/>
      <c r="AO598" s="12" t="n"/>
      <c r="AP598" s="12" t="n"/>
      <c r="AQ598" s="7">
        <f>IF(A598="","",IF(AP598&lt;&gt;"",AP598,IF(LEFT(Z598,11)="gads_marque","Google Search – Marque",IF(LEFT(Z598,12)="gads_mariage","Google Search – Mariage et privé",IF(LEFT(Z598,10)="gads_corpo","Google Search – Corporatif",IF(LEFT(Z598,5)="meta_","Meta – Leads",IF(LEFT(Z598,5)="msft_","Microsoft Ads",IF(LEFT(Z598,8)="chatgpt_","ChatGPT Ads – Test",IF(X598="gbp","Fiche Google (organique)","Autre / non payé")))))))))</f>
        <v/>
      </c>
      <c r="AR598" s="7">
        <f>IF(K598="","",IFERROR(VLOOKUP(K598,Listes!$F$3:$H$8,3,FALSE),""))</f>
        <v/>
      </c>
      <c r="AS598" s="7">
        <f>IF(O598="","",IF(AND(M598="Autre (plus de 40 km)",OR(O598="lt600",O598="600_999",O598="1000_2499")),"D",IF(OR(O598="lt600",AND(O598="600_999",K598&lt;&gt;"mariage",K598&lt;&gt;"prive")),"C",IF(OR(O598="2500_4999",O598="5000p",J598="entreprise",J598="organisme",J598="agence"),"A",IF(OR(O598="1000_2499",O598="600_999"),"B",IF(O598="inconnu",IF(OR(N598="75_149",N598="150p"),"A","B"),""))))))</f>
        <v/>
      </c>
      <c r="AT598" s="7">
        <f>IF(A598="","",IF(P598&lt;&gt;"",P598,AS598))</f>
        <v/>
      </c>
      <c r="AU598" s="7">
        <f>IF(A598="","",IF(OR(AT598="A",AT598="B"),1,0))</f>
        <v/>
      </c>
      <c r="AV598" s="7">
        <f>IF(A598="","",IF(OR(R598="Dépôt payé (gagné)",R598="Événement livré",R598="Avis obtenu"),1,0))</f>
        <v/>
      </c>
      <c r="AW598" s="7">
        <f>IF(A598="","",IF(Q598&gt;70,"Immédiat – propriétaire",IF(Q598&gt;=40,"15 min – personne de garde","Selon la route")))</f>
        <v/>
      </c>
      <c r="AX598" s="11">
        <f>IF(A598="","",IF(AT598="A",400,IF(AT598="B",150,0)))</f>
        <v/>
      </c>
      <c r="AY598" s="11">
        <f>IF(A598="","",IF(AV598=1,N(V598),IF(N(U598)&gt;0,ROUND(N(U598)*IFERROR(VLOOKUP(R598,Listes!$AE$3:$AG$12,2,FALSE),0),0),0)))</f>
        <v/>
      </c>
      <c r="AZ598" s="7">
        <f>IF(LEFT(A598,7)="EXEMPLE",1,0)</f>
        <v/>
      </c>
      <c r="BA598" s="7">
        <f>IF(AND(AV598=1,AZ598=0,AC598&lt;&gt;"",W598&lt;&gt;"",N(V598)&gt;0),COUNTIFS($AV$3:AV598,1,$AZ$3:AZ598,0,$AC$3:AC598,"&lt;&gt;",$W$3:W598,"&lt;&gt;",$V$3:V598,"&gt;0"),"")</f>
        <v/>
      </c>
    </row>
    <row r="599">
      <c r="A599" s="12" t="n"/>
      <c r="B599" s="13" t="n"/>
      <c r="C599" s="13" t="n"/>
      <c r="D599" s="7">
        <f>IF(OR(B599="",C599=""),"",ROUND((C599-B599)*1440,0))</f>
        <v/>
      </c>
      <c r="E599" s="12" t="n"/>
      <c r="F599" s="12" t="n"/>
      <c r="G599" s="12" t="n"/>
      <c r="H599" s="12" t="n"/>
      <c r="I599" s="12" t="n"/>
      <c r="J599" s="12" t="n"/>
      <c r="K599" s="12" t="n"/>
      <c r="L599" s="14" t="n"/>
      <c r="M599" s="12" t="n"/>
      <c r="N599" s="12" t="n"/>
      <c r="O599" s="12" t="n"/>
      <c r="P599" s="12" t="n"/>
      <c r="Q599" s="7">
        <f>IF(A599="","",IFERROR(VLOOKUP(O599,Listes!$R$3:$T$8,2,FALSE),0)+IFERROR(VLOOKUP(J599,Listes!$J$3:$L$6,2,FALSE),0)+IFERROR(VLOOKUP(N599,Listes!$N$3:$P$6,2,FALSE),0)+IF(OR(L599="",B599=""),0,IF(L599-INT(B599)&lt;10,8,IF(L599-INT(B599)&lt;=90,10,5)))+IFERROR(VLOOKUP(AN599,Listes!$V$3:$W$5,2,FALSE),0)+IFERROR(VLOOKUP(AO599,Listes!$Y$3:$Z$5,2,FALSE),0))</f>
        <v/>
      </c>
      <c r="R599" s="12" t="n"/>
      <c r="S599" s="12" t="n"/>
      <c r="T599" s="12" t="n"/>
      <c r="U599" s="15" t="n"/>
      <c r="V599" s="15" t="n"/>
      <c r="W599" s="13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3" t="n"/>
      <c r="AK599" s="12" t="n"/>
      <c r="AL599" s="12" t="n"/>
      <c r="AM599" s="12" t="n"/>
      <c r="AN599" s="12" t="n"/>
      <c r="AO599" s="12" t="n"/>
      <c r="AP599" s="12" t="n"/>
      <c r="AQ599" s="7">
        <f>IF(A599="","",IF(AP599&lt;&gt;"",AP599,IF(LEFT(Z599,11)="gads_marque","Google Search – Marque",IF(LEFT(Z599,12)="gads_mariage","Google Search – Mariage et privé",IF(LEFT(Z599,10)="gads_corpo","Google Search – Corporatif",IF(LEFT(Z599,5)="meta_","Meta – Leads",IF(LEFT(Z599,5)="msft_","Microsoft Ads",IF(LEFT(Z599,8)="chatgpt_","ChatGPT Ads – Test",IF(X599="gbp","Fiche Google (organique)","Autre / non payé")))))))))</f>
        <v/>
      </c>
      <c r="AR599" s="7">
        <f>IF(K599="","",IFERROR(VLOOKUP(K599,Listes!$F$3:$H$8,3,FALSE),""))</f>
        <v/>
      </c>
      <c r="AS599" s="7">
        <f>IF(O599="","",IF(AND(M599="Autre (plus de 40 km)",OR(O599="lt600",O599="600_999",O599="1000_2499")),"D",IF(OR(O599="lt600",AND(O599="600_999",K599&lt;&gt;"mariage",K599&lt;&gt;"prive")),"C",IF(OR(O599="2500_4999",O599="5000p",J599="entreprise",J599="organisme",J599="agence"),"A",IF(OR(O599="1000_2499",O599="600_999"),"B",IF(O599="inconnu",IF(OR(N599="75_149",N599="150p"),"A","B"),""))))))</f>
        <v/>
      </c>
      <c r="AT599" s="7">
        <f>IF(A599="","",IF(P599&lt;&gt;"",P599,AS599))</f>
        <v/>
      </c>
      <c r="AU599" s="7">
        <f>IF(A599="","",IF(OR(AT599="A",AT599="B"),1,0))</f>
        <v/>
      </c>
      <c r="AV599" s="7">
        <f>IF(A599="","",IF(OR(R599="Dépôt payé (gagné)",R599="Événement livré",R599="Avis obtenu"),1,0))</f>
        <v/>
      </c>
      <c r="AW599" s="7">
        <f>IF(A599="","",IF(Q599&gt;70,"Immédiat – propriétaire",IF(Q599&gt;=40,"15 min – personne de garde","Selon la route")))</f>
        <v/>
      </c>
      <c r="AX599" s="11">
        <f>IF(A599="","",IF(AT599="A",400,IF(AT599="B",150,0)))</f>
        <v/>
      </c>
      <c r="AY599" s="11">
        <f>IF(A599="","",IF(AV599=1,N(V599),IF(N(U599)&gt;0,ROUND(N(U599)*IFERROR(VLOOKUP(R599,Listes!$AE$3:$AG$12,2,FALSE),0),0),0)))</f>
        <v/>
      </c>
      <c r="AZ599" s="7">
        <f>IF(LEFT(A599,7)="EXEMPLE",1,0)</f>
        <v/>
      </c>
      <c r="BA599" s="7">
        <f>IF(AND(AV599=1,AZ599=0,AC599&lt;&gt;"",W599&lt;&gt;"",N(V599)&gt;0),COUNTIFS($AV$3:AV599,1,$AZ$3:AZ599,0,$AC$3:AC599,"&lt;&gt;",$W$3:W599,"&lt;&gt;",$V$3:V599,"&gt;0"),"")</f>
        <v/>
      </c>
    </row>
    <row r="600">
      <c r="A600" s="12" t="n"/>
      <c r="B600" s="13" t="n"/>
      <c r="C600" s="13" t="n"/>
      <c r="D600" s="7">
        <f>IF(OR(B600="",C600=""),"",ROUND((C600-B600)*1440,0))</f>
        <v/>
      </c>
      <c r="E600" s="12" t="n"/>
      <c r="F600" s="12" t="n"/>
      <c r="G600" s="12" t="n"/>
      <c r="H600" s="12" t="n"/>
      <c r="I600" s="12" t="n"/>
      <c r="J600" s="12" t="n"/>
      <c r="K600" s="12" t="n"/>
      <c r="L600" s="14" t="n"/>
      <c r="M600" s="12" t="n"/>
      <c r="N600" s="12" t="n"/>
      <c r="O600" s="12" t="n"/>
      <c r="P600" s="12" t="n"/>
      <c r="Q600" s="7">
        <f>IF(A600="","",IFERROR(VLOOKUP(O600,Listes!$R$3:$T$8,2,FALSE),0)+IFERROR(VLOOKUP(J600,Listes!$J$3:$L$6,2,FALSE),0)+IFERROR(VLOOKUP(N600,Listes!$N$3:$P$6,2,FALSE),0)+IF(OR(L600="",B600=""),0,IF(L600-INT(B600)&lt;10,8,IF(L600-INT(B600)&lt;=90,10,5)))+IFERROR(VLOOKUP(AN600,Listes!$V$3:$W$5,2,FALSE),0)+IFERROR(VLOOKUP(AO600,Listes!$Y$3:$Z$5,2,FALSE),0))</f>
        <v/>
      </c>
      <c r="R600" s="12" t="n"/>
      <c r="S600" s="12" t="n"/>
      <c r="T600" s="12" t="n"/>
      <c r="U600" s="15" t="n"/>
      <c r="V600" s="15" t="n"/>
      <c r="W600" s="13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3" t="n"/>
      <c r="AK600" s="12" t="n"/>
      <c r="AL600" s="12" t="n"/>
      <c r="AM600" s="12" t="n"/>
      <c r="AN600" s="12" t="n"/>
      <c r="AO600" s="12" t="n"/>
      <c r="AP600" s="12" t="n"/>
      <c r="AQ600" s="7">
        <f>IF(A600="","",IF(AP600&lt;&gt;"",AP600,IF(LEFT(Z600,11)="gads_marque","Google Search – Marque",IF(LEFT(Z600,12)="gads_mariage","Google Search – Mariage et privé",IF(LEFT(Z600,10)="gads_corpo","Google Search – Corporatif",IF(LEFT(Z600,5)="meta_","Meta – Leads",IF(LEFT(Z600,5)="msft_","Microsoft Ads",IF(LEFT(Z600,8)="chatgpt_","ChatGPT Ads – Test",IF(X600="gbp","Fiche Google (organique)","Autre / non payé")))))))))</f>
        <v/>
      </c>
      <c r="AR600" s="7">
        <f>IF(K600="","",IFERROR(VLOOKUP(K600,Listes!$F$3:$H$8,3,FALSE),""))</f>
        <v/>
      </c>
      <c r="AS600" s="7">
        <f>IF(O600="","",IF(AND(M600="Autre (plus de 40 km)",OR(O600="lt600",O600="600_999",O600="1000_2499")),"D",IF(OR(O600="lt600",AND(O600="600_999",K600&lt;&gt;"mariage",K600&lt;&gt;"prive")),"C",IF(OR(O600="2500_4999",O600="5000p",J600="entreprise",J600="organisme",J600="agence"),"A",IF(OR(O600="1000_2499",O600="600_999"),"B",IF(O600="inconnu",IF(OR(N600="75_149",N600="150p"),"A","B"),""))))))</f>
        <v/>
      </c>
      <c r="AT600" s="7">
        <f>IF(A600="","",IF(P600&lt;&gt;"",P600,AS600))</f>
        <v/>
      </c>
      <c r="AU600" s="7">
        <f>IF(A600="","",IF(OR(AT600="A",AT600="B"),1,0))</f>
        <v/>
      </c>
      <c r="AV600" s="7">
        <f>IF(A600="","",IF(OR(R600="Dépôt payé (gagné)",R600="Événement livré",R600="Avis obtenu"),1,0))</f>
        <v/>
      </c>
      <c r="AW600" s="7">
        <f>IF(A600="","",IF(Q600&gt;70,"Immédiat – propriétaire",IF(Q600&gt;=40,"15 min – personne de garde","Selon la route")))</f>
        <v/>
      </c>
      <c r="AX600" s="11">
        <f>IF(A600="","",IF(AT600="A",400,IF(AT600="B",150,0)))</f>
        <v/>
      </c>
      <c r="AY600" s="11">
        <f>IF(A600="","",IF(AV600=1,N(V600),IF(N(U600)&gt;0,ROUND(N(U600)*IFERROR(VLOOKUP(R600,Listes!$AE$3:$AG$12,2,FALSE),0),0),0)))</f>
        <v/>
      </c>
      <c r="AZ600" s="7">
        <f>IF(LEFT(A600,7)="EXEMPLE",1,0)</f>
        <v/>
      </c>
      <c r="BA600" s="7">
        <f>IF(AND(AV600=1,AZ600=0,AC600&lt;&gt;"",W600&lt;&gt;"",N(V600)&gt;0),COUNTIFS($AV$3:AV600,1,$AZ$3:AZ600,0,$AC$3:AC600,"&lt;&gt;",$W$3:W600,"&lt;&gt;",$V$3:V600,"&gt;0"),"")</f>
        <v/>
      </c>
    </row>
    <row r="601">
      <c r="A601" s="12" t="n"/>
      <c r="B601" s="13" t="n"/>
      <c r="C601" s="13" t="n"/>
      <c r="D601" s="7">
        <f>IF(OR(B601="",C601=""),"",ROUND((C601-B601)*1440,0))</f>
        <v/>
      </c>
      <c r="E601" s="12" t="n"/>
      <c r="F601" s="12" t="n"/>
      <c r="G601" s="12" t="n"/>
      <c r="H601" s="12" t="n"/>
      <c r="I601" s="12" t="n"/>
      <c r="J601" s="12" t="n"/>
      <c r="K601" s="12" t="n"/>
      <c r="L601" s="14" t="n"/>
      <c r="M601" s="12" t="n"/>
      <c r="N601" s="12" t="n"/>
      <c r="O601" s="12" t="n"/>
      <c r="P601" s="12" t="n"/>
      <c r="Q601" s="7">
        <f>IF(A601="","",IFERROR(VLOOKUP(O601,Listes!$R$3:$T$8,2,FALSE),0)+IFERROR(VLOOKUP(J601,Listes!$J$3:$L$6,2,FALSE),0)+IFERROR(VLOOKUP(N601,Listes!$N$3:$P$6,2,FALSE),0)+IF(OR(L601="",B601=""),0,IF(L601-INT(B601)&lt;10,8,IF(L601-INT(B601)&lt;=90,10,5)))+IFERROR(VLOOKUP(AN601,Listes!$V$3:$W$5,2,FALSE),0)+IFERROR(VLOOKUP(AO601,Listes!$Y$3:$Z$5,2,FALSE),0))</f>
        <v/>
      </c>
      <c r="R601" s="12" t="n"/>
      <c r="S601" s="12" t="n"/>
      <c r="T601" s="12" t="n"/>
      <c r="U601" s="15" t="n"/>
      <c r="V601" s="15" t="n"/>
      <c r="W601" s="13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3" t="n"/>
      <c r="AK601" s="12" t="n"/>
      <c r="AL601" s="12" t="n"/>
      <c r="AM601" s="12" t="n"/>
      <c r="AN601" s="12" t="n"/>
      <c r="AO601" s="12" t="n"/>
      <c r="AP601" s="12" t="n"/>
      <c r="AQ601" s="7">
        <f>IF(A601="","",IF(AP601&lt;&gt;"",AP601,IF(LEFT(Z601,11)="gads_marque","Google Search – Marque",IF(LEFT(Z601,12)="gads_mariage","Google Search – Mariage et privé",IF(LEFT(Z601,10)="gads_corpo","Google Search – Corporatif",IF(LEFT(Z601,5)="meta_","Meta – Leads",IF(LEFT(Z601,5)="msft_","Microsoft Ads",IF(LEFT(Z601,8)="chatgpt_","ChatGPT Ads – Test",IF(X601="gbp","Fiche Google (organique)","Autre / non payé")))))))))</f>
        <v/>
      </c>
      <c r="AR601" s="7">
        <f>IF(K601="","",IFERROR(VLOOKUP(K601,Listes!$F$3:$H$8,3,FALSE),""))</f>
        <v/>
      </c>
      <c r="AS601" s="7">
        <f>IF(O601="","",IF(AND(M601="Autre (plus de 40 km)",OR(O601="lt600",O601="600_999",O601="1000_2499")),"D",IF(OR(O601="lt600",AND(O601="600_999",K601&lt;&gt;"mariage",K601&lt;&gt;"prive")),"C",IF(OR(O601="2500_4999",O601="5000p",J601="entreprise",J601="organisme",J601="agence"),"A",IF(OR(O601="1000_2499",O601="600_999"),"B",IF(O601="inconnu",IF(OR(N601="75_149",N601="150p"),"A","B"),""))))))</f>
        <v/>
      </c>
      <c r="AT601" s="7">
        <f>IF(A601="","",IF(P601&lt;&gt;"",P601,AS601))</f>
        <v/>
      </c>
      <c r="AU601" s="7">
        <f>IF(A601="","",IF(OR(AT601="A",AT601="B"),1,0))</f>
        <v/>
      </c>
      <c r="AV601" s="7">
        <f>IF(A601="","",IF(OR(R601="Dépôt payé (gagné)",R601="Événement livré",R601="Avis obtenu"),1,0))</f>
        <v/>
      </c>
      <c r="AW601" s="7">
        <f>IF(A601="","",IF(Q601&gt;70,"Immédiat – propriétaire",IF(Q601&gt;=40,"15 min – personne de garde","Selon la route")))</f>
        <v/>
      </c>
      <c r="AX601" s="11">
        <f>IF(A601="","",IF(AT601="A",400,IF(AT601="B",150,0)))</f>
        <v/>
      </c>
      <c r="AY601" s="11">
        <f>IF(A601="","",IF(AV601=1,N(V601),IF(N(U601)&gt;0,ROUND(N(U601)*IFERROR(VLOOKUP(R601,Listes!$AE$3:$AG$12,2,FALSE),0),0),0)))</f>
        <v/>
      </c>
      <c r="AZ601" s="7">
        <f>IF(LEFT(A601,7)="EXEMPLE",1,0)</f>
        <v/>
      </c>
      <c r="BA601" s="7">
        <f>IF(AND(AV601=1,AZ601=0,AC601&lt;&gt;"",W601&lt;&gt;"",N(V601)&gt;0),COUNTIFS($AV$3:AV601,1,$AZ$3:AZ601,0,$AC$3:AC601,"&lt;&gt;",$W$3:W601,"&lt;&gt;",$V$3:V601,"&gt;0"),"")</f>
        <v/>
      </c>
    </row>
    <row r="602">
      <c r="A602" s="12" t="n"/>
      <c r="B602" s="13" t="n"/>
      <c r="C602" s="13" t="n"/>
      <c r="D602" s="7">
        <f>IF(OR(B602="",C602=""),"",ROUND((C602-B602)*1440,0))</f>
        <v/>
      </c>
      <c r="E602" s="12" t="n"/>
      <c r="F602" s="12" t="n"/>
      <c r="G602" s="12" t="n"/>
      <c r="H602" s="12" t="n"/>
      <c r="I602" s="12" t="n"/>
      <c r="J602" s="12" t="n"/>
      <c r="K602" s="12" t="n"/>
      <c r="L602" s="14" t="n"/>
      <c r="M602" s="12" t="n"/>
      <c r="N602" s="12" t="n"/>
      <c r="O602" s="12" t="n"/>
      <c r="P602" s="12" t="n"/>
      <c r="Q602" s="7">
        <f>IF(A602="","",IFERROR(VLOOKUP(O602,Listes!$R$3:$T$8,2,FALSE),0)+IFERROR(VLOOKUP(J602,Listes!$J$3:$L$6,2,FALSE),0)+IFERROR(VLOOKUP(N602,Listes!$N$3:$P$6,2,FALSE),0)+IF(OR(L602="",B602=""),0,IF(L602-INT(B602)&lt;10,8,IF(L602-INT(B602)&lt;=90,10,5)))+IFERROR(VLOOKUP(AN602,Listes!$V$3:$W$5,2,FALSE),0)+IFERROR(VLOOKUP(AO602,Listes!$Y$3:$Z$5,2,FALSE),0))</f>
        <v/>
      </c>
      <c r="R602" s="12" t="n"/>
      <c r="S602" s="12" t="n"/>
      <c r="T602" s="12" t="n"/>
      <c r="U602" s="15" t="n"/>
      <c r="V602" s="15" t="n"/>
      <c r="W602" s="13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3" t="n"/>
      <c r="AK602" s="12" t="n"/>
      <c r="AL602" s="12" t="n"/>
      <c r="AM602" s="12" t="n"/>
      <c r="AN602" s="12" t="n"/>
      <c r="AO602" s="12" t="n"/>
      <c r="AP602" s="12" t="n"/>
      <c r="AQ602" s="7">
        <f>IF(A602="","",IF(AP602&lt;&gt;"",AP602,IF(LEFT(Z602,11)="gads_marque","Google Search – Marque",IF(LEFT(Z602,12)="gads_mariage","Google Search – Mariage et privé",IF(LEFT(Z602,10)="gads_corpo","Google Search – Corporatif",IF(LEFT(Z602,5)="meta_","Meta – Leads",IF(LEFT(Z602,5)="msft_","Microsoft Ads",IF(LEFT(Z602,8)="chatgpt_","ChatGPT Ads – Test",IF(X602="gbp","Fiche Google (organique)","Autre / non payé")))))))))</f>
        <v/>
      </c>
      <c r="AR602" s="7">
        <f>IF(K602="","",IFERROR(VLOOKUP(K602,Listes!$F$3:$H$8,3,FALSE),""))</f>
        <v/>
      </c>
      <c r="AS602" s="7">
        <f>IF(O602="","",IF(AND(M602="Autre (plus de 40 km)",OR(O602="lt600",O602="600_999",O602="1000_2499")),"D",IF(OR(O602="lt600",AND(O602="600_999",K602&lt;&gt;"mariage",K602&lt;&gt;"prive")),"C",IF(OR(O602="2500_4999",O602="5000p",J602="entreprise",J602="organisme",J602="agence"),"A",IF(OR(O602="1000_2499",O602="600_999"),"B",IF(O602="inconnu",IF(OR(N602="75_149",N602="150p"),"A","B"),""))))))</f>
        <v/>
      </c>
      <c r="AT602" s="7">
        <f>IF(A602="","",IF(P602&lt;&gt;"",P602,AS602))</f>
        <v/>
      </c>
      <c r="AU602" s="7">
        <f>IF(A602="","",IF(OR(AT602="A",AT602="B"),1,0))</f>
        <v/>
      </c>
      <c r="AV602" s="7">
        <f>IF(A602="","",IF(OR(R602="Dépôt payé (gagné)",R602="Événement livré",R602="Avis obtenu"),1,0))</f>
        <v/>
      </c>
      <c r="AW602" s="7">
        <f>IF(A602="","",IF(Q602&gt;70,"Immédiat – propriétaire",IF(Q602&gt;=40,"15 min – personne de garde","Selon la route")))</f>
        <v/>
      </c>
      <c r="AX602" s="11">
        <f>IF(A602="","",IF(AT602="A",400,IF(AT602="B",150,0)))</f>
        <v/>
      </c>
      <c r="AY602" s="11">
        <f>IF(A602="","",IF(AV602=1,N(V602),IF(N(U602)&gt;0,ROUND(N(U602)*IFERROR(VLOOKUP(R602,Listes!$AE$3:$AG$12,2,FALSE),0),0),0)))</f>
        <v/>
      </c>
      <c r="AZ602" s="7">
        <f>IF(LEFT(A602,7)="EXEMPLE",1,0)</f>
        <v/>
      </c>
      <c r="BA602" s="7">
        <f>IF(AND(AV602=1,AZ602=0,AC602&lt;&gt;"",W602&lt;&gt;"",N(V602)&gt;0),COUNTIFS($AV$3:AV602,1,$AZ$3:AZ602,0,$AC$3:AC602,"&lt;&gt;",$W$3:W602,"&lt;&gt;",$V$3:V602,"&gt;0"),"")</f>
        <v/>
      </c>
    </row>
    <row r="603">
      <c r="A603" s="12" t="n"/>
      <c r="B603" s="13" t="n"/>
      <c r="C603" s="13" t="n"/>
      <c r="D603" s="7">
        <f>IF(OR(B603="",C603=""),"",ROUND((C603-B603)*1440,0))</f>
        <v/>
      </c>
      <c r="E603" s="12" t="n"/>
      <c r="F603" s="12" t="n"/>
      <c r="G603" s="12" t="n"/>
      <c r="H603" s="12" t="n"/>
      <c r="I603" s="12" t="n"/>
      <c r="J603" s="12" t="n"/>
      <c r="K603" s="12" t="n"/>
      <c r="L603" s="14" t="n"/>
      <c r="M603" s="12" t="n"/>
      <c r="N603" s="12" t="n"/>
      <c r="O603" s="12" t="n"/>
      <c r="P603" s="12" t="n"/>
      <c r="Q603" s="7">
        <f>IF(A603="","",IFERROR(VLOOKUP(O603,Listes!$R$3:$T$8,2,FALSE),0)+IFERROR(VLOOKUP(J603,Listes!$J$3:$L$6,2,FALSE),0)+IFERROR(VLOOKUP(N603,Listes!$N$3:$P$6,2,FALSE),0)+IF(OR(L603="",B603=""),0,IF(L603-INT(B603)&lt;10,8,IF(L603-INT(B603)&lt;=90,10,5)))+IFERROR(VLOOKUP(AN603,Listes!$V$3:$W$5,2,FALSE),0)+IFERROR(VLOOKUP(AO603,Listes!$Y$3:$Z$5,2,FALSE),0))</f>
        <v/>
      </c>
      <c r="R603" s="12" t="n"/>
      <c r="S603" s="12" t="n"/>
      <c r="T603" s="12" t="n"/>
      <c r="U603" s="15" t="n"/>
      <c r="V603" s="15" t="n"/>
      <c r="W603" s="13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3" t="n"/>
      <c r="AK603" s="12" t="n"/>
      <c r="AL603" s="12" t="n"/>
      <c r="AM603" s="12" t="n"/>
      <c r="AN603" s="12" t="n"/>
      <c r="AO603" s="12" t="n"/>
      <c r="AP603" s="12" t="n"/>
      <c r="AQ603" s="7">
        <f>IF(A603="","",IF(AP603&lt;&gt;"",AP603,IF(LEFT(Z603,11)="gads_marque","Google Search – Marque",IF(LEFT(Z603,12)="gads_mariage","Google Search – Mariage et privé",IF(LEFT(Z603,10)="gads_corpo","Google Search – Corporatif",IF(LEFT(Z603,5)="meta_","Meta – Leads",IF(LEFT(Z603,5)="msft_","Microsoft Ads",IF(LEFT(Z603,8)="chatgpt_","ChatGPT Ads – Test",IF(X603="gbp","Fiche Google (organique)","Autre / non payé")))))))))</f>
        <v/>
      </c>
      <c r="AR603" s="7">
        <f>IF(K603="","",IFERROR(VLOOKUP(K603,Listes!$F$3:$H$8,3,FALSE),""))</f>
        <v/>
      </c>
      <c r="AS603" s="7">
        <f>IF(O603="","",IF(AND(M603="Autre (plus de 40 km)",OR(O603="lt600",O603="600_999",O603="1000_2499")),"D",IF(OR(O603="lt600",AND(O603="600_999",K603&lt;&gt;"mariage",K603&lt;&gt;"prive")),"C",IF(OR(O603="2500_4999",O603="5000p",J603="entreprise",J603="organisme",J603="agence"),"A",IF(OR(O603="1000_2499",O603="600_999"),"B",IF(O603="inconnu",IF(OR(N603="75_149",N603="150p"),"A","B"),""))))))</f>
        <v/>
      </c>
      <c r="AT603" s="7">
        <f>IF(A603="","",IF(P603&lt;&gt;"",P603,AS603))</f>
        <v/>
      </c>
      <c r="AU603" s="7">
        <f>IF(A603="","",IF(OR(AT603="A",AT603="B"),1,0))</f>
        <v/>
      </c>
      <c r="AV603" s="7">
        <f>IF(A603="","",IF(OR(R603="Dépôt payé (gagné)",R603="Événement livré",R603="Avis obtenu"),1,0))</f>
        <v/>
      </c>
      <c r="AW603" s="7">
        <f>IF(A603="","",IF(Q603&gt;70,"Immédiat – propriétaire",IF(Q603&gt;=40,"15 min – personne de garde","Selon la route")))</f>
        <v/>
      </c>
      <c r="AX603" s="11">
        <f>IF(A603="","",IF(AT603="A",400,IF(AT603="B",150,0)))</f>
        <v/>
      </c>
      <c r="AY603" s="11">
        <f>IF(A603="","",IF(AV603=1,N(V603),IF(N(U603)&gt;0,ROUND(N(U603)*IFERROR(VLOOKUP(R603,Listes!$AE$3:$AG$12,2,FALSE),0),0),0)))</f>
        <v/>
      </c>
      <c r="AZ603" s="7">
        <f>IF(LEFT(A603,7)="EXEMPLE",1,0)</f>
        <v/>
      </c>
      <c r="BA603" s="7">
        <f>IF(AND(AV603=1,AZ603=0,AC603&lt;&gt;"",W603&lt;&gt;"",N(V603)&gt;0),COUNTIFS($AV$3:AV603,1,$AZ$3:AZ603,0,$AC$3:AC603,"&lt;&gt;",$W$3:W603,"&lt;&gt;",$V$3:V603,"&gt;0"),"")</f>
        <v/>
      </c>
    </row>
    <row r="604">
      <c r="A604" s="12" t="n"/>
      <c r="B604" s="13" t="n"/>
      <c r="C604" s="13" t="n"/>
      <c r="D604" s="7">
        <f>IF(OR(B604="",C604=""),"",ROUND((C604-B604)*1440,0))</f>
        <v/>
      </c>
      <c r="E604" s="12" t="n"/>
      <c r="F604" s="12" t="n"/>
      <c r="G604" s="12" t="n"/>
      <c r="H604" s="12" t="n"/>
      <c r="I604" s="12" t="n"/>
      <c r="J604" s="12" t="n"/>
      <c r="K604" s="12" t="n"/>
      <c r="L604" s="14" t="n"/>
      <c r="M604" s="12" t="n"/>
      <c r="N604" s="12" t="n"/>
      <c r="O604" s="12" t="n"/>
      <c r="P604" s="12" t="n"/>
      <c r="Q604" s="7">
        <f>IF(A604="","",IFERROR(VLOOKUP(O604,Listes!$R$3:$T$8,2,FALSE),0)+IFERROR(VLOOKUP(J604,Listes!$J$3:$L$6,2,FALSE),0)+IFERROR(VLOOKUP(N604,Listes!$N$3:$P$6,2,FALSE),0)+IF(OR(L604="",B604=""),0,IF(L604-INT(B604)&lt;10,8,IF(L604-INT(B604)&lt;=90,10,5)))+IFERROR(VLOOKUP(AN604,Listes!$V$3:$W$5,2,FALSE),0)+IFERROR(VLOOKUP(AO604,Listes!$Y$3:$Z$5,2,FALSE),0))</f>
        <v/>
      </c>
      <c r="R604" s="12" t="n"/>
      <c r="S604" s="12" t="n"/>
      <c r="T604" s="12" t="n"/>
      <c r="U604" s="15" t="n"/>
      <c r="V604" s="15" t="n"/>
      <c r="W604" s="13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3" t="n"/>
      <c r="AK604" s="12" t="n"/>
      <c r="AL604" s="12" t="n"/>
      <c r="AM604" s="12" t="n"/>
      <c r="AN604" s="12" t="n"/>
      <c r="AO604" s="12" t="n"/>
      <c r="AP604" s="12" t="n"/>
      <c r="AQ604" s="7">
        <f>IF(A604="","",IF(AP604&lt;&gt;"",AP604,IF(LEFT(Z604,11)="gads_marque","Google Search – Marque",IF(LEFT(Z604,12)="gads_mariage","Google Search – Mariage et privé",IF(LEFT(Z604,10)="gads_corpo","Google Search – Corporatif",IF(LEFT(Z604,5)="meta_","Meta – Leads",IF(LEFT(Z604,5)="msft_","Microsoft Ads",IF(LEFT(Z604,8)="chatgpt_","ChatGPT Ads – Test",IF(X604="gbp","Fiche Google (organique)","Autre / non payé")))))))))</f>
        <v/>
      </c>
      <c r="AR604" s="7">
        <f>IF(K604="","",IFERROR(VLOOKUP(K604,Listes!$F$3:$H$8,3,FALSE),""))</f>
        <v/>
      </c>
      <c r="AS604" s="7">
        <f>IF(O604="","",IF(AND(M604="Autre (plus de 40 km)",OR(O604="lt600",O604="600_999",O604="1000_2499")),"D",IF(OR(O604="lt600",AND(O604="600_999",K604&lt;&gt;"mariage",K604&lt;&gt;"prive")),"C",IF(OR(O604="2500_4999",O604="5000p",J604="entreprise",J604="organisme",J604="agence"),"A",IF(OR(O604="1000_2499",O604="600_999"),"B",IF(O604="inconnu",IF(OR(N604="75_149",N604="150p"),"A","B"),""))))))</f>
        <v/>
      </c>
      <c r="AT604" s="7">
        <f>IF(A604="","",IF(P604&lt;&gt;"",P604,AS604))</f>
        <v/>
      </c>
      <c r="AU604" s="7">
        <f>IF(A604="","",IF(OR(AT604="A",AT604="B"),1,0))</f>
        <v/>
      </c>
      <c r="AV604" s="7">
        <f>IF(A604="","",IF(OR(R604="Dépôt payé (gagné)",R604="Événement livré",R604="Avis obtenu"),1,0))</f>
        <v/>
      </c>
      <c r="AW604" s="7">
        <f>IF(A604="","",IF(Q604&gt;70,"Immédiat – propriétaire",IF(Q604&gt;=40,"15 min – personne de garde","Selon la route")))</f>
        <v/>
      </c>
      <c r="AX604" s="11">
        <f>IF(A604="","",IF(AT604="A",400,IF(AT604="B",150,0)))</f>
        <v/>
      </c>
      <c r="AY604" s="11">
        <f>IF(A604="","",IF(AV604=1,N(V604),IF(N(U604)&gt;0,ROUND(N(U604)*IFERROR(VLOOKUP(R604,Listes!$AE$3:$AG$12,2,FALSE),0),0),0)))</f>
        <v/>
      </c>
      <c r="AZ604" s="7">
        <f>IF(LEFT(A604,7)="EXEMPLE",1,0)</f>
        <v/>
      </c>
      <c r="BA604" s="7">
        <f>IF(AND(AV604=1,AZ604=0,AC604&lt;&gt;"",W604&lt;&gt;"",N(V604)&gt;0),COUNTIFS($AV$3:AV604,1,$AZ$3:AZ604,0,$AC$3:AC604,"&lt;&gt;",$W$3:W604,"&lt;&gt;",$V$3:V604,"&gt;0"),"")</f>
        <v/>
      </c>
    </row>
    <row r="605">
      <c r="A605" s="12" t="n"/>
      <c r="B605" s="13" t="n"/>
      <c r="C605" s="13" t="n"/>
      <c r="D605" s="7">
        <f>IF(OR(B605="",C605=""),"",ROUND((C605-B605)*1440,0))</f>
        <v/>
      </c>
      <c r="E605" s="12" t="n"/>
      <c r="F605" s="12" t="n"/>
      <c r="G605" s="12" t="n"/>
      <c r="H605" s="12" t="n"/>
      <c r="I605" s="12" t="n"/>
      <c r="J605" s="12" t="n"/>
      <c r="K605" s="12" t="n"/>
      <c r="L605" s="14" t="n"/>
      <c r="M605" s="12" t="n"/>
      <c r="N605" s="12" t="n"/>
      <c r="O605" s="12" t="n"/>
      <c r="P605" s="12" t="n"/>
      <c r="Q605" s="7">
        <f>IF(A605="","",IFERROR(VLOOKUP(O605,Listes!$R$3:$T$8,2,FALSE),0)+IFERROR(VLOOKUP(J605,Listes!$J$3:$L$6,2,FALSE),0)+IFERROR(VLOOKUP(N605,Listes!$N$3:$P$6,2,FALSE),0)+IF(OR(L605="",B605=""),0,IF(L605-INT(B605)&lt;10,8,IF(L605-INT(B605)&lt;=90,10,5)))+IFERROR(VLOOKUP(AN605,Listes!$V$3:$W$5,2,FALSE),0)+IFERROR(VLOOKUP(AO605,Listes!$Y$3:$Z$5,2,FALSE),0))</f>
        <v/>
      </c>
      <c r="R605" s="12" t="n"/>
      <c r="S605" s="12" t="n"/>
      <c r="T605" s="12" t="n"/>
      <c r="U605" s="15" t="n"/>
      <c r="V605" s="15" t="n"/>
      <c r="W605" s="13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3" t="n"/>
      <c r="AK605" s="12" t="n"/>
      <c r="AL605" s="12" t="n"/>
      <c r="AM605" s="12" t="n"/>
      <c r="AN605" s="12" t="n"/>
      <c r="AO605" s="12" t="n"/>
      <c r="AP605" s="12" t="n"/>
      <c r="AQ605" s="7">
        <f>IF(A605="","",IF(AP605&lt;&gt;"",AP605,IF(LEFT(Z605,11)="gads_marque","Google Search – Marque",IF(LEFT(Z605,12)="gads_mariage","Google Search – Mariage et privé",IF(LEFT(Z605,10)="gads_corpo","Google Search – Corporatif",IF(LEFT(Z605,5)="meta_","Meta – Leads",IF(LEFT(Z605,5)="msft_","Microsoft Ads",IF(LEFT(Z605,8)="chatgpt_","ChatGPT Ads – Test",IF(X605="gbp","Fiche Google (organique)","Autre / non payé")))))))))</f>
        <v/>
      </c>
      <c r="AR605" s="7">
        <f>IF(K605="","",IFERROR(VLOOKUP(K605,Listes!$F$3:$H$8,3,FALSE),""))</f>
        <v/>
      </c>
      <c r="AS605" s="7">
        <f>IF(O605="","",IF(AND(M605="Autre (plus de 40 km)",OR(O605="lt600",O605="600_999",O605="1000_2499")),"D",IF(OR(O605="lt600",AND(O605="600_999",K605&lt;&gt;"mariage",K605&lt;&gt;"prive")),"C",IF(OR(O605="2500_4999",O605="5000p",J605="entreprise",J605="organisme",J605="agence"),"A",IF(OR(O605="1000_2499",O605="600_999"),"B",IF(O605="inconnu",IF(OR(N605="75_149",N605="150p"),"A","B"),""))))))</f>
        <v/>
      </c>
      <c r="AT605" s="7">
        <f>IF(A605="","",IF(P605&lt;&gt;"",P605,AS605))</f>
        <v/>
      </c>
      <c r="AU605" s="7">
        <f>IF(A605="","",IF(OR(AT605="A",AT605="B"),1,0))</f>
        <v/>
      </c>
      <c r="AV605" s="7">
        <f>IF(A605="","",IF(OR(R605="Dépôt payé (gagné)",R605="Événement livré",R605="Avis obtenu"),1,0))</f>
        <v/>
      </c>
      <c r="AW605" s="7">
        <f>IF(A605="","",IF(Q605&gt;70,"Immédiat – propriétaire",IF(Q605&gt;=40,"15 min – personne de garde","Selon la route")))</f>
        <v/>
      </c>
      <c r="AX605" s="11">
        <f>IF(A605="","",IF(AT605="A",400,IF(AT605="B",150,0)))</f>
        <v/>
      </c>
      <c r="AY605" s="11">
        <f>IF(A605="","",IF(AV605=1,N(V605),IF(N(U605)&gt;0,ROUND(N(U605)*IFERROR(VLOOKUP(R605,Listes!$AE$3:$AG$12,2,FALSE),0),0),0)))</f>
        <v/>
      </c>
      <c r="AZ605" s="7">
        <f>IF(LEFT(A605,7)="EXEMPLE",1,0)</f>
        <v/>
      </c>
      <c r="BA605" s="7">
        <f>IF(AND(AV605=1,AZ605=0,AC605&lt;&gt;"",W605&lt;&gt;"",N(V605)&gt;0),COUNTIFS($AV$3:AV605,1,$AZ$3:AZ605,0,$AC$3:AC605,"&lt;&gt;",$W$3:W605,"&lt;&gt;",$V$3:V605,"&gt;0"),"")</f>
        <v/>
      </c>
    </row>
    <row r="606">
      <c r="A606" s="12" t="n"/>
      <c r="B606" s="13" t="n"/>
      <c r="C606" s="13" t="n"/>
      <c r="D606" s="7">
        <f>IF(OR(B606="",C606=""),"",ROUND((C606-B606)*1440,0))</f>
        <v/>
      </c>
      <c r="E606" s="12" t="n"/>
      <c r="F606" s="12" t="n"/>
      <c r="G606" s="12" t="n"/>
      <c r="H606" s="12" t="n"/>
      <c r="I606" s="12" t="n"/>
      <c r="J606" s="12" t="n"/>
      <c r="K606" s="12" t="n"/>
      <c r="L606" s="14" t="n"/>
      <c r="M606" s="12" t="n"/>
      <c r="N606" s="12" t="n"/>
      <c r="O606" s="12" t="n"/>
      <c r="P606" s="12" t="n"/>
      <c r="Q606" s="7">
        <f>IF(A606="","",IFERROR(VLOOKUP(O606,Listes!$R$3:$T$8,2,FALSE),0)+IFERROR(VLOOKUP(J606,Listes!$J$3:$L$6,2,FALSE),0)+IFERROR(VLOOKUP(N606,Listes!$N$3:$P$6,2,FALSE),0)+IF(OR(L606="",B606=""),0,IF(L606-INT(B606)&lt;10,8,IF(L606-INT(B606)&lt;=90,10,5)))+IFERROR(VLOOKUP(AN606,Listes!$V$3:$W$5,2,FALSE),0)+IFERROR(VLOOKUP(AO606,Listes!$Y$3:$Z$5,2,FALSE),0))</f>
        <v/>
      </c>
      <c r="R606" s="12" t="n"/>
      <c r="S606" s="12" t="n"/>
      <c r="T606" s="12" t="n"/>
      <c r="U606" s="15" t="n"/>
      <c r="V606" s="15" t="n"/>
      <c r="W606" s="13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3" t="n"/>
      <c r="AK606" s="12" t="n"/>
      <c r="AL606" s="12" t="n"/>
      <c r="AM606" s="12" t="n"/>
      <c r="AN606" s="12" t="n"/>
      <c r="AO606" s="12" t="n"/>
      <c r="AP606" s="12" t="n"/>
      <c r="AQ606" s="7">
        <f>IF(A606="","",IF(AP606&lt;&gt;"",AP606,IF(LEFT(Z606,11)="gads_marque","Google Search – Marque",IF(LEFT(Z606,12)="gads_mariage","Google Search – Mariage et privé",IF(LEFT(Z606,10)="gads_corpo","Google Search – Corporatif",IF(LEFT(Z606,5)="meta_","Meta – Leads",IF(LEFT(Z606,5)="msft_","Microsoft Ads",IF(LEFT(Z606,8)="chatgpt_","ChatGPT Ads – Test",IF(X606="gbp","Fiche Google (organique)","Autre / non payé")))))))))</f>
        <v/>
      </c>
      <c r="AR606" s="7">
        <f>IF(K606="","",IFERROR(VLOOKUP(K606,Listes!$F$3:$H$8,3,FALSE),""))</f>
        <v/>
      </c>
      <c r="AS606" s="7">
        <f>IF(O606="","",IF(AND(M606="Autre (plus de 40 km)",OR(O606="lt600",O606="600_999",O606="1000_2499")),"D",IF(OR(O606="lt600",AND(O606="600_999",K606&lt;&gt;"mariage",K606&lt;&gt;"prive")),"C",IF(OR(O606="2500_4999",O606="5000p",J606="entreprise",J606="organisme",J606="agence"),"A",IF(OR(O606="1000_2499",O606="600_999"),"B",IF(O606="inconnu",IF(OR(N606="75_149",N606="150p"),"A","B"),""))))))</f>
        <v/>
      </c>
      <c r="AT606" s="7">
        <f>IF(A606="","",IF(P606&lt;&gt;"",P606,AS606))</f>
        <v/>
      </c>
      <c r="AU606" s="7">
        <f>IF(A606="","",IF(OR(AT606="A",AT606="B"),1,0))</f>
        <v/>
      </c>
      <c r="AV606" s="7">
        <f>IF(A606="","",IF(OR(R606="Dépôt payé (gagné)",R606="Événement livré",R606="Avis obtenu"),1,0))</f>
        <v/>
      </c>
      <c r="AW606" s="7">
        <f>IF(A606="","",IF(Q606&gt;70,"Immédiat – propriétaire",IF(Q606&gt;=40,"15 min – personne de garde","Selon la route")))</f>
        <v/>
      </c>
      <c r="AX606" s="11">
        <f>IF(A606="","",IF(AT606="A",400,IF(AT606="B",150,0)))</f>
        <v/>
      </c>
      <c r="AY606" s="11">
        <f>IF(A606="","",IF(AV606=1,N(V606),IF(N(U606)&gt;0,ROUND(N(U606)*IFERROR(VLOOKUP(R606,Listes!$AE$3:$AG$12,2,FALSE),0),0),0)))</f>
        <v/>
      </c>
      <c r="AZ606" s="7">
        <f>IF(LEFT(A606,7)="EXEMPLE",1,0)</f>
        <v/>
      </c>
      <c r="BA606" s="7">
        <f>IF(AND(AV606=1,AZ606=0,AC606&lt;&gt;"",W606&lt;&gt;"",N(V606)&gt;0),COUNTIFS($AV$3:AV606,1,$AZ$3:AZ606,0,$AC$3:AC606,"&lt;&gt;",$W$3:W606,"&lt;&gt;",$V$3:V606,"&gt;0"),"")</f>
        <v/>
      </c>
    </row>
    <row r="607">
      <c r="A607" s="12" t="n"/>
      <c r="B607" s="13" t="n"/>
      <c r="C607" s="13" t="n"/>
      <c r="D607" s="7">
        <f>IF(OR(B607="",C607=""),"",ROUND((C607-B607)*1440,0))</f>
        <v/>
      </c>
      <c r="E607" s="12" t="n"/>
      <c r="F607" s="12" t="n"/>
      <c r="G607" s="12" t="n"/>
      <c r="H607" s="12" t="n"/>
      <c r="I607" s="12" t="n"/>
      <c r="J607" s="12" t="n"/>
      <c r="K607" s="12" t="n"/>
      <c r="L607" s="14" t="n"/>
      <c r="M607" s="12" t="n"/>
      <c r="N607" s="12" t="n"/>
      <c r="O607" s="12" t="n"/>
      <c r="P607" s="12" t="n"/>
      <c r="Q607" s="7">
        <f>IF(A607="","",IFERROR(VLOOKUP(O607,Listes!$R$3:$T$8,2,FALSE),0)+IFERROR(VLOOKUP(J607,Listes!$J$3:$L$6,2,FALSE),0)+IFERROR(VLOOKUP(N607,Listes!$N$3:$P$6,2,FALSE),0)+IF(OR(L607="",B607=""),0,IF(L607-INT(B607)&lt;10,8,IF(L607-INT(B607)&lt;=90,10,5)))+IFERROR(VLOOKUP(AN607,Listes!$V$3:$W$5,2,FALSE),0)+IFERROR(VLOOKUP(AO607,Listes!$Y$3:$Z$5,2,FALSE),0))</f>
        <v/>
      </c>
      <c r="R607" s="12" t="n"/>
      <c r="S607" s="12" t="n"/>
      <c r="T607" s="12" t="n"/>
      <c r="U607" s="15" t="n"/>
      <c r="V607" s="15" t="n"/>
      <c r="W607" s="13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3" t="n"/>
      <c r="AK607" s="12" t="n"/>
      <c r="AL607" s="12" t="n"/>
      <c r="AM607" s="12" t="n"/>
      <c r="AN607" s="12" t="n"/>
      <c r="AO607" s="12" t="n"/>
      <c r="AP607" s="12" t="n"/>
      <c r="AQ607" s="7">
        <f>IF(A607="","",IF(AP607&lt;&gt;"",AP607,IF(LEFT(Z607,11)="gads_marque","Google Search – Marque",IF(LEFT(Z607,12)="gads_mariage","Google Search – Mariage et privé",IF(LEFT(Z607,10)="gads_corpo","Google Search – Corporatif",IF(LEFT(Z607,5)="meta_","Meta – Leads",IF(LEFT(Z607,5)="msft_","Microsoft Ads",IF(LEFT(Z607,8)="chatgpt_","ChatGPT Ads – Test",IF(X607="gbp","Fiche Google (organique)","Autre / non payé")))))))))</f>
        <v/>
      </c>
      <c r="AR607" s="7">
        <f>IF(K607="","",IFERROR(VLOOKUP(K607,Listes!$F$3:$H$8,3,FALSE),""))</f>
        <v/>
      </c>
      <c r="AS607" s="7">
        <f>IF(O607="","",IF(AND(M607="Autre (plus de 40 km)",OR(O607="lt600",O607="600_999",O607="1000_2499")),"D",IF(OR(O607="lt600",AND(O607="600_999",K607&lt;&gt;"mariage",K607&lt;&gt;"prive")),"C",IF(OR(O607="2500_4999",O607="5000p",J607="entreprise",J607="organisme",J607="agence"),"A",IF(OR(O607="1000_2499",O607="600_999"),"B",IF(O607="inconnu",IF(OR(N607="75_149",N607="150p"),"A","B"),""))))))</f>
        <v/>
      </c>
      <c r="AT607" s="7">
        <f>IF(A607="","",IF(P607&lt;&gt;"",P607,AS607))</f>
        <v/>
      </c>
      <c r="AU607" s="7">
        <f>IF(A607="","",IF(OR(AT607="A",AT607="B"),1,0))</f>
        <v/>
      </c>
      <c r="AV607" s="7">
        <f>IF(A607="","",IF(OR(R607="Dépôt payé (gagné)",R607="Événement livré",R607="Avis obtenu"),1,0))</f>
        <v/>
      </c>
      <c r="AW607" s="7">
        <f>IF(A607="","",IF(Q607&gt;70,"Immédiat – propriétaire",IF(Q607&gt;=40,"15 min – personne de garde","Selon la route")))</f>
        <v/>
      </c>
      <c r="AX607" s="11">
        <f>IF(A607="","",IF(AT607="A",400,IF(AT607="B",150,0)))</f>
        <v/>
      </c>
      <c r="AY607" s="11">
        <f>IF(A607="","",IF(AV607=1,N(V607),IF(N(U607)&gt;0,ROUND(N(U607)*IFERROR(VLOOKUP(R607,Listes!$AE$3:$AG$12,2,FALSE),0),0),0)))</f>
        <v/>
      </c>
      <c r="AZ607" s="7">
        <f>IF(LEFT(A607,7)="EXEMPLE",1,0)</f>
        <v/>
      </c>
      <c r="BA607" s="7">
        <f>IF(AND(AV607=1,AZ607=0,AC607&lt;&gt;"",W607&lt;&gt;"",N(V607)&gt;0),COUNTIFS($AV$3:AV607,1,$AZ$3:AZ607,0,$AC$3:AC607,"&lt;&gt;",$W$3:W607,"&lt;&gt;",$V$3:V607,"&gt;0"),"")</f>
        <v/>
      </c>
    </row>
    <row r="608">
      <c r="A608" s="12" t="n"/>
      <c r="B608" s="13" t="n"/>
      <c r="C608" s="13" t="n"/>
      <c r="D608" s="7">
        <f>IF(OR(B608="",C608=""),"",ROUND((C608-B608)*1440,0))</f>
        <v/>
      </c>
      <c r="E608" s="12" t="n"/>
      <c r="F608" s="12" t="n"/>
      <c r="G608" s="12" t="n"/>
      <c r="H608" s="12" t="n"/>
      <c r="I608" s="12" t="n"/>
      <c r="J608" s="12" t="n"/>
      <c r="K608" s="12" t="n"/>
      <c r="L608" s="14" t="n"/>
      <c r="M608" s="12" t="n"/>
      <c r="N608" s="12" t="n"/>
      <c r="O608" s="12" t="n"/>
      <c r="P608" s="12" t="n"/>
      <c r="Q608" s="7">
        <f>IF(A608="","",IFERROR(VLOOKUP(O608,Listes!$R$3:$T$8,2,FALSE),0)+IFERROR(VLOOKUP(J608,Listes!$J$3:$L$6,2,FALSE),0)+IFERROR(VLOOKUP(N608,Listes!$N$3:$P$6,2,FALSE),0)+IF(OR(L608="",B608=""),0,IF(L608-INT(B608)&lt;10,8,IF(L608-INT(B608)&lt;=90,10,5)))+IFERROR(VLOOKUP(AN608,Listes!$V$3:$W$5,2,FALSE),0)+IFERROR(VLOOKUP(AO608,Listes!$Y$3:$Z$5,2,FALSE),0))</f>
        <v/>
      </c>
      <c r="R608" s="12" t="n"/>
      <c r="S608" s="12" t="n"/>
      <c r="T608" s="12" t="n"/>
      <c r="U608" s="15" t="n"/>
      <c r="V608" s="15" t="n"/>
      <c r="W608" s="13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3" t="n"/>
      <c r="AK608" s="12" t="n"/>
      <c r="AL608" s="12" t="n"/>
      <c r="AM608" s="12" t="n"/>
      <c r="AN608" s="12" t="n"/>
      <c r="AO608" s="12" t="n"/>
      <c r="AP608" s="12" t="n"/>
      <c r="AQ608" s="7">
        <f>IF(A608="","",IF(AP608&lt;&gt;"",AP608,IF(LEFT(Z608,11)="gads_marque","Google Search – Marque",IF(LEFT(Z608,12)="gads_mariage","Google Search – Mariage et privé",IF(LEFT(Z608,10)="gads_corpo","Google Search – Corporatif",IF(LEFT(Z608,5)="meta_","Meta – Leads",IF(LEFT(Z608,5)="msft_","Microsoft Ads",IF(LEFT(Z608,8)="chatgpt_","ChatGPT Ads – Test",IF(X608="gbp","Fiche Google (organique)","Autre / non payé")))))))))</f>
        <v/>
      </c>
      <c r="AR608" s="7">
        <f>IF(K608="","",IFERROR(VLOOKUP(K608,Listes!$F$3:$H$8,3,FALSE),""))</f>
        <v/>
      </c>
      <c r="AS608" s="7">
        <f>IF(O608="","",IF(AND(M608="Autre (plus de 40 km)",OR(O608="lt600",O608="600_999",O608="1000_2499")),"D",IF(OR(O608="lt600",AND(O608="600_999",K608&lt;&gt;"mariage",K608&lt;&gt;"prive")),"C",IF(OR(O608="2500_4999",O608="5000p",J608="entreprise",J608="organisme",J608="agence"),"A",IF(OR(O608="1000_2499",O608="600_999"),"B",IF(O608="inconnu",IF(OR(N608="75_149",N608="150p"),"A","B"),""))))))</f>
        <v/>
      </c>
      <c r="AT608" s="7">
        <f>IF(A608="","",IF(P608&lt;&gt;"",P608,AS608))</f>
        <v/>
      </c>
      <c r="AU608" s="7">
        <f>IF(A608="","",IF(OR(AT608="A",AT608="B"),1,0))</f>
        <v/>
      </c>
      <c r="AV608" s="7">
        <f>IF(A608="","",IF(OR(R608="Dépôt payé (gagné)",R608="Événement livré",R608="Avis obtenu"),1,0))</f>
        <v/>
      </c>
      <c r="AW608" s="7">
        <f>IF(A608="","",IF(Q608&gt;70,"Immédiat – propriétaire",IF(Q608&gt;=40,"15 min – personne de garde","Selon la route")))</f>
        <v/>
      </c>
      <c r="AX608" s="11">
        <f>IF(A608="","",IF(AT608="A",400,IF(AT608="B",150,0)))</f>
        <v/>
      </c>
      <c r="AY608" s="11">
        <f>IF(A608="","",IF(AV608=1,N(V608),IF(N(U608)&gt;0,ROUND(N(U608)*IFERROR(VLOOKUP(R608,Listes!$AE$3:$AG$12,2,FALSE),0),0),0)))</f>
        <v/>
      </c>
      <c r="AZ608" s="7">
        <f>IF(LEFT(A608,7)="EXEMPLE",1,0)</f>
        <v/>
      </c>
      <c r="BA608" s="7">
        <f>IF(AND(AV608=1,AZ608=0,AC608&lt;&gt;"",W608&lt;&gt;"",N(V608)&gt;0),COUNTIFS($AV$3:AV608,1,$AZ$3:AZ608,0,$AC$3:AC608,"&lt;&gt;",$W$3:W608,"&lt;&gt;",$V$3:V608,"&gt;0"),"")</f>
        <v/>
      </c>
    </row>
    <row r="609">
      <c r="A609" s="12" t="n"/>
      <c r="B609" s="13" t="n"/>
      <c r="C609" s="13" t="n"/>
      <c r="D609" s="7">
        <f>IF(OR(B609="",C609=""),"",ROUND((C609-B609)*1440,0))</f>
        <v/>
      </c>
      <c r="E609" s="12" t="n"/>
      <c r="F609" s="12" t="n"/>
      <c r="G609" s="12" t="n"/>
      <c r="H609" s="12" t="n"/>
      <c r="I609" s="12" t="n"/>
      <c r="J609" s="12" t="n"/>
      <c r="K609" s="12" t="n"/>
      <c r="L609" s="14" t="n"/>
      <c r="M609" s="12" t="n"/>
      <c r="N609" s="12" t="n"/>
      <c r="O609" s="12" t="n"/>
      <c r="P609" s="12" t="n"/>
      <c r="Q609" s="7">
        <f>IF(A609="","",IFERROR(VLOOKUP(O609,Listes!$R$3:$T$8,2,FALSE),0)+IFERROR(VLOOKUP(J609,Listes!$J$3:$L$6,2,FALSE),0)+IFERROR(VLOOKUP(N609,Listes!$N$3:$P$6,2,FALSE),0)+IF(OR(L609="",B609=""),0,IF(L609-INT(B609)&lt;10,8,IF(L609-INT(B609)&lt;=90,10,5)))+IFERROR(VLOOKUP(AN609,Listes!$V$3:$W$5,2,FALSE),0)+IFERROR(VLOOKUP(AO609,Listes!$Y$3:$Z$5,2,FALSE),0))</f>
        <v/>
      </c>
      <c r="R609" s="12" t="n"/>
      <c r="S609" s="12" t="n"/>
      <c r="T609" s="12" t="n"/>
      <c r="U609" s="15" t="n"/>
      <c r="V609" s="15" t="n"/>
      <c r="W609" s="13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3" t="n"/>
      <c r="AK609" s="12" t="n"/>
      <c r="AL609" s="12" t="n"/>
      <c r="AM609" s="12" t="n"/>
      <c r="AN609" s="12" t="n"/>
      <c r="AO609" s="12" t="n"/>
      <c r="AP609" s="12" t="n"/>
      <c r="AQ609" s="7">
        <f>IF(A609="","",IF(AP609&lt;&gt;"",AP609,IF(LEFT(Z609,11)="gads_marque","Google Search – Marque",IF(LEFT(Z609,12)="gads_mariage","Google Search – Mariage et privé",IF(LEFT(Z609,10)="gads_corpo","Google Search – Corporatif",IF(LEFT(Z609,5)="meta_","Meta – Leads",IF(LEFT(Z609,5)="msft_","Microsoft Ads",IF(LEFT(Z609,8)="chatgpt_","ChatGPT Ads – Test",IF(X609="gbp","Fiche Google (organique)","Autre / non payé")))))))))</f>
        <v/>
      </c>
      <c r="AR609" s="7">
        <f>IF(K609="","",IFERROR(VLOOKUP(K609,Listes!$F$3:$H$8,3,FALSE),""))</f>
        <v/>
      </c>
      <c r="AS609" s="7">
        <f>IF(O609="","",IF(AND(M609="Autre (plus de 40 km)",OR(O609="lt600",O609="600_999",O609="1000_2499")),"D",IF(OR(O609="lt600",AND(O609="600_999",K609&lt;&gt;"mariage",K609&lt;&gt;"prive")),"C",IF(OR(O609="2500_4999",O609="5000p",J609="entreprise",J609="organisme",J609="agence"),"A",IF(OR(O609="1000_2499",O609="600_999"),"B",IF(O609="inconnu",IF(OR(N609="75_149",N609="150p"),"A","B"),""))))))</f>
        <v/>
      </c>
      <c r="AT609" s="7">
        <f>IF(A609="","",IF(P609&lt;&gt;"",P609,AS609))</f>
        <v/>
      </c>
      <c r="AU609" s="7">
        <f>IF(A609="","",IF(OR(AT609="A",AT609="B"),1,0))</f>
        <v/>
      </c>
      <c r="AV609" s="7">
        <f>IF(A609="","",IF(OR(R609="Dépôt payé (gagné)",R609="Événement livré",R609="Avis obtenu"),1,0))</f>
        <v/>
      </c>
      <c r="AW609" s="7">
        <f>IF(A609="","",IF(Q609&gt;70,"Immédiat – propriétaire",IF(Q609&gt;=40,"15 min – personne de garde","Selon la route")))</f>
        <v/>
      </c>
      <c r="AX609" s="11">
        <f>IF(A609="","",IF(AT609="A",400,IF(AT609="B",150,0)))</f>
        <v/>
      </c>
      <c r="AY609" s="11">
        <f>IF(A609="","",IF(AV609=1,N(V609),IF(N(U609)&gt;0,ROUND(N(U609)*IFERROR(VLOOKUP(R609,Listes!$AE$3:$AG$12,2,FALSE),0),0),0)))</f>
        <v/>
      </c>
      <c r="AZ609" s="7">
        <f>IF(LEFT(A609,7)="EXEMPLE",1,0)</f>
        <v/>
      </c>
      <c r="BA609" s="7">
        <f>IF(AND(AV609=1,AZ609=0,AC609&lt;&gt;"",W609&lt;&gt;"",N(V609)&gt;0),COUNTIFS($AV$3:AV609,1,$AZ$3:AZ609,0,$AC$3:AC609,"&lt;&gt;",$W$3:W609,"&lt;&gt;",$V$3:V609,"&gt;0"),"")</f>
        <v/>
      </c>
    </row>
    <row r="610">
      <c r="A610" s="12" t="n"/>
      <c r="B610" s="13" t="n"/>
      <c r="C610" s="13" t="n"/>
      <c r="D610" s="7">
        <f>IF(OR(B610="",C610=""),"",ROUND((C610-B610)*1440,0))</f>
        <v/>
      </c>
      <c r="E610" s="12" t="n"/>
      <c r="F610" s="12" t="n"/>
      <c r="G610" s="12" t="n"/>
      <c r="H610" s="12" t="n"/>
      <c r="I610" s="12" t="n"/>
      <c r="J610" s="12" t="n"/>
      <c r="K610" s="12" t="n"/>
      <c r="L610" s="14" t="n"/>
      <c r="M610" s="12" t="n"/>
      <c r="N610" s="12" t="n"/>
      <c r="O610" s="12" t="n"/>
      <c r="P610" s="12" t="n"/>
      <c r="Q610" s="7">
        <f>IF(A610="","",IFERROR(VLOOKUP(O610,Listes!$R$3:$T$8,2,FALSE),0)+IFERROR(VLOOKUP(J610,Listes!$J$3:$L$6,2,FALSE),0)+IFERROR(VLOOKUP(N610,Listes!$N$3:$P$6,2,FALSE),0)+IF(OR(L610="",B610=""),0,IF(L610-INT(B610)&lt;10,8,IF(L610-INT(B610)&lt;=90,10,5)))+IFERROR(VLOOKUP(AN610,Listes!$V$3:$W$5,2,FALSE),0)+IFERROR(VLOOKUP(AO610,Listes!$Y$3:$Z$5,2,FALSE),0))</f>
        <v/>
      </c>
      <c r="R610" s="12" t="n"/>
      <c r="S610" s="12" t="n"/>
      <c r="T610" s="12" t="n"/>
      <c r="U610" s="15" t="n"/>
      <c r="V610" s="15" t="n"/>
      <c r="W610" s="13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3" t="n"/>
      <c r="AK610" s="12" t="n"/>
      <c r="AL610" s="12" t="n"/>
      <c r="AM610" s="12" t="n"/>
      <c r="AN610" s="12" t="n"/>
      <c r="AO610" s="12" t="n"/>
      <c r="AP610" s="12" t="n"/>
      <c r="AQ610" s="7">
        <f>IF(A610="","",IF(AP610&lt;&gt;"",AP610,IF(LEFT(Z610,11)="gads_marque","Google Search – Marque",IF(LEFT(Z610,12)="gads_mariage","Google Search – Mariage et privé",IF(LEFT(Z610,10)="gads_corpo","Google Search – Corporatif",IF(LEFT(Z610,5)="meta_","Meta – Leads",IF(LEFT(Z610,5)="msft_","Microsoft Ads",IF(LEFT(Z610,8)="chatgpt_","ChatGPT Ads – Test",IF(X610="gbp","Fiche Google (organique)","Autre / non payé")))))))))</f>
        <v/>
      </c>
      <c r="AR610" s="7">
        <f>IF(K610="","",IFERROR(VLOOKUP(K610,Listes!$F$3:$H$8,3,FALSE),""))</f>
        <v/>
      </c>
      <c r="AS610" s="7">
        <f>IF(O610="","",IF(AND(M610="Autre (plus de 40 km)",OR(O610="lt600",O610="600_999",O610="1000_2499")),"D",IF(OR(O610="lt600",AND(O610="600_999",K610&lt;&gt;"mariage",K610&lt;&gt;"prive")),"C",IF(OR(O610="2500_4999",O610="5000p",J610="entreprise",J610="organisme",J610="agence"),"A",IF(OR(O610="1000_2499",O610="600_999"),"B",IF(O610="inconnu",IF(OR(N610="75_149",N610="150p"),"A","B"),""))))))</f>
        <v/>
      </c>
      <c r="AT610" s="7">
        <f>IF(A610="","",IF(P610&lt;&gt;"",P610,AS610))</f>
        <v/>
      </c>
      <c r="AU610" s="7">
        <f>IF(A610="","",IF(OR(AT610="A",AT610="B"),1,0))</f>
        <v/>
      </c>
      <c r="AV610" s="7">
        <f>IF(A610="","",IF(OR(R610="Dépôt payé (gagné)",R610="Événement livré",R610="Avis obtenu"),1,0))</f>
        <v/>
      </c>
      <c r="AW610" s="7">
        <f>IF(A610="","",IF(Q610&gt;70,"Immédiat – propriétaire",IF(Q610&gt;=40,"15 min – personne de garde","Selon la route")))</f>
        <v/>
      </c>
      <c r="AX610" s="11">
        <f>IF(A610="","",IF(AT610="A",400,IF(AT610="B",150,0)))</f>
        <v/>
      </c>
      <c r="AY610" s="11">
        <f>IF(A610="","",IF(AV610=1,N(V610),IF(N(U610)&gt;0,ROUND(N(U610)*IFERROR(VLOOKUP(R610,Listes!$AE$3:$AG$12,2,FALSE),0),0),0)))</f>
        <v/>
      </c>
      <c r="AZ610" s="7">
        <f>IF(LEFT(A610,7)="EXEMPLE",1,0)</f>
        <v/>
      </c>
      <c r="BA610" s="7">
        <f>IF(AND(AV610=1,AZ610=0,AC610&lt;&gt;"",W610&lt;&gt;"",N(V610)&gt;0),COUNTIFS($AV$3:AV610,1,$AZ$3:AZ610,0,$AC$3:AC610,"&lt;&gt;",$W$3:W610,"&lt;&gt;",$V$3:V610,"&gt;0"),"")</f>
        <v/>
      </c>
    </row>
    <row r="611">
      <c r="A611" s="12" t="n"/>
      <c r="B611" s="13" t="n"/>
      <c r="C611" s="13" t="n"/>
      <c r="D611" s="7">
        <f>IF(OR(B611="",C611=""),"",ROUND((C611-B611)*1440,0))</f>
        <v/>
      </c>
      <c r="E611" s="12" t="n"/>
      <c r="F611" s="12" t="n"/>
      <c r="G611" s="12" t="n"/>
      <c r="H611" s="12" t="n"/>
      <c r="I611" s="12" t="n"/>
      <c r="J611" s="12" t="n"/>
      <c r="K611" s="12" t="n"/>
      <c r="L611" s="14" t="n"/>
      <c r="M611" s="12" t="n"/>
      <c r="N611" s="12" t="n"/>
      <c r="O611" s="12" t="n"/>
      <c r="P611" s="12" t="n"/>
      <c r="Q611" s="7">
        <f>IF(A611="","",IFERROR(VLOOKUP(O611,Listes!$R$3:$T$8,2,FALSE),0)+IFERROR(VLOOKUP(J611,Listes!$J$3:$L$6,2,FALSE),0)+IFERROR(VLOOKUP(N611,Listes!$N$3:$P$6,2,FALSE),0)+IF(OR(L611="",B611=""),0,IF(L611-INT(B611)&lt;10,8,IF(L611-INT(B611)&lt;=90,10,5)))+IFERROR(VLOOKUP(AN611,Listes!$V$3:$W$5,2,FALSE),0)+IFERROR(VLOOKUP(AO611,Listes!$Y$3:$Z$5,2,FALSE),0))</f>
        <v/>
      </c>
      <c r="R611" s="12" t="n"/>
      <c r="S611" s="12" t="n"/>
      <c r="T611" s="12" t="n"/>
      <c r="U611" s="15" t="n"/>
      <c r="V611" s="15" t="n"/>
      <c r="W611" s="13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3" t="n"/>
      <c r="AK611" s="12" t="n"/>
      <c r="AL611" s="12" t="n"/>
      <c r="AM611" s="12" t="n"/>
      <c r="AN611" s="12" t="n"/>
      <c r="AO611" s="12" t="n"/>
      <c r="AP611" s="12" t="n"/>
      <c r="AQ611" s="7">
        <f>IF(A611="","",IF(AP611&lt;&gt;"",AP611,IF(LEFT(Z611,11)="gads_marque","Google Search – Marque",IF(LEFT(Z611,12)="gads_mariage","Google Search – Mariage et privé",IF(LEFT(Z611,10)="gads_corpo","Google Search – Corporatif",IF(LEFT(Z611,5)="meta_","Meta – Leads",IF(LEFT(Z611,5)="msft_","Microsoft Ads",IF(LEFT(Z611,8)="chatgpt_","ChatGPT Ads – Test",IF(X611="gbp","Fiche Google (organique)","Autre / non payé")))))))))</f>
        <v/>
      </c>
      <c r="AR611" s="7">
        <f>IF(K611="","",IFERROR(VLOOKUP(K611,Listes!$F$3:$H$8,3,FALSE),""))</f>
        <v/>
      </c>
      <c r="AS611" s="7">
        <f>IF(O611="","",IF(AND(M611="Autre (plus de 40 km)",OR(O611="lt600",O611="600_999",O611="1000_2499")),"D",IF(OR(O611="lt600",AND(O611="600_999",K611&lt;&gt;"mariage",K611&lt;&gt;"prive")),"C",IF(OR(O611="2500_4999",O611="5000p",J611="entreprise",J611="organisme",J611="agence"),"A",IF(OR(O611="1000_2499",O611="600_999"),"B",IF(O611="inconnu",IF(OR(N611="75_149",N611="150p"),"A","B"),""))))))</f>
        <v/>
      </c>
      <c r="AT611" s="7">
        <f>IF(A611="","",IF(P611&lt;&gt;"",P611,AS611))</f>
        <v/>
      </c>
      <c r="AU611" s="7">
        <f>IF(A611="","",IF(OR(AT611="A",AT611="B"),1,0))</f>
        <v/>
      </c>
      <c r="AV611" s="7">
        <f>IF(A611="","",IF(OR(R611="Dépôt payé (gagné)",R611="Événement livré",R611="Avis obtenu"),1,0))</f>
        <v/>
      </c>
      <c r="AW611" s="7">
        <f>IF(A611="","",IF(Q611&gt;70,"Immédiat – propriétaire",IF(Q611&gt;=40,"15 min – personne de garde","Selon la route")))</f>
        <v/>
      </c>
      <c r="AX611" s="11">
        <f>IF(A611="","",IF(AT611="A",400,IF(AT611="B",150,0)))</f>
        <v/>
      </c>
      <c r="AY611" s="11">
        <f>IF(A611="","",IF(AV611=1,N(V611),IF(N(U611)&gt;0,ROUND(N(U611)*IFERROR(VLOOKUP(R611,Listes!$AE$3:$AG$12,2,FALSE),0),0),0)))</f>
        <v/>
      </c>
      <c r="AZ611" s="7">
        <f>IF(LEFT(A611,7)="EXEMPLE",1,0)</f>
        <v/>
      </c>
      <c r="BA611" s="7">
        <f>IF(AND(AV611=1,AZ611=0,AC611&lt;&gt;"",W611&lt;&gt;"",N(V611)&gt;0),COUNTIFS($AV$3:AV611,1,$AZ$3:AZ611,0,$AC$3:AC611,"&lt;&gt;",$W$3:W611,"&lt;&gt;",$V$3:V611,"&gt;0"),"")</f>
        <v/>
      </c>
    </row>
    <row r="612">
      <c r="A612" s="12" t="n"/>
      <c r="B612" s="13" t="n"/>
      <c r="C612" s="13" t="n"/>
      <c r="D612" s="7">
        <f>IF(OR(B612="",C612=""),"",ROUND((C612-B612)*1440,0))</f>
        <v/>
      </c>
      <c r="E612" s="12" t="n"/>
      <c r="F612" s="12" t="n"/>
      <c r="G612" s="12" t="n"/>
      <c r="H612" s="12" t="n"/>
      <c r="I612" s="12" t="n"/>
      <c r="J612" s="12" t="n"/>
      <c r="K612" s="12" t="n"/>
      <c r="L612" s="14" t="n"/>
      <c r="M612" s="12" t="n"/>
      <c r="N612" s="12" t="n"/>
      <c r="O612" s="12" t="n"/>
      <c r="P612" s="12" t="n"/>
      <c r="Q612" s="7">
        <f>IF(A612="","",IFERROR(VLOOKUP(O612,Listes!$R$3:$T$8,2,FALSE),0)+IFERROR(VLOOKUP(J612,Listes!$J$3:$L$6,2,FALSE),0)+IFERROR(VLOOKUP(N612,Listes!$N$3:$P$6,2,FALSE),0)+IF(OR(L612="",B612=""),0,IF(L612-INT(B612)&lt;10,8,IF(L612-INT(B612)&lt;=90,10,5)))+IFERROR(VLOOKUP(AN612,Listes!$V$3:$W$5,2,FALSE),0)+IFERROR(VLOOKUP(AO612,Listes!$Y$3:$Z$5,2,FALSE),0))</f>
        <v/>
      </c>
      <c r="R612" s="12" t="n"/>
      <c r="S612" s="12" t="n"/>
      <c r="T612" s="12" t="n"/>
      <c r="U612" s="15" t="n"/>
      <c r="V612" s="15" t="n"/>
      <c r="W612" s="13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3" t="n"/>
      <c r="AK612" s="12" t="n"/>
      <c r="AL612" s="12" t="n"/>
      <c r="AM612" s="12" t="n"/>
      <c r="AN612" s="12" t="n"/>
      <c r="AO612" s="12" t="n"/>
      <c r="AP612" s="12" t="n"/>
      <c r="AQ612" s="7">
        <f>IF(A612="","",IF(AP612&lt;&gt;"",AP612,IF(LEFT(Z612,11)="gads_marque","Google Search – Marque",IF(LEFT(Z612,12)="gads_mariage","Google Search – Mariage et privé",IF(LEFT(Z612,10)="gads_corpo","Google Search – Corporatif",IF(LEFT(Z612,5)="meta_","Meta – Leads",IF(LEFT(Z612,5)="msft_","Microsoft Ads",IF(LEFT(Z612,8)="chatgpt_","ChatGPT Ads – Test",IF(X612="gbp","Fiche Google (organique)","Autre / non payé")))))))))</f>
        <v/>
      </c>
      <c r="AR612" s="7">
        <f>IF(K612="","",IFERROR(VLOOKUP(K612,Listes!$F$3:$H$8,3,FALSE),""))</f>
        <v/>
      </c>
      <c r="AS612" s="7">
        <f>IF(O612="","",IF(AND(M612="Autre (plus de 40 km)",OR(O612="lt600",O612="600_999",O612="1000_2499")),"D",IF(OR(O612="lt600",AND(O612="600_999",K612&lt;&gt;"mariage",K612&lt;&gt;"prive")),"C",IF(OR(O612="2500_4999",O612="5000p",J612="entreprise",J612="organisme",J612="agence"),"A",IF(OR(O612="1000_2499",O612="600_999"),"B",IF(O612="inconnu",IF(OR(N612="75_149",N612="150p"),"A","B"),""))))))</f>
        <v/>
      </c>
      <c r="AT612" s="7">
        <f>IF(A612="","",IF(P612&lt;&gt;"",P612,AS612))</f>
        <v/>
      </c>
      <c r="AU612" s="7">
        <f>IF(A612="","",IF(OR(AT612="A",AT612="B"),1,0))</f>
        <v/>
      </c>
      <c r="AV612" s="7">
        <f>IF(A612="","",IF(OR(R612="Dépôt payé (gagné)",R612="Événement livré",R612="Avis obtenu"),1,0))</f>
        <v/>
      </c>
      <c r="AW612" s="7">
        <f>IF(A612="","",IF(Q612&gt;70,"Immédiat – propriétaire",IF(Q612&gt;=40,"15 min – personne de garde","Selon la route")))</f>
        <v/>
      </c>
      <c r="AX612" s="11">
        <f>IF(A612="","",IF(AT612="A",400,IF(AT612="B",150,0)))</f>
        <v/>
      </c>
      <c r="AY612" s="11">
        <f>IF(A612="","",IF(AV612=1,N(V612),IF(N(U612)&gt;0,ROUND(N(U612)*IFERROR(VLOOKUP(R612,Listes!$AE$3:$AG$12,2,FALSE),0),0),0)))</f>
        <v/>
      </c>
      <c r="AZ612" s="7">
        <f>IF(LEFT(A612,7)="EXEMPLE",1,0)</f>
        <v/>
      </c>
      <c r="BA612" s="7">
        <f>IF(AND(AV612=1,AZ612=0,AC612&lt;&gt;"",W612&lt;&gt;"",N(V612)&gt;0),COUNTIFS($AV$3:AV612,1,$AZ$3:AZ612,0,$AC$3:AC612,"&lt;&gt;",$W$3:W612,"&lt;&gt;",$V$3:V612,"&gt;0"),"")</f>
        <v/>
      </c>
    </row>
    <row r="613">
      <c r="A613" s="12" t="n"/>
      <c r="B613" s="13" t="n"/>
      <c r="C613" s="13" t="n"/>
      <c r="D613" s="7">
        <f>IF(OR(B613="",C613=""),"",ROUND((C613-B613)*1440,0))</f>
        <v/>
      </c>
      <c r="E613" s="12" t="n"/>
      <c r="F613" s="12" t="n"/>
      <c r="G613" s="12" t="n"/>
      <c r="H613" s="12" t="n"/>
      <c r="I613" s="12" t="n"/>
      <c r="J613" s="12" t="n"/>
      <c r="K613" s="12" t="n"/>
      <c r="L613" s="14" t="n"/>
      <c r="M613" s="12" t="n"/>
      <c r="N613" s="12" t="n"/>
      <c r="O613" s="12" t="n"/>
      <c r="P613" s="12" t="n"/>
      <c r="Q613" s="7">
        <f>IF(A613="","",IFERROR(VLOOKUP(O613,Listes!$R$3:$T$8,2,FALSE),0)+IFERROR(VLOOKUP(J613,Listes!$J$3:$L$6,2,FALSE),0)+IFERROR(VLOOKUP(N613,Listes!$N$3:$P$6,2,FALSE),0)+IF(OR(L613="",B613=""),0,IF(L613-INT(B613)&lt;10,8,IF(L613-INT(B613)&lt;=90,10,5)))+IFERROR(VLOOKUP(AN613,Listes!$V$3:$W$5,2,FALSE),0)+IFERROR(VLOOKUP(AO613,Listes!$Y$3:$Z$5,2,FALSE),0))</f>
        <v/>
      </c>
      <c r="R613" s="12" t="n"/>
      <c r="S613" s="12" t="n"/>
      <c r="T613" s="12" t="n"/>
      <c r="U613" s="15" t="n"/>
      <c r="V613" s="15" t="n"/>
      <c r="W613" s="13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3" t="n"/>
      <c r="AK613" s="12" t="n"/>
      <c r="AL613" s="12" t="n"/>
      <c r="AM613" s="12" t="n"/>
      <c r="AN613" s="12" t="n"/>
      <c r="AO613" s="12" t="n"/>
      <c r="AP613" s="12" t="n"/>
      <c r="AQ613" s="7">
        <f>IF(A613="","",IF(AP613&lt;&gt;"",AP613,IF(LEFT(Z613,11)="gads_marque","Google Search – Marque",IF(LEFT(Z613,12)="gads_mariage","Google Search – Mariage et privé",IF(LEFT(Z613,10)="gads_corpo","Google Search – Corporatif",IF(LEFT(Z613,5)="meta_","Meta – Leads",IF(LEFT(Z613,5)="msft_","Microsoft Ads",IF(LEFT(Z613,8)="chatgpt_","ChatGPT Ads – Test",IF(X613="gbp","Fiche Google (organique)","Autre / non payé")))))))))</f>
        <v/>
      </c>
      <c r="AR613" s="7">
        <f>IF(K613="","",IFERROR(VLOOKUP(K613,Listes!$F$3:$H$8,3,FALSE),""))</f>
        <v/>
      </c>
      <c r="AS613" s="7">
        <f>IF(O613="","",IF(AND(M613="Autre (plus de 40 km)",OR(O613="lt600",O613="600_999",O613="1000_2499")),"D",IF(OR(O613="lt600",AND(O613="600_999",K613&lt;&gt;"mariage",K613&lt;&gt;"prive")),"C",IF(OR(O613="2500_4999",O613="5000p",J613="entreprise",J613="organisme",J613="agence"),"A",IF(OR(O613="1000_2499",O613="600_999"),"B",IF(O613="inconnu",IF(OR(N613="75_149",N613="150p"),"A","B"),""))))))</f>
        <v/>
      </c>
      <c r="AT613" s="7">
        <f>IF(A613="","",IF(P613&lt;&gt;"",P613,AS613))</f>
        <v/>
      </c>
      <c r="AU613" s="7">
        <f>IF(A613="","",IF(OR(AT613="A",AT613="B"),1,0))</f>
        <v/>
      </c>
      <c r="AV613" s="7">
        <f>IF(A613="","",IF(OR(R613="Dépôt payé (gagné)",R613="Événement livré",R613="Avis obtenu"),1,0))</f>
        <v/>
      </c>
      <c r="AW613" s="7">
        <f>IF(A613="","",IF(Q613&gt;70,"Immédiat – propriétaire",IF(Q613&gt;=40,"15 min – personne de garde","Selon la route")))</f>
        <v/>
      </c>
      <c r="AX613" s="11">
        <f>IF(A613="","",IF(AT613="A",400,IF(AT613="B",150,0)))</f>
        <v/>
      </c>
      <c r="AY613" s="11">
        <f>IF(A613="","",IF(AV613=1,N(V613),IF(N(U613)&gt;0,ROUND(N(U613)*IFERROR(VLOOKUP(R613,Listes!$AE$3:$AG$12,2,FALSE),0),0),0)))</f>
        <v/>
      </c>
      <c r="AZ613" s="7">
        <f>IF(LEFT(A613,7)="EXEMPLE",1,0)</f>
        <v/>
      </c>
      <c r="BA613" s="7">
        <f>IF(AND(AV613=1,AZ613=0,AC613&lt;&gt;"",W613&lt;&gt;"",N(V613)&gt;0),COUNTIFS($AV$3:AV613,1,$AZ$3:AZ613,0,$AC$3:AC613,"&lt;&gt;",$W$3:W613,"&lt;&gt;",$V$3:V613,"&gt;0"),"")</f>
        <v/>
      </c>
    </row>
    <row r="614">
      <c r="A614" s="12" t="n"/>
      <c r="B614" s="13" t="n"/>
      <c r="C614" s="13" t="n"/>
      <c r="D614" s="7">
        <f>IF(OR(B614="",C614=""),"",ROUND((C614-B614)*1440,0))</f>
        <v/>
      </c>
      <c r="E614" s="12" t="n"/>
      <c r="F614" s="12" t="n"/>
      <c r="G614" s="12" t="n"/>
      <c r="H614" s="12" t="n"/>
      <c r="I614" s="12" t="n"/>
      <c r="J614" s="12" t="n"/>
      <c r="K614" s="12" t="n"/>
      <c r="L614" s="14" t="n"/>
      <c r="M614" s="12" t="n"/>
      <c r="N614" s="12" t="n"/>
      <c r="O614" s="12" t="n"/>
      <c r="P614" s="12" t="n"/>
      <c r="Q614" s="7">
        <f>IF(A614="","",IFERROR(VLOOKUP(O614,Listes!$R$3:$T$8,2,FALSE),0)+IFERROR(VLOOKUP(J614,Listes!$J$3:$L$6,2,FALSE),0)+IFERROR(VLOOKUP(N614,Listes!$N$3:$P$6,2,FALSE),0)+IF(OR(L614="",B614=""),0,IF(L614-INT(B614)&lt;10,8,IF(L614-INT(B614)&lt;=90,10,5)))+IFERROR(VLOOKUP(AN614,Listes!$V$3:$W$5,2,FALSE),0)+IFERROR(VLOOKUP(AO614,Listes!$Y$3:$Z$5,2,FALSE),0))</f>
        <v/>
      </c>
      <c r="R614" s="12" t="n"/>
      <c r="S614" s="12" t="n"/>
      <c r="T614" s="12" t="n"/>
      <c r="U614" s="15" t="n"/>
      <c r="V614" s="15" t="n"/>
      <c r="W614" s="13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3" t="n"/>
      <c r="AK614" s="12" t="n"/>
      <c r="AL614" s="12" t="n"/>
      <c r="AM614" s="12" t="n"/>
      <c r="AN614" s="12" t="n"/>
      <c r="AO614" s="12" t="n"/>
      <c r="AP614" s="12" t="n"/>
      <c r="AQ614" s="7">
        <f>IF(A614="","",IF(AP614&lt;&gt;"",AP614,IF(LEFT(Z614,11)="gads_marque","Google Search – Marque",IF(LEFT(Z614,12)="gads_mariage","Google Search – Mariage et privé",IF(LEFT(Z614,10)="gads_corpo","Google Search – Corporatif",IF(LEFT(Z614,5)="meta_","Meta – Leads",IF(LEFT(Z614,5)="msft_","Microsoft Ads",IF(LEFT(Z614,8)="chatgpt_","ChatGPT Ads – Test",IF(X614="gbp","Fiche Google (organique)","Autre / non payé")))))))))</f>
        <v/>
      </c>
      <c r="AR614" s="7">
        <f>IF(K614="","",IFERROR(VLOOKUP(K614,Listes!$F$3:$H$8,3,FALSE),""))</f>
        <v/>
      </c>
      <c r="AS614" s="7">
        <f>IF(O614="","",IF(AND(M614="Autre (plus de 40 km)",OR(O614="lt600",O614="600_999",O614="1000_2499")),"D",IF(OR(O614="lt600",AND(O614="600_999",K614&lt;&gt;"mariage",K614&lt;&gt;"prive")),"C",IF(OR(O614="2500_4999",O614="5000p",J614="entreprise",J614="organisme",J614="agence"),"A",IF(OR(O614="1000_2499",O614="600_999"),"B",IF(O614="inconnu",IF(OR(N614="75_149",N614="150p"),"A","B"),""))))))</f>
        <v/>
      </c>
      <c r="AT614" s="7">
        <f>IF(A614="","",IF(P614&lt;&gt;"",P614,AS614))</f>
        <v/>
      </c>
      <c r="AU614" s="7">
        <f>IF(A614="","",IF(OR(AT614="A",AT614="B"),1,0))</f>
        <v/>
      </c>
      <c r="AV614" s="7">
        <f>IF(A614="","",IF(OR(R614="Dépôt payé (gagné)",R614="Événement livré",R614="Avis obtenu"),1,0))</f>
        <v/>
      </c>
      <c r="AW614" s="7">
        <f>IF(A614="","",IF(Q614&gt;70,"Immédiat – propriétaire",IF(Q614&gt;=40,"15 min – personne de garde","Selon la route")))</f>
        <v/>
      </c>
      <c r="AX614" s="11">
        <f>IF(A614="","",IF(AT614="A",400,IF(AT614="B",150,0)))</f>
        <v/>
      </c>
      <c r="AY614" s="11">
        <f>IF(A614="","",IF(AV614=1,N(V614),IF(N(U614)&gt;0,ROUND(N(U614)*IFERROR(VLOOKUP(R614,Listes!$AE$3:$AG$12,2,FALSE),0),0),0)))</f>
        <v/>
      </c>
      <c r="AZ614" s="7">
        <f>IF(LEFT(A614,7)="EXEMPLE",1,0)</f>
        <v/>
      </c>
      <c r="BA614" s="7">
        <f>IF(AND(AV614=1,AZ614=0,AC614&lt;&gt;"",W614&lt;&gt;"",N(V614)&gt;0),COUNTIFS($AV$3:AV614,1,$AZ$3:AZ614,0,$AC$3:AC614,"&lt;&gt;",$W$3:W614,"&lt;&gt;",$V$3:V614,"&gt;0"),"")</f>
        <v/>
      </c>
    </row>
    <row r="615">
      <c r="A615" s="12" t="n"/>
      <c r="B615" s="13" t="n"/>
      <c r="C615" s="13" t="n"/>
      <c r="D615" s="7">
        <f>IF(OR(B615="",C615=""),"",ROUND((C615-B615)*1440,0))</f>
        <v/>
      </c>
      <c r="E615" s="12" t="n"/>
      <c r="F615" s="12" t="n"/>
      <c r="G615" s="12" t="n"/>
      <c r="H615" s="12" t="n"/>
      <c r="I615" s="12" t="n"/>
      <c r="J615" s="12" t="n"/>
      <c r="K615" s="12" t="n"/>
      <c r="L615" s="14" t="n"/>
      <c r="M615" s="12" t="n"/>
      <c r="N615" s="12" t="n"/>
      <c r="O615" s="12" t="n"/>
      <c r="P615" s="12" t="n"/>
      <c r="Q615" s="7">
        <f>IF(A615="","",IFERROR(VLOOKUP(O615,Listes!$R$3:$T$8,2,FALSE),0)+IFERROR(VLOOKUP(J615,Listes!$J$3:$L$6,2,FALSE),0)+IFERROR(VLOOKUP(N615,Listes!$N$3:$P$6,2,FALSE),0)+IF(OR(L615="",B615=""),0,IF(L615-INT(B615)&lt;10,8,IF(L615-INT(B615)&lt;=90,10,5)))+IFERROR(VLOOKUP(AN615,Listes!$V$3:$W$5,2,FALSE),0)+IFERROR(VLOOKUP(AO615,Listes!$Y$3:$Z$5,2,FALSE),0))</f>
        <v/>
      </c>
      <c r="R615" s="12" t="n"/>
      <c r="S615" s="12" t="n"/>
      <c r="T615" s="12" t="n"/>
      <c r="U615" s="15" t="n"/>
      <c r="V615" s="15" t="n"/>
      <c r="W615" s="13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3" t="n"/>
      <c r="AK615" s="12" t="n"/>
      <c r="AL615" s="12" t="n"/>
      <c r="AM615" s="12" t="n"/>
      <c r="AN615" s="12" t="n"/>
      <c r="AO615" s="12" t="n"/>
      <c r="AP615" s="12" t="n"/>
      <c r="AQ615" s="7">
        <f>IF(A615="","",IF(AP615&lt;&gt;"",AP615,IF(LEFT(Z615,11)="gads_marque","Google Search – Marque",IF(LEFT(Z615,12)="gads_mariage","Google Search – Mariage et privé",IF(LEFT(Z615,10)="gads_corpo","Google Search – Corporatif",IF(LEFT(Z615,5)="meta_","Meta – Leads",IF(LEFT(Z615,5)="msft_","Microsoft Ads",IF(LEFT(Z615,8)="chatgpt_","ChatGPT Ads – Test",IF(X615="gbp","Fiche Google (organique)","Autre / non payé")))))))))</f>
        <v/>
      </c>
      <c r="AR615" s="7">
        <f>IF(K615="","",IFERROR(VLOOKUP(K615,Listes!$F$3:$H$8,3,FALSE),""))</f>
        <v/>
      </c>
      <c r="AS615" s="7">
        <f>IF(O615="","",IF(AND(M615="Autre (plus de 40 km)",OR(O615="lt600",O615="600_999",O615="1000_2499")),"D",IF(OR(O615="lt600",AND(O615="600_999",K615&lt;&gt;"mariage",K615&lt;&gt;"prive")),"C",IF(OR(O615="2500_4999",O615="5000p",J615="entreprise",J615="organisme",J615="agence"),"A",IF(OR(O615="1000_2499",O615="600_999"),"B",IF(O615="inconnu",IF(OR(N615="75_149",N615="150p"),"A","B"),""))))))</f>
        <v/>
      </c>
      <c r="AT615" s="7">
        <f>IF(A615="","",IF(P615&lt;&gt;"",P615,AS615))</f>
        <v/>
      </c>
      <c r="AU615" s="7">
        <f>IF(A615="","",IF(OR(AT615="A",AT615="B"),1,0))</f>
        <v/>
      </c>
      <c r="AV615" s="7">
        <f>IF(A615="","",IF(OR(R615="Dépôt payé (gagné)",R615="Événement livré",R615="Avis obtenu"),1,0))</f>
        <v/>
      </c>
      <c r="AW615" s="7">
        <f>IF(A615="","",IF(Q615&gt;70,"Immédiat – propriétaire",IF(Q615&gt;=40,"15 min – personne de garde","Selon la route")))</f>
        <v/>
      </c>
      <c r="AX615" s="11">
        <f>IF(A615="","",IF(AT615="A",400,IF(AT615="B",150,0)))</f>
        <v/>
      </c>
      <c r="AY615" s="11">
        <f>IF(A615="","",IF(AV615=1,N(V615),IF(N(U615)&gt;0,ROUND(N(U615)*IFERROR(VLOOKUP(R615,Listes!$AE$3:$AG$12,2,FALSE),0),0),0)))</f>
        <v/>
      </c>
      <c r="AZ615" s="7">
        <f>IF(LEFT(A615,7)="EXEMPLE",1,0)</f>
        <v/>
      </c>
      <c r="BA615" s="7">
        <f>IF(AND(AV615=1,AZ615=0,AC615&lt;&gt;"",W615&lt;&gt;"",N(V615)&gt;0),COUNTIFS($AV$3:AV615,1,$AZ$3:AZ615,0,$AC$3:AC615,"&lt;&gt;",$W$3:W615,"&lt;&gt;",$V$3:V615,"&gt;0"),"")</f>
        <v/>
      </c>
    </row>
    <row r="616">
      <c r="A616" s="12" t="n"/>
      <c r="B616" s="13" t="n"/>
      <c r="C616" s="13" t="n"/>
      <c r="D616" s="7">
        <f>IF(OR(B616="",C616=""),"",ROUND((C616-B616)*1440,0))</f>
        <v/>
      </c>
      <c r="E616" s="12" t="n"/>
      <c r="F616" s="12" t="n"/>
      <c r="G616" s="12" t="n"/>
      <c r="H616" s="12" t="n"/>
      <c r="I616" s="12" t="n"/>
      <c r="J616" s="12" t="n"/>
      <c r="K616" s="12" t="n"/>
      <c r="L616" s="14" t="n"/>
      <c r="M616" s="12" t="n"/>
      <c r="N616" s="12" t="n"/>
      <c r="O616" s="12" t="n"/>
      <c r="P616" s="12" t="n"/>
      <c r="Q616" s="7">
        <f>IF(A616="","",IFERROR(VLOOKUP(O616,Listes!$R$3:$T$8,2,FALSE),0)+IFERROR(VLOOKUP(J616,Listes!$J$3:$L$6,2,FALSE),0)+IFERROR(VLOOKUP(N616,Listes!$N$3:$P$6,2,FALSE),0)+IF(OR(L616="",B616=""),0,IF(L616-INT(B616)&lt;10,8,IF(L616-INT(B616)&lt;=90,10,5)))+IFERROR(VLOOKUP(AN616,Listes!$V$3:$W$5,2,FALSE),0)+IFERROR(VLOOKUP(AO616,Listes!$Y$3:$Z$5,2,FALSE),0))</f>
        <v/>
      </c>
      <c r="R616" s="12" t="n"/>
      <c r="S616" s="12" t="n"/>
      <c r="T616" s="12" t="n"/>
      <c r="U616" s="15" t="n"/>
      <c r="V616" s="15" t="n"/>
      <c r="W616" s="13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3" t="n"/>
      <c r="AK616" s="12" t="n"/>
      <c r="AL616" s="12" t="n"/>
      <c r="AM616" s="12" t="n"/>
      <c r="AN616" s="12" t="n"/>
      <c r="AO616" s="12" t="n"/>
      <c r="AP616" s="12" t="n"/>
      <c r="AQ616" s="7">
        <f>IF(A616="","",IF(AP616&lt;&gt;"",AP616,IF(LEFT(Z616,11)="gads_marque","Google Search – Marque",IF(LEFT(Z616,12)="gads_mariage","Google Search – Mariage et privé",IF(LEFT(Z616,10)="gads_corpo","Google Search – Corporatif",IF(LEFT(Z616,5)="meta_","Meta – Leads",IF(LEFT(Z616,5)="msft_","Microsoft Ads",IF(LEFT(Z616,8)="chatgpt_","ChatGPT Ads – Test",IF(X616="gbp","Fiche Google (organique)","Autre / non payé")))))))))</f>
        <v/>
      </c>
      <c r="AR616" s="7">
        <f>IF(K616="","",IFERROR(VLOOKUP(K616,Listes!$F$3:$H$8,3,FALSE),""))</f>
        <v/>
      </c>
      <c r="AS616" s="7">
        <f>IF(O616="","",IF(AND(M616="Autre (plus de 40 km)",OR(O616="lt600",O616="600_999",O616="1000_2499")),"D",IF(OR(O616="lt600",AND(O616="600_999",K616&lt;&gt;"mariage",K616&lt;&gt;"prive")),"C",IF(OR(O616="2500_4999",O616="5000p",J616="entreprise",J616="organisme",J616="agence"),"A",IF(OR(O616="1000_2499",O616="600_999"),"B",IF(O616="inconnu",IF(OR(N616="75_149",N616="150p"),"A","B"),""))))))</f>
        <v/>
      </c>
      <c r="AT616" s="7">
        <f>IF(A616="","",IF(P616&lt;&gt;"",P616,AS616))</f>
        <v/>
      </c>
      <c r="AU616" s="7">
        <f>IF(A616="","",IF(OR(AT616="A",AT616="B"),1,0))</f>
        <v/>
      </c>
      <c r="AV616" s="7">
        <f>IF(A616="","",IF(OR(R616="Dépôt payé (gagné)",R616="Événement livré",R616="Avis obtenu"),1,0))</f>
        <v/>
      </c>
      <c r="AW616" s="7">
        <f>IF(A616="","",IF(Q616&gt;70,"Immédiat – propriétaire",IF(Q616&gt;=40,"15 min – personne de garde","Selon la route")))</f>
        <v/>
      </c>
      <c r="AX616" s="11">
        <f>IF(A616="","",IF(AT616="A",400,IF(AT616="B",150,0)))</f>
        <v/>
      </c>
      <c r="AY616" s="11">
        <f>IF(A616="","",IF(AV616=1,N(V616),IF(N(U616)&gt;0,ROUND(N(U616)*IFERROR(VLOOKUP(R616,Listes!$AE$3:$AG$12,2,FALSE),0),0),0)))</f>
        <v/>
      </c>
      <c r="AZ616" s="7">
        <f>IF(LEFT(A616,7)="EXEMPLE",1,0)</f>
        <v/>
      </c>
      <c r="BA616" s="7">
        <f>IF(AND(AV616=1,AZ616=0,AC616&lt;&gt;"",W616&lt;&gt;"",N(V616)&gt;0),COUNTIFS($AV$3:AV616,1,$AZ$3:AZ616,0,$AC$3:AC616,"&lt;&gt;",$W$3:W616,"&lt;&gt;",$V$3:V616,"&gt;0"),"")</f>
        <v/>
      </c>
    </row>
    <row r="617">
      <c r="A617" s="12" t="n"/>
      <c r="B617" s="13" t="n"/>
      <c r="C617" s="13" t="n"/>
      <c r="D617" s="7">
        <f>IF(OR(B617="",C617=""),"",ROUND((C617-B617)*1440,0))</f>
        <v/>
      </c>
      <c r="E617" s="12" t="n"/>
      <c r="F617" s="12" t="n"/>
      <c r="G617" s="12" t="n"/>
      <c r="H617" s="12" t="n"/>
      <c r="I617" s="12" t="n"/>
      <c r="J617" s="12" t="n"/>
      <c r="K617" s="12" t="n"/>
      <c r="L617" s="14" t="n"/>
      <c r="M617" s="12" t="n"/>
      <c r="N617" s="12" t="n"/>
      <c r="O617" s="12" t="n"/>
      <c r="P617" s="12" t="n"/>
      <c r="Q617" s="7">
        <f>IF(A617="","",IFERROR(VLOOKUP(O617,Listes!$R$3:$T$8,2,FALSE),0)+IFERROR(VLOOKUP(J617,Listes!$J$3:$L$6,2,FALSE),0)+IFERROR(VLOOKUP(N617,Listes!$N$3:$P$6,2,FALSE),0)+IF(OR(L617="",B617=""),0,IF(L617-INT(B617)&lt;10,8,IF(L617-INT(B617)&lt;=90,10,5)))+IFERROR(VLOOKUP(AN617,Listes!$V$3:$W$5,2,FALSE),0)+IFERROR(VLOOKUP(AO617,Listes!$Y$3:$Z$5,2,FALSE),0))</f>
        <v/>
      </c>
      <c r="R617" s="12" t="n"/>
      <c r="S617" s="12" t="n"/>
      <c r="T617" s="12" t="n"/>
      <c r="U617" s="15" t="n"/>
      <c r="V617" s="15" t="n"/>
      <c r="W617" s="13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3" t="n"/>
      <c r="AK617" s="12" t="n"/>
      <c r="AL617" s="12" t="n"/>
      <c r="AM617" s="12" t="n"/>
      <c r="AN617" s="12" t="n"/>
      <c r="AO617" s="12" t="n"/>
      <c r="AP617" s="12" t="n"/>
      <c r="AQ617" s="7">
        <f>IF(A617="","",IF(AP617&lt;&gt;"",AP617,IF(LEFT(Z617,11)="gads_marque","Google Search – Marque",IF(LEFT(Z617,12)="gads_mariage","Google Search – Mariage et privé",IF(LEFT(Z617,10)="gads_corpo","Google Search – Corporatif",IF(LEFT(Z617,5)="meta_","Meta – Leads",IF(LEFT(Z617,5)="msft_","Microsoft Ads",IF(LEFT(Z617,8)="chatgpt_","ChatGPT Ads – Test",IF(X617="gbp","Fiche Google (organique)","Autre / non payé")))))))))</f>
        <v/>
      </c>
      <c r="AR617" s="7">
        <f>IF(K617="","",IFERROR(VLOOKUP(K617,Listes!$F$3:$H$8,3,FALSE),""))</f>
        <v/>
      </c>
      <c r="AS617" s="7">
        <f>IF(O617="","",IF(AND(M617="Autre (plus de 40 km)",OR(O617="lt600",O617="600_999",O617="1000_2499")),"D",IF(OR(O617="lt600",AND(O617="600_999",K617&lt;&gt;"mariage",K617&lt;&gt;"prive")),"C",IF(OR(O617="2500_4999",O617="5000p",J617="entreprise",J617="organisme",J617="agence"),"A",IF(OR(O617="1000_2499",O617="600_999"),"B",IF(O617="inconnu",IF(OR(N617="75_149",N617="150p"),"A","B"),""))))))</f>
        <v/>
      </c>
      <c r="AT617" s="7">
        <f>IF(A617="","",IF(P617&lt;&gt;"",P617,AS617))</f>
        <v/>
      </c>
      <c r="AU617" s="7">
        <f>IF(A617="","",IF(OR(AT617="A",AT617="B"),1,0))</f>
        <v/>
      </c>
      <c r="AV617" s="7">
        <f>IF(A617="","",IF(OR(R617="Dépôt payé (gagné)",R617="Événement livré",R617="Avis obtenu"),1,0))</f>
        <v/>
      </c>
      <c r="AW617" s="7">
        <f>IF(A617="","",IF(Q617&gt;70,"Immédiat – propriétaire",IF(Q617&gt;=40,"15 min – personne de garde","Selon la route")))</f>
        <v/>
      </c>
      <c r="AX617" s="11">
        <f>IF(A617="","",IF(AT617="A",400,IF(AT617="B",150,0)))</f>
        <v/>
      </c>
      <c r="AY617" s="11">
        <f>IF(A617="","",IF(AV617=1,N(V617),IF(N(U617)&gt;0,ROUND(N(U617)*IFERROR(VLOOKUP(R617,Listes!$AE$3:$AG$12,2,FALSE),0),0),0)))</f>
        <v/>
      </c>
      <c r="AZ617" s="7">
        <f>IF(LEFT(A617,7)="EXEMPLE",1,0)</f>
        <v/>
      </c>
      <c r="BA617" s="7">
        <f>IF(AND(AV617=1,AZ617=0,AC617&lt;&gt;"",W617&lt;&gt;"",N(V617)&gt;0),COUNTIFS($AV$3:AV617,1,$AZ$3:AZ617,0,$AC$3:AC617,"&lt;&gt;",$W$3:W617,"&lt;&gt;",$V$3:V617,"&gt;0"),"")</f>
        <v/>
      </c>
    </row>
    <row r="618">
      <c r="A618" s="12" t="n"/>
      <c r="B618" s="13" t="n"/>
      <c r="C618" s="13" t="n"/>
      <c r="D618" s="7">
        <f>IF(OR(B618="",C618=""),"",ROUND((C618-B618)*1440,0))</f>
        <v/>
      </c>
      <c r="E618" s="12" t="n"/>
      <c r="F618" s="12" t="n"/>
      <c r="G618" s="12" t="n"/>
      <c r="H618" s="12" t="n"/>
      <c r="I618" s="12" t="n"/>
      <c r="J618" s="12" t="n"/>
      <c r="K618" s="12" t="n"/>
      <c r="L618" s="14" t="n"/>
      <c r="M618" s="12" t="n"/>
      <c r="N618" s="12" t="n"/>
      <c r="O618" s="12" t="n"/>
      <c r="P618" s="12" t="n"/>
      <c r="Q618" s="7">
        <f>IF(A618="","",IFERROR(VLOOKUP(O618,Listes!$R$3:$T$8,2,FALSE),0)+IFERROR(VLOOKUP(J618,Listes!$J$3:$L$6,2,FALSE),0)+IFERROR(VLOOKUP(N618,Listes!$N$3:$P$6,2,FALSE),0)+IF(OR(L618="",B618=""),0,IF(L618-INT(B618)&lt;10,8,IF(L618-INT(B618)&lt;=90,10,5)))+IFERROR(VLOOKUP(AN618,Listes!$V$3:$W$5,2,FALSE),0)+IFERROR(VLOOKUP(AO618,Listes!$Y$3:$Z$5,2,FALSE),0))</f>
        <v/>
      </c>
      <c r="R618" s="12" t="n"/>
      <c r="S618" s="12" t="n"/>
      <c r="T618" s="12" t="n"/>
      <c r="U618" s="15" t="n"/>
      <c r="V618" s="15" t="n"/>
      <c r="W618" s="13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3" t="n"/>
      <c r="AK618" s="12" t="n"/>
      <c r="AL618" s="12" t="n"/>
      <c r="AM618" s="12" t="n"/>
      <c r="AN618" s="12" t="n"/>
      <c r="AO618" s="12" t="n"/>
      <c r="AP618" s="12" t="n"/>
      <c r="AQ618" s="7">
        <f>IF(A618="","",IF(AP618&lt;&gt;"",AP618,IF(LEFT(Z618,11)="gads_marque","Google Search – Marque",IF(LEFT(Z618,12)="gads_mariage","Google Search – Mariage et privé",IF(LEFT(Z618,10)="gads_corpo","Google Search – Corporatif",IF(LEFT(Z618,5)="meta_","Meta – Leads",IF(LEFT(Z618,5)="msft_","Microsoft Ads",IF(LEFT(Z618,8)="chatgpt_","ChatGPT Ads – Test",IF(X618="gbp","Fiche Google (organique)","Autre / non payé")))))))))</f>
        <v/>
      </c>
      <c r="AR618" s="7">
        <f>IF(K618="","",IFERROR(VLOOKUP(K618,Listes!$F$3:$H$8,3,FALSE),""))</f>
        <v/>
      </c>
      <c r="AS618" s="7">
        <f>IF(O618="","",IF(AND(M618="Autre (plus de 40 km)",OR(O618="lt600",O618="600_999",O618="1000_2499")),"D",IF(OR(O618="lt600",AND(O618="600_999",K618&lt;&gt;"mariage",K618&lt;&gt;"prive")),"C",IF(OR(O618="2500_4999",O618="5000p",J618="entreprise",J618="organisme",J618="agence"),"A",IF(OR(O618="1000_2499",O618="600_999"),"B",IF(O618="inconnu",IF(OR(N618="75_149",N618="150p"),"A","B"),""))))))</f>
        <v/>
      </c>
      <c r="AT618" s="7">
        <f>IF(A618="","",IF(P618&lt;&gt;"",P618,AS618))</f>
        <v/>
      </c>
      <c r="AU618" s="7">
        <f>IF(A618="","",IF(OR(AT618="A",AT618="B"),1,0))</f>
        <v/>
      </c>
      <c r="AV618" s="7">
        <f>IF(A618="","",IF(OR(R618="Dépôt payé (gagné)",R618="Événement livré",R618="Avis obtenu"),1,0))</f>
        <v/>
      </c>
      <c r="AW618" s="7">
        <f>IF(A618="","",IF(Q618&gt;70,"Immédiat – propriétaire",IF(Q618&gt;=40,"15 min – personne de garde","Selon la route")))</f>
        <v/>
      </c>
      <c r="AX618" s="11">
        <f>IF(A618="","",IF(AT618="A",400,IF(AT618="B",150,0)))</f>
        <v/>
      </c>
      <c r="AY618" s="11">
        <f>IF(A618="","",IF(AV618=1,N(V618),IF(N(U618)&gt;0,ROUND(N(U618)*IFERROR(VLOOKUP(R618,Listes!$AE$3:$AG$12,2,FALSE),0),0),0)))</f>
        <v/>
      </c>
      <c r="AZ618" s="7">
        <f>IF(LEFT(A618,7)="EXEMPLE",1,0)</f>
        <v/>
      </c>
      <c r="BA618" s="7">
        <f>IF(AND(AV618=1,AZ618=0,AC618&lt;&gt;"",W618&lt;&gt;"",N(V618)&gt;0),COUNTIFS($AV$3:AV618,1,$AZ$3:AZ618,0,$AC$3:AC618,"&lt;&gt;",$W$3:W618,"&lt;&gt;",$V$3:V618,"&gt;0"),"")</f>
        <v/>
      </c>
    </row>
    <row r="619">
      <c r="A619" s="12" t="n"/>
      <c r="B619" s="13" t="n"/>
      <c r="C619" s="13" t="n"/>
      <c r="D619" s="7">
        <f>IF(OR(B619="",C619=""),"",ROUND((C619-B619)*1440,0))</f>
        <v/>
      </c>
      <c r="E619" s="12" t="n"/>
      <c r="F619" s="12" t="n"/>
      <c r="G619" s="12" t="n"/>
      <c r="H619" s="12" t="n"/>
      <c r="I619" s="12" t="n"/>
      <c r="J619" s="12" t="n"/>
      <c r="K619" s="12" t="n"/>
      <c r="L619" s="14" t="n"/>
      <c r="M619" s="12" t="n"/>
      <c r="N619" s="12" t="n"/>
      <c r="O619" s="12" t="n"/>
      <c r="P619" s="12" t="n"/>
      <c r="Q619" s="7">
        <f>IF(A619="","",IFERROR(VLOOKUP(O619,Listes!$R$3:$T$8,2,FALSE),0)+IFERROR(VLOOKUP(J619,Listes!$J$3:$L$6,2,FALSE),0)+IFERROR(VLOOKUP(N619,Listes!$N$3:$P$6,2,FALSE),0)+IF(OR(L619="",B619=""),0,IF(L619-INT(B619)&lt;10,8,IF(L619-INT(B619)&lt;=90,10,5)))+IFERROR(VLOOKUP(AN619,Listes!$V$3:$W$5,2,FALSE),0)+IFERROR(VLOOKUP(AO619,Listes!$Y$3:$Z$5,2,FALSE),0))</f>
        <v/>
      </c>
      <c r="R619" s="12" t="n"/>
      <c r="S619" s="12" t="n"/>
      <c r="T619" s="12" t="n"/>
      <c r="U619" s="15" t="n"/>
      <c r="V619" s="15" t="n"/>
      <c r="W619" s="13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3" t="n"/>
      <c r="AK619" s="12" t="n"/>
      <c r="AL619" s="12" t="n"/>
      <c r="AM619" s="12" t="n"/>
      <c r="AN619" s="12" t="n"/>
      <c r="AO619" s="12" t="n"/>
      <c r="AP619" s="12" t="n"/>
      <c r="AQ619" s="7">
        <f>IF(A619="","",IF(AP619&lt;&gt;"",AP619,IF(LEFT(Z619,11)="gads_marque","Google Search – Marque",IF(LEFT(Z619,12)="gads_mariage","Google Search – Mariage et privé",IF(LEFT(Z619,10)="gads_corpo","Google Search – Corporatif",IF(LEFT(Z619,5)="meta_","Meta – Leads",IF(LEFT(Z619,5)="msft_","Microsoft Ads",IF(LEFT(Z619,8)="chatgpt_","ChatGPT Ads – Test",IF(X619="gbp","Fiche Google (organique)","Autre / non payé")))))))))</f>
        <v/>
      </c>
      <c r="AR619" s="7">
        <f>IF(K619="","",IFERROR(VLOOKUP(K619,Listes!$F$3:$H$8,3,FALSE),""))</f>
        <v/>
      </c>
      <c r="AS619" s="7">
        <f>IF(O619="","",IF(AND(M619="Autre (plus de 40 km)",OR(O619="lt600",O619="600_999",O619="1000_2499")),"D",IF(OR(O619="lt600",AND(O619="600_999",K619&lt;&gt;"mariage",K619&lt;&gt;"prive")),"C",IF(OR(O619="2500_4999",O619="5000p",J619="entreprise",J619="organisme",J619="agence"),"A",IF(OR(O619="1000_2499",O619="600_999"),"B",IF(O619="inconnu",IF(OR(N619="75_149",N619="150p"),"A","B"),""))))))</f>
        <v/>
      </c>
      <c r="AT619" s="7">
        <f>IF(A619="","",IF(P619&lt;&gt;"",P619,AS619))</f>
        <v/>
      </c>
      <c r="AU619" s="7">
        <f>IF(A619="","",IF(OR(AT619="A",AT619="B"),1,0))</f>
        <v/>
      </c>
      <c r="AV619" s="7">
        <f>IF(A619="","",IF(OR(R619="Dépôt payé (gagné)",R619="Événement livré",R619="Avis obtenu"),1,0))</f>
        <v/>
      </c>
      <c r="AW619" s="7">
        <f>IF(A619="","",IF(Q619&gt;70,"Immédiat – propriétaire",IF(Q619&gt;=40,"15 min – personne de garde","Selon la route")))</f>
        <v/>
      </c>
      <c r="AX619" s="11">
        <f>IF(A619="","",IF(AT619="A",400,IF(AT619="B",150,0)))</f>
        <v/>
      </c>
      <c r="AY619" s="11">
        <f>IF(A619="","",IF(AV619=1,N(V619),IF(N(U619)&gt;0,ROUND(N(U619)*IFERROR(VLOOKUP(R619,Listes!$AE$3:$AG$12,2,FALSE),0),0),0)))</f>
        <v/>
      </c>
      <c r="AZ619" s="7">
        <f>IF(LEFT(A619,7)="EXEMPLE",1,0)</f>
        <v/>
      </c>
      <c r="BA619" s="7">
        <f>IF(AND(AV619=1,AZ619=0,AC619&lt;&gt;"",W619&lt;&gt;"",N(V619)&gt;0),COUNTIFS($AV$3:AV619,1,$AZ$3:AZ619,0,$AC$3:AC619,"&lt;&gt;",$W$3:W619,"&lt;&gt;",$V$3:V619,"&gt;0"),"")</f>
        <v/>
      </c>
    </row>
    <row r="620">
      <c r="A620" s="12" t="n"/>
      <c r="B620" s="13" t="n"/>
      <c r="C620" s="13" t="n"/>
      <c r="D620" s="7">
        <f>IF(OR(B620="",C620=""),"",ROUND((C620-B620)*1440,0))</f>
        <v/>
      </c>
      <c r="E620" s="12" t="n"/>
      <c r="F620" s="12" t="n"/>
      <c r="G620" s="12" t="n"/>
      <c r="H620" s="12" t="n"/>
      <c r="I620" s="12" t="n"/>
      <c r="J620" s="12" t="n"/>
      <c r="K620" s="12" t="n"/>
      <c r="L620" s="14" t="n"/>
      <c r="M620" s="12" t="n"/>
      <c r="N620" s="12" t="n"/>
      <c r="O620" s="12" t="n"/>
      <c r="P620" s="12" t="n"/>
      <c r="Q620" s="7">
        <f>IF(A620="","",IFERROR(VLOOKUP(O620,Listes!$R$3:$T$8,2,FALSE),0)+IFERROR(VLOOKUP(J620,Listes!$J$3:$L$6,2,FALSE),0)+IFERROR(VLOOKUP(N620,Listes!$N$3:$P$6,2,FALSE),0)+IF(OR(L620="",B620=""),0,IF(L620-INT(B620)&lt;10,8,IF(L620-INT(B620)&lt;=90,10,5)))+IFERROR(VLOOKUP(AN620,Listes!$V$3:$W$5,2,FALSE),0)+IFERROR(VLOOKUP(AO620,Listes!$Y$3:$Z$5,2,FALSE),0))</f>
        <v/>
      </c>
      <c r="R620" s="12" t="n"/>
      <c r="S620" s="12" t="n"/>
      <c r="T620" s="12" t="n"/>
      <c r="U620" s="15" t="n"/>
      <c r="V620" s="15" t="n"/>
      <c r="W620" s="13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3" t="n"/>
      <c r="AK620" s="12" t="n"/>
      <c r="AL620" s="12" t="n"/>
      <c r="AM620" s="12" t="n"/>
      <c r="AN620" s="12" t="n"/>
      <c r="AO620" s="12" t="n"/>
      <c r="AP620" s="12" t="n"/>
      <c r="AQ620" s="7">
        <f>IF(A620="","",IF(AP620&lt;&gt;"",AP620,IF(LEFT(Z620,11)="gads_marque","Google Search – Marque",IF(LEFT(Z620,12)="gads_mariage","Google Search – Mariage et privé",IF(LEFT(Z620,10)="gads_corpo","Google Search – Corporatif",IF(LEFT(Z620,5)="meta_","Meta – Leads",IF(LEFT(Z620,5)="msft_","Microsoft Ads",IF(LEFT(Z620,8)="chatgpt_","ChatGPT Ads – Test",IF(X620="gbp","Fiche Google (organique)","Autre / non payé")))))))))</f>
        <v/>
      </c>
      <c r="AR620" s="7">
        <f>IF(K620="","",IFERROR(VLOOKUP(K620,Listes!$F$3:$H$8,3,FALSE),""))</f>
        <v/>
      </c>
      <c r="AS620" s="7">
        <f>IF(O620="","",IF(AND(M620="Autre (plus de 40 km)",OR(O620="lt600",O620="600_999",O620="1000_2499")),"D",IF(OR(O620="lt600",AND(O620="600_999",K620&lt;&gt;"mariage",K620&lt;&gt;"prive")),"C",IF(OR(O620="2500_4999",O620="5000p",J620="entreprise",J620="organisme",J620="agence"),"A",IF(OR(O620="1000_2499",O620="600_999"),"B",IF(O620="inconnu",IF(OR(N620="75_149",N620="150p"),"A","B"),""))))))</f>
        <v/>
      </c>
      <c r="AT620" s="7">
        <f>IF(A620="","",IF(P620&lt;&gt;"",P620,AS620))</f>
        <v/>
      </c>
      <c r="AU620" s="7">
        <f>IF(A620="","",IF(OR(AT620="A",AT620="B"),1,0))</f>
        <v/>
      </c>
      <c r="AV620" s="7">
        <f>IF(A620="","",IF(OR(R620="Dépôt payé (gagné)",R620="Événement livré",R620="Avis obtenu"),1,0))</f>
        <v/>
      </c>
      <c r="AW620" s="7">
        <f>IF(A620="","",IF(Q620&gt;70,"Immédiat – propriétaire",IF(Q620&gt;=40,"15 min – personne de garde","Selon la route")))</f>
        <v/>
      </c>
      <c r="AX620" s="11">
        <f>IF(A620="","",IF(AT620="A",400,IF(AT620="B",150,0)))</f>
        <v/>
      </c>
      <c r="AY620" s="11">
        <f>IF(A620="","",IF(AV620=1,N(V620),IF(N(U620)&gt;0,ROUND(N(U620)*IFERROR(VLOOKUP(R620,Listes!$AE$3:$AG$12,2,FALSE),0),0),0)))</f>
        <v/>
      </c>
      <c r="AZ620" s="7">
        <f>IF(LEFT(A620,7)="EXEMPLE",1,0)</f>
        <v/>
      </c>
      <c r="BA620" s="7">
        <f>IF(AND(AV620=1,AZ620=0,AC620&lt;&gt;"",W620&lt;&gt;"",N(V620)&gt;0),COUNTIFS($AV$3:AV620,1,$AZ$3:AZ620,0,$AC$3:AC620,"&lt;&gt;",$W$3:W620,"&lt;&gt;",$V$3:V620,"&gt;0"),"")</f>
        <v/>
      </c>
    </row>
    <row r="621">
      <c r="A621" s="12" t="n"/>
      <c r="B621" s="13" t="n"/>
      <c r="C621" s="13" t="n"/>
      <c r="D621" s="7">
        <f>IF(OR(B621="",C621=""),"",ROUND((C621-B621)*1440,0))</f>
        <v/>
      </c>
      <c r="E621" s="12" t="n"/>
      <c r="F621" s="12" t="n"/>
      <c r="G621" s="12" t="n"/>
      <c r="H621" s="12" t="n"/>
      <c r="I621" s="12" t="n"/>
      <c r="J621" s="12" t="n"/>
      <c r="K621" s="12" t="n"/>
      <c r="L621" s="14" t="n"/>
      <c r="M621" s="12" t="n"/>
      <c r="N621" s="12" t="n"/>
      <c r="O621" s="12" t="n"/>
      <c r="P621" s="12" t="n"/>
      <c r="Q621" s="7">
        <f>IF(A621="","",IFERROR(VLOOKUP(O621,Listes!$R$3:$T$8,2,FALSE),0)+IFERROR(VLOOKUP(J621,Listes!$J$3:$L$6,2,FALSE),0)+IFERROR(VLOOKUP(N621,Listes!$N$3:$P$6,2,FALSE),0)+IF(OR(L621="",B621=""),0,IF(L621-INT(B621)&lt;10,8,IF(L621-INT(B621)&lt;=90,10,5)))+IFERROR(VLOOKUP(AN621,Listes!$V$3:$W$5,2,FALSE),0)+IFERROR(VLOOKUP(AO621,Listes!$Y$3:$Z$5,2,FALSE),0))</f>
        <v/>
      </c>
      <c r="R621" s="12" t="n"/>
      <c r="S621" s="12" t="n"/>
      <c r="T621" s="12" t="n"/>
      <c r="U621" s="15" t="n"/>
      <c r="V621" s="15" t="n"/>
      <c r="W621" s="13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3" t="n"/>
      <c r="AK621" s="12" t="n"/>
      <c r="AL621" s="12" t="n"/>
      <c r="AM621" s="12" t="n"/>
      <c r="AN621" s="12" t="n"/>
      <c r="AO621" s="12" t="n"/>
      <c r="AP621" s="12" t="n"/>
      <c r="AQ621" s="7">
        <f>IF(A621="","",IF(AP621&lt;&gt;"",AP621,IF(LEFT(Z621,11)="gads_marque","Google Search – Marque",IF(LEFT(Z621,12)="gads_mariage","Google Search – Mariage et privé",IF(LEFT(Z621,10)="gads_corpo","Google Search – Corporatif",IF(LEFT(Z621,5)="meta_","Meta – Leads",IF(LEFT(Z621,5)="msft_","Microsoft Ads",IF(LEFT(Z621,8)="chatgpt_","ChatGPT Ads – Test",IF(X621="gbp","Fiche Google (organique)","Autre / non payé")))))))))</f>
        <v/>
      </c>
      <c r="AR621" s="7">
        <f>IF(K621="","",IFERROR(VLOOKUP(K621,Listes!$F$3:$H$8,3,FALSE),""))</f>
        <v/>
      </c>
      <c r="AS621" s="7">
        <f>IF(O621="","",IF(AND(M621="Autre (plus de 40 km)",OR(O621="lt600",O621="600_999",O621="1000_2499")),"D",IF(OR(O621="lt600",AND(O621="600_999",K621&lt;&gt;"mariage",K621&lt;&gt;"prive")),"C",IF(OR(O621="2500_4999",O621="5000p",J621="entreprise",J621="organisme",J621="agence"),"A",IF(OR(O621="1000_2499",O621="600_999"),"B",IF(O621="inconnu",IF(OR(N621="75_149",N621="150p"),"A","B"),""))))))</f>
        <v/>
      </c>
      <c r="AT621" s="7">
        <f>IF(A621="","",IF(P621&lt;&gt;"",P621,AS621))</f>
        <v/>
      </c>
      <c r="AU621" s="7">
        <f>IF(A621="","",IF(OR(AT621="A",AT621="B"),1,0))</f>
        <v/>
      </c>
      <c r="AV621" s="7">
        <f>IF(A621="","",IF(OR(R621="Dépôt payé (gagné)",R621="Événement livré",R621="Avis obtenu"),1,0))</f>
        <v/>
      </c>
      <c r="AW621" s="7">
        <f>IF(A621="","",IF(Q621&gt;70,"Immédiat – propriétaire",IF(Q621&gt;=40,"15 min – personne de garde","Selon la route")))</f>
        <v/>
      </c>
      <c r="AX621" s="11">
        <f>IF(A621="","",IF(AT621="A",400,IF(AT621="B",150,0)))</f>
        <v/>
      </c>
      <c r="AY621" s="11">
        <f>IF(A621="","",IF(AV621=1,N(V621),IF(N(U621)&gt;0,ROUND(N(U621)*IFERROR(VLOOKUP(R621,Listes!$AE$3:$AG$12,2,FALSE),0),0),0)))</f>
        <v/>
      </c>
      <c r="AZ621" s="7">
        <f>IF(LEFT(A621,7)="EXEMPLE",1,0)</f>
        <v/>
      </c>
      <c r="BA621" s="7">
        <f>IF(AND(AV621=1,AZ621=0,AC621&lt;&gt;"",W621&lt;&gt;"",N(V621)&gt;0),COUNTIFS($AV$3:AV621,1,$AZ$3:AZ621,0,$AC$3:AC621,"&lt;&gt;",$W$3:W621,"&lt;&gt;",$V$3:V621,"&gt;0"),"")</f>
        <v/>
      </c>
    </row>
    <row r="622">
      <c r="A622" s="12" t="n"/>
      <c r="B622" s="13" t="n"/>
      <c r="C622" s="13" t="n"/>
      <c r="D622" s="7">
        <f>IF(OR(B622="",C622=""),"",ROUND((C622-B622)*1440,0))</f>
        <v/>
      </c>
      <c r="E622" s="12" t="n"/>
      <c r="F622" s="12" t="n"/>
      <c r="G622" s="12" t="n"/>
      <c r="H622" s="12" t="n"/>
      <c r="I622" s="12" t="n"/>
      <c r="J622" s="12" t="n"/>
      <c r="K622" s="12" t="n"/>
      <c r="L622" s="14" t="n"/>
      <c r="M622" s="12" t="n"/>
      <c r="N622" s="12" t="n"/>
      <c r="O622" s="12" t="n"/>
      <c r="P622" s="12" t="n"/>
      <c r="Q622" s="7">
        <f>IF(A622="","",IFERROR(VLOOKUP(O622,Listes!$R$3:$T$8,2,FALSE),0)+IFERROR(VLOOKUP(J622,Listes!$J$3:$L$6,2,FALSE),0)+IFERROR(VLOOKUP(N622,Listes!$N$3:$P$6,2,FALSE),0)+IF(OR(L622="",B622=""),0,IF(L622-INT(B622)&lt;10,8,IF(L622-INT(B622)&lt;=90,10,5)))+IFERROR(VLOOKUP(AN622,Listes!$V$3:$W$5,2,FALSE),0)+IFERROR(VLOOKUP(AO622,Listes!$Y$3:$Z$5,2,FALSE),0))</f>
        <v/>
      </c>
      <c r="R622" s="12" t="n"/>
      <c r="S622" s="12" t="n"/>
      <c r="T622" s="12" t="n"/>
      <c r="U622" s="15" t="n"/>
      <c r="V622" s="15" t="n"/>
      <c r="W622" s="13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3" t="n"/>
      <c r="AK622" s="12" t="n"/>
      <c r="AL622" s="12" t="n"/>
      <c r="AM622" s="12" t="n"/>
      <c r="AN622" s="12" t="n"/>
      <c r="AO622" s="12" t="n"/>
      <c r="AP622" s="12" t="n"/>
      <c r="AQ622" s="7">
        <f>IF(A622="","",IF(AP622&lt;&gt;"",AP622,IF(LEFT(Z622,11)="gads_marque","Google Search – Marque",IF(LEFT(Z622,12)="gads_mariage","Google Search – Mariage et privé",IF(LEFT(Z622,10)="gads_corpo","Google Search – Corporatif",IF(LEFT(Z622,5)="meta_","Meta – Leads",IF(LEFT(Z622,5)="msft_","Microsoft Ads",IF(LEFT(Z622,8)="chatgpt_","ChatGPT Ads – Test",IF(X622="gbp","Fiche Google (organique)","Autre / non payé")))))))))</f>
        <v/>
      </c>
      <c r="AR622" s="7">
        <f>IF(K622="","",IFERROR(VLOOKUP(K622,Listes!$F$3:$H$8,3,FALSE),""))</f>
        <v/>
      </c>
      <c r="AS622" s="7">
        <f>IF(O622="","",IF(AND(M622="Autre (plus de 40 km)",OR(O622="lt600",O622="600_999",O622="1000_2499")),"D",IF(OR(O622="lt600",AND(O622="600_999",K622&lt;&gt;"mariage",K622&lt;&gt;"prive")),"C",IF(OR(O622="2500_4999",O622="5000p",J622="entreprise",J622="organisme",J622="agence"),"A",IF(OR(O622="1000_2499",O622="600_999"),"B",IF(O622="inconnu",IF(OR(N622="75_149",N622="150p"),"A","B"),""))))))</f>
        <v/>
      </c>
      <c r="AT622" s="7">
        <f>IF(A622="","",IF(P622&lt;&gt;"",P622,AS622))</f>
        <v/>
      </c>
      <c r="AU622" s="7">
        <f>IF(A622="","",IF(OR(AT622="A",AT622="B"),1,0))</f>
        <v/>
      </c>
      <c r="AV622" s="7">
        <f>IF(A622="","",IF(OR(R622="Dépôt payé (gagné)",R622="Événement livré",R622="Avis obtenu"),1,0))</f>
        <v/>
      </c>
      <c r="AW622" s="7">
        <f>IF(A622="","",IF(Q622&gt;70,"Immédiat – propriétaire",IF(Q622&gt;=40,"15 min – personne de garde","Selon la route")))</f>
        <v/>
      </c>
      <c r="AX622" s="11">
        <f>IF(A622="","",IF(AT622="A",400,IF(AT622="B",150,0)))</f>
        <v/>
      </c>
      <c r="AY622" s="11">
        <f>IF(A622="","",IF(AV622=1,N(V622),IF(N(U622)&gt;0,ROUND(N(U622)*IFERROR(VLOOKUP(R622,Listes!$AE$3:$AG$12,2,FALSE),0),0),0)))</f>
        <v/>
      </c>
      <c r="AZ622" s="7">
        <f>IF(LEFT(A622,7)="EXEMPLE",1,0)</f>
        <v/>
      </c>
      <c r="BA622" s="7">
        <f>IF(AND(AV622=1,AZ622=0,AC622&lt;&gt;"",W622&lt;&gt;"",N(V622)&gt;0),COUNTIFS($AV$3:AV622,1,$AZ$3:AZ622,0,$AC$3:AC622,"&lt;&gt;",$W$3:W622,"&lt;&gt;",$V$3:V622,"&gt;0"),"")</f>
        <v/>
      </c>
    </row>
    <row r="623">
      <c r="A623" s="12" t="n"/>
      <c r="B623" s="13" t="n"/>
      <c r="C623" s="13" t="n"/>
      <c r="D623" s="7">
        <f>IF(OR(B623="",C623=""),"",ROUND((C623-B623)*1440,0))</f>
        <v/>
      </c>
      <c r="E623" s="12" t="n"/>
      <c r="F623" s="12" t="n"/>
      <c r="G623" s="12" t="n"/>
      <c r="H623" s="12" t="n"/>
      <c r="I623" s="12" t="n"/>
      <c r="J623" s="12" t="n"/>
      <c r="K623" s="12" t="n"/>
      <c r="L623" s="14" t="n"/>
      <c r="M623" s="12" t="n"/>
      <c r="N623" s="12" t="n"/>
      <c r="O623" s="12" t="n"/>
      <c r="P623" s="12" t="n"/>
      <c r="Q623" s="7">
        <f>IF(A623="","",IFERROR(VLOOKUP(O623,Listes!$R$3:$T$8,2,FALSE),0)+IFERROR(VLOOKUP(J623,Listes!$J$3:$L$6,2,FALSE),0)+IFERROR(VLOOKUP(N623,Listes!$N$3:$P$6,2,FALSE),0)+IF(OR(L623="",B623=""),0,IF(L623-INT(B623)&lt;10,8,IF(L623-INT(B623)&lt;=90,10,5)))+IFERROR(VLOOKUP(AN623,Listes!$V$3:$W$5,2,FALSE),0)+IFERROR(VLOOKUP(AO623,Listes!$Y$3:$Z$5,2,FALSE),0))</f>
        <v/>
      </c>
      <c r="R623" s="12" t="n"/>
      <c r="S623" s="12" t="n"/>
      <c r="T623" s="12" t="n"/>
      <c r="U623" s="15" t="n"/>
      <c r="V623" s="15" t="n"/>
      <c r="W623" s="13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3" t="n"/>
      <c r="AK623" s="12" t="n"/>
      <c r="AL623" s="12" t="n"/>
      <c r="AM623" s="12" t="n"/>
      <c r="AN623" s="12" t="n"/>
      <c r="AO623" s="12" t="n"/>
      <c r="AP623" s="12" t="n"/>
      <c r="AQ623" s="7">
        <f>IF(A623="","",IF(AP623&lt;&gt;"",AP623,IF(LEFT(Z623,11)="gads_marque","Google Search – Marque",IF(LEFT(Z623,12)="gads_mariage","Google Search – Mariage et privé",IF(LEFT(Z623,10)="gads_corpo","Google Search – Corporatif",IF(LEFT(Z623,5)="meta_","Meta – Leads",IF(LEFT(Z623,5)="msft_","Microsoft Ads",IF(LEFT(Z623,8)="chatgpt_","ChatGPT Ads – Test",IF(X623="gbp","Fiche Google (organique)","Autre / non payé")))))))))</f>
        <v/>
      </c>
      <c r="AR623" s="7">
        <f>IF(K623="","",IFERROR(VLOOKUP(K623,Listes!$F$3:$H$8,3,FALSE),""))</f>
        <v/>
      </c>
      <c r="AS623" s="7">
        <f>IF(O623="","",IF(AND(M623="Autre (plus de 40 km)",OR(O623="lt600",O623="600_999",O623="1000_2499")),"D",IF(OR(O623="lt600",AND(O623="600_999",K623&lt;&gt;"mariage",K623&lt;&gt;"prive")),"C",IF(OR(O623="2500_4999",O623="5000p",J623="entreprise",J623="organisme",J623="agence"),"A",IF(OR(O623="1000_2499",O623="600_999"),"B",IF(O623="inconnu",IF(OR(N623="75_149",N623="150p"),"A","B"),""))))))</f>
        <v/>
      </c>
      <c r="AT623" s="7">
        <f>IF(A623="","",IF(P623&lt;&gt;"",P623,AS623))</f>
        <v/>
      </c>
      <c r="AU623" s="7">
        <f>IF(A623="","",IF(OR(AT623="A",AT623="B"),1,0))</f>
        <v/>
      </c>
      <c r="AV623" s="7">
        <f>IF(A623="","",IF(OR(R623="Dépôt payé (gagné)",R623="Événement livré",R623="Avis obtenu"),1,0))</f>
        <v/>
      </c>
      <c r="AW623" s="7">
        <f>IF(A623="","",IF(Q623&gt;70,"Immédiat – propriétaire",IF(Q623&gt;=40,"15 min – personne de garde","Selon la route")))</f>
        <v/>
      </c>
      <c r="AX623" s="11">
        <f>IF(A623="","",IF(AT623="A",400,IF(AT623="B",150,0)))</f>
        <v/>
      </c>
      <c r="AY623" s="11">
        <f>IF(A623="","",IF(AV623=1,N(V623),IF(N(U623)&gt;0,ROUND(N(U623)*IFERROR(VLOOKUP(R623,Listes!$AE$3:$AG$12,2,FALSE),0),0),0)))</f>
        <v/>
      </c>
      <c r="AZ623" s="7">
        <f>IF(LEFT(A623,7)="EXEMPLE",1,0)</f>
        <v/>
      </c>
      <c r="BA623" s="7">
        <f>IF(AND(AV623=1,AZ623=0,AC623&lt;&gt;"",W623&lt;&gt;"",N(V623)&gt;0),COUNTIFS($AV$3:AV623,1,$AZ$3:AZ623,0,$AC$3:AC623,"&lt;&gt;",$W$3:W623,"&lt;&gt;",$V$3:V623,"&gt;0"),"")</f>
        <v/>
      </c>
    </row>
    <row r="624">
      <c r="A624" s="12" t="n"/>
      <c r="B624" s="13" t="n"/>
      <c r="C624" s="13" t="n"/>
      <c r="D624" s="7">
        <f>IF(OR(B624="",C624=""),"",ROUND((C624-B624)*1440,0))</f>
        <v/>
      </c>
      <c r="E624" s="12" t="n"/>
      <c r="F624" s="12" t="n"/>
      <c r="G624" s="12" t="n"/>
      <c r="H624" s="12" t="n"/>
      <c r="I624" s="12" t="n"/>
      <c r="J624" s="12" t="n"/>
      <c r="K624" s="12" t="n"/>
      <c r="L624" s="14" t="n"/>
      <c r="M624" s="12" t="n"/>
      <c r="N624" s="12" t="n"/>
      <c r="O624" s="12" t="n"/>
      <c r="P624" s="12" t="n"/>
      <c r="Q624" s="7">
        <f>IF(A624="","",IFERROR(VLOOKUP(O624,Listes!$R$3:$T$8,2,FALSE),0)+IFERROR(VLOOKUP(J624,Listes!$J$3:$L$6,2,FALSE),0)+IFERROR(VLOOKUP(N624,Listes!$N$3:$P$6,2,FALSE),0)+IF(OR(L624="",B624=""),0,IF(L624-INT(B624)&lt;10,8,IF(L624-INT(B624)&lt;=90,10,5)))+IFERROR(VLOOKUP(AN624,Listes!$V$3:$W$5,2,FALSE),0)+IFERROR(VLOOKUP(AO624,Listes!$Y$3:$Z$5,2,FALSE),0))</f>
        <v/>
      </c>
      <c r="R624" s="12" t="n"/>
      <c r="S624" s="12" t="n"/>
      <c r="T624" s="12" t="n"/>
      <c r="U624" s="15" t="n"/>
      <c r="V624" s="15" t="n"/>
      <c r="W624" s="13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3" t="n"/>
      <c r="AK624" s="12" t="n"/>
      <c r="AL624" s="12" t="n"/>
      <c r="AM624" s="12" t="n"/>
      <c r="AN624" s="12" t="n"/>
      <c r="AO624" s="12" t="n"/>
      <c r="AP624" s="12" t="n"/>
      <c r="AQ624" s="7">
        <f>IF(A624="","",IF(AP624&lt;&gt;"",AP624,IF(LEFT(Z624,11)="gads_marque","Google Search – Marque",IF(LEFT(Z624,12)="gads_mariage","Google Search – Mariage et privé",IF(LEFT(Z624,10)="gads_corpo","Google Search – Corporatif",IF(LEFT(Z624,5)="meta_","Meta – Leads",IF(LEFT(Z624,5)="msft_","Microsoft Ads",IF(LEFT(Z624,8)="chatgpt_","ChatGPT Ads – Test",IF(X624="gbp","Fiche Google (organique)","Autre / non payé")))))))))</f>
        <v/>
      </c>
      <c r="AR624" s="7">
        <f>IF(K624="","",IFERROR(VLOOKUP(K624,Listes!$F$3:$H$8,3,FALSE),""))</f>
        <v/>
      </c>
      <c r="AS624" s="7">
        <f>IF(O624="","",IF(AND(M624="Autre (plus de 40 km)",OR(O624="lt600",O624="600_999",O624="1000_2499")),"D",IF(OR(O624="lt600",AND(O624="600_999",K624&lt;&gt;"mariage",K624&lt;&gt;"prive")),"C",IF(OR(O624="2500_4999",O624="5000p",J624="entreprise",J624="organisme",J624="agence"),"A",IF(OR(O624="1000_2499",O624="600_999"),"B",IF(O624="inconnu",IF(OR(N624="75_149",N624="150p"),"A","B"),""))))))</f>
        <v/>
      </c>
      <c r="AT624" s="7">
        <f>IF(A624="","",IF(P624&lt;&gt;"",P624,AS624))</f>
        <v/>
      </c>
      <c r="AU624" s="7">
        <f>IF(A624="","",IF(OR(AT624="A",AT624="B"),1,0))</f>
        <v/>
      </c>
      <c r="AV624" s="7">
        <f>IF(A624="","",IF(OR(R624="Dépôt payé (gagné)",R624="Événement livré",R624="Avis obtenu"),1,0))</f>
        <v/>
      </c>
      <c r="AW624" s="7">
        <f>IF(A624="","",IF(Q624&gt;70,"Immédiat – propriétaire",IF(Q624&gt;=40,"15 min – personne de garde","Selon la route")))</f>
        <v/>
      </c>
      <c r="AX624" s="11">
        <f>IF(A624="","",IF(AT624="A",400,IF(AT624="B",150,0)))</f>
        <v/>
      </c>
      <c r="AY624" s="11">
        <f>IF(A624="","",IF(AV624=1,N(V624),IF(N(U624)&gt;0,ROUND(N(U624)*IFERROR(VLOOKUP(R624,Listes!$AE$3:$AG$12,2,FALSE),0),0),0)))</f>
        <v/>
      </c>
      <c r="AZ624" s="7">
        <f>IF(LEFT(A624,7)="EXEMPLE",1,0)</f>
        <v/>
      </c>
      <c r="BA624" s="7">
        <f>IF(AND(AV624=1,AZ624=0,AC624&lt;&gt;"",W624&lt;&gt;"",N(V624)&gt;0),COUNTIFS($AV$3:AV624,1,$AZ$3:AZ624,0,$AC$3:AC624,"&lt;&gt;",$W$3:W624,"&lt;&gt;",$V$3:V624,"&gt;0"),"")</f>
        <v/>
      </c>
    </row>
    <row r="625">
      <c r="A625" s="12" t="n"/>
      <c r="B625" s="13" t="n"/>
      <c r="C625" s="13" t="n"/>
      <c r="D625" s="7">
        <f>IF(OR(B625="",C625=""),"",ROUND((C625-B625)*1440,0))</f>
        <v/>
      </c>
      <c r="E625" s="12" t="n"/>
      <c r="F625" s="12" t="n"/>
      <c r="G625" s="12" t="n"/>
      <c r="H625" s="12" t="n"/>
      <c r="I625" s="12" t="n"/>
      <c r="J625" s="12" t="n"/>
      <c r="K625" s="12" t="n"/>
      <c r="L625" s="14" t="n"/>
      <c r="M625" s="12" t="n"/>
      <c r="N625" s="12" t="n"/>
      <c r="O625" s="12" t="n"/>
      <c r="P625" s="12" t="n"/>
      <c r="Q625" s="7">
        <f>IF(A625="","",IFERROR(VLOOKUP(O625,Listes!$R$3:$T$8,2,FALSE),0)+IFERROR(VLOOKUP(J625,Listes!$J$3:$L$6,2,FALSE),0)+IFERROR(VLOOKUP(N625,Listes!$N$3:$P$6,2,FALSE),0)+IF(OR(L625="",B625=""),0,IF(L625-INT(B625)&lt;10,8,IF(L625-INT(B625)&lt;=90,10,5)))+IFERROR(VLOOKUP(AN625,Listes!$V$3:$W$5,2,FALSE),0)+IFERROR(VLOOKUP(AO625,Listes!$Y$3:$Z$5,2,FALSE),0))</f>
        <v/>
      </c>
      <c r="R625" s="12" t="n"/>
      <c r="S625" s="12" t="n"/>
      <c r="T625" s="12" t="n"/>
      <c r="U625" s="15" t="n"/>
      <c r="V625" s="15" t="n"/>
      <c r="W625" s="13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3" t="n"/>
      <c r="AK625" s="12" t="n"/>
      <c r="AL625" s="12" t="n"/>
      <c r="AM625" s="12" t="n"/>
      <c r="AN625" s="12" t="n"/>
      <c r="AO625" s="12" t="n"/>
      <c r="AP625" s="12" t="n"/>
      <c r="AQ625" s="7">
        <f>IF(A625="","",IF(AP625&lt;&gt;"",AP625,IF(LEFT(Z625,11)="gads_marque","Google Search – Marque",IF(LEFT(Z625,12)="gads_mariage","Google Search – Mariage et privé",IF(LEFT(Z625,10)="gads_corpo","Google Search – Corporatif",IF(LEFT(Z625,5)="meta_","Meta – Leads",IF(LEFT(Z625,5)="msft_","Microsoft Ads",IF(LEFT(Z625,8)="chatgpt_","ChatGPT Ads – Test",IF(X625="gbp","Fiche Google (organique)","Autre / non payé")))))))))</f>
        <v/>
      </c>
      <c r="AR625" s="7">
        <f>IF(K625="","",IFERROR(VLOOKUP(K625,Listes!$F$3:$H$8,3,FALSE),""))</f>
        <v/>
      </c>
      <c r="AS625" s="7">
        <f>IF(O625="","",IF(AND(M625="Autre (plus de 40 km)",OR(O625="lt600",O625="600_999",O625="1000_2499")),"D",IF(OR(O625="lt600",AND(O625="600_999",K625&lt;&gt;"mariage",K625&lt;&gt;"prive")),"C",IF(OR(O625="2500_4999",O625="5000p",J625="entreprise",J625="organisme",J625="agence"),"A",IF(OR(O625="1000_2499",O625="600_999"),"B",IF(O625="inconnu",IF(OR(N625="75_149",N625="150p"),"A","B"),""))))))</f>
        <v/>
      </c>
      <c r="AT625" s="7">
        <f>IF(A625="","",IF(P625&lt;&gt;"",P625,AS625))</f>
        <v/>
      </c>
      <c r="AU625" s="7">
        <f>IF(A625="","",IF(OR(AT625="A",AT625="B"),1,0))</f>
        <v/>
      </c>
      <c r="AV625" s="7">
        <f>IF(A625="","",IF(OR(R625="Dépôt payé (gagné)",R625="Événement livré",R625="Avis obtenu"),1,0))</f>
        <v/>
      </c>
      <c r="AW625" s="7">
        <f>IF(A625="","",IF(Q625&gt;70,"Immédiat – propriétaire",IF(Q625&gt;=40,"15 min – personne de garde","Selon la route")))</f>
        <v/>
      </c>
      <c r="AX625" s="11">
        <f>IF(A625="","",IF(AT625="A",400,IF(AT625="B",150,0)))</f>
        <v/>
      </c>
      <c r="AY625" s="11">
        <f>IF(A625="","",IF(AV625=1,N(V625),IF(N(U625)&gt;0,ROUND(N(U625)*IFERROR(VLOOKUP(R625,Listes!$AE$3:$AG$12,2,FALSE),0),0),0)))</f>
        <v/>
      </c>
      <c r="AZ625" s="7">
        <f>IF(LEFT(A625,7)="EXEMPLE",1,0)</f>
        <v/>
      </c>
      <c r="BA625" s="7">
        <f>IF(AND(AV625=1,AZ625=0,AC625&lt;&gt;"",W625&lt;&gt;"",N(V625)&gt;0),COUNTIFS($AV$3:AV625,1,$AZ$3:AZ625,0,$AC$3:AC625,"&lt;&gt;",$W$3:W625,"&lt;&gt;",$V$3:V625,"&gt;0"),"")</f>
        <v/>
      </c>
    </row>
    <row r="626">
      <c r="A626" s="12" t="n"/>
      <c r="B626" s="13" t="n"/>
      <c r="C626" s="13" t="n"/>
      <c r="D626" s="7">
        <f>IF(OR(B626="",C626=""),"",ROUND((C626-B626)*1440,0))</f>
        <v/>
      </c>
      <c r="E626" s="12" t="n"/>
      <c r="F626" s="12" t="n"/>
      <c r="G626" s="12" t="n"/>
      <c r="H626" s="12" t="n"/>
      <c r="I626" s="12" t="n"/>
      <c r="J626" s="12" t="n"/>
      <c r="K626" s="12" t="n"/>
      <c r="L626" s="14" t="n"/>
      <c r="M626" s="12" t="n"/>
      <c r="N626" s="12" t="n"/>
      <c r="O626" s="12" t="n"/>
      <c r="P626" s="12" t="n"/>
      <c r="Q626" s="7">
        <f>IF(A626="","",IFERROR(VLOOKUP(O626,Listes!$R$3:$T$8,2,FALSE),0)+IFERROR(VLOOKUP(J626,Listes!$J$3:$L$6,2,FALSE),0)+IFERROR(VLOOKUP(N626,Listes!$N$3:$P$6,2,FALSE),0)+IF(OR(L626="",B626=""),0,IF(L626-INT(B626)&lt;10,8,IF(L626-INT(B626)&lt;=90,10,5)))+IFERROR(VLOOKUP(AN626,Listes!$V$3:$W$5,2,FALSE),0)+IFERROR(VLOOKUP(AO626,Listes!$Y$3:$Z$5,2,FALSE),0))</f>
        <v/>
      </c>
      <c r="R626" s="12" t="n"/>
      <c r="S626" s="12" t="n"/>
      <c r="T626" s="12" t="n"/>
      <c r="U626" s="15" t="n"/>
      <c r="V626" s="15" t="n"/>
      <c r="W626" s="13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3" t="n"/>
      <c r="AK626" s="12" t="n"/>
      <c r="AL626" s="12" t="n"/>
      <c r="AM626" s="12" t="n"/>
      <c r="AN626" s="12" t="n"/>
      <c r="AO626" s="12" t="n"/>
      <c r="AP626" s="12" t="n"/>
      <c r="AQ626" s="7">
        <f>IF(A626="","",IF(AP626&lt;&gt;"",AP626,IF(LEFT(Z626,11)="gads_marque","Google Search – Marque",IF(LEFT(Z626,12)="gads_mariage","Google Search – Mariage et privé",IF(LEFT(Z626,10)="gads_corpo","Google Search – Corporatif",IF(LEFT(Z626,5)="meta_","Meta – Leads",IF(LEFT(Z626,5)="msft_","Microsoft Ads",IF(LEFT(Z626,8)="chatgpt_","ChatGPT Ads – Test",IF(X626="gbp","Fiche Google (organique)","Autre / non payé")))))))))</f>
        <v/>
      </c>
      <c r="AR626" s="7">
        <f>IF(K626="","",IFERROR(VLOOKUP(K626,Listes!$F$3:$H$8,3,FALSE),""))</f>
        <v/>
      </c>
      <c r="AS626" s="7">
        <f>IF(O626="","",IF(AND(M626="Autre (plus de 40 km)",OR(O626="lt600",O626="600_999",O626="1000_2499")),"D",IF(OR(O626="lt600",AND(O626="600_999",K626&lt;&gt;"mariage",K626&lt;&gt;"prive")),"C",IF(OR(O626="2500_4999",O626="5000p",J626="entreprise",J626="organisme",J626="agence"),"A",IF(OR(O626="1000_2499",O626="600_999"),"B",IF(O626="inconnu",IF(OR(N626="75_149",N626="150p"),"A","B"),""))))))</f>
        <v/>
      </c>
      <c r="AT626" s="7">
        <f>IF(A626="","",IF(P626&lt;&gt;"",P626,AS626))</f>
        <v/>
      </c>
      <c r="AU626" s="7">
        <f>IF(A626="","",IF(OR(AT626="A",AT626="B"),1,0))</f>
        <v/>
      </c>
      <c r="AV626" s="7">
        <f>IF(A626="","",IF(OR(R626="Dépôt payé (gagné)",R626="Événement livré",R626="Avis obtenu"),1,0))</f>
        <v/>
      </c>
      <c r="AW626" s="7">
        <f>IF(A626="","",IF(Q626&gt;70,"Immédiat – propriétaire",IF(Q626&gt;=40,"15 min – personne de garde","Selon la route")))</f>
        <v/>
      </c>
      <c r="AX626" s="11">
        <f>IF(A626="","",IF(AT626="A",400,IF(AT626="B",150,0)))</f>
        <v/>
      </c>
      <c r="AY626" s="11">
        <f>IF(A626="","",IF(AV626=1,N(V626),IF(N(U626)&gt;0,ROUND(N(U626)*IFERROR(VLOOKUP(R626,Listes!$AE$3:$AG$12,2,FALSE),0),0),0)))</f>
        <v/>
      </c>
      <c r="AZ626" s="7">
        <f>IF(LEFT(A626,7)="EXEMPLE",1,0)</f>
        <v/>
      </c>
      <c r="BA626" s="7">
        <f>IF(AND(AV626=1,AZ626=0,AC626&lt;&gt;"",W626&lt;&gt;"",N(V626)&gt;0),COUNTIFS($AV$3:AV626,1,$AZ$3:AZ626,0,$AC$3:AC626,"&lt;&gt;",$W$3:W626,"&lt;&gt;",$V$3:V626,"&gt;0"),"")</f>
        <v/>
      </c>
    </row>
    <row r="627">
      <c r="A627" s="12" t="n"/>
      <c r="B627" s="13" t="n"/>
      <c r="C627" s="13" t="n"/>
      <c r="D627" s="7">
        <f>IF(OR(B627="",C627=""),"",ROUND((C627-B627)*1440,0))</f>
        <v/>
      </c>
      <c r="E627" s="12" t="n"/>
      <c r="F627" s="12" t="n"/>
      <c r="G627" s="12" t="n"/>
      <c r="H627" s="12" t="n"/>
      <c r="I627" s="12" t="n"/>
      <c r="J627" s="12" t="n"/>
      <c r="K627" s="12" t="n"/>
      <c r="L627" s="14" t="n"/>
      <c r="M627" s="12" t="n"/>
      <c r="N627" s="12" t="n"/>
      <c r="O627" s="12" t="n"/>
      <c r="P627" s="12" t="n"/>
      <c r="Q627" s="7">
        <f>IF(A627="","",IFERROR(VLOOKUP(O627,Listes!$R$3:$T$8,2,FALSE),0)+IFERROR(VLOOKUP(J627,Listes!$J$3:$L$6,2,FALSE),0)+IFERROR(VLOOKUP(N627,Listes!$N$3:$P$6,2,FALSE),0)+IF(OR(L627="",B627=""),0,IF(L627-INT(B627)&lt;10,8,IF(L627-INT(B627)&lt;=90,10,5)))+IFERROR(VLOOKUP(AN627,Listes!$V$3:$W$5,2,FALSE),0)+IFERROR(VLOOKUP(AO627,Listes!$Y$3:$Z$5,2,FALSE),0))</f>
        <v/>
      </c>
      <c r="R627" s="12" t="n"/>
      <c r="S627" s="12" t="n"/>
      <c r="T627" s="12" t="n"/>
      <c r="U627" s="15" t="n"/>
      <c r="V627" s="15" t="n"/>
      <c r="W627" s="13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3" t="n"/>
      <c r="AK627" s="12" t="n"/>
      <c r="AL627" s="12" t="n"/>
      <c r="AM627" s="12" t="n"/>
      <c r="AN627" s="12" t="n"/>
      <c r="AO627" s="12" t="n"/>
      <c r="AP627" s="12" t="n"/>
      <c r="AQ627" s="7">
        <f>IF(A627="","",IF(AP627&lt;&gt;"",AP627,IF(LEFT(Z627,11)="gads_marque","Google Search – Marque",IF(LEFT(Z627,12)="gads_mariage","Google Search – Mariage et privé",IF(LEFT(Z627,10)="gads_corpo","Google Search – Corporatif",IF(LEFT(Z627,5)="meta_","Meta – Leads",IF(LEFT(Z627,5)="msft_","Microsoft Ads",IF(LEFT(Z627,8)="chatgpt_","ChatGPT Ads – Test",IF(X627="gbp","Fiche Google (organique)","Autre / non payé")))))))))</f>
        <v/>
      </c>
      <c r="AR627" s="7">
        <f>IF(K627="","",IFERROR(VLOOKUP(K627,Listes!$F$3:$H$8,3,FALSE),""))</f>
        <v/>
      </c>
      <c r="AS627" s="7">
        <f>IF(O627="","",IF(AND(M627="Autre (plus de 40 km)",OR(O627="lt600",O627="600_999",O627="1000_2499")),"D",IF(OR(O627="lt600",AND(O627="600_999",K627&lt;&gt;"mariage",K627&lt;&gt;"prive")),"C",IF(OR(O627="2500_4999",O627="5000p",J627="entreprise",J627="organisme",J627="agence"),"A",IF(OR(O627="1000_2499",O627="600_999"),"B",IF(O627="inconnu",IF(OR(N627="75_149",N627="150p"),"A","B"),""))))))</f>
        <v/>
      </c>
      <c r="AT627" s="7">
        <f>IF(A627="","",IF(P627&lt;&gt;"",P627,AS627))</f>
        <v/>
      </c>
      <c r="AU627" s="7">
        <f>IF(A627="","",IF(OR(AT627="A",AT627="B"),1,0))</f>
        <v/>
      </c>
      <c r="AV627" s="7">
        <f>IF(A627="","",IF(OR(R627="Dépôt payé (gagné)",R627="Événement livré",R627="Avis obtenu"),1,0))</f>
        <v/>
      </c>
      <c r="AW627" s="7">
        <f>IF(A627="","",IF(Q627&gt;70,"Immédiat – propriétaire",IF(Q627&gt;=40,"15 min – personne de garde","Selon la route")))</f>
        <v/>
      </c>
      <c r="AX627" s="11">
        <f>IF(A627="","",IF(AT627="A",400,IF(AT627="B",150,0)))</f>
        <v/>
      </c>
      <c r="AY627" s="11">
        <f>IF(A627="","",IF(AV627=1,N(V627),IF(N(U627)&gt;0,ROUND(N(U627)*IFERROR(VLOOKUP(R627,Listes!$AE$3:$AG$12,2,FALSE),0),0),0)))</f>
        <v/>
      </c>
      <c r="AZ627" s="7">
        <f>IF(LEFT(A627,7)="EXEMPLE",1,0)</f>
        <v/>
      </c>
      <c r="BA627" s="7">
        <f>IF(AND(AV627=1,AZ627=0,AC627&lt;&gt;"",W627&lt;&gt;"",N(V627)&gt;0),COUNTIFS($AV$3:AV627,1,$AZ$3:AZ627,0,$AC$3:AC627,"&lt;&gt;",$W$3:W627,"&lt;&gt;",$V$3:V627,"&gt;0"),"")</f>
        <v/>
      </c>
    </row>
    <row r="628">
      <c r="A628" s="12" t="n"/>
      <c r="B628" s="13" t="n"/>
      <c r="C628" s="13" t="n"/>
      <c r="D628" s="7">
        <f>IF(OR(B628="",C628=""),"",ROUND((C628-B628)*1440,0))</f>
        <v/>
      </c>
      <c r="E628" s="12" t="n"/>
      <c r="F628" s="12" t="n"/>
      <c r="G628" s="12" t="n"/>
      <c r="H628" s="12" t="n"/>
      <c r="I628" s="12" t="n"/>
      <c r="J628" s="12" t="n"/>
      <c r="K628" s="12" t="n"/>
      <c r="L628" s="14" t="n"/>
      <c r="M628" s="12" t="n"/>
      <c r="N628" s="12" t="n"/>
      <c r="O628" s="12" t="n"/>
      <c r="P628" s="12" t="n"/>
      <c r="Q628" s="7">
        <f>IF(A628="","",IFERROR(VLOOKUP(O628,Listes!$R$3:$T$8,2,FALSE),0)+IFERROR(VLOOKUP(J628,Listes!$J$3:$L$6,2,FALSE),0)+IFERROR(VLOOKUP(N628,Listes!$N$3:$P$6,2,FALSE),0)+IF(OR(L628="",B628=""),0,IF(L628-INT(B628)&lt;10,8,IF(L628-INT(B628)&lt;=90,10,5)))+IFERROR(VLOOKUP(AN628,Listes!$V$3:$W$5,2,FALSE),0)+IFERROR(VLOOKUP(AO628,Listes!$Y$3:$Z$5,2,FALSE),0))</f>
        <v/>
      </c>
      <c r="R628" s="12" t="n"/>
      <c r="S628" s="12" t="n"/>
      <c r="T628" s="12" t="n"/>
      <c r="U628" s="15" t="n"/>
      <c r="V628" s="15" t="n"/>
      <c r="W628" s="13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3" t="n"/>
      <c r="AK628" s="12" t="n"/>
      <c r="AL628" s="12" t="n"/>
      <c r="AM628" s="12" t="n"/>
      <c r="AN628" s="12" t="n"/>
      <c r="AO628" s="12" t="n"/>
      <c r="AP628" s="12" t="n"/>
      <c r="AQ628" s="7">
        <f>IF(A628="","",IF(AP628&lt;&gt;"",AP628,IF(LEFT(Z628,11)="gads_marque","Google Search – Marque",IF(LEFT(Z628,12)="gads_mariage","Google Search – Mariage et privé",IF(LEFT(Z628,10)="gads_corpo","Google Search – Corporatif",IF(LEFT(Z628,5)="meta_","Meta – Leads",IF(LEFT(Z628,5)="msft_","Microsoft Ads",IF(LEFT(Z628,8)="chatgpt_","ChatGPT Ads – Test",IF(X628="gbp","Fiche Google (organique)","Autre / non payé")))))))))</f>
        <v/>
      </c>
      <c r="AR628" s="7">
        <f>IF(K628="","",IFERROR(VLOOKUP(K628,Listes!$F$3:$H$8,3,FALSE),""))</f>
        <v/>
      </c>
      <c r="AS628" s="7">
        <f>IF(O628="","",IF(AND(M628="Autre (plus de 40 km)",OR(O628="lt600",O628="600_999",O628="1000_2499")),"D",IF(OR(O628="lt600",AND(O628="600_999",K628&lt;&gt;"mariage",K628&lt;&gt;"prive")),"C",IF(OR(O628="2500_4999",O628="5000p",J628="entreprise",J628="organisme",J628="agence"),"A",IF(OR(O628="1000_2499",O628="600_999"),"B",IF(O628="inconnu",IF(OR(N628="75_149",N628="150p"),"A","B"),""))))))</f>
        <v/>
      </c>
      <c r="AT628" s="7">
        <f>IF(A628="","",IF(P628&lt;&gt;"",P628,AS628))</f>
        <v/>
      </c>
      <c r="AU628" s="7">
        <f>IF(A628="","",IF(OR(AT628="A",AT628="B"),1,0))</f>
        <v/>
      </c>
      <c r="AV628" s="7">
        <f>IF(A628="","",IF(OR(R628="Dépôt payé (gagné)",R628="Événement livré",R628="Avis obtenu"),1,0))</f>
        <v/>
      </c>
      <c r="AW628" s="7">
        <f>IF(A628="","",IF(Q628&gt;70,"Immédiat – propriétaire",IF(Q628&gt;=40,"15 min – personne de garde","Selon la route")))</f>
        <v/>
      </c>
      <c r="AX628" s="11">
        <f>IF(A628="","",IF(AT628="A",400,IF(AT628="B",150,0)))</f>
        <v/>
      </c>
      <c r="AY628" s="11">
        <f>IF(A628="","",IF(AV628=1,N(V628),IF(N(U628)&gt;0,ROUND(N(U628)*IFERROR(VLOOKUP(R628,Listes!$AE$3:$AG$12,2,FALSE),0),0),0)))</f>
        <v/>
      </c>
      <c r="AZ628" s="7">
        <f>IF(LEFT(A628,7)="EXEMPLE",1,0)</f>
        <v/>
      </c>
      <c r="BA628" s="7">
        <f>IF(AND(AV628=1,AZ628=0,AC628&lt;&gt;"",W628&lt;&gt;"",N(V628)&gt;0),COUNTIFS($AV$3:AV628,1,$AZ$3:AZ628,0,$AC$3:AC628,"&lt;&gt;",$W$3:W628,"&lt;&gt;",$V$3:V628,"&gt;0"),"")</f>
        <v/>
      </c>
    </row>
    <row r="629">
      <c r="A629" s="12" t="n"/>
      <c r="B629" s="13" t="n"/>
      <c r="C629" s="13" t="n"/>
      <c r="D629" s="7">
        <f>IF(OR(B629="",C629=""),"",ROUND((C629-B629)*1440,0))</f>
        <v/>
      </c>
      <c r="E629" s="12" t="n"/>
      <c r="F629" s="12" t="n"/>
      <c r="G629" s="12" t="n"/>
      <c r="H629" s="12" t="n"/>
      <c r="I629" s="12" t="n"/>
      <c r="J629" s="12" t="n"/>
      <c r="K629" s="12" t="n"/>
      <c r="L629" s="14" t="n"/>
      <c r="M629" s="12" t="n"/>
      <c r="N629" s="12" t="n"/>
      <c r="O629" s="12" t="n"/>
      <c r="P629" s="12" t="n"/>
      <c r="Q629" s="7">
        <f>IF(A629="","",IFERROR(VLOOKUP(O629,Listes!$R$3:$T$8,2,FALSE),0)+IFERROR(VLOOKUP(J629,Listes!$J$3:$L$6,2,FALSE),0)+IFERROR(VLOOKUP(N629,Listes!$N$3:$P$6,2,FALSE),0)+IF(OR(L629="",B629=""),0,IF(L629-INT(B629)&lt;10,8,IF(L629-INT(B629)&lt;=90,10,5)))+IFERROR(VLOOKUP(AN629,Listes!$V$3:$W$5,2,FALSE),0)+IFERROR(VLOOKUP(AO629,Listes!$Y$3:$Z$5,2,FALSE),0))</f>
        <v/>
      </c>
      <c r="R629" s="12" t="n"/>
      <c r="S629" s="12" t="n"/>
      <c r="T629" s="12" t="n"/>
      <c r="U629" s="15" t="n"/>
      <c r="V629" s="15" t="n"/>
      <c r="W629" s="13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3" t="n"/>
      <c r="AK629" s="12" t="n"/>
      <c r="AL629" s="12" t="n"/>
      <c r="AM629" s="12" t="n"/>
      <c r="AN629" s="12" t="n"/>
      <c r="AO629" s="12" t="n"/>
      <c r="AP629" s="12" t="n"/>
      <c r="AQ629" s="7">
        <f>IF(A629="","",IF(AP629&lt;&gt;"",AP629,IF(LEFT(Z629,11)="gads_marque","Google Search – Marque",IF(LEFT(Z629,12)="gads_mariage","Google Search – Mariage et privé",IF(LEFT(Z629,10)="gads_corpo","Google Search – Corporatif",IF(LEFT(Z629,5)="meta_","Meta – Leads",IF(LEFT(Z629,5)="msft_","Microsoft Ads",IF(LEFT(Z629,8)="chatgpt_","ChatGPT Ads – Test",IF(X629="gbp","Fiche Google (organique)","Autre / non payé")))))))))</f>
        <v/>
      </c>
      <c r="AR629" s="7">
        <f>IF(K629="","",IFERROR(VLOOKUP(K629,Listes!$F$3:$H$8,3,FALSE),""))</f>
        <v/>
      </c>
      <c r="AS629" s="7">
        <f>IF(O629="","",IF(AND(M629="Autre (plus de 40 km)",OR(O629="lt600",O629="600_999",O629="1000_2499")),"D",IF(OR(O629="lt600",AND(O629="600_999",K629&lt;&gt;"mariage",K629&lt;&gt;"prive")),"C",IF(OR(O629="2500_4999",O629="5000p",J629="entreprise",J629="organisme",J629="agence"),"A",IF(OR(O629="1000_2499",O629="600_999"),"B",IF(O629="inconnu",IF(OR(N629="75_149",N629="150p"),"A","B"),""))))))</f>
        <v/>
      </c>
      <c r="AT629" s="7">
        <f>IF(A629="","",IF(P629&lt;&gt;"",P629,AS629))</f>
        <v/>
      </c>
      <c r="AU629" s="7">
        <f>IF(A629="","",IF(OR(AT629="A",AT629="B"),1,0))</f>
        <v/>
      </c>
      <c r="AV629" s="7">
        <f>IF(A629="","",IF(OR(R629="Dépôt payé (gagné)",R629="Événement livré",R629="Avis obtenu"),1,0))</f>
        <v/>
      </c>
      <c r="AW629" s="7">
        <f>IF(A629="","",IF(Q629&gt;70,"Immédiat – propriétaire",IF(Q629&gt;=40,"15 min – personne de garde","Selon la route")))</f>
        <v/>
      </c>
      <c r="AX629" s="11">
        <f>IF(A629="","",IF(AT629="A",400,IF(AT629="B",150,0)))</f>
        <v/>
      </c>
      <c r="AY629" s="11">
        <f>IF(A629="","",IF(AV629=1,N(V629),IF(N(U629)&gt;0,ROUND(N(U629)*IFERROR(VLOOKUP(R629,Listes!$AE$3:$AG$12,2,FALSE),0),0),0)))</f>
        <v/>
      </c>
      <c r="AZ629" s="7">
        <f>IF(LEFT(A629,7)="EXEMPLE",1,0)</f>
        <v/>
      </c>
      <c r="BA629" s="7">
        <f>IF(AND(AV629=1,AZ629=0,AC629&lt;&gt;"",W629&lt;&gt;"",N(V629)&gt;0),COUNTIFS($AV$3:AV629,1,$AZ$3:AZ629,0,$AC$3:AC629,"&lt;&gt;",$W$3:W629,"&lt;&gt;",$V$3:V629,"&gt;0"),"")</f>
        <v/>
      </c>
    </row>
    <row r="630">
      <c r="A630" s="12" t="n"/>
      <c r="B630" s="13" t="n"/>
      <c r="C630" s="13" t="n"/>
      <c r="D630" s="7">
        <f>IF(OR(B630="",C630=""),"",ROUND((C630-B630)*1440,0))</f>
        <v/>
      </c>
      <c r="E630" s="12" t="n"/>
      <c r="F630" s="12" t="n"/>
      <c r="G630" s="12" t="n"/>
      <c r="H630" s="12" t="n"/>
      <c r="I630" s="12" t="n"/>
      <c r="J630" s="12" t="n"/>
      <c r="K630" s="12" t="n"/>
      <c r="L630" s="14" t="n"/>
      <c r="M630" s="12" t="n"/>
      <c r="N630" s="12" t="n"/>
      <c r="O630" s="12" t="n"/>
      <c r="P630" s="12" t="n"/>
      <c r="Q630" s="7">
        <f>IF(A630="","",IFERROR(VLOOKUP(O630,Listes!$R$3:$T$8,2,FALSE),0)+IFERROR(VLOOKUP(J630,Listes!$J$3:$L$6,2,FALSE),0)+IFERROR(VLOOKUP(N630,Listes!$N$3:$P$6,2,FALSE),0)+IF(OR(L630="",B630=""),0,IF(L630-INT(B630)&lt;10,8,IF(L630-INT(B630)&lt;=90,10,5)))+IFERROR(VLOOKUP(AN630,Listes!$V$3:$W$5,2,FALSE),0)+IFERROR(VLOOKUP(AO630,Listes!$Y$3:$Z$5,2,FALSE),0))</f>
        <v/>
      </c>
      <c r="R630" s="12" t="n"/>
      <c r="S630" s="12" t="n"/>
      <c r="T630" s="12" t="n"/>
      <c r="U630" s="15" t="n"/>
      <c r="V630" s="15" t="n"/>
      <c r="W630" s="13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3" t="n"/>
      <c r="AK630" s="12" t="n"/>
      <c r="AL630" s="12" t="n"/>
      <c r="AM630" s="12" t="n"/>
      <c r="AN630" s="12" t="n"/>
      <c r="AO630" s="12" t="n"/>
      <c r="AP630" s="12" t="n"/>
      <c r="AQ630" s="7">
        <f>IF(A630="","",IF(AP630&lt;&gt;"",AP630,IF(LEFT(Z630,11)="gads_marque","Google Search – Marque",IF(LEFT(Z630,12)="gads_mariage","Google Search – Mariage et privé",IF(LEFT(Z630,10)="gads_corpo","Google Search – Corporatif",IF(LEFT(Z630,5)="meta_","Meta – Leads",IF(LEFT(Z630,5)="msft_","Microsoft Ads",IF(LEFT(Z630,8)="chatgpt_","ChatGPT Ads – Test",IF(X630="gbp","Fiche Google (organique)","Autre / non payé")))))))))</f>
        <v/>
      </c>
      <c r="AR630" s="7">
        <f>IF(K630="","",IFERROR(VLOOKUP(K630,Listes!$F$3:$H$8,3,FALSE),""))</f>
        <v/>
      </c>
      <c r="AS630" s="7">
        <f>IF(O630="","",IF(AND(M630="Autre (plus de 40 km)",OR(O630="lt600",O630="600_999",O630="1000_2499")),"D",IF(OR(O630="lt600",AND(O630="600_999",K630&lt;&gt;"mariage",K630&lt;&gt;"prive")),"C",IF(OR(O630="2500_4999",O630="5000p",J630="entreprise",J630="organisme",J630="agence"),"A",IF(OR(O630="1000_2499",O630="600_999"),"B",IF(O630="inconnu",IF(OR(N630="75_149",N630="150p"),"A","B"),""))))))</f>
        <v/>
      </c>
      <c r="AT630" s="7">
        <f>IF(A630="","",IF(P630&lt;&gt;"",P630,AS630))</f>
        <v/>
      </c>
      <c r="AU630" s="7">
        <f>IF(A630="","",IF(OR(AT630="A",AT630="B"),1,0))</f>
        <v/>
      </c>
      <c r="AV630" s="7">
        <f>IF(A630="","",IF(OR(R630="Dépôt payé (gagné)",R630="Événement livré",R630="Avis obtenu"),1,0))</f>
        <v/>
      </c>
      <c r="AW630" s="7">
        <f>IF(A630="","",IF(Q630&gt;70,"Immédiat – propriétaire",IF(Q630&gt;=40,"15 min – personne de garde","Selon la route")))</f>
        <v/>
      </c>
      <c r="AX630" s="11">
        <f>IF(A630="","",IF(AT630="A",400,IF(AT630="B",150,0)))</f>
        <v/>
      </c>
      <c r="AY630" s="11">
        <f>IF(A630="","",IF(AV630=1,N(V630),IF(N(U630)&gt;0,ROUND(N(U630)*IFERROR(VLOOKUP(R630,Listes!$AE$3:$AG$12,2,FALSE),0),0),0)))</f>
        <v/>
      </c>
      <c r="AZ630" s="7">
        <f>IF(LEFT(A630,7)="EXEMPLE",1,0)</f>
        <v/>
      </c>
      <c r="BA630" s="7">
        <f>IF(AND(AV630=1,AZ630=0,AC630&lt;&gt;"",W630&lt;&gt;"",N(V630)&gt;0),COUNTIFS($AV$3:AV630,1,$AZ$3:AZ630,0,$AC$3:AC630,"&lt;&gt;",$W$3:W630,"&lt;&gt;",$V$3:V630,"&gt;0"),"")</f>
        <v/>
      </c>
    </row>
    <row r="631">
      <c r="A631" s="12" t="n"/>
      <c r="B631" s="13" t="n"/>
      <c r="C631" s="13" t="n"/>
      <c r="D631" s="7">
        <f>IF(OR(B631="",C631=""),"",ROUND((C631-B631)*1440,0))</f>
        <v/>
      </c>
      <c r="E631" s="12" t="n"/>
      <c r="F631" s="12" t="n"/>
      <c r="G631" s="12" t="n"/>
      <c r="H631" s="12" t="n"/>
      <c r="I631" s="12" t="n"/>
      <c r="J631" s="12" t="n"/>
      <c r="K631" s="12" t="n"/>
      <c r="L631" s="14" t="n"/>
      <c r="M631" s="12" t="n"/>
      <c r="N631" s="12" t="n"/>
      <c r="O631" s="12" t="n"/>
      <c r="P631" s="12" t="n"/>
      <c r="Q631" s="7">
        <f>IF(A631="","",IFERROR(VLOOKUP(O631,Listes!$R$3:$T$8,2,FALSE),0)+IFERROR(VLOOKUP(J631,Listes!$J$3:$L$6,2,FALSE),0)+IFERROR(VLOOKUP(N631,Listes!$N$3:$P$6,2,FALSE),0)+IF(OR(L631="",B631=""),0,IF(L631-INT(B631)&lt;10,8,IF(L631-INT(B631)&lt;=90,10,5)))+IFERROR(VLOOKUP(AN631,Listes!$V$3:$W$5,2,FALSE),0)+IFERROR(VLOOKUP(AO631,Listes!$Y$3:$Z$5,2,FALSE),0))</f>
        <v/>
      </c>
      <c r="R631" s="12" t="n"/>
      <c r="S631" s="12" t="n"/>
      <c r="T631" s="12" t="n"/>
      <c r="U631" s="15" t="n"/>
      <c r="V631" s="15" t="n"/>
      <c r="W631" s="13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3" t="n"/>
      <c r="AK631" s="12" t="n"/>
      <c r="AL631" s="12" t="n"/>
      <c r="AM631" s="12" t="n"/>
      <c r="AN631" s="12" t="n"/>
      <c r="AO631" s="12" t="n"/>
      <c r="AP631" s="12" t="n"/>
      <c r="AQ631" s="7">
        <f>IF(A631="","",IF(AP631&lt;&gt;"",AP631,IF(LEFT(Z631,11)="gads_marque","Google Search – Marque",IF(LEFT(Z631,12)="gads_mariage","Google Search – Mariage et privé",IF(LEFT(Z631,10)="gads_corpo","Google Search – Corporatif",IF(LEFT(Z631,5)="meta_","Meta – Leads",IF(LEFT(Z631,5)="msft_","Microsoft Ads",IF(LEFT(Z631,8)="chatgpt_","ChatGPT Ads – Test",IF(X631="gbp","Fiche Google (organique)","Autre / non payé")))))))))</f>
        <v/>
      </c>
      <c r="AR631" s="7">
        <f>IF(K631="","",IFERROR(VLOOKUP(K631,Listes!$F$3:$H$8,3,FALSE),""))</f>
        <v/>
      </c>
      <c r="AS631" s="7">
        <f>IF(O631="","",IF(AND(M631="Autre (plus de 40 km)",OR(O631="lt600",O631="600_999",O631="1000_2499")),"D",IF(OR(O631="lt600",AND(O631="600_999",K631&lt;&gt;"mariage",K631&lt;&gt;"prive")),"C",IF(OR(O631="2500_4999",O631="5000p",J631="entreprise",J631="organisme",J631="agence"),"A",IF(OR(O631="1000_2499",O631="600_999"),"B",IF(O631="inconnu",IF(OR(N631="75_149",N631="150p"),"A","B"),""))))))</f>
        <v/>
      </c>
      <c r="AT631" s="7">
        <f>IF(A631="","",IF(P631&lt;&gt;"",P631,AS631))</f>
        <v/>
      </c>
      <c r="AU631" s="7">
        <f>IF(A631="","",IF(OR(AT631="A",AT631="B"),1,0))</f>
        <v/>
      </c>
      <c r="AV631" s="7">
        <f>IF(A631="","",IF(OR(R631="Dépôt payé (gagné)",R631="Événement livré",R631="Avis obtenu"),1,0))</f>
        <v/>
      </c>
      <c r="AW631" s="7">
        <f>IF(A631="","",IF(Q631&gt;70,"Immédiat – propriétaire",IF(Q631&gt;=40,"15 min – personne de garde","Selon la route")))</f>
        <v/>
      </c>
      <c r="AX631" s="11">
        <f>IF(A631="","",IF(AT631="A",400,IF(AT631="B",150,0)))</f>
        <v/>
      </c>
      <c r="AY631" s="11">
        <f>IF(A631="","",IF(AV631=1,N(V631),IF(N(U631)&gt;0,ROUND(N(U631)*IFERROR(VLOOKUP(R631,Listes!$AE$3:$AG$12,2,FALSE),0),0),0)))</f>
        <v/>
      </c>
      <c r="AZ631" s="7">
        <f>IF(LEFT(A631,7)="EXEMPLE",1,0)</f>
        <v/>
      </c>
      <c r="BA631" s="7">
        <f>IF(AND(AV631=1,AZ631=0,AC631&lt;&gt;"",W631&lt;&gt;"",N(V631)&gt;0),COUNTIFS($AV$3:AV631,1,$AZ$3:AZ631,0,$AC$3:AC631,"&lt;&gt;",$W$3:W631,"&lt;&gt;",$V$3:V631,"&gt;0"),"")</f>
        <v/>
      </c>
    </row>
    <row r="632">
      <c r="A632" s="12" t="n"/>
      <c r="B632" s="13" t="n"/>
      <c r="C632" s="13" t="n"/>
      <c r="D632" s="7">
        <f>IF(OR(B632="",C632=""),"",ROUND((C632-B632)*1440,0))</f>
        <v/>
      </c>
      <c r="E632" s="12" t="n"/>
      <c r="F632" s="12" t="n"/>
      <c r="G632" s="12" t="n"/>
      <c r="H632" s="12" t="n"/>
      <c r="I632" s="12" t="n"/>
      <c r="J632" s="12" t="n"/>
      <c r="K632" s="12" t="n"/>
      <c r="L632" s="14" t="n"/>
      <c r="M632" s="12" t="n"/>
      <c r="N632" s="12" t="n"/>
      <c r="O632" s="12" t="n"/>
      <c r="P632" s="12" t="n"/>
      <c r="Q632" s="7">
        <f>IF(A632="","",IFERROR(VLOOKUP(O632,Listes!$R$3:$T$8,2,FALSE),0)+IFERROR(VLOOKUP(J632,Listes!$J$3:$L$6,2,FALSE),0)+IFERROR(VLOOKUP(N632,Listes!$N$3:$P$6,2,FALSE),0)+IF(OR(L632="",B632=""),0,IF(L632-INT(B632)&lt;10,8,IF(L632-INT(B632)&lt;=90,10,5)))+IFERROR(VLOOKUP(AN632,Listes!$V$3:$W$5,2,FALSE),0)+IFERROR(VLOOKUP(AO632,Listes!$Y$3:$Z$5,2,FALSE),0))</f>
        <v/>
      </c>
      <c r="R632" s="12" t="n"/>
      <c r="S632" s="12" t="n"/>
      <c r="T632" s="12" t="n"/>
      <c r="U632" s="15" t="n"/>
      <c r="V632" s="15" t="n"/>
      <c r="W632" s="13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3" t="n"/>
      <c r="AK632" s="12" t="n"/>
      <c r="AL632" s="12" t="n"/>
      <c r="AM632" s="12" t="n"/>
      <c r="AN632" s="12" t="n"/>
      <c r="AO632" s="12" t="n"/>
      <c r="AP632" s="12" t="n"/>
      <c r="AQ632" s="7">
        <f>IF(A632="","",IF(AP632&lt;&gt;"",AP632,IF(LEFT(Z632,11)="gads_marque","Google Search – Marque",IF(LEFT(Z632,12)="gads_mariage","Google Search – Mariage et privé",IF(LEFT(Z632,10)="gads_corpo","Google Search – Corporatif",IF(LEFT(Z632,5)="meta_","Meta – Leads",IF(LEFT(Z632,5)="msft_","Microsoft Ads",IF(LEFT(Z632,8)="chatgpt_","ChatGPT Ads – Test",IF(X632="gbp","Fiche Google (organique)","Autre / non payé")))))))))</f>
        <v/>
      </c>
      <c r="AR632" s="7">
        <f>IF(K632="","",IFERROR(VLOOKUP(K632,Listes!$F$3:$H$8,3,FALSE),""))</f>
        <v/>
      </c>
      <c r="AS632" s="7">
        <f>IF(O632="","",IF(AND(M632="Autre (plus de 40 km)",OR(O632="lt600",O632="600_999",O632="1000_2499")),"D",IF(OR(O632="lt600",AND(O632="600_999",K632&lt;&gt;"mariage",K632&lt;&gt;"prive")),"C",IF(OR(O632="2500_4999",O632="5000p",J632="entreprise",J632="organisme",J632="agence"),"A",IF(OR(O632="1000_2499",O632="600_999"),"B",IF(O632="inconnu",IF(OR(N632="75_149",N632="150p"),"A","B"),""))))))</f>
        <v/>
      </c>
      <c r="AT632" s="7">
        <f>IF(A632="","",IF(P632&lt;&gt;"",P632,AS632))</f>
        <v/>
      </c>
      <c r="AU632" s="7">
        <f>IF(A632="","",IF(OR(AT632="A",AT632="B"),1,0))</f>
        <v/>
      </c>
      <c r="AV632" s="7">
        <f>IF(A632="","",IF(OR(R632="Dépôt payé (gagné)",R632="Événement livré",R632="Avis obtenu"),1,0))</f>
        <v/>
      </c>
      <c r="AW632" s="7">
        <f>IF(A632="","",IF(Q632&gt;70,"Immédiat – propriétaire",IF(Q632&gt;=40,"15 min – personne de garde","Selon la route")))</f>
        <v/>
      </c>
      <c r="AX632" s="11">
        <f>IF(A632="","",IF(AT632="A",400,IF(AT632="B",150,0)))</f>
        <v/>
      </c>
      <c r="AY632" s="11">
        <f>IF(A632="","",IF(AV632=1,N(V632),IF(N(U632)&gt;0,ROUND(N(U632)*IFERROR(VLOOKUP(R632,Listes!$AE$3:$AG$12,2,FALSE),0),0),0)))</f>
        <v/>
      </c>
      <c r="AZ632" s="7">
        <f>IF(LEFT(A632,7)="EXEMPLE",1,0)</f>
        <v/>
      </c>
      <c r="BA632" s="7">
        <f>IF(AND(AV632=1,AZ632=0,AC632&lt;&gt;"",W632&lt;&gt;"",N(V632)&gt;0),COUNTIFS($AV$3:AV632,1,$AZ$3:AZ632,0,$AC$3:AC632,"&lt;&gt;",$W$3:W632,"&lt;&gt;",$V$3:V632,"&gt;0"),"")</f>
        <v/>
      </c>
    </row>
    <row r="633">
      <c r="A633" s="12" t="n"/>
      <c r="B633" s="13" t="n"/>
      <c r="C633" s="13" t="n"/>
      <c r="D633" s="7">
        <f>IF(OR(B633="",C633=""),"",ROUND((C633-B633)*1440,0))</f>
        <v/>
      </c>
      <c r="E633" s="12" t="n"/>
      <c r="F633" s="12" t="n"/>
      <c r="G633" s="12" t="n"/>
      <c r="H633" s="12" t="n"/>
      <c r="I633" s="12" t="n"/>
      <c r="J633" s="12" t="n"/>
      <c r="K633" s="12" t="n"/>
      <c r="L633" s="14" t="n"/>
      <c r="M633" s="12" t="n"/>
      <c r="N633" s="12" t="n"/>
      <c r="O633" s="12" t="n"/>
      <c r="P633" s="12" t="n"/>
      <c r="Q633" s="7">
        <f>IF(A633="","",IFERROR(VLOOKUP(O633,Listes!$R$3:$T$8,2,FALSE),0)+IFERROR(VLOOKUP(J633,Listes!$J$3:$L$6,2,FALSE),0)+IFERROR(VLOOKUP(N633,Listes!$N$3:$P$6,2,FALSE),0)+IF(OR(L633="",B633=""),0,IF(L633-INT(B633)&lt;10,8,IF(L633-INT(B633)&lt;=90,10,5)))+IFERROR(VLOOKUP(AN633,Listes!$V$3:$W$5,2,FALSE),0)+IFERROR(VLOOKUP(AO633,Listes!$Y$3:$Z$5,2,FALSE),0))</f>
        <v/>
      </c>
      <c r="R633" s="12" t="n"/>
      <c r="S633" s="12" t="n"/>
      <c r="T633" s="12" t="n"/>
      <c r="U633" s="15" t="n"/>
      <c r="V633" s="15" t="n"/>
      <c r="W633" s="13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3" t="n"/>
      <c r="AK633" s="12" t="n"/>
      <c r="AL633" s="12" t="n"/>
      <c r="AM633" s="12" t="n"/>
      <c r="AN633" s="12" t="n"/>
      <c r="AO633" s="12" t="n"/>
      <c r="AP633" s="12" t="n"/>
      <c r="AQ633" s="7">
        <f>IF(A633="","",IF(AP633&lt;&gt;"",AP633,IF(LEFT(Z633,11)="gads_marque","Google Search – Marque",IF(LEFT(Z633,12)="gads_mariage","Google Search – Mariage et privé",IF(LEFT(Z633,10)="gads_corpo","Google Search – Corporatif",IF(LEFT(Z633,5)="meta_","Meta – Leads",IF(LEFT(Z633,5)="msft_","Microsoft Ads",IF(LEFT(Z633,8)="chatgpt_","ChatGPT Ads – Test",IF(X633="gbp","Fiche Google (organique)","Autre / non payé")))))))))</f>
        <v/>
      </c>
      <c r="AR633" s="7">
        <f>IF(K633="","",IFERROR(VLOOKUP(K633,Listes!$F$3:$H$8,3,FALSE),""))</f>
        <v/>
      </c>
      <c r="AS633" s="7">
        <f>IF(O633="","",IF(AND(M633="Autre (plus de 40 km)",OR(O633="lt600",O633="600_999",O633="1000_2499")),"D",IF(OR(O633="lt600",AND(O633="600_999",K633&lt;&gt;"mariage",K633&lt;&gt;"prive")),"C",IF(OR(O633="2500_4999",O633="5000p",J633="entreprise",J633="organisme",J633="agence"),"A",IF(OR(O633="1000_2499",O633="600_999"),"B",IF(O633="inconnu",IF(OR(N633="75_149",N633="150p"),"A","B"),""))))))</f>
        <v/>
      </c>
      <c r="AT633" s="7">
        <f>IF(A633="","",IF(P633&lt;&gt;"",P633,AS633))</f>
        <v/>
      </c>
      <c r="AU633" s="7">
        <f>IF(A633="","",IF(OR(AT633="A",AT633="B"),1,0))</f>
        <v/>
      </c>
      <c r="AV633" s="7">
        <f>IF(A633="","",IF(OR(R633="Dépôt payé (gagné)",R633="Événement livré",R633="Avis obtenu"),1,0))</f>
        <v/>
      </c>
      <c r="AW633" s="7">
        <f>IF(A633="","",IF(Q633&gt;70,"Immédiat – propriétaire",IF(Q633&gt;=40,"15 min – personne de garde","Selon la route")))</f>
        <v/>
      </c>
      <c r="AX633" s="11">
        <f>IF(A633="","",IF(AT633="A",400,IF(AT633="B",150,0)))</f>
        <v/>
      </c>
      <c r="AY633" s="11">
        <f>IF(A633="","",IF(AV633=1,N(V633),IF(N(U633)&gt;0,ROUND(N(U633)*IFERROR(VLOOKUP(R633,Listes!$AE$3:$AG$12,2,FALSE),0),0),0)))</f>
        <v/>
      </c>
      <c r="AZ633" s="7">
        <f>IF(LEFT(A633,7)="EXEMPLE",1,0)</f>
        <v/>
      </c>
      <c r="BA633" s="7">
        <f>IF(AND(AV633=1,AZ633=0,AC633&lt;&gt;"",W633&lt;&gt;"",N(V633)&gt;0),COUNTIFS($AV$3:AV633,1,$AZ$3:AZ633,0,$AC$3:AC633,"&lt;&gt;",$W$3:W633,"&lt;&gt;",$V$3:V633,"&gt;0"),"")</f>
        <v/>
      </c>
    </row>
    <row r="634">
      <c r="A634" s="12" t="n"/>
      <c r="B634" s="13" t="n"/>
      <c r="C634" s="13" t="n"/>
      <c r="D634" s="7">
        <f>IF(OR(B634="",C634=""),"",ROUND((C634-B634)*1440,0))</f>
        <v/>
      </c>
      <c r="E634" s="12" t="n"/>
      <c r="F634" s="12" t="n"/>
      <c r="G634" s="12" t="n"/>
      <c r="H634" s="12" t="n"/>
      <c r="I634" s="12" t="n"/>
      <c r="J634" s="12" t="n"/>
      <c r="K634" s="12" t="n"/>
      <c r="L634" s="14" t="n"/>
      <c r="M634" s="12" t="n"/>
      <c r="N634" s="12" t="n"/>
      <c r="O634" s="12" t="n"/>
      <c r="P634" s="12" t="n"/>
      <c r="Q634" s="7">
        <f>IF(A634="","",IFERROR(VLOOKUP(O634,Listes!$R$3:$T$8,2,FALSE),0)+IFERROR(VLOOKUP(J634,Listes!$J$3:$L$6,2,FALSE),0)+IFERROR(VLOOKUP(N634,Listes!$N$3:$P$6,2,FALSE),0)+IF(OR(L634="",B634=""),0,IF(L634-INT(B634)&lt;10,8,IF(L634-INT(B634)&lt;=90,10,5)))+IFERROR(VLOOKUP(AN634,Listes!$V$3:$W$5,2,FALSE),0)+IFERROR(VLOOKUP(AO634,Listes!$Y$3:$Z$5,2,FALSE),0))</f>
        <v/>
      </c>
      <c r="R634" s="12" t="n"/>
      <c r="S634" s="12" t="n"/>
      <c r="T634" s="12" t="n"/>
      <c r="U634" s="15" t="n"/>
      <c r="V634" s="15" t="n"/>
      <c r="W634" s="13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3" t="n"/>
      <c r="AK634" s="12" t="n"/>
      <c r="AL634" s="12" t="n"/>
      <c r="AM634" s="12" t="n"/>
      <c r="AN634" s="12" t="n"/>
      <c r="AO634" s="12" t="n"/>
      <c r="AP634" s="12" t="n"/>
      <c r="AQ634" s="7">
        <f>IF(A634="","",IF(AP634&lt;&gt;"",AP634,IF(LEFT(Z634,11)="gads_marque","Google Search – Marque",IF(LEFT(Z634,12)="gads_mariage","Google Search – Mariage et privé",IF(LEFT(Z634,10)="gads_corpo","Google Search – Corporatif",IF(LEFT(Z634,5)="meta_","Meta – Leads",IF(LEFT(Z634,5)="msft_","Microsoft Ads",IF(LEFT(Z634,8)="chatgpt_","ChatGPT Ads – Test",IF(X634="gbp","Fiche Google (organique)","Autre / non payé")))))))))</f>
        <v/>
      </c>
      <c r="AR634" s="7">
        <f>IF(K634="","",IFERROR(VLOOKUP(K634,Listes!$F$3:$H$8,3,FALSE),""))</f>
        <v/>
      </c>
      <c r="AS634" s="7">
        <f>IF(O634="","",IF(AND(M634="Autre (plus de 40 km)",OR(O634="lt600",O634="600_999",O634="1000_2499")),"D",IF(OR(O634="lt600",AND(O634="600_999",K634&lt;&gt;"mariage",K634&lt;&gt;"prive")),"C",IF(OR(O634="2500_4999",O634="5000p",J634="entreprise",J634="organisme",J634="agence"),"A",IF(OR(O634="1000_2499",O634="600_999"),"B",IF(O634="inconnu",IF(OR(N634="75_149",N634="150p"),"A","B"),""))))))</f>
        <v/>
      </c>
      <c r="AT634" s="7">
        <f>IF(A634="","",IF(P634&lt;&gt;"",P634,AS634))</f>
        <v/>
      </c>
      <c r="AU634" s="7">
        <f>IF(A634="","",IF(OR(AT634="A",AT634="B"),1,0))</f>
        <v/>
      </c>
      <c r="AV634" s="7">
        <f>IF(A634="","",IF(OR(R634="Dépôt payé (gagné)",R634="Événement livré",R634="Avis obtenu"),1,0))</f>
        <v/>
      </c>
      <c r="AW634" s="7">
        <f>IF(A634="","",IF(Q634&gt;70,"Immédiat – propriétaire",IF(Q634&gt;=40,"15 min – personne de garde","Selon la route")))</f>
        <v/>
      </c>
      <c r="AX634" s="11">
        <f>IF(A634="","",IF(AT634="A",400,IF(AT634="B",150,0)))</f>
        <v/>
      </c>
      <c r="AY634" s="11">
        <f>IF(A634="","",IF(AV634=1,N(V634),IF(N(U634)&gt;0,ROUND(N(U634)*IFERROR(VLOOKUP(R634,Listes!$AE$3:$AG$12,2,FALSE),0),0),0)))</f>
        <v/>
      </c>
      <c r="AZ634" s="7">
        <f>IF(LEFT(A634,7)="EXEMPLE",1,0)</f>
        <v/>
      </c>
      <c r="BA634" s="7">
        <f>IF(AND(AV634=1,AZ634=0,AC634&lt;&gt;"",W634&lt;&gt;"",N(V634)&gt;0),COUNTIFS($AV$3:AV634,1,$AZ$3:AZ634,0,$AC$3:AC634,"&lt;&gt;",$W$3:W634,"&lt;&gt;",$V$3:V634,"&gt;0"),"")</f>
        <v/>
      </c>
    </row>
    <row r="635">
      <c r="A635" s="12" t="n"/>
      <c r="B635" s="13" t="n"/>
      <c r="C635" s="13" t="n"/>
      <c r="D635" s="7">
        <f>IF(OR(B635="",C635=""),"",ROUND((C635-B635)*1440,0))</f>
        <v/>
      </c>
      <c r="E635" s="12" t="n"/>
      <c r="F635" s="12" t="n"/>
      <c r="G635" s="12" t="n"/>
      <c r="H635" s="12" t="n"/>
      <c r="I635" s="12" t="n"/>
      <c r="J635" s="12" t="n"/>
      <c r="K635" s="12" t="n"/>
      <c r="L635" s="14" t="n"/>
      <c r="M635" s="12" t="n"/>
      <c r="N635" s="12" t="n"/>
      <c r="O635" s="12" t="n"/>
      <c r="P635" s="12" t="n"/>
      <c r="Q635" s="7">
        <f>IF(A635="","",IFERROR(VLOOKUP(O635,Listes!$R$3:$T$8,2,FALSE),0)+IFERROR(VLOOKUP(J635,Listes!$J$3:$L$6,2,FALSE),0)+IFERROR(VLOOKUP(N635,Listes!$N$3:$P$6,2,FALSE),0)+IF(OR(L635="",B635=""),0,IF(L635-INT(B635)&lt;10,8,IF(L635-INT(B635)&lt;=90,10,5)))+IFERROR(VLOOKUP(AN635,Listes!$V$3:$W$5,2,FALSE),0)+IFERROR(VLOOKUP(AO635,Listes!$Y$3:$Z$5,2,FALSE),0))</f>
        <v/>
      </c>
      <c r="R635" s="12" t="n"/>
      <c r="S635" s="12" t="n"/>
      <c r="T635" s="12" t="n"/>
      <c r="U635" s="15" t="n"/>
      <c r="V635" s="15" t="n"/>
      <c r="W635" s="13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3" t="n"/>
      <c r="AK635" s="12" t="n"/>
      <c r="AL635" s="12" t="n"/>
      <c r="AM635" s="12" t="n"/>
      <c r="AN635" s="12" t="n"/>
      <c r="AO635" s="12" t="n"/>
      <c r="AP635" s="12" t="n"/>
      <c r="AQ635" s="7">
        <f>IF(A635="","",IF(AP635&lt;&gt;"",AP635,IF(LEFT(Z635,11)="gads_marque","Google Search – Marque",IF(LEFT(Z635,12)="gads_mariage","Google Search – Mariage et privé",IF(LEFT(Z635,10)="gads_corpo","Google Search – Corporatif",IF(LEFT(Z635,5)="meta_","Meta – Leads",IF(LEFT(Z635,5)="msft_","Microsoft Ads",IF(LEFT(Z635,8)="chatgpt_","ChatGPT Ads – Test",IF(X635="gbp","Fiche Google (organique)","Autre / non payé")))))))))</f>
        <v/>
      </c>
      <c r="AR635" s="7">
        <f>IF(K635="","",IFERROR(VLOOKUP(K635,Listes!$F$3:$H$8,3,FALSE),""))</f>
        <v/>
      </c>
      <c r="AS635" s="7">
        <f>IF(O635="","",IF(AND(M635="Autre (plus de 40 km)",OR(O635="lt600",O635="600_999",O635="1000_2499")),"D",IF(OR(O635="lt600",AND(O635="600_999",K635&lt;&gt;"mariage",K635&lt;&gt;"prive")),"C",IF(OR(O635="2500_4999",O635="5000p",J635="entreprise",J635="organisme",J635="agence"),"A",IF(OR(O635="1000_2499",O635="600_999"),"B",IF(O635="inconnu",IF(OR(N635="75_149",N635="150p"),"A","B"),""))))))</f>
        <v/>
      </c>
      <c r="AT635" s="7">
        <f>IF(A635="","",IF(P635&lt;&gt;"",P635,AS635))</f>
        <v/>
      </c>
      <c r="AU635" s="7">
        <f>IF(A635="","",IF(OR(AT635="A",AT635="B"),1,0))</f>
        <v/>
      </c>
      <c r="AV635" s="7">
        <f>IF(A635="","",IF(OR(R635="Dépôt payé (gagné)",R635="Événement livré",R635="Avis obtenu"),1,0))</f>
        <v/>
      </c>
      <c r="AW635" s="7">
        <f>IF(A635="","",IF(Q635&gt;70,"Immédiat – propriétaire",IF(Q635&gt;=40,"15 min – personne de garde","Selon la route")))</f>
        <v/>
      </c>
      <c r="AX635" s="11">
        <f>IF(A635="","",IF(AT635="A",400,IF(AT635="B",150,0)))</f>
        <v/>
      </c>
      <c r="AY635" s="11">
        <f>IF(A635="","",IF(AV635=1,N(V635),IF(N(U635)&gt;0,ROUND(N(U635)*IFERROR(VLOOKUP(R635,Listes!$AE$3:$AG$12,2,FALSE),0),0),0)))</f>
        <v/>
      </c>
      <c r="AZ635" s="7">
        <f>IF(LEFT(A635,7)="EXEMPLE",1,0)</f>
        <v/>
      </c>
      <c r="BA635" s="7">
        <f>IF(AND(AV635=1,AZ635=0,AC635&lt;&gt;"",W635&lt;&gt;"",N(V635)&gt;0),COUNTIFS($AV$3:AV635,1,$AZ$3:AZ635,0,$AC$3:AC635,"&lt;&gt;",$W$3:W635,"&lt;&gt;",$V$3:V635,"&gt;0"),"")</f>
        <v/>
      </c>
    </row>
    <row r="636">
      <c r="A636" s="12" t="n"/>
      <c r="B636" s="13" t="n"/>
      <c r="C636" s="13" t="n"/>
      <c r="D636" s="7">
        <f>IF(OR(B636="",C636=""),"",ROUND((C636-B636)*1440,0))</f>
        <v/>
      </c>
      <c r="E636" s="12" t="n"/>
      <c r="F636" s="12" t="n"/>
      <c r="G636" s="12" t="n"/>
      <c r="H636" s="12" t="n"/>
      <c r="I636" s="12" t="n"/>
      <c r="J636" s="12" t="n"/>
      <c r="K636" s="12" t="n"/>
      <c r="L636" s="14" t="n"/>
      <c r="M636" s="12" t="n"/>
      <c r="N636" s="12" t="n"/>
      <c r="O636" s="12" t="n"/>
      <c r="P636" s="12" t="n"/>
      <c r="Q636" s="7">
        <f>IF(A636="","",IFERROR(VLOOKUP(O636,Listes!$R$3:$T$8,2,FALSE),0)+IFERROR(VLOOKUP(J636,Listes!$J$3:$L$6,2,FALSE),0)+IFERROR(VLOOKUP(N636,Listes!$N$3:$P$6,2,FALSE),0)+IF(OR(L636="",B636=""),0,IF(L636-INT(B636)&lt;10,8,IF(L636-INT(B636)&lt;=90,10,5)))+IFERROR(VLOOKUP(AN636,Listes!$V$3:$W$5,2,FALSE),0)+IFERROR(VLOOKUP(AO636,Listes!$Y$3:$Z$5,2,FALSE),0))</f>
        <v/>
      </c>
      <c r="R636" s="12" t="n"/>
      <c r="S636" s="12" t="n"/>
      <c r="T636" s="12" t="n"/>
      <c r="U636" s="15" t="n"/>
      <c r="V636" s="15" t="n"/>
      <c r="W636" s="13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3" t="n"/>
      <c r="AK636" s="12" t="n"/>
      <c r="AL636" s="12" t="n"/>
      <c r="AM636" s="12" t="n"/>
      <c r="AN636" s="12" t="n"/>
      <c r="AO636" s="12" t="n"/>
      <c r="AP636" s="12" t="n"/>
      <c r="AQ636" s="7">
        <f>IF(A636="","",IF(AP636&lt;&gt;"",AP636,IF(LEFT(Z636,11)="gads_marque","Google Search – Marque",IF(LEFT(Z636,12)="gads_mariage","Google Search – Mariage et privé",IF(LEFT(Z636,10)="gads_corpo","Google Search – Corporatif",IF(LEFT(Z636,5)="meta_","Meta – Leads",IF(LEFT(Z636,5)="msft_","Microsoft Ads",IF(LEFT(Z636,8)="chatgpt_","ChatGPT Ads – Test",IF(X636="gbp","Fiche Google (organique)","Autre / non payé")))))))))</f>
        <v/>
      </c>
      <c r="AR636" s="7">
        <f>IF(K636="","",IFERROR(VLOOKUP(K636,Listes!$F$3:$H$8,3,FALSE),""))</f>
        <v/>
      </c>
      <c r="AS636" s="7">
        <f>IF(O636="","",IF(AND(M636="Autre (plus de 40 km)",OR(O636="lt600",O636="600_999",O636="1000_2499")),"D",IF(OR(O636="lt600",AND(O636="600_999",K636&lt;&gt;"mariage",K636&lt;&gt;"prive")),"C",IF(OR(O636="2500_4999",O636="5000p",J636="entreprise",J636="organisme",J636="agence"),"A",IF(OR(O636="1000_2499",O636="600_999"),"B",IF(O636="inconnu",IF(OR(N636="75_149",N636="150p"),"A","B"),""))))))</f>
        <v/>
      </c>
      <c r="AT636" s="7">
        <f>IF(A636="","",IF(P636&lt;&gt;"",P636,AS636))</f>
        <v/>
      </c>
      <c r="AU636" s="7">
        <f>IF(A636="","",IF(OR(AT636="A",AT636="B"),1,0))</f>
        <v/>
      </c>
      <c r="AV636" s="7">
        <f>IF(A636="","",IF(OR(R636="Dépôt payé (gagné)",R636="Événement livré",R636="Avis obtenu"),1,0))</f>
        <v/>
      </c>
      <c r="AW636" s="7">
        <f>IF(A636="","",IF(Q636&gt;70,"Immédiat – propriétaire",IF(Q636&gt;=40,"15 min – personne de garde","Selon la route")))</f>
        <v/>
      </c>
      <c r="AX636" s="11">
        <f>IF(A636="","",IF(AT636="A",400,IF(AT636="B",150,0)))</f>
        <v/>
      </c>
      <c r="AY636" s="11">
        <f>IF(A636="","",IF(AV636=1,N(V636),IF(N(U636)&gt;0,ROUND(N(U636)*IFERROR(VLOOKUP(R636,Listes!$AE$3:$AG$12,2,FALSE),0),0),0)))</f>
        <v/>
      </c>
      <c r="AZ636" s="7">
        <f>IF(LEFT(A636,7)="EXEMPLE",1,0)</f>
        <v/>
      </c>
      <c r="BA636" s="7">
        <f>IF(AND(AV636=1,AZ636=0,AC636&lt;&gt;"",W636&lt;&gt;"",N(V636)&gt;0),COUNTIFS($AV$3:AV636,1,$AZ$3:AZ636,0,$AC$3:AC636,"&lt;&gt;",$W$3:W636,"&lt;&gt;",$V$3:V636,"&gt;0"),"")</f>
        <v/>
      </c>
    </row>
    <row r="637">
      <c r="A637" s="12" t="n"/>
      <c r="B637" s="13" t="n"/>
      <c r="C637" s="13" t="n"/>
      <c r="D637" s="7">
        <f>IF(OR(B637="",C637=""),"",ROUND((C637-B637)*1440,0))</f>
        <v/>
      </c>
      <c r="E637" s="12" t="n"/>
      <c r="F637" s="12" t="n"/>
      <c r="G637" s="12" t="n"/>
      <c r="H637" s="12" t="n"/>
      <c r="I637" s="12" t="n"/>
      <c r="J637" s="12" t="n"/>
      <c r="K637" s="12" t="n"/>
      <c r="L637" s="14" t="n"/>
      <c r="M637" s="12" t="n"/>
      <c r="N637" s="12" t="n"/>
      <c r="O637" s="12" t="n"/>
      <c r="P637" s="12" t="n"/>
      <c r="Q637" s="7">
        <f>IF(A637="","",IFERROR(VLOOKUP(O637,Listes!$R$3:$T$8,2,FALSE),0)+IFERROR(VLOOKUP(J637,Listes!$J$3:$L$6,2,FALSE),0)+IFERROR(VLOOKUP(N637,Listes!$N$3:$P$6,2,FALSE),0)+IF(OR(L637="",B637=""),0,IF(L637-INT(B637)&lt;10,8,IF(L637-INT(B637)&lt;=90,10,5)))+IFERROR(VLOOKUP(AN637,Listes!$V$3:$W$5,2,FALSE),0)+IFERROR(VLOOKUP(AO637,Listes!$Y$3:$Z$5,2,FALSE),0))</f>
        <v/>
      </c>
      <c r="R637" s="12" t="n"/>
      <c r="S637" s="12" t="n"/>
      <c r="T637" s="12" t="n"/>
      <c r="U637" s="15" t="n"/>
      <c r="V637" s="15" t="n"/>
      <c r="W637" s="13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3" t="n"/>
      <c r="AK637" s="12" t="n"/>
      <c r="AL637" s="12" t="n"/>
      <c r="AM637" s="12" t="n"/>
      <c r="AN637" s="12" t="n"/>
      <c r="AO637" s="12" t="n"/>
      <c r="AP637" s="12" t="n"/>
      <c r="AQ637" s="7">
        <f>IF(A637="","",IF(AP637&lt;&gt;"",AP637,IF(LEFT(Z637,11)="gads_marque","Google Search – Marque",IF(LEFT(Z637,12)="gads_mariage","Google Search – Mariage et privé",IF(LEFT(Z637,10)="gads_corpo","Google Search – Corporatif",IF(LEFT(Z637,5)="meta_","Meta – Leads",IF(LEFT(Z637,5)="msft_","Microsoft Ads",IF(LEFT(Z637,8)="chatgpt_","ChatGPT Ads – Test",IF(X637="gbp","Fiche Google (organique)","Autre / non payé")))))))))</f>
        <v/>
      </c>
      <c r="AR637" s="7">
        <f>IF(K637="","",IFERROR(VLOOKUP(K637,Listes!$F$3:$H$8,3,FALSE),""))</f>
        <v/>
      </c>
      <c r="AS637" s="7">
        <f>IF(O637="","",IF(AND(M637="Autre (plus de 40 km)",OR(O637="lt600",O637="600_999",O637="1000_2499")),"D",IF(OR(O637="lt600",AND(O637="600_999",K637&lt;&gt;"mariage",K637&lt;&gt;"prive")),"C",IF(OR(O637="2500_4999",O637="5000p",J637="entreprise",J637="organisme",J637="agence"),"A",IF(OR(O637="1000_2499",O637="600_999"),"B",IF(O637="inconnu",IF(OR(N637="75_149",N637="150p"),"A","B"),""))))))</f>
        <v/>
      </c>
      <c r="AT637" s="7">
        <f>IF(A637="","",IF(P637&lt;&gt;"",P637,AS637))</f>
        <v/>
      </c>
      <c r="AU637" s="7">
        <f>IF(A637="","",IF(OR(AT637="A",AT637="B"),1,0))</f>
        <v/>
      </c>
      <c r="AV637" s="7">
        <f>IF(A637="","",IF(OR(R637="Dépôt payé (gagné)",R637="Événement livré",R637="Avis obtenu"),1,0))</f>
        <v/>
      </c>
      <c r="AW637" s="7">
        <f>IF(A637="","",IF(Q637&gt;70,"Immédiat – propriétaire",IF(Q637&gt;=40,"15 min – personne de garde","Selon la route")))</f>
        <v/>
      </c>
      <c r="AX637" s="11">
        <f>IF(A637="","",IF(AT637="A",400,IF(AT637="B",150,0)))</f>
        <v/>
      </c>
      <c r="AY637" s="11">
        <f>IF(A637="","",IF(AV637=1,N(V637),IF(N(U637)&gt;0,ROUND(N(U637)*IFERROR(VLOOKUP(R637,Listes!$AE$3:$AG$12,2,FALSE),0),0),0)))</f>
        <v/>
      </c>
      <c r="AZ637" s="7">
        <f>IF(LEFT(A637,7)="EXEMPLE",1,0)</f>
        <v/>
      </c>
      <c r="BA637" s="7">
        <f>IF(AND(AV637=1,AZ637=0,AC637&lt;&gt;"",W637&lt;&gt;"",N(V637)&gt;0),COUNTIFS($AV$3:AV637,1,$AZ$3:AZ637,0,$AC$3:AC637,"&lt;&gt;",$W$3:W637,"&lt;&gt;",$V$3:V637,"&gt;0"),"")</f>
        <v/>
      </c>
    </row>
    <row r="638">
      <c r="A638" s="12" t="n"/>
      <c r="B638" s="13" t="n"/>
      <c r="C638" s="13" t="n"/>
      <c r="D638" s="7">
        <f>IF(OR(B638="",C638=""),"",ROUND((C638-B638)*1440,0))</f>
        <v/>
      </c>
      <c r="E638" s="12" t="n"/>
      <c r="F638" s="12" t="n"/>
      <c r="G638" s="12" t="n"/>
      <c r="H638" s="12" t="n"/>
      <c r="I638" s="12" t="n"/>
      <c r="J638" s="12" t="n"/>
      <c r="K638" s="12" t="n"/>
      <c r="L638" s="14" t="n"/>
      <c r="M638" s="12" t="n"/>
      <c r="N638" s="12" t="n"/>
      <c r="O638" s="12" t="n"/>
      <c r="P638" s="12" t="n"/>
      <c r="Q638" s="7">
        <f>IF(A638="","",IFERROR(VLOOKUP(O638,Listes!$R$3:$T$8,2,FALSE),0)+IFERROR(VLOOKUP(J638,Listes!$J$3:$L$6,2,FALSE),0)+IFERROR(VLOOKUP(N638,Listes!$N$3:$P$6,2,FALSE),0)+IF(OR(L638="",B638=""),0,IF(L638-INT(B638)&lt;10,8,IF(L638-INT(B638)&lt;=90,10,5)))+IFERROR(VLOOKUP(AN638,Listes!$V$3:$W$5,2,FALSE),0)+IFERROR(VLOOKUP(AO638,Listes!$Y$3:$Z$5,2,FALSE),0))</f>
        <v/>
      </c>
      <c r="R638" s="12" t="n"/>
      <c r="S638" s="12" t="n"/>
      <c r="T638" s="12" t="n"/>
      <c r="U638" s="15" t="n"/>
      <c r="V638" s="15" t="n"/>
      <c r="W638" s="13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3" t="n"/>
      <c r="AK638" s="12" t="n"/>
      <c r="AL638" s="12" t="n"/>
      <c r="AM638" s="12" t="n"/>
      <c r="AN638" s="12" t="n"/>
      <c r="AO638" s="12" t="n"/>
      <c r="AP638" s="12" t="n"/>
      <c r="AQ638" s="7">
        <f>IF(A638="","",IF(AP638&lt;&gt;"",AP638,IF(LEFT(Z638,11)="gads_marque","Google Search – Marque",IF(LEFT(Z638,12)="gads_mariage","Google Search – Mariage et privé",IF(LEFT(Z638,10)="gads_corpo","Google Search – Corporatif",IF(LEFT(Z638,5)="meta_","Meta – Leads",IF(LEFT(Z638,5)="msft_","Microsoft Ads",IF(LEFT(Z638,8)="chatgpt_","ChatGPT Ads – Test",IF(X638="gbp","Fiche Google (organique)","Autre / non payé")))))))))</f>
        <v/>
      </c>
      <c r="AR638" s="7">
        <f>IF(K638="","",IFERROR(VLOOKUP(K638,Listes!$F$3:$H$8,3,FALSE),""))</f>
        <v/>
      </c>
      <c r="AS638" s="7">
        <f>IF(O638="","",IF(AND(M638="Autre (plus de 40 km)",OR(O638="lt600",O638="600_999",O638="1000_2499")),"D",IF(OR(O638="lt600",AND(O638="600_999",K638&lt;&gt;"mariage",K638&lt;&gt;"prive")),"C",IF(OR(O638="2500_4999",O638="5000p",J638="entreprise",J638="organisme",J638="agence"),"A",IF(OR(O638="1000_2499",O638="600_999"),"B",IF(O638="inconnu",IF(OR(N638="75_149",N638="150p"),"A","B"),""))))))</f>
        <v/>
      </c>
      <c r="AT638" s="7">
        <f>IF(A638="","",IF(P638&lt;&gt;"",P638,AS638))</f>
        <v/>
      </c>
      <c r="AU638" s="7">
        <f>IF(A638="","",IF(OR(AT638="A",AT638="B"),1,0))</f>
        <v/>
      </c>
      <c r="AV638" s="7">
        <f>IF(A638="","",IF(OR(R638="Dépôt payé (gagné)",R638="Événement livré",R638="Avis obtenu"),1,0))</f>
        <v/>
      </c>
      <c r="AW638" s="7">
        <f>IF(A638="","",IF(Q638&gt;70,"Immédiat – propriétaire",IF(Q638&gt;=40,"15 min – personne de garde","Selon la route")))</f>
        <v/>
      </c>
      <c r="AX638" s="11">
        <f>IF(A638="","",IF(AT638="A",400,IF(AT638="B",150,0)))</f>
        <v/>
      </c>
      <c r="AY638" s="11">
        <f>IF(A638="","",IF(AV638=1,N(V638),IF(N(U638)&gt;0,ROUND(N(U638)*IFERROR(VLOOKUP(R638,Listes!$AE$3:$AG$12,2,FALSE),0),0),0)))</f>
        <v/>
      </c>
      <c r="AZ638" s="7">
        <f>IF(LEFT(A638,7)="EXEMPLE",1,0)</f>
        <v/>
      </c>
      <c r="BA638" s="7">
        <f>IF(AND(AV638=1,AZ638=0,AC638&lt;&gt;"",W638&lt;&gt;"",N(V638)&gt;0),COUNTIFS($AV$3:AV638,1,$AZ$3:AZ638,0,$AC$3:AC638,"&lt;&gt;",$W$3:W638,"&lt;&gt;",$V$3:V638,"&gt;0"),"")</f>
        <v/>
      </c>
    </row>
    <row r="639">
      <c r="A639" s="12" t="n"/>
      <c r="B639" s="13" t="n"/>
      <c r="C639" s="13" t="n"/>
      <c r="D639" s="7">
        <f>IF(OR(B639="",C639=""),"",ROUND((C639-B639)*1440,0))</f>
        <v/>
      </c>
      <c r="E639" s="12" t="n"/>
      <c r="F639" s="12" t="n"/>
      <c r="G639" s="12" t="n"/>
      <c r="H639" s="12" t="n"/>
      <c r="I639" s="12" t="n"/>
      <c r="J639" s="12" t="n"/>
      <c r="K639" s="12" t="n"/>
      <c r="L639" s="14" t="n"/>
      <c r="M639" s="12" t="n"/>
      <c r="N639" s="12" t="n"/>
      <c r="O639" s="12" t="n"/>
      <c r="P639" s="12" t="n"/>
      <c r="Q639" s="7">
        <f>IF(A639="","",IFERROR(VLOOKUP(O639,Listes!$R$3:$T$8,2,FALSE),0)+IFERROR(VLOOKUP(J639,Listes!$J$3:$L$6,2,FALSE),0)+IFERROR(VLOOKUP(N639,Listes!$N$3:$P$6,2,FALSE),0)+IF(OR(L639="",B639=""),0,IF(L639-INT(B639)&lt;10,8,IF(L639-INT(B639)&lt;=90,10,5)))+IFERROR(VLOOKUP(AN639,Listes!$V$3:$W$5,2,FALSE),0)+IFERROR(VLOOKUP(AO639,Listes!$Y$3:$Z$5,2,FALSE),0))</f>
        <v/>
      </c>
      <c r="R639" s="12" t="n"/>
      <c r="S639" s="12" t="n"/>
      <c r="T639" s="12" t="n"/>
      <c r="U639" s="15" t="n"/>
      <c r="V639" s="15" t="n"/>
      <c r="W639" s="13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3" t="n"/>
      <c r="AK639" s="12" t="n"/>
      <c r="AL639" s="12" t="n"/>
      <c r="AM639" s="12" t="n"/>
      <c r="AN639" s="12" t="n"/>
      <c r="AO639" s="12" t="n"/>
      <c r="AP639" s="12" t="n"/>
      <c r="AQ639" s="7">
        <f>IF(A639="","",IF(AP639&lt;&gt;"",AP639,IF(LEFT(Z639,11)="gads_marque","Google Search – Marque",IF(LEFT(Z639,12)="gads_mariage","Google Search – Mariage et privé",IF(LEFT(Z639,10)="gads_corpo","Google Search – Corporatif",IF(LEFT(Z639,5)="meta_","Meta – Leads",IF(LEFT(Z639,5)="msft_","Microsoft Ads",IF(LEFT(Z639,8)="chatgpt_","ChatGPT Ads – Test",IF(X639="gbp","Fiche Google (organique)","Autre / non payé")))))))))</f>
        <v/>
      </c>
      <c r="AR639" s="7">
        <f>IF(K639="","",IFERROR(VLOOKUP(K639,Listes!$F$3:$H$8,3,FALSE),""))</f>
        <v/>
      </c>
      <c r="AS639" s="7">
        <f>IF(O639="","",IF(AND(M639="Autre (plus de 40 km)",OR(O639="lt600",O639="600_999",O639="1000_2499")),"D",IF(OR(O639="lt600",AND(O639="600_999",K639&lt;&gt;"mariage",K639&lt;&gt;"prive")),"C",IF(OR(O639="2500_4999",O639="5000p",J639="entreprise",J639="organisme",J639="agence"),"A",IF(OR(O639="1000_2499",O639="600_999"),"B",IF(O639="inconnu",IF(OR(N639="75_149",N639="150p"),"A","B"),""))))))</f>
        <v/>
      </c>
      <c r="AT639" s="7">
        <f>IF(A639="","",IF(P639&lt;&gt;"",P639,AS639))</f>
        <v/>
      </c>
      <c r="AU639" s="7">
        <f>IF(A639="","",IF(OR(AT639="A",AT639="B"),1,0))</f>
        <v/>
      </c>
      <c r="AV639" s="7">
        <f>IF(A639="","",IF(OR(R639="Dépôt payé (gagné)",R639="Événement livré",R639="Avis obtenu"),1,0))</f>
        <v/>
      </c>
      <c r="AW639" s="7">
        <f>IF(A639="","",IF(Q639&gt;70,"Immédiat – propriétaire",IF(Q639&gt;=40,"15 min – personne de garde","Selon la route")))</f>
        <v/>
      </c>
      <c r="AX639" s="11">
        <f>IF(A639="","",IF(AT639="A",400,IF(AT639="B",150,0)))</f>
        <v/>
      </c>
      <c r="AY639" s="11">
        <f>IF(A639="","",IF(AV639=1,N(V639),IF(N(U639)&gt;0,ROUND(N(U639)*IFERROR(VLOOKUP(R639,Listes!$AE$3:$AG$12,2,FALSE),0),0),0)))</f>
        <v/>
      </c>
      <c r="AZ639" s="7">
        <f>IF(LEFT(A639,7)="EXEMPLE",1,0)</f>
        <v/>
      </c>
      <c r="BA639" s="7">
        <f>IF(AND(AV639=1,AZ639=0,AC639&lt;&gt;"",W639&lt;&gt;"",N(V639)&gt;0),COUNTIFS($AV$3:AV639,1,$AZ$3:AZ639,0,$AC$3:AC639,"&lt;&gt;",$W$3:W639,"&lt;&gt;",$V$3:V639,"&gt;0"),"")</f>
        <v/>
      </c>
    </row>
    <row r="640">
      <c r="A640" s="12" t="n"/>
      <c r="B640" s="13" t="n"/>
      <c r="C640" s="13" t="n"/>
      <c r="D640" s="7">
        <f>IF(OR(B640="",C640=""),"",ROUND((C640-B640)*1440,0))</f>
        <v/>
      </c>
      <c r="E640" s="12" t="n"/>
      <c r="F640" s="12" t="n"/>
      <c r="G640" s="12" t="n"/>
      <c r="H640" s="12" t="n"/>
      <c r="I640" s="12" t="n"/>
      <c r="J640" s="12" t="n"/>
      <c r="K640" s="12" t="n"/>
      <c r="L640" s="14" t="n"/>
      <c r="M640" s="12" t="n"/>
      <c r="N640" s="12" t="n"/>
      <c r="O640" s="12" t="n"/>
      <c r="P640" s="12" t="n"/>
      <c r="Q640" s="7">
        <f>IF(A640="","",IFERROR(VLOOKUP(O640,Listes!$R$3:$T$8,2,FALSE),0)+IFERROR(VLOOKUP(J640,Listes!$J$3:$L$6,2,FALSE),0)+IFERROR(VLOOKUP(N640,Listes!$N$3:$P$6,2,FALSE),0)+IF(OR(L640="",B640=""),0,IF(L640-INT(B640)&lt;10,8,IF(L640-INT(B640)&lt;=90,10,5)))+IFERROR(VLOOKUP(AN640,Listes!$V$3:$W$5,2,FALSE),0)+IFERROR(VLOOKUP(AO640,Listes!$Y$3:$Z$5,2,FALSE),0))</f>
        <v/>
      </c>
      <c r="R640" s="12" t="n"/>
      <c r="S640" s="12" t="n"/>
      <c r="T640" s="12" t="n"/>
      <c r="U640" s="15" t="n"/>
      <c r="V640" s="15" t="n"/>
      <c r="W640" s="13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3" t="n"/>
      <c r="AK640" s="12" t="n"/>
      <c r="AL640" s="12" t="n"/>
      <c r="AM640" s="12" t="n"/>
      <c r="AN640" s="12" t="n"/>
      <c r="AO640" s="12" t="n"/>
      <c r="AP640" s="12" t="n"/>
      <c r="AQ640" s="7">
        <f>IF(A640="","",IF(AP640&lt;&gt;"",AP640,IF(LEFT(Z640,11)="gads_marque","Google Search – Marque",IF(LEFT(Z640,12)="gads_mariage","Google Search – Mariage et privé",IF(LEFT(Z640,10)="gads_corpo","Google Search – Corporatif",IF(LEFT(Z640,5)="meta_","Meta – Leads",IF(LEFT(Z640,5)="msft_","Microsoft Ads",IF(LEFT(Z640,8)="chatgpt_","ChatGPT Ads – Test",IF(X640="gbp","Fiche Google (organique)","Autre / non payé")))))))))</f>
        <v/>
      </c>
      <c r="AR640" s="7">
        <f>IF(K640="","",IFERROR(VLOOKUP(K640,Listes!$F$3:$H$8,3,FALSE),""))</f>
        <v/>
      </c>
      <c r="AS640" s="7">
        <f>IF(O640="","",IF(AND(M640="Autre (plus de 40 km)",OR(O640="lt600",O640="600_999",O640="1000_2499")),"D",IF(OR(O640="lt600",AND(O640="600_999",K640&lt;&gt;"mariage",K640&lt;&gt;"prive")),"C",IF(OR(O640="2500_4999",O640="5000p",J640="entreprise",J640="organisme",J640="agence"),"A",IF(OR(O640="1000_2499",O640="600_999"),"B",IF(O640="inconnu",IF(OR(N640="75_149",N640="150p"),"A","B"),""))))))</f>
        <v/>
      </c>
      <c r="AT640" s="7">
        <f>IF(A640="","",IF(P640&lt;&gt;"",P640,AS640))</f>
        <v/>
      </c>
      <c r="AU640" s="7">
        <f>IF(A640="","",IF(OR(AT640="A",AT640="B"),1,0))</f>
        <v/>
      </c>
      <c r="AV640" s="7">
        <f>IF(A640="","",IF(OR(R640="Dépôt payé (gagné)",R640="Événement livré",R640="Avis obtenu"),1,0))</f>
        <v/>
      </c>
      <c r="AW640" s="7">
        <f>IF(A640="","",IF(Q640&gt;70,"Immédiat – propriétaire",IF(Q640&gt;=40,"15 min – personne de garde","Selon la route")))</f>
        <v/>
      </c>
      <c r="AX640" s="11">
        <f>IF(A640="","",IF(AT640="A",400,IF(AT640="B",150,0)))</f>
        <v/>
      </c>
      <c r="AY640" s="11">
        <f>IF(A640="","",IF(AV640=1,N(V640),IF(N(U640)&gt;0,ROUND(N(U640)*IFERROR(VLOOKUP(R640,Listes!$AE$3:$AG$12,2,FALSE),0),0),0)))</f>
        <v/>
      </c>
      <c r="AZ640" s="7">
        <f>IF(LEFT(A640,7)="EXEMPLE",1,0)</f>
        <v/>
      </c>
      <c r="BA640" s="7">
        <f>IF(AND(AV640=1,AZ640=0,AC640&lt;&gt;"",W640&lt;&gt;"",N(V640)&gt;0),COUNTIFS($AV$3:AV640,1,$AZ$3:AZ640,0,$AC$3:AC640,"&lt;&gt;",$W$3:W640,"&lt;&gt;",$V$3:V640,"&gt;0"),"")</f>
        <v/>
      </c>
    </row>
    <row r="641">
      <c r="A641" s="12" t="n"/>
      <c r="B641" s="13" t="n"/>
      <c r="C641" s="13" t="n"/>
      <c r="D641" s="7">
        <f>IF(OR(B641="",C641=""),"",ROUND((C641-B641)*1440,0))</f>
        <v/>
      </c>
      <c r="E641" s="12" t="n"/>
      <c r="F641" s="12" t="n"/>
      <c r="G641" s="12" t="n"/>
      <c r="H641" s="12" t="n"/>
      <c r="I641" s="12" t="n"/>
      <c r="J641" s="12" t="n"/>
      <c r="K641" s="12" t="n"/>
      <c r="L641" s="14" t="n"/>
      <c r="M641" s="12" t="n"/>
      <c r="N641" s="12" t="n"/>
      <c r="O641" s="12" t="n"/>
      <c r="P641" s="12" t="n"/>
      <c r="Q641" s="7">
        <f>IF(A641="","",IFERROR(VLOOKUP(O641,Listes!$R$3:$T$8,2,FALSE),0)+IFERROR(VLOOKUP(J641,Listes!$J$3:$L$6,2,FALSE),0)+IFERROR(VLOOKUP(N641,Listes!$N$3:$P$6,2,FALSE),0)+IF(OR(L641="",B641=""),0,IF(L641-INT(B641)&lt;10,8,IF(L641-INT(B641)&lt;=90,10,5)))+IFERROR(VLOOKUP(AN641,Listes!$V$3:$W$5,2,FALSE),0)+IFERROR(VLOOKUP(AO641,Listes!$Y$3:$Z$5,2,FALSE),0))</f>
        <v/>
      </c>
      <c r="R641" s="12" t="n"/>
      <c r="S641" s="12" t="n"/>
      <c r="T641" s="12" t="n"/>
      <c r="U641" s="15" t="n"/>
      <c r="V641" s="15" t="n"/>
      <c r="W641" s="13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3" t="n"/>
      <c r="AK641" s="12" t="n"/>
      <c r="AL641" s="12" t="n"/>
      <c r="AM641" s="12" t="n"/>
      <c r="AN641" s="12" t="n"/>
      <c r="AO641" s="12" t="n"/>
      <c r="AP641" s="12" t="n"/>
      <c r="AQ641" s="7">
        <f>IF(A641="","",IF(AP641&lt;&gt;"",AP641,IF(LEFT(Z641,11)="gads_marque","Google Search – Marque",IF(LEFT(Z641,12)="gads_mariage","Google Search – Mariage et privé",IF(LEFT(Z641,10)="gads_corpo","Google Search – Corporatif",IF(LEFT(Z641,5)="meta_","Meta – Leads",IF(LEFT(Z641,5)="msft_","Microsoft Ads",IF(LEFT(Z641,8)="chatgpt_","ChatGPT Ads – Test",IF(X641="gbp","Fiche Google (organique)","Autre / non payé")))))))))</f>
        <v/>
      </c>
      <c r="AR641" s="7">
        <f>IF(K641="","",IFERROR(VLOOKUP(K641,Listes!$F$3:$H$8,3,FALSE),""))</f>
        <v/>
      </c>
      <c r="AS641" s="7">
        <f>IF(O641="","",IF(AND(M641="Autre (plus de 40 km)",OR(O641="lt600",O641="600_999",O641="1000_2499")),"D",IF(OR(O641="lt600",AND(O641="600_999",K641&lt;&gt;"mariage",K641&lt;&gt;"prive")),"C",IF(OR(O641="2500_4999",O641="5000p",J641="entreprise",J641="organisme",J641="agence"),"A",IF(OR(O641="1000_2499",O641="600_999"),"B",IF(O641="inconnu",IF(OR(N641="75_149",N641="150p"),"A","B"),""))))))</f>
        <v/>
      </c>
      <c r="AT641" s="7">
        <f>IF(A641="","",IF(P641&lt;&gt;"",P641,AS641))</f>
        <v/>
      </c>
      <c r="AU641" s="7">
        <f>IF(A641="","",IF(OR(AT641="A",AT641="B"),1,0))</f>
        <v/>
      </c>
      <c r="AV641" s="7">
        <f>IF(A641="","",IF(OR(R641="Dépôt payé (gagné)",R641="Événement livré",R641="Avis obtenu"),1,0))</f>
        <v/>
      </c>
      <c r="AW641" s="7">
        <f>IF(A641="","",IF(Q641&gt;70,"Immédiat – propriétaire",IF(Q641&gt;=40,"15 min – personne de garde","Selon la route")))</f>
        <v/>
      </c>
      <c r="AX641" s="11">
        <f>IF(A641="","",IF(AT641="A",400,IF(AT641="B",150,0)))</f>
        <v/>
      </c>
      <c r="AY641" s="11">
        <f>IF(A641="","",IF(AV641=1,N(V641),IF(N(U641)&gt;0,ROUND(N(U641)*IFERROR(VLOOKUP(R641,Listes!$AE$3:$AG$12,2,FALSE),0),0),0)))</f>
        <v/>
      </c>
      <c r="AZ641" s="7">
        <f>IF(LEFT(A641,7)="EXEMPLE",1,0)</f>
        <v/>
      </c>
      <c r="BA641" s="7">
        <f>IF(AND(AV641=1,AZ641=0,AC641&lt;&gt;"",W641&lt;&gt;"",N(V641)&gt;0),COUNTIFS($AV$3:AV641,1,$AZ$3:AZ641,0,$AC$3:AC641,"&lt;&gt;",$W$3:W641,"&lt;&gt;",$V$3:V641,"&gt;0"),"")</f>
        <v/>
      </c>
    </row>
    <row r="642">
      <c r="A642" s="12" t="n"/>
      <c r="B642" s="13" t="n"/>
      <c r="C642" s="13" t="n"/>
      <c r="D642" s="7">
        <f>IF(OR(B642="",C642=""),"",ROUND((C642-B642)*1440,0))</f>
        <v/>
      </c>
      <c r="E642" s="12" t="n"/>
      <c r="F642" s="12" t="n"/>
      <c r="G642" s="12" t="n"/>
      <c r="H642" s="12" t="n"/>
      <c r="I642" s="12" t="n"/>
      <c r="J642" s="12" t="n"/>
      <c r="K642" s="12" t="n"/>
      <c r="L642" s="14" t="n"/>
      <c r="M642" s="12" t="n"/>
      <c r="N642" s="12" t="n"/>
      <c r="O642" s="12" t="n"/>
      <c r="P642" s="12" t="n"/>
      <c r="Q642" s="7">
        <f>IF(A642="","",IFERROR(VLOOKUP(O642,Listes!$R$3:$T$8,2,FALSE),0)+IFERROR(VLOOKUP(J642,Listes!$J$3:$L$6,2,FALSE),0)+IFERROR(VLOOKUP(N642,Listes!$N$3:$P$6,2,FALSE),0)+IF(OR(L642="",B642=""),0,IF(L642-INT(B642)&lt;10,8,IF(L642-INT(B642)&lt;=90,10,5)))+IFERROR(VLOOKUP(AN642,Listes!$V$3:$W$5,2,FALSE),0)+IFERROR(VLOOKUP(AO642,Listes!$Y$3:$Z$5,2,FALSE),0))</f>
        <v/>
      </c>
      <c r="R642" s="12" t="n"/>
      <c r="S642" s="12" t="n"/>
      <c r="T642" s="12" t="n"/>
      <c r="U642" s="15" t="n"/>
      <c r="V642" s="15" t="n"/>
      <c r="W642" s="13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3" t="n"/>
      <c r="AK642" s="12" t="n"/>
      <c r="AL642" s="12" t="n"/>
      <c r="AM642" s="12" t="n"/>
      <c r="AN642" s="12" t="n"/>
      <c r="AO642" s="12" t="n"/>
      <c r="AP642" s="12" t="n"/>
      <c r="AQ642" s="7">
        <f>IF(A642="","",IF(AP642&lt;&gt;"",AP642,IF(LEFT(Z642,11)="gads_marque","Google Search – Marque",IF(LEFT(Z642,12)="gads_mariage","Google Search – Mariage et privé",IF(LEFT(Z642,10)="gads_corpo","Google Search – Corporatif",IF(LEFT(Z642,5)="meta_","Meta – Leads",IF(LEFT(Z642,5)="msft_","Microsoft Ads",IF(LEFT(Z642,8)="chatgpt_","ChatGPT Ads – Test",IF(X642="gbp","Fiche Google (organique)","Autre / non payé")))))))))</f>
        <v/>
      </c>
      <c r="AR642" s="7">
        <f>IF(K642="","",IFERROR(VLOOKUP(K642,Listes!$F$3:$H$8,3,FALSE),""))</f>
        <v/>
      </c>
      <c r="AS642" s="7">
        <f>IF(O642="","",IF(AND(M642="Autre (plus de 40 km)",OR(O642="lt600",O642="600_999",O642="1000_2499")),"D",IF(OR(O642="lt600",AND(O642="600_999",K642&lt;&gt;"mariage",K642&lt;&gt;"prive")),"C",IF(OR(O642="2500_4999",O642="5000p",J642="entreprise",J642="organisme",J642="agence"),"A",IF(OR(O642="1000_2499",O642="600_999"),"B",IF(O642="inconnu",IF(OR(N642="75_149",N642="150p"),"A","B"),""))))))</f>
        <v/>
      </c>
      <c r="AT642" s="7">
        <f>IF(A642="","",IF(P642&lt;&gt;"",P642,AS642))</f>
        <v/>
      </c>
      <c r="AU642" s="7">
        <f>IF(A642="","",IF(OR(AT642="A",AT642="B"),1,0))</f>
        <v/>
      </c>
      <c r="AV642" s="7">
        <f>IF(A642="","",IF(OR(R642="Dépôt payé (gagné)",R642="Événement livré",R642="Avis obtenu"),1,0))</f>
        <v/>
      </c>
      <c r="AW642" s="7">
        <f>IF(A642="","",IF(Q642&gt;70,"Immédiat – propriétaire",IF(Q642&gt;=40,"15 min – personne de garde","Selon la route")))</f>
        <v/>
      </c>
      <c r="AX642" s="11">
        <f>IF(A642="","",IF(AT642="A",400,IF(AT642="B",150,0)))</f>
        <v/>
      </c>
      <c r="AY642" s="11">
        <f>IF(A642="","",IF(AV642=1,N(V642),IF(N(U642)&gt;0,ROUND(N(U642)*IFERROR(VLOOKUP(R642,Listes!$AE$3:$AG$12,2,FALSE),0),0),0)))</f>
        <v/>
      </c>
      <c r="AZ642" s="7">
        <f>IF(LEFT(A642,7)="EXEMPLE",1,0)</f>
        <v/>
      </c>
      <c r="BA642" s="7">
        <f>IF(AND(AV642=1,AZ642=0,AC642&lt;&gt;"",W642&lt;&gt;"",N(V642)&gt;0),COUNTIFS($AV$3:AV642,1,$AZ$3:AZ642,0,$AC$3:AC642,"&lt;&gt;",$W$3:W642,"&lt;&gt;",$V$3:V642,"&gt;0"),"")</f>
        <v/>
      </c>
    </row>
    <row r="643">
      <c r="A643" s="12" t="n"/>
      <c r="B643" s="13" t="n"/>
      <c r="C643" s="13" t="n"/>
      <c r="D643" s="7">
        <f>IF(OR(B643="",C643=""),"",ROUND((C643-B643)*1440,0))</f>
        <v/>
      </c>
      <c r="E643" s="12" t="n"/>
      <c r="F643" s="12" t="n"/>
      <c r="G643" s="12" t="n"/>
      <c r="H643" s="12" t="n"/>
      <c r="I643" s="12" t="n"/>
      <c r="J643" s="12" t="n"/>
      <c r="K643" s="12" t="n"/>
      <c r="L643" s="14" t="n"/>
      <c r="M643" s="12" t="n"/>
      <c r="N643" s="12" t="n"/>
      <c r="O643" s="12" t="n"/>
      <c r="P643" s="12" t="n"/>
      <c r="Q643" s="7">
        <f>IF(A643="","",IFERROR(VLOOKUP(O643,Listes!$R$3:$T$8,2,FALSE),0)+IFERROR(VLOOKUP(J643,Listes!$J$3:$L$6,2,FALSE),0)+IFERROR(VLOOKUP(N643,Listes!$N$3:$P$6,2,FALSE),0)+IF(OR(L643="",B643=""),0,IF(L643-INT(B643)&lt;10,8,IF(L643-INT(B643)&lt;=90,10,5)))+IFERROR(VLOOKUP(AN643,Listes!$V$3:$W$5,2,FALSE),0)+IFERROR(VLOOKUP(AO643,Listes!$Y$3:$Z$5,2,FALSE),0))</f>
        <v/>
      </c>
      <c r="R643" s="12" t="n"/>
      <c r="S643" s="12" t="n"/>
      <c r="T643" s="12" t="n"/>
      <c r="U643" s="15" t="n"/>
      <c r="V643" s="15" t="n"/>
      <c r="W643" s="13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3" t="n"/>
      <c r="AK643" s="12" t="n"/>
      <c r="AL643" s="12" t="n"/>
      <c r="AM643" s="12" t="n"/>
      <c r="AN643" s="12" t="n"/>
      <c r="AO643" s="12" t="n"/>
      <c r="AP643" s="12" t="n"/>
      <c r="AQ643" s="7">
        <f>IF(A643="","",IF(AP643&lt;&gt;"",AP643,IF(LEFT(Z643,11)="gads_marque","Google Search – Marque",IF(LEFT(Z643,12)="gads_mariage","Google Search – Mariage et privé",IF(LEFT(Z643,10)="gads_corpo","Google Search – Corporatif",IF(LEFT(Z643,5)="meta_","Meta – Leads",IF(LEFT(Z643,5)="msft_","Microsoft Ads",IF(LEFT(Z643,8)="chatgpt_","ChatGPT Ads – Test",IF(X643="gbp","Fiche Google (organique)","Autre / non payé")))))))))</f>
        <v/>
      </c>
      <c r="AR643" s="7">
        <f>IF(K643="","",IFERROR(VLOOKUP(K643,Listes!$F$3:$H$8,3,FALSE),""))</f>
        <v/>
      </c>
      <c r="AS643" s="7">
        <f>IF(O643="","",IF(AND(M643="Autre (plus de 40 km)",OR(O643="lt600",O643="600_999",O643="1000_2499")),"D",IF(OR(O643="lt600",AND(O643="600_999",K643&lt;&gt;"mariage",K643&lt;&gt;"prive")),"C",IF(OR(O643="2500_4999",O643="5000p",J643="entreprise",J643="organisme",J643="agence"),"A",IF(OR(O643="1000_2499",O643="600_999"),"B",IF(O643="inconnu",IF(OR(N643="75_149",N643="150p"),"A","B"),""))))))</f>
        <v/>
      </c>
      <c r="AT643" s="7">
        <f>IF(A643="","",IF(P643&lt;&gt;"",P643,AS643))</f>
        <v/>
      </c>
      <c r="AU643" s="7">
        <f>IF(A643="","",IF(OR(AT643="A",AT643="B"),1,0))</f>
        <v/>
      </c>
      <c r="AV643" s="7">
        <f>IF(A643="","",IF(OR(R643="Dépôt payé (gagné)",R643="Événement livré",R643="Avis obtenu"),1,0))</f>
        <v/>
      </c>
      <c r="AW643" s="7">
        <f>IF(A643="","",IF(Q643&gt;70,"Immédiat – propriétaire",IF(Q643&gt;=40,"15 min – personne de garde","Selon la route")))</f>
        <v/>
      </c>
      <c r="AX643" s="11">
        <f>IF(A643="","",IF(AT643="A",400,IF(AT643="B",150,0)))</f>
        <v/>
      </c>
      <c r="AY643" s="11">
        <f>IF(A643="","",IF(AV643=1,N(V643),IF(N(U643)&gt;0,ROUND(N(U643)*IFERROR(VLOOKUP(R643,Listes!$AE$3:$AG$12,2,FALSE),0),0),0)))</f>
        <v/>
      </c>
      <c r="AZ643" s="7">
        <f>IF(LEFT(A643,7)="EXEMPLE",1,0)</f>
        <v/>
      </c>
      <c r="BA643" s="7">
        <f>IF(AND(AV643=1,AZ643=0,AC643&lt;&gt;"",W643&lt;&gt;"",N(V643)&gt;0),COUNTIFS($AV$3:AV643,1,$AZ$3:AZ643,0,$AC$3:AC643,"&lt;&gt;",$W$3:W643,"&lt;&gt;",$V$3:V643,"&gt;0"),"")</f>
        <v/>
      </c>
    </row>
    <row r="644">
      <c r="A644" s="12" t="n"/>
      <c r="B644" s="13" t="n"/>
      <c r="C644" s="13" t="n"/>
      <c r="D644" s="7">
        <f>IF(OR(B644="",C644=""),"",ROUND((C644-B644)*1440,0))</f>
        <v/>
      </c>
      <c r="E644" s="12" t="n"/>
      <c r="F644" s="12" t="n"/>
      <c r="G644" s="12" t="n"/>
      <c r="H644" s="12" t="n"/>
      <c r="I644" s="12" t="n"/>
      <c r="J644" s="12" t="n"/>
      <c r="K644" s="12" t="n"/>
      <c r="L644" s="14" t="n"/>
      <c r="M644" s="12" t="n"/>
      <c r="N644" s="12" t="n"/>
      <c r="O644" s="12" t="n"/>
      <c r="P644" s="12" t="n"/>
      <c r="Q644" s="7">
        <f>IF(A644="","",IFERROR(VLOOKUP(O644,Listes!$R$3:$T$8,2,FALSE),0)+IFERROR(VLOOKUP(J644,Listes!$J$3:$L$6,2,FALSE),0)+IFERROR(VLOOKUP(N644,Listes!$N$3:$P$6,2,FALSE),0)+IF(OR(L644="",B644=""),0,IF(L644-INT(B644)&lt;10,8,IF(L644-INT(B644)&lt;=90,10,5)))+IFERROR(VLOOKUP(AN644,Listes!$V$3:$W$5,2,FALSE),0)+IFERROR(VLOOKUP(AO644,Listes!$Y$3:$Z$5,2,FALSE),0))</f>
        <v/>
      </c>
      <c r="R644" s="12" t="n"/>
      <c r="S644" s="12" t="n"/>
      <c r="T644" s="12" t="n"/>
      <c r="U644" s="15" t="n"/>
      <c r="V644" s="15" t="n"/>
      <c r="W644" s="13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3" t="n"/>
      <c r="AK644" s="12" t="n"/>
      <c r="AL644" s="12" t="n"/>
      <c r="AM644" s="12" t="n"/>
      <c r="AN644" s="12" t="n"/>
      <c r="AO644" s="12" t="n"/>
      <c r="AP644" s="12" t="n"/>
      <c r="AQ644" s="7">
        <f>IF(A644="","",IF(AP644&lt;&gt;"",AP644,IF(LEFT(Z644,11)="gads_marque","Google Search – Marque",IF(LEFT(Z644,12)="gads_mariage","Google Search – Mariage et privé",IF(LEFT(Z644,10)="gads_corpo","Google Search – Corporatif",IF(LEFT(Z644,5)="meta_","Meta – Leads",IF(LEFT(Z644,5)="msft_","Microsoft Ads",IF(LEFT(Z644,8)="chatgpt_","ChatGPT Ads – Test",IF(X644="gbp","Fiche Google (organique)","Autre / non payé")))))))))</f>
        <v/>
      </c>
      <c r="AR644" s="7">
        <f>IF(K644="","",IFERROR(VLOOKUP(K644,Listes!$F$3:$H$8,3,FALSE),""))</f>
        <v/>
      </c>
      <c r="AS644" s="7">
        <f>IF(O644="","",IF(AND(M644="Autre (plus de 40 km)",OR(O644="lt600",O644="600_999",O644="1000_2499")),"D",IF(OR(O644="lt600",AND(O644="600_999",K644&lt;&gt;"mariage",K644&lt;&gt;"prive")),"C",IF(OR(O644="2500_4999",O644="5000p",J644="entreprise",J644="organisme",J644="agence"),"A",IF(OR(O644="1000_2499",O644="600_999"),"B",IF(O644="inconnu",IF(OR(N644="75_149",N644="150p"),"A","B"),""))))))</f>
        <v/>
      </c>
      <c r="AT644" s="7">
        <f>IF(A644="","",IF(P644&lt;&gt;"",P644,AS644))</f>
        <v/>
      </c>
      <c r="AU644" s="7">
        <f>IF(A644="","",IF(OR(AT644="A",AT644="B"),1,0))</f>
        <v/>
      </c>
      <c r="AV644" s="7">
        <f>IF(A644="","",IF(OR(R644="Dépôt payé (gagné)",R644="Événement livré",R644="Avis obtenu"),1,0))</f>
        <v/>
      </c>
      <c r="AW644" s="7">
        <f>IF(A644="","",IF(Q644&gt;70,"Immédiat – propriétaire",IF(Q644&gt;=40,"15 min – personne de garde","Selon la route")))</f>
        <v/>
      </c>
      <c r="AX644" s="11">
        <f>IF(A644="","",IF(AT644="A",400,IF(AT644="B",150,0)))</f>
        <v/>
      </c>
      <c r="AY644" s="11">
        <f>IF(A644="","",IF(AV644=1,N(V644),IF(N(U644)&gt;0,ROUND(N(U644)*IFERROR(VLOOKUP(R644,Listes!$AE$3:$AG$12,2,FALSE),0),0),0)))</f>
        <v/>
      </c>
      <c r="AZ644" s="7">
        <f>IF(LEFT(A644,7)="EXEMPLE",1,0)</f>
        <v/>
      </c>
      <c r="BA644" s="7">
        <f>IF(AND(AV644=1,AZ644=0,AC644&lt;&gt;"",W644&lt;&gt;"",N(V644)&gt;0),COUNTIFS($AV$3:AV644,1,$AZ$3:AZ644,0,$AC$3:AC644,"&lt;&gt;",$W$3:W644,"&lt;&gt;",$V$3:V644,"&gt;0"),"")</f>
        <v/>
      </c>
    </row>
    <row r="645">
      <c r="A645" s="12" t="n"/>
      <c r="B645" s="13" t="n"/>
      <c r="C645" s="13" t="n"/>
      <c r="D645" s="7">
        <f>IF(OR(B645="",C645=""),"",ROUND((C645-B645)*1440,0))</f>
        <v/>
      </c>
      <c r="E645" s="12" t="n"/>
      <c r="F645" s="12" t="n"/>
      <c r="G645" s="12" t="n"/>
      <c r="H645" s="12" t="n"/>
      <c r="I645" s="12" t="n"/>
      <c r="J645" s="12" t="n"/>
      <c r="K645" s="12" t="n"/>
      <c r="L645" s="14" t="n"/>
      <c r="M645" s="12" t="n"/>
      <c r="N645" s="12" t="n"/>
      <c r="O645" s="12" t="n"/>
      <c r="P645" s="12" t="n"/>
      <c r="Q645" s="7">
        <f>IF(A645="","",IFERROR(VLOOKUP(O645,Listes!$R$3:$T$8,2,FALSE),0)+IFERROR(VLOOKUP(J645,Listes!$J$3:$L$6,2,FALSE),0)+IFERROR(VLOOKUP(N645,Listes!$N$3:$P$6,2,FALSE),0)+IF(OR(L645="",B645=""),0,IF(L645-INT(B645)&lt;10,8,IF(L645-INT(B645)&lt;=90,10,5)))+IFERROR(VLOOKUP(AN645,Listes!$V$3:$W$5,2,FALSE),0)+IFERROR(VLOOKUP(AO645,Listes!$Y$3:$Z$5,2,FALSE),0))</f>
        <v/>
      </c>
      <c r="R645" s="12" t="n"/>
      <c r="S645" s="12" t="n"/>
      <c r="T645" s="12" t="n"/>
      <c r="U645" s="15" t="n"/>
      <c r="V645" s="15" t="n"/>
      <c r="W645" s="13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3" t="n"/>
      <c r="AK645" s="12" t="n"/>
      <c r="AL645" s="12" t="n"/>
      <c r="AM645" s="12" t="n"/>
      <c r="AN645" s="12" t="n"/>
      <c r="AO645" s="12" t="n"/>
      <c r="AP645" s="12" t="n"/>
      <c r="AQ645" s="7">
        <f>IF(A645="","",IF(AP645&lt;&gt;"",AP645,IF(LEFT(Z645,11)="gads_marque","Google Search – Marque",IF(LEFT(Z645,12)="gads_mariage","Google Search – Mariage et privé",IF(LEFT(Z645,10)="gads_corpo","Google Search – Corporatif",IF(LEFT(Z645,5)="meta_","Meta – Leads",IF(LEFT(Z645,5)="msft_","Microsoft Ads",IF(LEFT(Z645,8)="chatgpt_","ChatGPT Ads – Test",IF(X645="gbp","Fiche Google (organique)","Autre / non payé")))))))))</f>
        <v/>
      </c>
      <c r="AR645" s="7">
        <f>IF(K645="","",IFERROR(VLOOKUP(K645,Listes!$F$3:$H$8,3,FALSE),""))</f>
        <v/>
      </c>
      <c r="AS645" s="7">
        <f>IF(O645="","",IF(AND(M645="Autre (plus de 40 km)",OR(O645="lt600",O645="600_999",O645="1000_2499")),"D",IF(OR(O645="lt600",AND(O645="600_999",K645&lt;&gt;"mariage",K645&lt;&gt;"prive")),"C",IF(OR(O645="2500_4999",O645="5000p",J645="entreprise",J645="organisme",J645="agence"),"A",IF(OR(O645="1000_2499",O645="600_999"),"B",IF(O645="inconnu",IF(OR(N645="75_149",N645="150p"),"A","B"),""))))))</f>
        <v/>
      </c>
      <c r="AT645" s="7">
        <f>IF(A645="","",IF(P645&lt;&gt;"",P645,AS645))</f>
        <v/>
      </c>
      <c r="AU645" s="7">
        <f>IF(A645="","",IF(OR(AT645="A",AT645="B"),1,0))</f>
        <v/>
      </c>
      <c r="AV645" s="7">
        <f>IF(A645="","",IF(OR(R645="Dépôt payé (gagné)",R645="Événement livré",R645="Avis obtenu"),1,0))</f>
        <v/>
      </c>
      <c r="AW645" s="7">
        <f>IF(A645="","",IF(Q645&gt;70,"Immédiat – propriétaire",IF(Q645&gt;=40,"15 min – personne de garde","Selon la route")))</f>
        <v/>
      </c>
      <c r="AX645" s="11">
        <f>IF(A645="","",IF(AT645="A",400,IF(AT645="B",150,0)))</f>
        <v/>
      </c>
      <c r="AY645" s="11">
        <f>IF(A645="","",IF(AV645=1,N(V645),IF(N(U645)&gt;0,ROUND(N(U645)*IFERROR(VLOOKUP(R645,Listes!$AE$3:$AG$12,2,FALSE),0),0),0)))</f>
        <v/>
      </c>
      <c r="AZ645" s="7">
        <f>IF(LEFT(A645,7)="EXEMPLE",1,0)</f>
        <v/>
      </c>
      <c r="BA645" s="7">
        <f>IF(AND(AV645=1,AZ645=0,AC645&lt;&gt;"",W645&lt;&gt;"",N(V645)&gt;0),COUNTIFS($AV$3:AV645,1,$AZ$3:AZ645,0,$AC$3:AC645,"&lt;&gt;",$W$3:W645,"&lt;&gt;",$V$3:V645,"&gt;0"),"")</f>
        <v/>
      </c>
    </row>
    <row r="646">
      <c r="A646" s="12" t="n"/>
      <c r="B646" s="13" t="n"/>
      <c r="C646" s="13" t="n"/>
      <c r="D646" s="7">
        <f>IF(OR(B646="",C646=""),"",ROUND((C646-B646)*1440,0))</f>
        <v/>
      </c>
      <c r="E646" s="12" t="n"/>
      <c r="F646" s="12" t="n"/>
      <c r="G646" s="12" t="n"/>
      <c r="H646" s="12" t="n"/>
      <c r="I646" s="12" t="n"/>
      <c r="J646" s="12" t="n"/>
      <c r="K646" s="12" t="n"/>
      <c r="L646" s="14" t="n"/>
      <c r="M646" s="12" t="n"/>
      <c r="N646" s="12" t="n"/>
      <c r="O646" s="12" t="n"/>
      <c r="P646" s="12" t="n"/>
      <c r="Q646" s="7">
        <f>IF(A646="","",IFERROR(VLOOKUP(O646,Listes!$R$3:$T$8,2,FALSE),0)+IFERROR(VLOOKUP(J646,Listes!$J$3:$L$6,2,FALSE),0)+IFERROR(VLOOKUP(N646,Listes!$N$3:$P$6,2,FALSE),0)+IF(OR(L646="",B646=""),0,IF(L646-INT(B646)&lt;10,8,IF(L646-INT(B646)&lt;=90,10,5)))+IFERROR(VLOOKUP(AN646,Listes!$V$3:$W$5,2,FALSE),0)+IFERROR(VLOOKUP(AO646,Listes!$Y$3:$Z$5,2,FALSE),0))</f>
        <v/>
      </c>
      <c r="R646" s="12" t="n"/>
      <c r="S646" s="12" t="n"/>
      <c r="T646" s="12" t="n"/>
      <c r="U646" s="15" t="n"/>
      <c r="V646" s="15" t="n"/>
      <c r="W646" s="13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3" t="n"/>
      <c r="AK646" s="12" t="n"/>
      <c r="AL646" s="12" t="n"/>
      <c r="AM646" s="12" t="n"/>
      <c r="AN646" s="12" t="n"/>
      <c r="AO646" s="12" t="n"/>
      <c r="AP646" s="12" t="n"/>
      <c r="AQ646" s="7">
        <f>IF(A646="","",IF(AP646&lt;&gt;"",AP646,IF(LEFT(Z646,11)="gads_marque","Google Search – Marque",IF(LEFT(Z646,12)="gads_mariage","Google Search – Mariage et privé",IF(LEFT(Z646,10)="gads_corpo","Google Search – Corporatif",IF(LEFT(Z646,5)="meta_","Meta – Leads",IF(LEFT(Z646,5)="msft_","Microsoft Ads",IF(LEFT(Z646,8)="chatgpt_","ChatGPT Ads – Test",IF(X646="gbp","Fiche Google (organique)","Autre / non payé")))))))))</f>
        <v/>
      </c>
      <c r="AR646" s="7">
        <f>IF(K646="","",IFERROR(VLOOKUP(K646,Listes!$F$3:$H$8,3,FALSE),""))</f>
        <v/>
      </c>
      <c r="AS646" s="7">
        <f>IF(O646="","",IF(AND(M646="Autre (plus de 40 km)",OR(O646="lt600",O646="600_999",O646="1000_2499")),"D",IF(OR(O646="lt600",AND(O646="600_999",K646&lt;&gt;"mariage",K646&lt;&gt;"prive")),"C",IF(OR(O646="2500_4999",O646="5000p",J646="entreprise",J646="organisme",J646="agence"),"A",IF(OR(O646="1000_2499",O646="600_999"),"B",IF(O646="inconnu",IF(OR(N646="75_149",N646="150p"),"A","B"),""))))))</f>
        <v/>
      </c>
      <c r="AT646" s="7">
        <f>IF(A646="","",IF(P646&lt;&gt;"",P646,AS646))</f>
        <v/>
      </c>
      <c r="AU646" s="7">
        <f>IF(A646="","",IF(OR(AT646="A",AT646="B"),1,0))</f>
        <v/>
      </c>
      <c r="AV646" s="7">
        <f>IF(A646="","",IF(OR(R646="Dépôt payé (gagné)",R646="Événement livré",R646="Avis obtenu"),1,0))</f>
        <v/>
      </c>
      <c r="AW646" s="7">
        <f>IF(A646="","",IF(Q646&gt;70,"Immédiat – propriétaire",IF(Q646&gt;=40,"15 min – personne de garde","Selon la route")))</f>
        <v/>
      </c>
      <c r="AX646" s="11">
        <f>IF(A646="","",IF(AT646="A",400,IF(AT646="B",150,0)))</f>
        <v/>
      </c>
      <c r="AY646" s="11">
        <f>IF(A646="","",IF(AV646=1,N(V646),IF(N(U646)&gt;0,ROUND(N(U646)*IFERROR(VLOOKUP(R646,Listes!$AE$3:$AG$12,2,FALSE),0),0),0)))</f>
        <v/>
      </c>
      <c r="AZ646" s="7">
        <f>IF(LEFT(A646,7)="EXEMPLE",1,0)</f>
        <v/>
      </c>
      <c r="BA646" s="7">
        <f>IF(AND(AV646=1,AZ646=0,AC646&lt;&gt;"",W646&lt;&gt;"",N(V646)&gt;0),COUNTIFS($AV$3:AV646,1,$AZ$3:AZ646,0,$AC$3:AC646,"&lt;&gt;",$W$3:W646,"&lt;&gt;",$V$3:V646,"&gt;0"),"")</f>
        <v/>
      </c>
    </row>
    <row r="647">
      <c r="A647" s="12" t="n"/>
      <c r="B647" s="13" t="n"/>
      <c r="C647" s="13" t="n"/>
      <c r="D647" s="7">
        <f>IF(OR(B647="",C647=""),"",ROUND((C647-B647)*1440,0))</f>
        <v/>
      </c>
      <c r="E647" s="12" t="n"/>
      <c r="F647" s="12" t="n"/>
      <c r="G647" s="12" t="n"/>
      <c r="H647" s="12" t="n"/>
      <c r="I647" s="12" t="n"/>
      <c r="J647" s="12" t="n"/>
      <c r="K647" s="12" t="n"/>
      <c r="L647" s="14" t="n"/>
      <c r="M647" s="12" t="n"/>
      <c r="N647" s="12" t="n"/>
      <c r="O647" s="12" t="n"/>
      <c r="P647" s="12" t="n"/>
      <c r="Q647" s="7">
        <f>IF(A647="","",IFERROR(VLOOKUP(O647,Listes!$R$3:$T$8,2,FALSE),0)+IFERROR(VLOOKUP(J647,Listes!$J$3:$L$6,2,FALSE),0)+IFERROR(VLOOKUP(N647,Listes!$N$3:$P$6,2,FALSE),0)+IF(OR(L647="",B647=""),0,IF(L647-INT(B647)&lt;10,8,IF(L647-INT(B647)&lt;=90,10,5)))+IFERROR(VLOOKUP(AN647,Listes!$V$3:$W$5,2,FALSE),0)+IFERROR(VLOOKUP(AO647,Listes!$Y$3:$Z$5,2,FALSE),0))</f>
        <v/>
      </c>
      <c r="R647" s="12" t="n"/>
      <c r="S647" s="12" t="n"/>
      <c r="T647" s="12" t="n"/>
      <c r="U647" s="15" t="n"/>
      <c r="V647" s="15" t="n"/>
      <c r="W647" s="13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3" t="n"/>
      <c r="AK647" s="12" t="n"/>
      <c r="AL647" s="12" t="n"/>
      <c r="AM647" s="12" t="n"/>
      <c r="AN647" s="12" t="n"/>
      <c r="AO647" s="12" t="n"/>
      <c r="AP647" s="12" t="n"/>
      <c r="AQ647" s="7">
        <f>IF(A647="","",IF(AP647&lt;&gt;"",AP647,IF(LEFT(Z647,11)="gads_marque","Google Search – Marque",IF(LEFT(Z647,12)="gads_mariage","Google Search – Mariage et privé",IF(LEFT(Z647,10)="gads_corpo","Google Search – Corporatif",IF(LEFT(Z647,5)="meta_","Meta – Leads",IF(LEFT(Z647,5)="msft_","Microsoft Ads",IF(LEFT(Z647,8)="chatgpt_","ChatGPT Ads – Test",IF(X647="gbp","Fiche Google (organique)","Autre / non payé")))))))))</f>
        <v/>
      </c>
      <c r="AR647" s="7">
        <f>IF(K647="","",IFERROR(VLOOKUP(K647,Listes!$F$3:$H$8,3,FALSE),""))</f>
        <v/>
      </c>
      <c r="AS647" s="7">
        <f>IF(O647="","",IF(AND(M647="Autre (plus de 40 km)",OR(O647="lt600",O647="600_999",O647="1000_2499")),"D",IF(OR(O647="lt600",AND(O647="600_999",K647&lt;&gt;"mariage",K647&lt;&gt;"prive")),"C",IF(OR(O647="2500_4999",O647="5000p",J647="entreprise",J647="organisme",J647="agence"),"A",IF(OR(O647="1000_2499",O647="600_999"),"B",IF(O647="inconnu",IF(OR(N647="75_149",N647="150p"),"A","B"),""))))))</f>
        <v/>
      </c>
      <c r="AT647" s="7">
        <f>IF(A647="","",IF(P647&lt;&gt;"",P647,AS647))</f>
        <v/>
      </c>
      <c r="AU647" s="7">
        <f>IF(A647="","",IF(OR(AT647="A",AT647="B"),1,0))</f>
        <v/>
      </c>
      <c r="AV647" s="7">
        <f>IF(A647="","",IF(OR(R647="Dépôt payé (gagné)",R647="Événement livré",R647="Avis obtenu"),1,0))</f>
        <v/>
      </c>
      <c r="AW647" s="7">
        <f>IF(A647="","",IF(Q647&gt;70,"Immédiat – propriétaire",IF(Q647&gt;=40,"15 min – personne de garde","Selon la route")))</f>
        <v/>
      </c>
      <c r="AX647" s="11">
        <f>IF(A647="","",IF(AT647="A",400,IF(AT647="B",150,0)))</f>
        <v/>
      </c>
      <c r="AY647" s="11">
        <f>IF(A647="","",IF(AV647=1,N(V647),IF(N(U647)&gt;0,ROUND(N(U647)*IFERROR(VLOOKUP(R647,Listes!$AE$3:$AG$12,2,FALSE),0),0),0)))</f>
        <v/>
      </c>
      <c r="AZ647" s="7">
        <f>IF(LEFT(A647,7)="EXEMPLE",1,0)</f>
        <v/>
      </c>
      <c r="BA647" s="7">
        <f>IF(AND(AV647=1,AZ647=0,AC647&lt;&gt;"",W647&lt;&gt;"",N(V647)&gt;0),COUNTIFS($AV$3:AV647,1,$AZ$3:AZ647,0,$AC$3:AC647,"&lt;&gt;",$W$3:W647,"&lt;&gt;",$V$3:V647,"&gt;0"),"")</f>
        <v/>
      </c>
    </row>
    <row r="648">
      <c r="A648" s="12" t="n"/>
      <c r="B648" s="13" t="n"/>
      <c r="C648" s="13" t="n"/>
      <c r="D648" s="7">
        <f>IF(OR(B648="",C648=""),"",ROUND((C648-B648)*1440,0))</f>
        <v/>
      </c>
      <c r="E648" s="12" t="n"/>
      <c r="F648" s="12" t="n"/>
      <c r="G648" s="12" t="n"/>
      <c r="H648" s="12" t="n"/>
      <c r="I648" s="12" t="n"/>
      <c r="J648" s="12" t="n"/>
      <c r="K648" s="12" t="n"/>
      <c r="L648" s="14" t="n"/>
      <c r="M648" s="12" t="n"/>
      <c r="N648" s="12" t="n"/>
      <c r="O648" s="12" t="n"/>
      <c r="P648" s="12" t="n"/>
      <c r="Q648" s="7">
        <f>IF(A648="","",IFERROR(VLOOKUP(O648,Listes!$R$3:$T$8,2,FALSE),0)+IFERROR(VLOOKUP(J648,Listes!$J$3:$L$6,2,FALSE),0)+IFERROR(VLOOKUP(N648,Listes!$N$3:$P$6,2,FALSE),0)+IF(OR(L648="",B648=""),0,IF(L648-INT(B648)&lt;10,8,IF(L648-INT(B648)&lt;=90,10,5)))+IFERROR(VLOOKUP(AN648,Listes!$V$3:$W$5,2,FALSE),0)+IFERROR(VLOOKUP(AO648,Listes!$Y$3:$Z$5,2,FALSE),0))</f>
        <v/>
      </c>
      <c r="R648" s="12" t="n"/>
      <c r="S648" s="12" t="n"/>
      <c r="T648" s="12" t="n"/>
      <c r="U648" s="15" t="n"/>
      <c r="V648" s="15" t="n"/>
      <c r="W648" s="13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3" t="n"/>
      <c r="AK648" s="12" t="n"/>
      <c r="AL648" s="12" t="n"/>
      <c r="AM648" s="12" t="n"/>
      <c r="AN648" s="12" t="n"/>
      <c r="AO648" s="12" t="n"/>
      <c r="AP648" s="12" t="n"/>
      <c r="AQ648" s="7">
        <f>IF(A648="","",IF(AP648&lt;&gt;"",AP648,IF(LEFT(Z648,11)="gads_marque","Google Search – Marque",IF(LEFT(Z648,12)="gads_mariage","Google Search – Mariage et privé",IF(LEFT(Z648,10)="gads_corpo","Google Search – Corporatif",IF(LEFT(Z648,5)="meta_","Meta – Leads",IF(LEFT(Z648,5)="msft_","Microsoft Ads",IF(LEFT(Z648,8)="chatgpt_","ChatGPT Ads – Test",IF(X648="gbp","Fiche Google (organique)","Autre / non payé")))))))))</f>
        <v/>
      </c>
      <c r="AR648" s="7">
        <f>IF(K648="","",IFERROR(VLOOKUP(K648,Listes!$F$3:$H$8,3,FALSE),""))</f>
        <v/>
      </c>
      <c r="AS648" s="7">
        <f>IF(O648="","",IF(AND(M648="Autre (plus de 40 km)",OR(O648="lt600",O648="600_999",O648="1000_2499")),"D",IF(OR(O648="lt600",AND(O648="600_999",K648&lt;&gt;"mariage",K648&lt;&gt;"prive")),"C",IF(OR(O648="2500_4999",O648="5000p",J648="entreprise",J648="organisme",J648="agence"),"A",IF(OR(O648="1000_2499",O648="600_999"),"B",IF(O648="inconnu",IF(OR(N648="75_149",N648="150p"),"A","B"),""))))))</f>
        <v/>
      </c>
      <c r="AT648" s="7">
        <f>IF(A648="","",IF(P648&lt;&gt;"",P648,AS648))</f>
        <v/>
      </c>
      <c r="AU648" s="7">
        <f>IF(A648="","",IF(OR(AT648="A",AT648="B"),1,0))</f>
        <v/>
      </c>
      <c r="AV648" s="7">
        <f>IF(A648="","",IF(OR(R648="Dépôt payé (gagné)",R648="Événement livré",R648="Avis obtenu"),1,0))</f>
        <v/>
      </c>
      <c r="AW648" s="7">
        <f>IF(A648="","",IF(Q648&gt;70,"Immédiat – propriétaire",IF(Q648&gt;=40,"15 min – personne de garde","Selon la route")))</f>
        <v/>
      </c>
      <c r="AX648" s="11">
        <f>IF(A648="","",IF(AT648="A",400,IF(AT648="B",150,0)))</f>
        <v/>
      </c>
      <c r="AY648" s="11">
        <f>IF(A648="","",IF(AV648=1,N(V648),IF(N(U648)&gt;0,ROUND(N(U648)*IFERROR(VLOOKUP(R648,Listes!$AE$3:$AG$12,2,FALSE),0),0),0)))</f>
        <v/>
      </c>
      <c r="AZ648" s="7">
        <f>IF(LEFT(A648,7)="EXEMPLE",1,0)</f>
        <v/>
      </c>
      <c r="BA648" s="7">
        <f>IF(AND(AV648=1,AZ648=0,AC648&lt;&gt;"",W648&lt;&gt;"",N(V648)&gt;0),COUNTIFS($AV$3:AV648,1,$AZ$3:AZ648,0,$AC$3:AC648,"&lt;&gt;",$W$3:W648,"&lt;&gt;",$V$3:V648,"&gt;0"),"")</f>
        <v/>
      </c>
    </row>
    <row r="649">
      <c r="A649" s="12" t="n"/>
      <c r="B649" s="13" t="n"/>
      <c r="C649" s="13" t="n"/>
      <c r="D649" s="7">
        <f>IF(OR(B649="",C649=""),"",ROUND((C649-B649)*1440,0))</f>
        <v/>
      </c>
      <c r="E649" s="12" t="n"/>
      <c r="F649" s="12" t="n"/>
      <c r="G649" s="12" t="n"/>
      <c r="H649" s="12" t="n"/>
      <c r="I649" s="12" t="n"/>
      <c r="J649" s="12" t="n"/>
      <c r="K649" s="12" t="n"/>
      <c r="L649" s="14" t="n"/>
      <c r="M649" s="12" t="n"/>
      <c r="N649" s="12" t="n"/>
      <c r="O649" s="12" t="n"/>
      <c r="P649" s="12" t="n"/>
      <c r="Q649" s="7">
        <f>IF(A649="","",IFERROR(VLOOKUP(O649,Listes!$R$3:$T$8,2,FALSE),0)+IFERROR(VLOOKUP(J649,Listes!$J$3:$L$6,2,FALSE),0)+IFERROR(VLOOKUP(N649,Listes!$N$3:$P$6,2,FALSE),0)+IF(OR(L649="",B649=""),0,IF(L649-INT(B649)&lt;10,8,IF(L649-INT(B649)&lt;=90,10,5)))+IFERROR(VLOOKUP(AN649,Listes!$V$3:$W$5,2,FALSE),0)+IFERROR(VLOOKUP(AO649,Listes!$Y$3:$Z$5,2,FALSE),0))</f>
        <v/>
      </c>
      <c r="R649" s="12" t="n"/>
      <c r="S649" s="12" t="n"/>
      <c r="T649" s="12" t="n"/>
      <c r="U649" s="15" t="n"/>
      <c r="V649" s="15" t="n"/>
      <c r="W649" s="13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3" t="n"/>
      <c r="AK649" s="12" t="n"/>
      <c r="AL649" s="12" t="n"/>
      <c r="AM649" s="12" t="n"/>
      <c r="AN649" s="12" t="n"/>
      <c r="AO649" s="12" t="n"/>
      <c r="AP649" s="12" t="n"/>
      <c r="AQ649" s="7">
        <f>IF(A649="","",IF(AP649&lt;&gt;"",AP649,IF(LEFT(Z649,11)="gads_marque","Google Search – Marque",IF(LEFT(Z649,12)="gads_mariage","Google Search – Mariage et privé",IF(LEFT(Z649,10)="gads_corpo","Google Search – Corporatif",IF(LEFT(Z649,5)="meta_","Meta – Leads",IF(LEFT(Z649,5)="msft_","Microsoft Ads",IF(LEFT(Z649,8)="chatgpt_","ChatGPT Ads – Test",IF(X649="gbp","Fiche Google (organique)","Autre / non payé")))))))))</f>
        <v/>
      </c>
      <c r="AR649" s="7">
        <f>IF(K649="","",IFERROR(VLOOKUP(K649,Listes!$F$3:$H$8,3,FALSE),""))</f>
        <v/>
      </c>
      <c r="AS649" s="7">
        <f>IF(O649="","",IF(AND(M649="Autre (plus de 40 km)",OR(O649="lt600",O649="600_999",O649="1000_2499")),"D",IF(OR(O649="lt600",AND(O649="600_999",K649&lt;&gt;"mariage",K649&lt;&gt;"prive")),"C",IF(OR(O649="2500_4999",O649="5000p",J649="entreprise",J649="organisme",J649="agence"),"A",IF(OR(O649="1000_2499",O649="600_999"),"B",IF(O649="inconnu",IF(OR(N649="75_149",N649="150p"),"A","B"),""))))))</f>
        <v/>
      </c>
      <c r="AT649" s="7">
        <f>IF(A649="","",IF(P649&lt;&gt;"",P649,AS649))</f>
        <v/>
      </c>
      <c r="AU649" s="7">
        <f>IF(A649="","",IF(OR(AT649="A",AT649="B"),1,0))</f>
        <v/>
      </c>
      <c r="AV649" s="7">
        <f>IF(A649="","",IF(OR(R649="Dépôt payé (gagné)",R649="Événement livré",R649="Avis obtenu"),1,0))</f>
        <v/>
      </c>
      <c r="AW649" s="7">
        <f>IF(A649="","",IF(Q649&gt;70,"Immédiat – propriétaire",IF(Q649&gt;=40,"15 min – personne de garde","Selon la route")))</f>
        <v/>
      </c>
      <c r="AX649" s="11">
        <f>IF(A649="","",IF(AT649="A",400,IF(AT649="B",150,0)))</f>
        <v/>
      </c>
      <c r="AY649" s="11">
        <f>IF(A649="","",IF(AV649=1,N(V649),IF(N(U649)&gt;0,ROUND(N(U649)*IFERROR(VLOOKUP(R649,Listes!$AE$3:$AG$12,2,FALSE),0),0),0)))</f>
        <v/>
      </c>
      <c r="AZ649" s="7">
        <f>IF(LEFT(A649,7)="EXEMPLE",1,0)</f>
        <v/>
      </c>
      <c r="BA649" s="7">
        <f>IF(AND(AV649=1,AZ649=0,AC649&lt;&gt;"",W649&lt;&gt;"",N(V649)&gt;0),COUNTIFS($AV$3:AV649,1,$AZ$3:AZ649,0,$AC$3:AC649,"&lt;&gt;",$W$3:W649,"&lt;&gt;",$V$3:V649,"&gt;0"),"")</f>
        <v/>
      </c>
    </row>
    <row r="650">
      <c r="A650" s="12" t="n"/>
      <c r="B650" s="13" t="n"/>
      <c r="C650" s="13" t="n"/>
      <c r="D650" s="7">
        <f>IF(OR(B650="",C650=""),"",ROUND((C650-B650)*1440,0))</f>
        <v/>
      </c>
      <c r="E650" s="12" t="n"/>
      <c r="F650" s="12" t="n"/>
      <c r="G650" s="12" t="n"/>
      <c r="H650" s="12" t="n"/>
      <c r="I650" s="12" t="n"/>
      <c r="J650" s="12" t="n"/>
      <c r="K650" s="12" t="n"/>
      <c r="L650" s="14" t="n"/>
      <c r="M650" s="12" t="n"/>
      <c r="N650" s="12" t="n"/>
      <c r="O650" s="12" t="n"/>
      <c r="P650" s="12" t="n"/>
      <c r="Q650" s="7">
        <f>IF(A650="","",IFERROR(VLOOKUP(O650,Listes!$R$3:$T$8,2,FALSE),0)+IFERROR(VLOOKUP(J650,Listes!$J$3:$L$6,2,FALSE),0)+IFERROR(VLOOKUP(N650,Listes!$N$3:$P$6,2,FALSE),0)+IF(OR(L650="",B650=""),0,IF(L650-INT(B650)&lt;10,8,IF(L650-INT(B650)&lt;=90,10,5)))+IFERROR(VLOOKUP(AN650,Listes!$V$3:$W$5,2,FALSE),0)+IFERROR(VLOOKUP(AO650,Listes!$Y$3:$Z$5,2,FALSE),0))</f>
        <v/>
      </c>
      <c r="R650" s="12" t="n"/>
      <c r="S650" s="12" t="n"/>
      <c r="T650" s="12" t="n"/>
      <c r="U650" s="15" t="n"/>
      <c r="V650" s="15" t="n"/>
      <c r="W650" s="13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3" t="n"/>
      <c r="AK650" s="12" t="n"/>
      <c r="AL650" s="12" t="n"/>
      <c r="AM650" s="12" t="n"/>
      <c r="AN650" s="12" t="n"/>
      <c r="AO650" s="12" t="n"/>
      <c r="AP650" s="12" t="n"/>
      <c r="AQ650" s="7">
        <f>IF(A650="","",IF(AP650&lt;&gt;"",AP650,IF(LEFT(Z650,11)="gads_marque","Google Search – Marque",IF(LEFT(Z650,12)="gads_mariage","Google Search – Mariage et privé",IF(LEFT(Z650,10)="gads_corpo","Google Search – Corporatif",IF(LEFT(Z650,5)="meta_","Meta – Leads",IF(LEFT(Z650,5)="msft_","Microsoft Ads",IF(LEFT(Z650,8)="chatgpt_","ChatGPT Ads – Test",IF(X650="gbp","Fiche Google (organique)","Autre / non payé")))))))))</f>
        <v/>
      </c>
      <c r="AR650" s="7">
        <f>IF(K650="","",IFERROR(VLOOKUP(K650,Listes!$F$3:$H$8,3,FALSE),""))</f>
        <v/>
      </c>
      <c r="AS650" s="7">
        <f>IF(O650="","",IF(AND(M650="Autre (plus de 40 km)",OR(O650="lt600",O650="600_999",O650="1000_2499")),"D",IF(OR(O650="lt600",AND(O650="600_999",K650&lt;&gt;"mariage",K650&lt;&gt;"prive")),"C",IF(OR(O650="2500_4999",O650="5000p",J650="entreprise",J650="organisme",J650="agence"),"A",IF(OR(O650="1000_2499",O650="600_999"),"B",IF(O650="inconnu",IF(OR(N650="75_149",N650="150p"),"A","B"),""))))))</f>
        <v/>
      </c>
      <c r="AT650" s="7">
        <f>IF(A650="","",IF(P650&lt;&gt;"",P650,AS650))</f>
        <v/>
      </c>
      <c r="AU650" s="7">
        <f>IF(A650="","",IF(OR(AT650="A",AT650="B"),1,0))</f>
        <v/>
      </c>
      <c r="AV650" s="7">
        <f>IF(A650="","",IF(OR(R650="Dépôt payé (gagné)",R650="Événement livré",R650="Avis obtenu"),1,0))</f>
        <v/>
      </c>
      <c r="AW650" s="7">
        <f>IF(A650="","",IF(Q650&gt;70,"Immédiat – propriétaire",IF(Q650&gt;=40,"15 min – personne de garde","Selon la route")))</f>
        <v/>
      </c>
      <c r="AX650" s="11">
        <f>IF(A650="","",IF(AT650="A",400,IF(AT650="B",150,0)))</f>
        <v/>
      </c>
      <c r="AY650" s="11">
        <f>IF(A650="","",IF(AV650=1,N(V650),IF(N(U650)&gt;0,ROUND(N(U650)*IFERROR(VLOOKUP(R650,Listes!$AE$3:$AG$12,2,FALSE),0),0),0)))</f>
        <v/>
      </c>
      <c r="AZ650" s="7">
        <f>IF(LEFT(A650,7)="EXEMPLE",1,0)</f>
        <v/>
      </c>
      <c r="BA650" s="7">
        <f>IF(AND(AV650=1,AZ650=0,AC650&lt;&gt;"",W650&lt;&gt;"",N(V650)&gt;0),COUNTIFS($AV$3:AV650,1,$AZ$3:AZ650,0,$AC$3:AC650,"&lt;&gt;",$W$3:W650,"&lt;&gt;",$V$3:V650,"&gt;0"),"")</f>
        <v/>
      </c>
    </row>
    <row r="651">
      <c r="A651" s="12" t="n"/>
      <c r="B651" s="13" t="n"/>
      <c r="C651" s="13" t="n"/>
      <c r="D651" s="7">
        <f>IF(OR(B651="",C651=""),"",ROUND((C651-B651)*1440,0))</f>
        <v/>
      </c>
      <c r="E651" s="12" t="n"/>
      <c r="F651" s="12" t="n"/>
      <c r="G651" s="12" t="n"/>
      <c r="H651" s="12" t="n"/>
      <c r="I651" s="12" t="n"/>
      <c r="J651" s="12" t="n"/>
      <c r="K651" s="12" t="n"/>
      <c r="L651" s="14" t="n"/>
      <c r="M651" s="12" t="n"/>
      <c r="N651" s="12" t="n"/>
      <c r="O651" s="12" t="n"/>
      <c r="P651" s="12" t="n"/>
      <c r="Q651" s="7">
        <f>IF(A651="","",IFERROR(VLOOKUP(O651,Listes!$R$3:$T$8,2,FALSE),0)+IFERROR(VLOOKUP(J651,Listes!$J$3:$L$6,2,FALSE),0)+IFERROR(VLOOKUP(N651,Listes!$N$3:$P$6,2,FALSE),0)+IF(OR(L651="",B651=""),0,IF(L651-INT(B651)&lt;10,8,IF(L651-INT(B651)&lt;=90,10,5)))+IFERROR(VLOOKUP(AN651,Listes!$V$3:$W$5,2,FALSE),0)+IFERROR(VLOOKUP(AO651,Listes!$Y$3:$Z$5,2,FALSE),0))</f>
        <v/>
      </c>
      <c r="R651" s="12" t="n"/>
      <c r="S651" s="12" t="n"/>
      <c r="T651" s="12" t="n"/>
      <c r="U651" s="15" t="n"/>
      <c r="V651" s="15" t="n"/>
      <c r="W651" s="13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3" t="n"/>
      <c r="AK651" s="12" t="n"/>
      <c r="AL651" s="12" t="n"/>
      <c r="AM651" s="12" t="n"/>
      <c r="AN651" s="12" t="n"/>
      <c r="AO651" s="12" t="n"/>
      <c r="AP651" s="12" t="n"/>
      <c r="AQ651" s="7">
        <f>IF(A651="","",IF(AP651&lt;&gt;"",AP651,IF(LEFT(Z651,11)="gads_marque","Google Search – Marque",IF(LEFT(Z651,12)="gads_mariage","Google Search – Mariage et privé",IF(LEFT(Z651,10)="gads_corpo","Google Search – Corporatif",IF(LEFT(Z651,5)="meta_","Meta – Leads",IF(LEFT(Z651,5)="msft_","Microsoft Ads",IF(LEFT(Z651,8)="chatgpt_","ChatGPT Ads – Test",IF(X651="gbp","Fiche Google (organique)","Autre / non payé")))))))))</f>
        <v/>
      </c>
      <c r="AR651" s="7">
        <f>IF(K651="","",IFERROR(VLOOKUP(K651,Listes!$F$3:$H$8,3,FALSE),""))</f>
        <v/>
      </c>
      <c r="AS651" s="7">
        <f>IF(O651="","",IF(AND(M651="Autre (plus de 40 km)",OR(O651="lt600",O651="600_999",O651="1000_2499")),"D",IF(OR(O651="lt600",AND(O651="600_999",K651&lt;&gt;"mariage",K651&lt;&gt;"prive")),"C",IF(OR(O651="2500_4999",O651="5000p",J651="entreprise",J651="organisme",J651="agence"),"A",IF(OR(O651="1000_2499",O651="600_999"),"B",IF(O651="inconnu",IF(OR(N651="75_149",N651="150p"),"A","B"),""))))))</f>
        <v/>
      </c>
      <c r="AT651" s="7">
        <f>IF(A651="","",IF(P651&lt;&gt;"",P651,AS651))</f>
        <v/>
      </c>
      <c r="AU651" s="7">
        <f>IF(A651="","",IF(OR(AT651="A",AT651="B"),1,0))</f>
        <v/>
      </c>
      <c r="AV651" s="7">
        <f>IF(A651="","",IF(OR(R651="Dépôt payé (gagné)",R651="Événement livré",R651="Avis obtenu"),1,0))</f>
        <v/>
      </c>
      <c r="AW651" s="7">
        <f>IF(A651="","",IF(Q651&gt;70,"Immédiat – propriétaire",IF(Q651&gt;=40,"15 min – personne de garde","Selon la route")))</f>
        <v/>
      </c>
      <c r="AX651" s="11">
        <f>IF(A651="","",IF(AT651="A",400,IF(AT651="B",150,0)))</f>
        <v/>
      </c>
      <c r="AY651" s="11">
        <f>IF(A651="","",IF(AV651=1,N(V651),IF(N(U651)&gt;0,ROUND(N(U651)*IFERROR(VLOOKUP(R651,Listes!$AE$3:$AG$12,2,FALSE),0),0),0)))</f>
        <v/>
      </c>
      <c r="AZ651" s="7">
        <f>IF(LEFT(A651,7)="EXEMPLE",1,0)</f>
        <v/>
      </c>
      <c r="BA651" s="7">
        <f>IF(AND(AV651=1,AZ651=0,AC651&lt;&gt;"",W651&lt;&gt;"",N(V651)&gt;0),COUNTIFS($AV$3:AV651,1,$AZ$3:AZ651,0,$AC$3:AC651,"&lt;&gt;",$W$3:W651,"&lt;&gt;",$V$3:V651,"&gt;0"),"")</f>
        <v/>
      </c>
    </row>
    <row r="652">
      <c r="A652" s="12" t="n"/>
      <c r="B652" s="13" t="n"/>
      <c r="C652" s="13" t="n"/>
      <c r="D652" s="7">
        <f>IF(OR(B652="",C652=""),"",ROUND((C652-B652)*1440,0))</f>
        <v/>
      </c>
      <c r="E652" s="12" t="n"/>
      <c r="F652" s="12" t="n"/>
      <c r="G652" s="12" t="n"/>
      <c r="H652" s="12" t="n"/>
      <c r="I652" s="12" t="n"/>
      <c r="J652" s="12" t="n"/>
      <c r="K652" s="12" t="n"/>
      <c r="L652" s="14" t="n"/>
      <c r="M652" s="12" t="n"/>
      <c r="N652" s="12" t="n"/>
      <c r="O652" s="12" t="n"/>
      <c r="P652" s="12" t="n"/>
      <c r="Q652" s="7">
        <f>IF(A652="","",IFERROR(VLOOKUP(O652,Listes!$R$3:$T$8,2,FALSE),0)+IFERROR(VLOOKUP(J652,Listes!$J$3:$L$6,2,FALSE),0)+IFERROR(VLOOKUP(N652,Listes!$N$3:$P$6,2,FALSE),0)+IF(OR(L652="",B652=""),0,IF(L652-INT(B652)&lt;10,8,IF(L652-INT(B652)&lt;=90,10,5)))+IFERROR(VLOOKUP(AN652,Listes!$V$3:$W$5,2,FALSE),0)+IFERROR(VLOOKUP(AO652,Listes!$Y$3:$Z$5,2,FALSE),0))</f>
        <v/>
      </c>
      <c r="R652" s="12" t="n"/>
      <c r="S652" s="12" t="n"/>
      <c r="T652" s="12" t="n"/>
      <c r="U652" s="15" t="n"/>
      <c r="V652" s="15" t="n"/>
      <c r="W652" s="13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3" t="n"/>
      <c r="AK652" s="12" t="n"/>
      <c r="AL652" s="12" t="n"/>
      <c r="AM652" s="12" t="n"/>
      <c r="AN652" s="12" t="n"/>
      <c r="AO652" s="12" t="n"/>
      <c r="AP652" s="12" t="n"/>
      <c r="AQ652" s="7">
        <f>IF(A652="","",IF(AP652&lt;&gt;"",AP652,IF(LEFT(Z652,11)="gads_marque","Google Search – Marque",IF(LEFT(Z652,12)="gads_mariage","Google Search – Mariage et privé",IF(LEFT(Z652,10)="gads_corpo","Google Search – Corporatif",IF(LEFT(Z652,5)="meta_","Meta – Leads",IF(LEFT(Z652,5)="msft_","Microsoft Ads",IF(LEFT(Z652,8)="chatgpt_","ChatGPT Ads – Test",IF(X652="gbp","Fiche Google (organique)","Autre / non payé")))))))))</f>
        <v/>
      </c>
      <c r="AR652" s="7">
        <f>IF(K652="","",IFERROR(VLOOKUP(K652,Listes!$F$3:$H$8,3,FALSE),""))</f>
        <v/>
      </c>
      <c r="AS652" s="7">
        <f>IF(O652="","",IF(AND(M652="Autre (plus de 40 km)",OR(O652="lt600",O652="600_999",O652="1000_2499")),"D",IF(OR(O652="lt600",AND(O652="600_999",K652&lt;&gt;"mariage",K652&lt;&gt;"prive")),"C",IF(OR(O652="2500_4999",O652="5000p",J652="entreprise",J652="organisme",J652="agence"),"A",IF(OR(O652="1000_2499",O652="600_999"),"B",IF(O652="inconnu",IF(OR(N652="75_149",N652="150p"),"A","B"),""))))))</f>
        <v/>
      </c>
      <c r="AT652" s="7">
        <f>IF(A652="","",IF(P652&lt;&gt;"",P652,AS652))</f>
        <v/>
      </c>
      <c r="AU652" s="7">
        <f>IF(A652="","",IF(OR(AT652="A",AT652="B"),1,0))</f>
        <v/>
      </c>
      <c r="AV652" s="7">
        <f>IF(A652="","",IF(OR(R652="Dépôt payé (gagné)",R652="Événement livré",R652="Avis obtenu"),1,0))</f>
        <v/>
      </c>
      <c r="AW652" s="7">
        <f>IF(A652="","",IF(Q652&gt;70,"Immédiat – propriétaire",IF(Q652&gt;=40,"15 min – personne de garde","Selon la route")))</f>
        <v/>
      </c>
      <c r="AX652" s="11">
        <f>IF(A652="","",IF(AT652="A",400,IF(AT652="B",150,0)))</f>
        <v/>
      </c>
      <c r="AY652" s="11">
        <f>IF(A652="","",IF(AV652=1,N(V652),IF(N(U652)&gt;0,ROUND(N(U652)*IFERROR(VLOOKUP(R652,Listes!$AE$3:$AG$12,2,FALSE),0),0),0)))</f>
        <v/>
      </c>
      <c r="AZ652" s="7">
        <f>IF(LEFT(A652,7)="EXEMPLE",1,0)</f>
        <v/>
      </c>
      <c r="BA652" s="7">
        <f>IF(AND(AV652=1,AZ652=0,AC652&lt;&gt;"",W652&lt;&gt;"",N(V652)&gt;0),COUNTIFS($AV$3:AV652,1,$AZ$3:AZ652,0,$AC$3:AC652,"&lt;&gt;",$W$3:W652,"&lt;&gt;",$V$3:V652,"&gt;0"),"")</f>
        <v/>
      </c>
    </row>
    <row r="653">
      <c r="A653" s="12" t="n"/>
      <c r="B653" s="13" t="n"/>
      <c r="C653" s="13" t="n"/>
      <c r="D653" s="7">
        <f>IF(OR(B653="",C653=""),"",ROUND((C653-B653)*1440,0))</f>
        <v/>
      </c>
      <c r="E653" s="12" t="n"/>
      <c r="F653" s="12" t="n"/>
      <c r="G653" s="12" t="n"/>
      <c r="H653" s="12" t="n"/>
      <c r="I653" s="12" t="n"/>
      <c r="J653" s="12" t="n"/>
      <c r="K653" s="12" t="n"/>
      <c r="L653" s="14" t="n"/>
      <c r="M653" s="12" t="n"/>
      <c r="N653" s="12" t="n"/>
      <c r="O653" s="12" t="n"/>
      <c r="P653" s="12" t="n"/>
      <c r="Q653" s="7">
        <f>IF(A653="","",IFERROR(VLOOKUP(O653,Listes!$R$3:$T$8,2,FALSE),0)+IFERROR(VLOOKUP(J653,Listes!$J$3:$L$6,2,FALSE),0)+IFERROR(VLOOKUP(N653,Listes!$N$3:$P$6,2,FALSE),0)+IF(OR(L653="",B653=""),0,IF(L653-INT(B653)&lt;10,8,IF(L653-INT(B653)&lt;=90,10,5)))+IFERROR(VLOOKUP(AN653,Listes!$V$3:$W$5,2,FALSE),0)+IFERROR(VLOOKUP(AO653,Listes!$Y$3:$Z$5,2,FALSE),0))</f>
        <v/>
      </c>
      <c r="R653" s="12" t="n"/>
      <c r="S653" s="12" t="n"/>
      <c r="T653" s="12" t="n"/>
      <c r="U653" s="15" t="n"/>
      <c r="V653" s="15" t="n"/>
      <c r="W653" s="13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3" t="n"/>
      <c r="AK653" s="12" t="n"/>
      <c r="AL653" s="12" t="n"/>
      <c r="AM653" s="12" t="n"/>
      <c r="AN653" s="12" t="n"/>
      <c r="AO653" s="12" t="n"/>
      <c r="AP653" s="12" t="n"/>
      <c r="AQ653" s="7">
        <f>IF(A653="","",IF(AP653&lt;&gt;"",AP653,IF(LEFT(Z653,11)="gads_marque","Google Search – Marque",IF(LEFT(Z653,12)="gads_mariage","Google Search – Mariage et privé",IF(LEFT(Z653,10)="gads_corpo","Google Search – Corporatif",IF(LEFT(Z653,5)="meta_","Meta – Leads",IF(LEFT(Z653,5)="msft_","Microsoft Ads",IF(LEFT(Z653,8)="chatgpt_","ChatGPT Ads – Test",IF(X653="gbp","Fiche Google (organique)","Autre / non payé")))))))))</f>
        <v/>
      </c>
      <c r="AR653" s="7">
        <f>IF(K653="","",IFERROR(VLOOKUP(K653,Listes!$F$3:$H$8,3,FALSE),""))</f>
        <v/>
      </c>
      <c r="AS653" s="7">
        <f>IF(O653="","",IF(AND(M653="Autre (plus de 40 km)",OR(O653="lt600",O653="600_999",O653="1000_2499")),"D",IF(OR(O653="lt600",AND(O653="600_999",K653&lt;&gt;"mariage",K653&lt;&gt;"prive")),"C",IF(OR(O653="2500_4999",O653="5000p",J653="entreprise",J653="organisme",J653="agence"),"A",IF(OR(O653="1000_2499",O653="600_999"),"B",IF(O653="inconnu",IF(OR(N653="75_149",N653="150p"),"A","B"),""))))))</f>
        <v/>
      </c>
      <c r="AT653" s="7">
        <f>IF(A653="","",IF(P653&lt;&gt;"",P653,AS653))</f>
        <v/>
      </c>
      <c r="AU653" s="7">
        <f>IF(A653="","",IF(OR(AT653="A",AT653="B"),1,0))</f>
        <v/>
      </c>
      <c r="AV653" s="7">
        <f>IF(A653="","",IF(OR(R653="Dépôt payé (gagné)",R653="Événement livré",R653="Avis obtenu"),1,0))</f>
        <v/>
      </c>
      <c r="AW653" s="7">
        <f>IF(A653="","",IF(Q653&gt;70,"Immédiat – propriétaire",IF(Q653&gt;=40,"15 min – personne de garde","Selon la route")))</f>
        <v/>
      </c>
      <c r="AX653" s="11">
        <f>IF(A653="","",IF(AT653="A",400,IF(AT653="B",150,0)))</f>
        <v/>
      </c>
      <c r="AY653" s="11">
        <f>IF(A653="","",IF(AV653=1,N(V653),IF(N(U653)&gt;0,ROUND(N(U653)*IFERROR(VLOOKUP(R653,Listes!$AE$3:$AG$12,2,FALSE),0),0),0)))</f>
        <v/>
      </c>
      <c r="AZ653" s="7">
        <f>IF(LEFT(A653,7)="EXEMPLE",1,0)</f>
        <v/>
      </c>
      <c r="BA653" s="7">
        <f>IF(AND(AV653=1,AZ653=0,AC653&lt;&gt;"",W653&lt;&gt;"",N(V653)&gt;0),COUNTIFS($AV$3:AV653,1,$AZ$3:AZ653,0,$AC$3:AC653,"&lt;&gt;",$W$3:W653,"&lt;&gt;",$V$3:V653,"&gt;0"),"")</f>
        <v/>
      </c>
    </row>
    <row r="654">
      <c r="A654" s="12" t="n"/>
      <c r="B654" s="13" t="n"/>
      <c r="C654" s="13" t="n"/>
      <c r="D654" s="7">
        <f>IF(OR(B654="",C654=""),"",ROUND((C654-B654)*1440,0))</f>
        <v/>
      </c>
      <c r="E654" s="12" t="n"/>
      <c r="F654" s="12" t="n"/>
      <c r="G654" s="12" t="n"/>
      <c r="H654" s="12" t="n"/>
      <c r="I654" s="12" t="n"/>
      <c r="J654" s="12" t="n"/>
      <c r="K654" s="12" t="n"/>
      <c r="L654" s="14" t="n"/>
      <c r="M654" s="12" t="n"/>
      <c r="N654" s="12" t="n"/>
      <c r="O654" s="12" t="n"/>
      <c r="P654" s="12" t="n"/>
      <c r="Q654" s="7">
        <f>IF(A654="","",IFERROR(VLOOKUP(O654,Listes!$R$3:$T$8,2,FALSE),0)+IFERROR(VLOOKUP(J654,Listes!$J$3:$L$6,2,FALSE),0)+IFERROR(VLOOKUP(N654,Listes!$N$3:$P$6,2,FALSE),0)+IF(OR(L654="",B654=""),0,IF(L654-INT(B654)&lt;10,8,IF(L654-INT(B654)&lt;=90,10,5)))+IFERROR(VLOOKUP(AN654,Listes!$V$3:$W$5,2,FALSE),0)+IFERROR(VLOOKUP(AO654,Listes!$Y$3:$Z$5,2,FALSE),0))</f>
        <v/>
      </c>
      <c r="R654" s="12" t="n"/>
      <c r="S654" s="12" t="n"/>
      <c r="T654" s="12" t="n"/>
      <c r="U654" s="15" t="n"/>
      <c r="V654" s="15" t="n"/>
      <c r="W654" s="13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3" t="n"/>
      <c r="AK654" s="12" t="n"/>
      <c r="AL654" s="12" t="n"/>
      <c r="AM654" s="12" t="n"/>
      <c r="AN654" s="12" t="n"/>
      <c r="AO654" s="12" t="n"/>
      <c r="AP654" s="12" t="n"/>
      <c r="AQ654" s="7">
        <f>IF(A654="","",IF(AP654&lt;&gt;"",AP654,IF(LEFT(Z654,11)="gads_marque","Google Search – Marque",IF(LEFT(Z654,12)="gads_mariage","Google Search – Mariage et privé",IF(LEFT(Z654,10)="gads_corpo","Google Search – Corporatif",IF(LEFT(Z654,5)="meta_","Meta – Leads",IF(LEFT(Z654,5)="msft_","Microsoft Ads",IF(LEFT(Z654,8)="chatgpt_","ChatGPT Ads – Test",IF(X654="gbp","Fiche Google (organique)","Autre / non payé")))))))))</f>
        <v/>
      </c>
      <c r="AR654" s="7">
        <f>IF(K654="","",IFERROR(VLOOKUP(K654,Listes!$F$3:$H$8,3,FALSE),""))</f>
        <v/>
      </c>
      <c r="AS654" s="7">
        <f>IF(O654="","",IF(AND(M654="Autre (plus de 40 km)",OR(O654="lt600",O654="600_999",O654="1000_2499")),"D",IF(OR(O654="lt600",AND(O654="600_999",K654&lt;&gt;"mariage",K654&lt;&gt;"prive")),"C",IF(OR(O654="2500_4999",O654="5000p",J654="entreprise",J654="organisme",J654="agence"),"A",IF(OR(O654="1000_2499",O654="600_999"),"B",IF(O654="inconnu",IF(OR(N654="75_149",N654="150p"),"A","B"),""))))))</f>
        <v/>
      </c>
      <c r="AT654" s="7">
        <f>IF(A654="","",IF(P654&lt;&gt;"",P654,AS654))</f>
        <v/>
      </c>
      <c r="AU654" s="7">
        <f>IF(A654="","",IF(OR(AT654="A",AT654="B"),1,0))</f>
        <v/>
      </c>
      <c r="AV654" s="7">
        <f>IF(A654="","",IF(OR(R654="Dépôt payé (gagné)",R654="Événement livré",R654="Avis obtenu"),1,0))</f>
        <v/>
      </c>
      <c r="AW654" s="7">
        <f>IF(A654="","",IF(Q654&gt;70,"Immédiat – propriétaire",IF(Q654&gt;=40,"15 min – personne de garde","Selon la route")))</f>
        <v/>
      </c>
      <c r="AX654" s="11">
        <f>IF(A654="","",IF(AT654="A",400,IF(AT654="B",150,0)))</f>
        <v/>
      </c>
      <c r="AY654" s="11">
        <f>IF(A654="","",IF(AV654=1,N(V654),IF(N(U654)&gt;0,ROUND(N(U654)*IFERROR(VLOOKUP(R654,Listes!$AE$3:$AG$12,2,FALSE),0),0),0)))</f>
        <v/>
      </c>
      <c r="AZ654" s="7">
        <f>IF(LEFT(A654,7)="EXEMPLE",1,0)</f>
        <v/>
      </c>
      <c r="BA654" s="7">
        <f>IF(AND(AV654=1,AZ654=0,AC654&lt;&gt;"",W654&lt;&gt;"",N(V654)&gt;0),COUNTIFS($AV$3:AV654,1,$AZ$3:AZ654,0,$AC$3:AC654,"&lt;&gt;",$W$3:W654,"&lt;&gt;",$V$3:V654,"&gt;0"),"")</f>
        <v/>
      </c>
    </row>
    <row r="655">
      <c r="A655" s="12" t="n"/>
      <c r="B655" s="13" t="n"/>
      <c r="C655" s="13" t="n"/>
      <c r="D655" s="7">
        <f>IF(OR(B655="",C655=""),"",ROUND((C655-B655)*1440,0))</f>
        <v/>
      </c>
      <c r="E655" s="12" t="n"/>
      <c r="F655" s="12" t="n"/>
      <c r="G655" s="12" t="n"/>
      <c r="H655" s="12" t="n"/>
      <c r="I655" s="12" t="n"/>
      <c r="J655" s="12" t="n"/>
      <c r="K655" s="12" t="n"/>
      <c r="L655" s="14" t="n"/>
      <c r="M655" s="12" t="n"/>
      <c r="N655" s="12" t="n"/>
      <c r="O655" s="12" t="n"/>
      <c r="P655" s="12" t="n"/>
      <c r="Q655" s="7">
        <f>IF(A655="","",IFERROR(VLOOKUP(O655,Listes!$R$3:$T$8,2,FALSE),0)+IFERROR(VLOOKUP(J655,Listes!$J$3:$L$6,2,FALSE),0)+IFERROR(VLOOKUP(N655,Listes!$N$3:$P$6,2,FALSE),0)+IF(OR(L655="",B655=""),0,IF(L655-INT(B655)&lt;10,8,IF(L655-INT(B655)&lt;=90,10,5)))+IFERROR(VLOOKUP(AN655,Listes!$V$3:$W$5,2,FALSE),0)+IFERROR(VLOOKUP(AO655,Listes!$Y$3:$Z$5,2,FALSE),0))</f>
        <v/>
      </c>
      <c r="R655" s="12" t="n"/>
      <c r="S655" s="12" t="n"/>
      <c r="T655" s="12" t="n"/>
      <c r="U655" s="15" t="n"/>
      <c r="V655" s="15" t="n"/>
      <c r="W655" s="13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3" t="n"/>
      <c r="AK655" s="12" t="n"/>
      <c r="AL655" s="12" t="n"/>
      <c r="AM655" s="12" t="n"/>
      <c r="AN655" s="12" t="n"/>
      <c r="AO655" s="12" t="n"/>
      <c r="AP655" s="12" t="n"/>
      <c r="AQ655" s="7">
        <f>IF(A655="","",IF(AP655&lt;&gt;"",AP655,IF(LEFT(Z655,11)="gads_marque","Google Search – Marque",IF(LEFT(Z655,12)="gads_mariage","Google Search – Mariage et privé",IF(LEFT(Z655,10)="gads_corpo","Google Search – Corporatif",IF(LEFT(Z655,5)="meta_","Meta – Leads",IF(LEFT(Z655,5)="msft_","Microsoft Ads",IF(LEFT(Z655,8)="chatgpt_","ChatGPT Ads – Test",IF(X655="gbp","Fiche Google (organique)","Autre / non payé")))))))))</f>
        <v/>
      </c>
      <c r="AR655" s="7">
        <f>IF(K655="","",IFERROR(VLOOKUP(K655,Listes!$F$3:$H$8,3,FALSE),""))</f>
        <v/>
      </c>
      <c r="AS655" s="7">
        <f>IF(O655="","",IF(AND(M655="Autre (plus de 40 km)",OR(O655="lt600",O655="600_999",O655="1000_2499")),"D",IF(OR(O655="lt600",AND(O655="600_999",K655&lt;&gt;"mariage",K655&lt;&gt;"prive")),"C",IF(OR(O655="2500_4999",O655="5000p",J655="entreprise",J655="organisme",J655="agence"),"A",IF(OR(O655="1000_2499",O655="600_999"),"B",IF(O655="inconnu",IF(OR(N655="75_149",N655="150p"),"A","B"),""))))))</f>
        <v/>
      </c>
      <c r="AT655" s="7">
        <f>IF(A655="","",IF(P655&lt;&gt;"",P655,AS655))</f>
        <v/>
      </c>
      <c r="AU655" s="7">
        <f>IF(A655="","",IF(OR(AT655="A",AT655="B"),1,0))</f>
        <v/>
      </c>
      <c r="AV655" s="7">
        <f>IF(A655="","",IF(OR(R655="Dépôt payé (gagné)",R655="Événement livré",R655="Avis obtenu"),1,0))</f>
        <v/>
      </c>
      <c r="AW655" s="7">
        <f>IF(A655="","",IF(Q655&gt;70,"Immédiat – propriétaire",IF(Q655&gt;=40,"15 min – personne de garde","Selon la route")))</f>
        <v/>
      </c>
      <c r="AX655" s="11">
        <f>IF(A655="","",IF(AT655="A",400,IF(AT655="B",150,0)))</f>
        <v/>
      </c>
      <c r="AY655" s="11">
        <f>IF(A655="","",IF(AV655=1,N(V655),IF(N(U655)&gt;0,ROUND(N(U655)*IFERROR(VLOOKUP(R655,Listes!$AE$3:$AG$12,2,FALSE),0),0),0)))</f>
        <v/>
      </c>
      <c r="AZ655" s="7">
        <f>IF(LEFT(A655,7)="EXEMPLE",1,0)</f>
        <v/>
      </c>
      <c r="BA655" s="7">
        <f>IF(AND(AV655=1,AZ655=0,AC655&lt;&gt;"",W655&lt;&gt;"",N(V655)&gt;0),COUNTIFS($AV$3:AV655,1,$AZ$3:AZ655,0,$AC$3:AC655,"&lt;&gt;",$W$3:W655,"&lt;&gt;",$V$3:V655,"&gt;0"),"")</f>
        <v/>
      </c>
    </row>
    <row r="656">
      <c r="A656" s="12" t="n"/>
      <c r="B656" s="13" t="n"/>
      <c r="C656" s="13" t="n"/>
      <c r="D656" s="7">
        <f>IF(OR(B656="",C656=""),"",ROUND((C656-B656)*1440,0))</f>
        <v/>
      </c>
      <c r="E656" s="12" t="n"/>
      <c r="F656" s="12" t="n"/>
      <c r="G656" s="12" t="n"/>
      <c r="H656" s="12" t="n"/>
      <c r="I656" s="12" t="n"/>
      <c r="J656" s="12" t="n"/>
      <c r="K656" s="12" t="n"/>
      <c r="L656" s="14" t="n"/>
      <c r="M656" s="12" t="n"/>
      <c r="N656" s="12" t="n"/>
      <c r="O656" s="12" t="n"/>
      <c r="P656" s="12" t="n"/>
      <c r="Q656" s="7">
        <f>IF(A656="","",IFERROR(VLOOKUP(O656,Listes!$R$3:$T$8,2,FALSE),0)+IFERROR(VLOOKUP(J656,Listes!$J$3:$L$6,2,FALSE),0)+IFERROR(VLOOKUP(N656,Listes!$N$3:$P$6,2,FALSE),0)+IF(OR(L656="",B656=""),0,IF(L656-INT(B656)&lt;10,8,IF(L656-INT(B656)&lt;=90,10,5)))+IFERROR(VLOOKUP(AN656,Listes!$V$3:$W$5,2,FALSE),0)+IFERROR(VLOOKUP(AO656,Listes!$Y$3:$Z$5,2,FALSE),0))</f>
        <v/>
      </c>
      <c r="R656" s="12" t="n"/>
      <c r="S656" s="12" t="n"/>
      <c r="T656" s="12" t="n"/>
      <c r="U656" s="15" t="n"/>
      <c r="V656" s="15" t="n"/>
      <c r="W656" s="13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3" t="n"/>
      <c r="AK656" s="12" t="n"/>
      <c r="AL656" s="12" t="n"/>
      <c r="AM656" s="12" t="n"/>
      <c r="AN656" s="12" t="n"/>
      <c r="AO656" s="12" t="n"/>
      <c r="AP656" s="12" t="n"/>
      <c r="AQ656" s="7">
        <f>IF(A656="","",IF(AP656&lt;&gt;"",AP656,IF(LEFT(Z656,11)="gads_marque","Google Search – Marque",IF(LEFT(Z656,12)="gads_mariage","Google Search – Mariage et privé",IF(LEFT(Z656,10)="gads_corpo","Google Search – Corporatif",IF(LEFT(Z656,5)="meta_","Meta – Leads",IF(LEFT(Z656,5)="msft_","Microsoft Ads",IF(LEFT(Z656,8)="chatgpt_","ChatGPT Ads – Test",IF(X656="gbp","Fiche Google (organique)","Autre / non payé")))))))))</f>
        <v/>
      </c>
      <c r="AR656" s="7">
        <f>IF(K656="","",IFERROR(VLOOKUP(K656,Listes!$F$3:$H$8,3,FALSE),""))</f>
        <v/>
      </c>
      <c r="AS656" s="7">
        <f>IF(O656="","",IF(AND(M656="Autre (plus de 40 km)",OR(O656="lt600",O656="600_999",O656="1000_2499")),"D",IF(OR(O656="lt600",AND(O656="600_999",K656&lt;&gt;"mariage",K656&lt;&gt;"prive")),"C",IF(OR(O656="2500_4999",O656="5000p",J656="entreprise",J656="organisme",J656="agence"),"A",IF(OR(O656="1000_2499",O656="600_999"),"B",IF(O656="inconnu",IF(OR(N656="75_149",N656="150p"),"A","B"),""))))))</f>
        <v/>
      </c>
      <c r="AT656" s="7">
        <f>IF(A656="","",IF(P656&lt;&gt;"",P656,AS656))</f>
        <v/>
      </c>
      <c r="AU656" s="7">
        <f>IF(A656="","",IF(OR(AT656="A",AT656="B"),1,0))</f>
        <v/>
      </c>
      <c r="AV656" s="7">
        <f>IF(A656="","",IF(OR(R656="Dépôt payé (gagné)",R656="Événement livré",R656="Avis obtenu"),1,0))</f>
        <v/>
      </c>
      <c r="AW656" s="7">
        <f>IF(A656="","",IF(Q656&gt;70,"Immédiat – propriétaire",IF(Q656&gt;=40,"15 min – personne de garde","Selon la route")))</f>
        <v/>
      </c>
      <c r="AX656" s="11">
        <f>IF(A656="","",IF(AT656="A",400,IF(AT656="B",150,0)))</f>
        <v/>
      </c>
      <c r="AY656" s="11">
        <f>IF(A656="","",IF(AV656=1,N(V656),IF(N(U656)&gt;0,ROUND(N(U656)*IFERROR(VLOOKUP(R656,Listes!$AE$3:$AG$12,2,FALSE),0),0),0)))</f>
        <v/>
      </c>
      <c r="AZ656" s="7">
        <f>IF(LEFT(A656,7)="EXEMPLE",1,0)</f>
        <v/>
      </c>
      <c r="BA656" s="7">
        <f>IF(AND(AV656=1,AZ656=0,AC656&lt;&gt;"",W656&lt;&gt;"",N(V656)&gt;0),COUNTIFS($AV$3:AV656,1,$AZ$3:AZ656,0,$AC$3:AC656,"&lt;&gt;",$W$3:W656,"&lt;&gt;",$V$3:V656,"&gt;0"),"")</f>
        <v/>
      </c>
    </row>
    <row r="657">
      <c r="A657" s="12" t="n"/>
      <c r="B657" s="13" t="n"/>
      <c r="C657" s="13" t="n"/>
      <c r="D657" s="7">
        <f>IF(OR(B657="",C657=""),"",ROUND((C657-B657)*1440,0))</f>
        <v/>
      </c>
      <c r="E657" s="12" t="n"/>
      <c r="F657" s="12" t="n"/>
      <c r="G657" s="12" t="n"/>
      <c r="H657" s="12" t="n"/>
      <c r="I657" s="12" t="n"/>
      <c r="J657" s="12" t="n"/>
      <c r="K657" s="12" t="n"/>
      <c r="L657" s="14" t="n"/>
      <c r="M657" s="12" t="n"/>
      <c r="N657" s="12" t="n"/>
      <c r="O657" s="12" t="n"/>
      <c r="P657" s="12" t="n"/>
      <c r="Q657" s="7">
        <f>IF(A657="","",IFERROR(VLOOKUP(O657,Listes!$R$3:$T$8,2,FALSE),0)+IFERROR(VLOOKUP(J657,Listes!$J$3:$L$6,2,FALSE),0)+IFERROR(VLOOKUP(N657,Listes!$N$3:$P$6,2,FALSE),0)+IF(OR(L657="",B657=""),0,IF(L657-INT(B657)&lt;10,8,IF(L657-INT(B657)&lt;=90,10,5)))+IFERROR(VLOOKUP(AN657,Listes!$V$3:$W$5,2,FALSE),0)+IFERROR(VLOOKUP(AO657,Listes!$Y$3:$Z$5,2,FALSE),0))</f>
        <v/>
      </c>
      <c r="R657" s="12" t="n"/>
      <c r="S657" s="12" t="n"/>
      <c r="T657" s="12" t="n"/>
      <c r="U657" s="15" t="n"/>
      <c r="V657" s="15" t="n"/>
      <c r="W657" s="13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3" t="n"/>
      <c r="AK657" s="12" t="n"/>
      <c r="AL657" s="12" t="n"/>
      <c r="AM657" s="12" t="n"/>
      <c r="AN657" s="12" t="n"/>
      <c r="AO657" s="12" t="n"/>
      <c r="AP657" s="12" t="n"/>
      <c r="AQ657" s="7">
        <f>IF(A657="","",IF(AP657&lt;&gt;"",AP657,IF(LEFT(Z657,11)="gads_marque","Google Search – Marque",IF(LEFT(Z657,12)="gads_mariage","Google Search – Mariage et privé",IF(LEFT(Z657,10)="gads_corpo","Google Search – Corporatif",IF(LEFT(Z657,5)="meta_","Meta – Leads",IF(LEFT(Z657,5)="msft_","Microsoft Ads",IF(LEFT(Z657,8)="chatgpt_","ChatGPT Ads – Test",IF(X657="gbp","Fiche Google (organique)","Autre / non payé")))))))))</f>
        <v/>
      </c>
      <c r="AR657" s="7">
        <f>IF(K657="","",IFERROR(VLOOKUP(K657,Listes!$F$3:$H$8,3,FALSE),""))</f>
        <v/>
      </c>
      <c r="AS657" s="7">
        <f>IF(O657="","",IF(AND(M657="Autre (plus de 40 km)",OR(O657="lt600",O657="600_999",O657="1000_2499")),"D",IF(OR(O657="lt600",AND(O657="600_999",K657&lt;&gt;"mariage",K657&lt;&gt;"prive")),"C",IF(OR(O657="2500_4999",O657="5000p",J657="entreprise",J657="organisme",J657="agence"),"A",IF(OR(O657="1000_2499",O657="600_999"),"B",IF(O657="inconnu",IF(OR(N657="75_149",N657="150p"),"A","B"),""))))))</f>
        <v/>
      </c>
      <c r="AT657" s="7">
        <f>IF(A657="","",IF(P657&lt;&gt;"",P657,AS657))</f>
        <v/>
      </c>
      <c r="AU657" s="7">
        <f>IF(A657="","",IF(OR(AT657="A",AT657="B"),1,0))</f>
        <v/>
      </c>
      <c r="AV657" s="7">
        <f>IF(A657="","",IF(OR(R657="Dépôt payé (gagné)",R657="Événement livré",R657="Avis obtenu"),1,0))</f>
        <v/>
      </c>
      <c r="AW657" s="7">
        <f>IF(A657="","",IF(Q657&gt;70,"Immédiat – propriétaire",IF(Q657&gt;=40,"15 min – personne de garde","Selon la route")))</f>
        <v/>
      </c>
      <c r="AX657" s="11">
        <f>IF(A657="","",IF(AT657="A",400,IF(AT657="B",150,0)))</f>
        <v/>
      </c>
      <c r="AY657" s="11">
        <f>IF(A657="","",IF(AV657=1,N(V657),IF(N(U657)&gt;0,ROUND(N(U657)*IFERROR(VLOOKUP(R657,Listes!$AE$3:$AG$12,2,FALSE),0),0),0)))</f>
        <v/>
      </c>
      <c r="AZ657" s="7">
        <f>IF(LEFT(A657,7)="EXEMPLE",1,0)</f>
        <v/>
      </c>
      <c r="BA657" s="7">
        <f>IF(AND(AV657=1,AZ657=0,AC657&lt;&gt;"",W657&lt;&gt;"",N(V657)&gt;0),COUNTIFS($AV$3:AV657,1,$AZ$3:AZ657,0,$AC$3:AC657,"&lt;&gt;",$W$3:W657,"&lt;&gt;",$V$3:V657,"&gt;0"),"")</f>
        <v/>
      </c>
    </row>
    <row r="658">
      <c r="A658" s="12" t="n"/>
      <c r="B658" s="13" t="n"/>
      <c r="C658" s="13" t="n"/>
      <c r="D658" s="7">
        <f>IF(OR(B658="",C658=""),"",ROUND((C658-B658)*1440,0))</f>
        <v/>
      </c>
      <c r="E658" s="12" t="n"/>
      <c r="F658" s="12" t="n"/>
      <c r="G658" s="12" t="n"/>
      <c r="H658" s="12" t="n"/>
      <c r="I658" s="12" t="n"/>
      <c r="J658" s="12" t="n"/>
      <c r="K658" s="12" t="n"/>
      <c r="L658" s="14" t="n"/>
      <c r="M658" s="12" t="n"/>
      <c r="N658" s="12" t="n"/>
      <c r="O658" s="12" t="n"/>
      <c r="P658" s="12" t="n"/>
      <c r="Q658" s="7">
        <f>IF(A658="","",IFERROR(VLOOKUP(O658,Listes!$R$3:$T$8,2,FALSE),0)+IFERROR(VLOOKUP(J658,Listes!$J$3:$L$6,2,FALSE),0)+IFERROR(VLOOKUP(N658,Listes!$N$3:$P$6,2,FALSE),0)+IF(OR(L658="",B658=""),0,IF(L658-INT(B658)&lt;10,8,IF(L658-INT(B658)&lt;=90,10,5)))+IFERROR(VLOOKUP(AN658,Listes!$V$3:$W$5,2,FALSE),0)+IFERROR(VLOOKUP(AO658,Listes!$Y$3:$Z$5,2,FALSE),0))</f>
        <v/>
      </c>
      <c r="R658" s="12" t="n"/>
      <c r="S658" s="12" t="n"/>
      <c r="T658" s="12" t="n"/>
      <c r="U658" s="15" t="n"/>
      <c r="V658" s="15" t="n"/>
      <c r="W658" s="13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3" t="n"/>
      <c r="AK658" s="12" t="n"/>
      <c r="AL658" s="12" t="n"/>
      <c r="AM658" s="12" t="n"/>
      <c r="AN658" s="12" t="n"/>
      <c r="AO658" s="12" t="n"/>
      <c r="AP658" s="12" t="n"/>
      <c r="AQ658" s="7">
        <f>IF(A658="","",IF(AP658&lt;&gt;"",AP658,IF(LEFT(Z658,11)="gads_marque","Google Search – Marque",IF(LEFT(Z658,12)="gads_mariage","Google Search – Mariage et privé",IF(LEFT(Z658,10)="gads_corpo","Google Search – Corporatif",IF(LEFT(Z658,5)="meta_","Meta – Leads",IF(LEFT(Z658,5)="msft_","Microsoft Ads",IF(LEFT(Z658,8)="chatgpt_","ChatGPT Ads – Test",IF(X658="gbp","Fiche Google (organique)","Autre / non payé")))))))))</f>
        <v/>
      </c>
      <c r="AR658" s="7">
        <f>IF(K658="","",IFERROR(VLOOKUP(K658,Listes!$F$3:$H$8,3,FALSE),""))</f>
        <v/>
      </c>
      <c r="AS658" s="7">
        <f>IF(O658="","",IF(AND(M658="Autre (plus de 40 km)",OR(O658="lt600",O658="600_999",O658="1000_2499")),"D",IF(OR(O658="lt600",AND(O658="600_999",K658&lt;&gt;"mariage",K658&lt;&gt;"prive")),"C",IF(OR(O658="2500_4999",O658="5000p",J658="entreprise",J658="organisme",J658="agence"),"A",IF(OR(O658="1000_2499",O658="600_999"),"B",IF(O658="inconnu",IF(OR(N658="75_149",N658="150p"),"A","B"),""))))))</f>
        <v/>
      </c>
      <c r="AT658" s="7">
        <f>IF(A658="","",IF(P658&lt;&gt;"",P658,AS658))</f>
        <v/>
      </c>
      <c r="AU658" s="7">
        <f>IF(A658="","",IF(OR(AT658="A",AT658="B"),1,0))</f>
        <v/>
      </c>
      <c r="AV658" s="7">
        <f>IF(A658="","",IF(OR(R658="Dépôt payé (gagné)",R658="Événement livré",R658="Avis obtenu"),1,0))</f>
        <v/>
      </c>
      <c r="AW658" s="7">
        <f>IF(A658="","",IF(Q658&gt;70,"Immédiat – propriétaire",IF(Q658&gt;=40,"15 min – personne de garde","Selon la route")))</f>
        <v/>
      </c>
      <c r="AX658" s="11">
        <f>IF(A658="","",IF(AT658="A",400,IF(AT658="B",150,0)))</f>
        <v/>
      </c>
      <c r="AY658" s="11">
        <f>IF(A658="","",IF(AV658=1,N(V658),IF(N(U658)&gt;0,ROUND(N(U658)*IFERROR(VLOOKUP(R658,Listes!$AE$3:$AG$12,2,FALSE),0),0),0)))</f>
        <v/>
      </c>
      <c r="AZ658" s="7">
        <f>IF(LEFT(A658,7)="EXEMPLE",1,0)</f>
        <v/>
      </c>
      <c r="BA658" s="7">
        <f>IF(AND(AV658=1,AZ658=0,AC658&lt;&gt;"",W658&lt;&gt;"",N(V658)&gt;0),COUNTIFS($AV$3:AV658,1,$AZ$3:AZ658,0,$AC$3:AC658,"&lt;&gt;",$W$3:W658,"&lt;&gt;",$V$3:V658,"&gt;0"),"")</f>
        <v/>
      </c>
    </row>
    <row r="659">
      <c r="A659" s="12" t="n"/>
      <c r="B659" s="13" t="n"/>
      <c r="C659" s="13" t="n"/>
      <c r="D659" s="7">
        <f>IF(OR(B659="",C659=""),"",ROUND((C659-B659)*1440,0))</f>
        <v/>
      </c>
      <c r="E659" s="12" t="n"/>
      <c r="F659" s="12" t="n"/>
      <c r="G659" s="12" t="n"/>
      <c r="H659" s="12" t="n"/>
      <c r="I659" s="12" t="n"/>
      <c r="J659" s="12" t="n"/>
      <c r="K659" s="12" t="n"/>
      <c r="L659" s="14" t="n"/>
      <c r="M659" s="12" t="n"/>
      <c r="N659" s="12" t="n"/>
      <c r="O659" s="12" t="n"/>
      <c r="P659" s="12" t="n"/>
      <c r="Q659" s="7">
        <f>IF(A659="","",IFERROR(VLOOKUP(O659,Listes!$R$3:$T$8,2,FALSE),0)+IFERROR(VLOOKUP(J659,Listes!$J$3:$L$6,2,FALSE),0)+IFERROR(VLOOKUP(N659,Listes!$N$3:$P$6,2,FALSE),0)+IF(OR(L659="",B659=""),0,IF(L659-INT(B659)&lt;10,8,IF(L659-INT(B659)&lt;=90,10,5)))+IFERROR(VLOOKUP(AN659,Listes!$V$3:$W$5,2,FALSE),0)+IFERROR(VLOOKUP(AO659,Listes!$Y$3:$Z$5,2,FALSE),0))</f>
        <v/>
      </c>
      <c r="R659" s="12" t="n"/>
      <c r="S659" s="12" t="n"/>
      <c r="T659" s="12" t="n"/>
      <c r="U659" s="15" t="n"/>
      <c r="V659" s="15" t="n"/>
      <c r="W659" s="13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3" t="n"/>
      <c r="AK659" s="12" t="n"/>
      <c r="AL659" s="12" t="n"/>
      <c r="AM659" s="12" t="n"/>
      <c r="AN659" s="12" t="n"/>
      <c r="AO659" s="12" t="n"/>
      <c r="AP659" s="12" t="n"/>
      <c r="AQ659" s="7">
        <f>IF(A659="","",IF(AP659&lt;&gt;"",AP659,IF(LEFT(Z659,11)="gads_marque","Google Search – Marque",IF(LEFT(Z659,12)="gads_mariage","Google Search – Mariage et privé",IF(LEFT(Z659,10)="gads_corpo","Google Search – Corporatif",IF(LEFT(Z659,5)="meta_","Meta – Leads",IF(LEFT(Z659,5)="msft_","Microsoft Ads",IF(LEFT(Z659,8)="chatgpt_","ChatGPT Ads – Test",IF(X659="gbp","Fiche Google (organique)","Autre / non payé")))))))))</f>
        <v/>
      </c>
      <c r="AR659" s="7">
        <f>IF(K659="","",IFERROR(VLOOKUP(K659,Listes!$F$3:$H$8,3,FALSE),""))</f>
        <v/>
      </c>
      <c r="AS659" s="7">
        <f>IF(O659="","",IF(AND(M659="Autre (plus de 40 km)",OR(O659="lt600",O659="600_999",O659="1000_2499")),"D",IF(OR(O659="lt600",AND(O659="600_999",K659&lt;&gt;"mariage",K659&lt;&gt;"prive")),"C",IF(OR(O659="2500_4999",O659="5000p",J659="entreprise",J659="organisme",J659="agence"),"A",IF(OR(O659="1000_2499",O659="600_999"),"B",IF(O659="inconnu",IF(OR(N659="75_149",N659="150p"),"A","B"),""))))))</f>
        <v/>
      </c>
      <c r="AT659" s="7">
        <f>IF(A659="","",IF(P659&lt;&gt;"",P659,AS659))</f>
        <v/>
      </c>
      <c r="AU659" s="7">
        <f>IF(A659="","",IF(OR(AT659="A",AT659="B"),1,0))</f>
        <v/>
      </c>
      <c r="AV659" s="7">
        <f>IF(A659="","",IF(OR(R659="Dépôt payé (gagné)",R659="Événement livré",R659="Avis obtenu"),1,0))</f>
        <v/>
      </c>
      <c r="AW659" s="7">
        <f>IF(A659="","",IF(Q659&gt;70,"Immédiat – propriétaire",IF(Q659&gt;=40,"15 min – personne de garde","Selon la route")))</f>
        <v/>
      </c>
      <c r="AX659" s="11">
        <f>IF(A659="","",IF(AT659="A",400,IF(AT659="B",150,0)))</f>
        <v/>
      </c>
      <c r="AY659" s="11">
        <f>IF(A659="","",IF(AV659=1,N(V659),IF(N(U659)&gt;0,ROUND(N(U659)*IFERROR(VLOOKUP(R659,Listes!$AE$3:$AG$12,2,FALSE),0),0),0)))</f>
        <v/>
      </c>
      <c r="AZ659" s="7">
        <f>IF(LEFT(A659,7)="EXEMPLE",1,0)</f>
        <v/>
      </c>
      <c r="BA659" s="7">
        <f>IF(AND(AV659=1,AZ659=0,AC659&lt;&gt;"",W659&lt;&gt;"",N(V659)&gt;0),COUNTIFS($AV$3:AV659,1,$AZ$3:AZ659,0,$AC$3:AC659,"&lt;&gt;",$W$3:W659,"&lt;&gt;",$V$3:V659,"&gt;0"),"")</f>
        <v/>
      </c>
    </row>
    <row r="660">
      <c r="A660" s="12" t="n"/>
      <c r="B660" s="13" t="n"/>
      <c r="C660" s="13" t="n"/>
      <c r="D660" s="7">
        <f>IF(OR(B660="",C660=""),"",ROUND((C660-B660)*1440,0))</f>
        <v/>
      </c>
      <c r="E660" s="12" t="n"/>
      <c r="F660" s="12" t="n"/>
      <c r="G660" s="12" t="n"/>
      <c r="H660" s="12" t="n"/>
      <c r="I660" s="12" t="n"/>
      <c r="J660" s="12" t="n"/>
      <c r="K660" s="12" t="n"/>
      <c r="L660" s="14" t="n"/>
      <c r="M660" s="12" t="n"/>
      <c r="N660" s="12" t="n"/>
      <c r="O660" s="12" t="n"/>
      <c r="P660" s="12" t="n"/>
      <c r="Q660" s="7">
        <f>IF(A660="","",IFERROR(VLOOKUP(O660,Listes!$R$3:$T$8,2,FALSE),0)+IFERROR(VLOOKUP(J660,Listes!$J$3:$L$6,2,FALSE),0)+IFERROR(VLOOKUP(N660,Listes!$N$3:$P$6,2,FALSE),0)+IF(OR(L660="",B660=""),0,IF(L660-INT(B660)&lt;10,8,IF(L660-INT(B660)&lt;=90,10,5)))+IFERROR(VLOOKUP(AN660,Listes!$V$3:$W$5,2,FALSE),0)+IFERROR(VLOOKUP(AO660,Listes!$Y$3:$Z$5,2,FALSE),0))</f>
        <v/>
      </c>
      <c r="R660" s="12" t="n"/>
      <c r="S660" s="12" t="n"/>
      <c r="T660" s="12" t="n"/>
      <c r="U660" s="15" t="n"/>
      <c r="V660" s="15" t="n"/>
      <c r="W660" s="13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3" t="n"/>
      <c r="AK660" s="12" t="n"/>
      <c r="AL660" s="12" t="n"/>
      <c r="AM660" s="12" t="n"/>
      <c r="AN660" s="12" t="n"/>
      <c r="AO660" s="12" t="n"/>
      <c r="AP660" s="12" t="n"/>
      <c r="AQ660" s="7">
        <f>IF(A660="","",IF(AP660&lt;&gt;"",AP660,IF(LEFT(Z660,11)="gads_marque","Google Search – Marque",IF(LEFT(Z660,12)="gads_mariage","Google Search – Mariage et privé",IF(LEFT(Z660,10)="gads_corpo","Google Search – Corporatif",IF(LEFT(Z660,5)="meta_","Meta – Leads",IF(LEFT(Z660,5)="msft_","Microsoft Ads",IF(LEFT(Z660,8)="chatgpt_","ChatGPT Ads – Test",IF(X660="gbp","Fiche Google (organique)","Autre / non payé")))))))))</f>
        <v/>
      </c>
      <c r="AR660" s="7">
        <f>IF(K660="","",IFERROR(VLOOKUP(K660,Listes!$F$3:$H$8,3,FALSE),""))</f>
        <v/>
      </c>
      <c r="AS660" s="7">
        <f>IF(O660="","",IF(AND(M660="Autre (plus de 40 km)",OR(O660="lt600",O660="600_999",O660="1000_2499")),"D",IF(OR(O660="lt600",AND(O660="600_999",K660&lt;&gt;"mariage",K660&lt;&gt;"prive")),"C",IF(OR(O660="2500_4999",O660="5000p",J660="entreprise",J660="organisme",J660="agence"),"A",IF(OR(O660="1000_2499",O660="600_999"),"B",IF(O660="inconnu",IF(OR(N660="75_149",N660="150p"),"A","B"),""))))))</f>
        <v/>
      </c>
      <c r="AT660" s="7">
        <f>IF(A660="","",IF(P660&lt;&gt;"",P660,AS660))</f>
        <v/>
      </c>
      <c r="AU660" s="7">
        <f>IF(A660="","",IF(OR(AT660="A",AT660="B"),1,0))</f>
        <v/>
      </c>
      <c r="AV660" s="7">
        <f>IF(A660="","",IF(OR(R660="Dépôt payé (gagné)",R660="Événement livré",R660="Avis obtenu"),1,0))</f>
        <v/>
      </c>
      <c r="AW660" s="7">
        <f>IF(A660="","",IF(Q660&gt;70,"Immédiat – propriétaire",IF(Q660&gt;=40,"15 min – personne de garde","Selon la route")))</f>
        <v/>
      </c>
      <c r="AX660" s="11">
        <f>IF(A660="","",IF(AT660="A",400,IF(AT660="B",150,0)))</f>
        <v/>
      </c>
      <c r="AY660" s="11">
        <f>IF(A660="","",IF(AV660=1,N(V660),IF(N(U660)&gt;0,ROUND(N(U660)*IFERROR(VLOOKUP(R660,Listes!$AE$3:$AG$12,2,FALSE),0),0),0)))</f>
        <v/>
      </c>
      <c r="AZ660" s="7">
        <f>IF(LEFT(A660,7)="EXEMPLE",1,0)</f>
        <v/>
      </c>
      <c r="BA660" s="7">
        <f>IF(AND(AV660=1,AZ660=0,AC660&lt;&gt;"",W660&lt;&gt;"",N(V660)&gt;0),COUNTIFS($AV$3:AV660,1,$AZ$3:AZ660,0,$AC$3:AC660,"&lt;&gt;",$W$3:W660,"&lt;&gt;",$V$3:V660,"&gt;0"),"")</f>
        <v/>
      </c>
    </row>
    <row r="661">
      <c r="A661" s="12" t="n"/>
      <c r="B661" s="13" t="n"/>
      <c r="C661" s="13" t="n"/>
      <c r="D661" s="7">
        <f>IF(OR(B661="",C661=""),"",ROUND((C661-B661)*1440,0))</f>
        <v/>
      </c>
      <c r="E661" s="12" t="n"/>
      <c r="F661" s="12" t="n"/>
      <c r="G661" s="12" t="n"/>
      <c r="H661" s="12" t="n"/>
      <c r="I661" s="12" t="n"/>
      <c r="J661" s="12" t="n"/>
      <c r="K661" s="12" t="n"/>
      <c r="L661" s="14" t="n"/>
      <c r="M661" s="12" t="n"/>
      <c r="N661" s="12" t="n"/>
      <c r="O661" s="12" t="n"/>
      <c r="P661" s="12" t="n"/>
      <c r="Q661" s="7">
        <f>IF(A661="","",IFERROR(VLOOKUP(O661,Listes!$R$3:$T$8,2,FALSE),0)+IFERROR(VLOOKUP(J661,Listes!$J$3:$L$6,2,FALSE),0)+IFERROR(VLOOKUP(N661,Listes!$N$3:$P$6,2,FALSE),0)+IF(OR(L661="",B661=""),0,IF(L661-INT(B661)&lt;10,8,IF(L661-INT(B661)&lt;=90,10,5)))+IFERROR(VLOOKUP(AN661,Listes!$V$3:$W$5,2,FALSE),0)+IFERROR(VLOOKUP(AO661,Listes!$Y$3:$Z$5,2,FALSE),0))</f>
        <v/>
      </c>
      <c r="R661" s="12" t="n"/>
      <c r="S661" s="12" t="n"/>
      <c r="T661" s="12" t="n"/>
      <c r="U661" s="15" t="n"/>
      <c r="V661" s="15" t="n"/>
      <c r="W661" s="13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3" t="n"/>
      <c r="AK661" s="12" t="n"/>
      <c r="AL661" s="12" t="n"/>
      <c r="AM661" s="12" t="n"/>
      <c r="AN661" s="12" t="n"/>
      <c r="AO661" s="12" t="n"/>
      <c r="AP661" s="12" t="n"/>
      <c r="AQ661" s="7">
        <f>IF(A661="","",IF(AP661&lt;&gt;"",AP661,IF(LEFT(Z661,11)="gads_marque","Google Search – Marque",IF(LEFT(Z661,12)="gads_mariage","Google Search – Mariage et privé",IF(LEFT(Z661,10)="gads_corpo","Google Search – Corporatif",IF(LEFT(Z661,5)="meta_","Meta – Leads",IF(LEFT(Z661,5)="msft_","Microsoft Ads",IF(LEFT(Z661,8)="chatgpt_","ChatGPT Ads – Test",IF(X661="gbp","Fiche Google (organique)","Autre / non payé")))))))))</f>
        <v/>
      </c>
      <c r="AR661" s="7">
        <f>IF(K661="","",IFERROR(VLOOKUP(K661,Listes!$F$3:$H$8,3,FALSE),""))</f>
        <v/>
      </c>
      <c r="AS661" s="7">
        <f>IF(O661="","",IF(AND(M661="Autre (plus de 40 km)",OR(O661="lt600",O661="600_999",O661="1000_2499")),"D",IF(OR(O661="lt600",AND(O661="600_999",K661&lt;&gt;"mariage",K661&lt;&gt;"prive")),"C",IF(OR(O661="2500_4999",O661="5000p",J661="entreprise",J661="organisme",J661="agence"),"A",IF(OR(O661="1000_2499",O661="600_999"),"B",IF(O661="inconnu",IF(OR(N661="75_149",N661="150p"),"A","B"),""))))))</f>
        <v/>
      </c>
      <c r="AT661" s="7">
        <f>IF(A661="","",IF(P661&lt;&gt;"",P661,AS661))</f>
        <v/>
      </c>
      <c r="AU661" s="7">
        <f>IF(A661="","",IF(OR(AT661="A",AT661="B"),1,0))</f>
        <v/>
      </c>
      <c r="AV661" s="7">
        <f>IF(A661="","",IF(OR(R661="Dépôt payé (gagné)",R661="Événement livré",R661="Avis obtenu"),1,0))</f>
        <v/>
      </c>
      <c r="AW661" s="7">
        <f>IF(A661="","",IF(Q661&gt;70,"Immédiat – propriétaire",IF(Q661&gt;=40,"15 min – personne de garde","Selon la route")))</f>
        <v/>
      </c>
      <c r="AX661" s="11">
        <f>IF(A661="","",IF(AT661="A",400,IF(AT661="B",150,0)))</f>
        <v/>
      </c>
      <c r="AY661" s="11">
        <f>IF(A661="","",IF(AV661=1,N(V661),IF(N(U661)&gt;0,ROUND(N(U661)*IFERROR(VLOOKUP(R661,Listes!$AE$3:$AG$12,2,FALSE),0),0),0)))</f>
        <v/>
      </c>
      <c r="AZ661" s="7">
        <f>IF(LEFT(A661,7)="EXEMPLE",1,0)</f>
        <v/>
      </c>
      <c r="BA661" s="7">
        <f>IF(AND(AV661=1,AZ661=0,AC661&lt;&gt;"",W661&lt;&gt;"",N(V661)&gt;0),COUNTIFS($AV$3:AV661,1,$AZ$3:AZ661,0,$AC$3:AC661,"&lt;&gt;",$W$3:W661,"&lt;&gt;",$V$3:V661,"&gt;0"),"")</f>
        <v/>
      </c>
    </row>
    <row r="662">
      <c r="A662" s="12" t="n"/>
      <c r="B662" s="13" t="n"/>
      <c r="C662" s="13" t="n"/>
      <c r="D662" s="7">
        <f>IF(OR(B662="",C662=""),"",ROUND((C662-B662)*1440,0))</f>
        <v/>
      </c>
      <c r="E662" s="12" t="n"/>
      <c r="F662" s="12" t="n"/>
      <c r="G662" s="12" t="n"/>
      <c r="H662" s="12" t="n"/>
      <c r="I662" s="12" t="n"/>
      <c r="J662" s="12" t="n"/>
      <c r="K662" s="12" t="n"/>
      <c r="L662" s="14" t="n"/>
      <c r="M662" s="12" t="n"/>
      <c r="N662" s="12" t="n"/>
      <c r="O662" s="12" t="n"/>
      <c r="P662" s="12" t="n"/>
      <c r="Q662" s="7">
        <f>IF(A662="","",IFERROR(VLOOKUP(O662,Listes!$R$3:$T$8,2,FALSE),0)+IFERROR(VLOOKUP(J662,Listes!$J$3:$L$6,2,FALSE),0)+IFERROR(VLOOKUP(N662,Listes!$N$3:$P$6,2,FALSE),0)+IF(OR(L662="",B662=""),0,IF(L662-INT(B662)&lt;10,8,IF(L662-INT(B662)&lt;=90,10,5)))+IFERROR(VLOOKUP(AN662,Listes!$V$3:$W$5,2,FALSE),0)+IFERROR(VLOOKUP(AO662,Listes!$Y$3:$Z$5,2,FALSE),0))</f>
        <v/>
      </c>
      <c r="R662" s="12" t="n"/>
      <c r="S662" s="12" t="n"/>
      <c r="T662" s="12" t="n"/>
      <c r="U662" s="15" t="n"/>
      <c r="V662" s="15" t="n"/>
      <c r="W662" s="13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3" t="n"/>
      <c r="AK662" s="12" t="n"/>
      <c r="AL662" s="12" t="n"/>
      <c r="AM662" s="12" t="n"/>
      <c r="AN662" s="12" t="n"/>
      <c r="AO662" s="12" t="n"/>
      <c r="AP662" s="12" t="n"/>
      <c r="AQ662" s="7">
        <f>IF(A662="","",IF(AP662&lt;&gt;"",AP662,IF(LEFT(Z662,11)="gads_marque","Google Search – Marque",IF(LEFT(Z662,12)="gads_mariage","Google Search – Mariage et privé",IF(LEFT(Z662,10)="gads_corpo","Google Search – Corporatif",IF(LEFT(Z662,5)="meta_","Meta – Leads",IF(LEFT(Z662,5)="msft_","Microsoft Ads",IF(LEFT(Z662,8)="chatgpt_","ChatGPT Ads – Test",IF(X662="gbp","Fiche Google (organique)","Autre / non payé")))))))))</f>
        <v/>
      </c>
      <c r="AR662" s="7">
        <f>IF(K662="","",IFERROR(VLOOKUP(K662,Listes!$F$3:$H$8,3,FALSE),""))</f>
        <v/>
      </c>
      <c r="AS662" s="7">
        <f>IF(O662="","",IF(AND(M662="Autre (plus de 40 km)",OR(O662="lt600",O662="600_999",O662="1000_2499")),"D",IF(OR(O662="lt600",AND(O662="600_999",K662&lt;&gt;"mariage",K662&lt;&gt;"prive")),"C",IF(OR(O662="2500_4999",O662="5000p",J662="entreprise",J662="organisme",J662="agence"),"A",IF(OR(O662="1000_2499",O662="600_999"),"B",IF(O662="inconnu",IF(OR(N662="75_149",N662="150p"),"A","B"),""))))))</f>
        <v/>
      </c>
      <c r="AT662" s="7">
        <f>IF(A662="","",IF(P662&lt;&gt;"",P662,AS662))</f>
        <v/>
      </c>
      <c r="AU662" s="7">
        <f>IF(A662="","",IF(OR(AT662="A",AT662="B"),1,0))</f>
        <v/>
      </c>
      <c r="AV662" s="7">
        <f>IF(A662="","",IF(OR(R662="Dépôt payé (gagné)",R662="Événement livré",R662="Avis obtenu"),1,0))</f>
        <v/>
      </c>
      <c r="AW662" s="7">
        <f>IF(A662="","",IF(Q662&gt;70,"Immédiat – propriétaire",IF(Q662&gt;=40,"15 min – personne de garde","Selon la route")))</f>
        <v/>
      </c>
      <c r="AX662" s="11">
        <f>IF(A662="","",IF(AT662="A",400,IF(AT662="B",150,0)))</f>
        <v/>
      </c>
      <c r="AY662" s="11">
        <f>IF(A662="","",IF(AV662=1,N(V662),IF(N(U662)&gt;0,ROUND(N(U662)*IFERROR(VLOOKUP(R662,Listes!$AE$3:$AG$12,2,FALSE),0),0),0)))</f>
        <v/>
      </c>
      <c r="AZ662" s="7">
        <f>IF(LEFT(A662,7)="EXEMPLE",1,0)</f>
        <v/>
      </c>
      <c r="BA662" s="7">
        <f>IF(AND(AV662=1,AZ662=0,AC662&lt;&gt;"",W662&lt;&gt;"",N(V662)&gt;0),COUNTIFS($AV$3:AV662,1,$AZ$3:AZ662,0,$AC$3:AC662,"&lt;&gt;",$W$3:W662,"&lt;&gt;",$V$3:V662,"&gt;0"),"")</f>
        <v/>
      </c>
    </row>
    <row r="663">
      <c r="A663" s="12" t="n"/>
      <c r="B663" s="13" t="n"/>
      <c r="C663" s="13" t="n"/>
      <c r="D663" s="7">
        <f>IF(OR(B663="",C663=""),"",ROUND((C663-B663)*1440,0))</f>
        <v/>
      </c>
      <c r="E663" s="12" t="n"/>
      <c r="F663" s="12" t="n"/>
      <c r="G663" s="12" t="n"/>
      <c r="H663" s="12" t="n"/>
      <c r="I663" s="12" t="n"/>
      <c r="J663" s="12" t="n"/>
      <c r="K663" s="12" t="n"/>
      <c r="L663" s="14" t="n"/>
      <c r="M663" s="12" t="n"/>
      <c r="N663" s="12" t="n"/>
      <c r="O663" s="12" t="n"/>
      <c r="P663" s="12" t="n"/>
      <c r="Q663" s="7">
        <f>IF(A663="","",IFERROR(VLOOKUP(O663,Listes!$R$3:$T$8,2,FALSE),0)+IFERROR(VLOOKUP(J663,Listes!$J$3:$L$6,2,FALSE),0)+IFERROR(VLOOKUP(N663,Listes!$N$3:$P$6,2,FALSE),0)+IF(OR(L663="",B663=""),0,IF(L663-INT(B663)&lt;10,8,IF(L663-INT(B663)&lt;=90,10,5)))+IFERROR(VLOOKUP(AN663,Listes!$V$3:$W$5,2,FALSE),0)+IFERROR(VLOOKUP(AO663,Listes!$Y$3:$Z$5,2,FALSE),0))</f>
        <v/>
      </c>
      <c r="R663" s="12" t="n"/>
      <c r="S663" s="12" t="n"/>
      <c r="T663" s="12" t="n"/>
      <c r="U663" s="15" t="n"/>
      <c r="V663" s="15" t="n"/>
      <c r="W663" s="13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3" t="n"/>
      <c r="AK663" s="12" t="n"/>
      <c r="AL663" s="12" t="n"/>
      <c r="AM663" s="12" t="n"/>
      <c r="AN663" s="12" t="n"/>
      <c r="AO663" s="12" t="n"/>
      <c r="AP663" s="12" t="n"/>
      <c r="AQ663" s="7">
        <f>IF(A663="","",IF(AP663&lt;&gt;"",AP663,IF(LEFT(Z663,11)="gads_marque","Google Search – Marque",IF(LEFT(Z663,12)="gads_mariage","Google Search – Mariage et privé",IF(LEFT(Z663,10)="gads_corpo","Google Search – Corporatif",IF(LEFT(Z663,5)="meta_","Meta – Leads",IF(LEFT(Z663,5)="msft_","Microsoft Ads",IF(LEFT(Z663,8)="chatgpt_","ChatGPT Ads – Test",IF(X663="gbp","Fiche Google (organique)","Autre / non payé")))))))))</f>
        <v/>
      </c>
      <c r="AR663" s="7">
        <f>IF(K663="","",IFERROR(VLOOKUP(K663,Listes!$F$3:$H$8,3,FALSE),""))</f>
        <v/>
      </c>
      <c r="AS663" s="7">
        <f>IF(O663="","",IF(AND(M663="Autre (plus de 40 km)",OR(O663="lt600",O663="600_999",O663="1000_2499")),"D",IF(OR(O663="lt600",AND(O663="600_999",K663&lt;&gt;"mariage",K663&lt;&gt;"prive")),"C",IF(OR(O663="2500_4999",O663="5000p",J663="entreprise",J663="organisme",J663="agence"),"A",IF(OR(O663="1000_2499",O663="600_999"),"B",IF(O663="inconnu",IF(OR(N663="75_149",N663="150p"),"A","B"),""))))))</f>
        <v/>
      </c>
      <c r="AT663" s="7">
        <f>IF(A663="","",IF(P663&lt;&gt;"",P663,AS663))</f>
        <v/>
      </c>
      <c r="AU663" s="7">
        <f>IF(A663="","",IF(OR(AT663="A",AT663="B"),1,0))</f>
        <v/>
      </c>
      <c r="AV663" s="7">
        <f>IF(A663="","",IF(OR(R663="Dépôt payé (gagné)",R663="Événement livré",R663="Avis obtenu"),1,0))</f>
        <v/>
      </c>
      <c r="AW663" s="7">
        <f>IF(A663="","",IF(Q663&gt;70,"Immédiat – propriétaire",IF(Q663&gt;=40,"15 min – personne de garde","Selon la route")))</f>
        <v/>
      </c>
      <c r="AX663" s="11">
        <f>IF(A663="","",IF(AT663="A",400,IF(AT663="B",150,0)))</f>
        <v/>
      </c>
      <c r="AY663" s="11">
        <f>IF(A663="","",IF(AV663=1,N(V663),IF(N(U663)&gt;0,ROUND(N(U663)*IFERROR(VLOOKUP(R663,Listes!$AE$3:$AG$12,2,FALSE),0),0),0)))</f>
        <v/>
      </c>
      <c r="AZ663" s="7">
        <f>IF(LEFT(A663,7)="EXEMPLE",1,0)</f>
        <v/>
      </c>
      <c r="BA663" s="7">
        <f>IF(AND(AV663=1,AZ663=0,AC663&lt;&gt;"",W663&lt;&gt;"",N(V663)&gt;0),COUNTIFS($AV$3:AV663,1,$AZ$3:AZ663,0,$AC$3:AC663,"&lt;&gt;",$W$3:W663,"&lt;&gt;",$V$3:V663,"&gt;0"),"")</f>
        <v/>
      </c>
    </row>
    <row r="664">
      <c r="A664" s="12" t="n"/>
      <c r="B664" s="13" t="n"/>
      <c r="C664" s="13" t="n"/>
      <c r="D664" s="7">
        <f>IF(OR(B664="",C664=""),"",ROUND((C664-B664)*1440,0))</f>
        <v/>
      </c>
      <c r="E664" s="12" t="n"/>
      <c r="F664" s="12" t="n"/>
      <c r="G664" s="12" t="n"/>
      <c r="H664" s="12" t="n"/>
      <c r="I664" s="12" t="n"/>
      <c r="J664" s="12" t="n"/>
      <c r="K664" s="12" t="n"/>
      <c r="L664" s="14" t="n"/>
      <c r="M664" s="12" t="n"/>
      <c r="N664" s="12" t="n"/>
      <c r="O664" s="12" t="n"/>
      <c r="P664" s="12" t="n"/>
      <c r="Q664" s="7">
        <f>IF(A664="","",IFERROR(VLOOKUP(O664,Listes!$R$3:$T$8,2,FALSE),0)+IFERROR(VLOOKUP(J664,Listes!$J$3:$L$6,2,FALSE),0)+IFERROR(VLOOKUP(N664,Listes!$N$3:$P$6,2,FALSE),0)+IF(OR(L664="",B664=""),0,IF(L664-INT(B664)&lt;10,8,IF(L664-INT(B664)&lt;=90,10,5)))+IFERROR(VLOOKUP(AN664,Listes!$V$3:$W$5,2,FALSE),0)+IFERROR(VLOOKUP(AO664,Listes!$Y$3:$Z$5,2,FALSE),0))</f>
        <v/>
      </c>
      <c r="R664" s="12" t="n"/>
      <c r="S664" s="12" t="n"/>
      <c r="T664" s="12" t="n"/>
      <c r="U664" s="15" t="n"/>
      <c r="V664" s="15" t="n"/>
      <c r="W664" s="13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3" t="n"/>
      <c r="AK664" s="12" t="n"/>
      <c r="AL664" s="12" t="n"/>
      <c r="AM664" s="12" t="n"/>
      <c r="AN664" s="12" t="n"/>
      <c r="AO664" s="12" t="n"/>
      <c r="AP664" s="12" t="n"/>
      <c r="AQ664" s="7">
        <f>IF(A664="","",IF(AP664&lt;&gt;"",AP664,IF(LEFT(Z664,11)="gads_marque","Google Search – Marque",IF(LEFT(Z664,12)="gads_mariage","Google Search – Mariage et privé",IF(LEFT(Z664,10)="gads_corpo","Google Search – Corporatif",IF(LEFT(Z664,5)="meta_","Meta – Leads",IF(LEFT(Z664,5)="msft_","Microsoft Ads",IF(LEFT(Z664,8)="chatgpt_","ChatGPT Ads – Test",IF(X664="gbp","Fiche Google (organique)","Autre / non payé")))))))))</f>
        <v/>
      </c>
      <c r="AR664" s="7">
        <f>IF(K664="","",IFERROR(VLOOKUP(K664,Listes!$F$3:$H$8,3,FALSE),""))</f>
        <v/>
      </c>
      <c r="AS664" s="7">
        <f>IF(O664="","",IF(AND(M664="Autre (plus de 40 km)",OR(O664="lt600",O664="600_999",O664="1000_2499")),"D",IF(OR(O664="lt600",AND(O664="600_999",K664&lt;&gt;"mariage",K664&lt;&gt;"prive")),"C",IF(OR(O664="2500_4999",O664="5000p",J664="entreprise",J664="organisme",J664="agence"),"A",IF(OR(O664="1000_2499",O664="600_999"),"B",IF(O664="inconnu",IF(OR(N664="75_149",N664="150p"),"A","B"),""))))))</f>
        <v/>
      </c>
      <c r="AT664" s="7">
        <f>IF(A664="","",IF(P664&lt;&gt;"",P664,AS664))</f>
        <v/>
      </c>
      <c r="AU664" s="7">
        <f>IF(A664="","",IF(OR(AT664="A",AT664="B"),1,0))</f>
        <v/>
      </c>
      <c r="AV664" s="7">
        <f>IF(A664="","",IF(OR(R664="Dépôt payé (gagné)",R664="Événement livré",R664="Avis obtenu"),1,0))</f>
        <v/>
      </c>
      <c r="AW664" s="7">
        <f>IF(A664="","",IF(Q664&gt;70,"Immédiat – propriétaire",IF(Q664&gt;=40,"15 min – personne de garde","Selon la route")))</f>
        <v/>
      </c>
      <c r="AX664" s="11">
        <f>IF(A664="","",IF(AT664="A",400,IF(AT664="B",150,0)))</f>
        <v/>
      </c>
      <c r="AY664" s="11">
        <f>IF(A664="","",IF(AV664=1,N(V664),IF(N(U664)&gt;0,ROUND(N(U664)*IFERROR(VLOOKUP(R664,Listes!$AE$3:$AG$12,2,FALSE),0),0),0)))</f>
        <v/>
      </c>
      <c r="AZ664" s="7">
        <f>IF(LEFT(A664,7)="EXEMPLE",1,0)</f>
        <v/>
      </c>
      <c r="BA664" s="7">
        <f>IF(AND(AV664=1,AZ664=0,AC664&lt;&gt;"",W664&lt;&gt;"",N(V664)&gt;0),COUNTIFS($AV$3:AV664,1,$AZ$3:AZ664,0,$AC$3:AC664,"&lt;&gt;",$W$3:W664,"&lt;&gt;",$V$3:V664,"&gt;0"),"")</f>
        <v/>
      </c>
    </row>
    <row r="665">
      <c r="A665" s="12" t="n"/>
      <c r="B665" s="13" t="n"/>
      <c r="C665" s="13" t="n"/>
      <c r="D665" s="7">
        <f>IF(OR(B665="",C665=""),"",ROUND((C665-B665)*1440,0))</f>
        <v/>
      </c>
      <c r="E665" s="12" t="n"/>
      <c r="F665" s="12" t="n"/>
      <c r="G665" s="12" t="n"/>
      <c r="H665" s="12" t="n"/>
      <c r="I665" s="12" t="n"/>
      <c r="J665" s="12" t="n"/>
      <c r="K665" s="12" t="n"/>
      <c r="L665" s="14" t="n"/>
      <c r="M665" s="12" t="n"/>
      <c r="N665" s="12" t="n"/>
      <c r="O665" s="12" t="n"/>
      <c r="P665" s="12" t="n"/>
      <c r="Q665" s="7">
        <f>IF(A665="","",IFERROR(VLOOKUP(O665,Listes!$R$3:$T$8,2,FALSE),0)+IFERROR(VLOOKUP(J665,Listes!$J$3:$L$6,2,FALSE),0)+IFERROR(VLOOKUP(N665,Listes!$N$3:$P$6,2,FALSE),0)+IF(OR(L665="",B665=""),0,IF(L665-INT(B665)&lt;10,8,IF(L665-INT(B665)&lt;=90,10,5)))+IFERROR(VLOOKUP(AN665,Listes!$V$3:$W$5,2,FALSE),0)+IFERROR(VLOOKUP(AO665,Listes!$Y$3:$Z$5,2,FALSE),0))</f>
        <v/>
      </c>
      <c r="R665" s="12" t="n"/>
      <c r="S665" s="12" t="n"/>
      <c r="T665" s="12" t="n"/>
      <c r="U665" s="15" t="n"/>
      <c r="V665" s="15" t="n"/>
      <c r="W665" s="13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3" t="n"/>
      <c r="AK665" s="12" t="n"/>
      <c r="AL665" s="12" t="n"/>
      <c r="AM665" s="12" t="n"/>
      <c r="AN665" s="12" t="n"/>
      <c r="AO665" s="12" t="n"/>
      <c r="AP665" s="12" t="n"/>
      <c r="AQ665" s="7">
        <f>IF(A665="","",IF(AP665&lt;&gt;"",AP665,IF(LEFT(Z665,11)="gads_marque","Google Search – Marque",IF(LEFT(Z665,12)="gads_mariage","Google Search – Mariage et privé",IF(LEFT(Z665,10)="gads_corpo","Google Search – Corporatif",IF(LEFT(Z665,5)="meta_","Meta – Leads",IF(LEFT(Z665,5)="msft_","Microsoft Ads",IF(LEFT(Z665,8)="chatgpt_","ChatGPT Ads – Test",IF(X665="gbp","Fiche Google (organique)","Autre / non payé")))))))))</f>
        <v/>
      </c>
      <c r="AR665" s="7">
        <f>IF(K665="","",IFERROR(VLOOKUP(K665,Listes!$F$3:$H$8,3,FALSE),""))</f>
        <v/>
      </c>
      <c r="AS665" s="7">
        <f>IF(O665="","",IF(AND(M665="Autre (plus de 40 km)",OR(O665="lt600",O665="600_999",O665="1000_2499")),"D",IF(OR(O665="lt600",AND(O665="600_999",K665&lt;&gt;"mariage",K665&lt;&gt;"prive")),"C",IF(OR(O665="2500_4999",O665="5000p",J665="entreprise",J665="organisme",J665="agence"),"A",IF(OR(O665="1000_2499",O665="600_999"),"B",IF(O665="inconnu",IF(OR(N665="75_149",N665="150p"),"A","B"),""))))))</f>
        <v/>
      </c>
      <c r="AT665" s="7">
        <f>IF(A665="","",IF(P665&lt;&gt;"",P665,AS665))</f>
        <v/>
      </c>
      <c r="AU665" s="7">
        <f>IF(A665="","",IF(OR(AT665="A",AT665="B"),1,0))</f>
        <v/>
      </c>
      <c r="AV665" s="7">
        <f>IF(A665="","",IF(OR(R665="Dépôt payé (gagné)",R665="Événement livré",R665="Avis obtenu"),1,0))</f>
        <v/>
      </c>
      <c r="AW665" s="7">
        <f>IF(A665="","",IF(Q665&gt;70,"Immédiat – propriétaire",IF(Q665&gt;=40,"15 min – personne de garde","Selon la route")))</f>
        <v/>
      </c>
      <c r="AX665" s="11">
        <f>IF(A665="","",IF(AT665="A",400,IF(AT665="B",150,0)))</f>
        <v/>
      </c>
      <c r="AY665" s="11">
        <f>IF(A665="","",IF(AV665=1,N(V665),IF(N(U665)&gt;0,ROUND(N(U665)*IFERROR(VLOOKUP(R665,Listes!$AE$3:$AG$12,2,FALSE),0),0),0)))</f>
        <v/>
      </c>
      <c r="AZ665" s="7">
        <f>IF(LEFT(A665,7)="EXEMPLE",1,0)</f>
        <v/>
      </c>
      <c r="BA665" s="7">
        <f>IF(AND(AV665=1,AZ665=0,AC665&lt;&gt;"",W665&lt;&gt;"",N(V665)&gt;0),COUNTIFS($AV$3:AV665,1,$AZ$3:AZ665,0,$AC$3:AC665,"&lt;&gt;",$W$3:W665,"&lt;&gt;",$V$3:V665,"&gt;0"),"")</f>
        <v/>
      </c>
    </row>
    <row r="666">
      <c r="A666" s="12" t="n"/>
      <c r="B666" s="13" t="n"/>
      <c r="C666" s="13" t="n"/>
      <c r="D666" s="7">
        <f>IF(OR(B666="",C666=""),"",ROUND((C666-B666)*1440,0))</f>
        <v/>
      </c>
      <c r="E666" s="12" t="n"/>
      <c r="F666" s="12" t="n"/>
      <c r="G666" s="12" t="n"/>
      <c r="H666" s="12" t="n"/>
      <c r="I666" s="12" t="n"/>
      <c r="J666" s="12" t="n"/>
      <c r="K666" s="12" t="n"/>
      <c r="L666" s="14" t="n"/>
      <c r="M666" s="12" t="n"/>
      <c r="N666" s="12" t="n"/>
      <c r="O666" s="12" t="n"/>
      <c r="P666" s="12" t="n"/>
      <c r="Q666" s="7">
        <f>IF(A666="","",IFERROR(VLOOKUP(O666,Listes!$R$3:$T$8,2,FALSE),0)+IFERROR(VLOOKUP(J666,Listes!$J$3:$L$6,2,FALSE),0)+IFERROR(VLOOKUP(N666,Listes!$N$3:$P$6,2,FALSE),0)+IF(OR(L666="",B666=""),0,IF(L666-INT(B666)&lt;10,8,IF(L666-INT(B666)&lt;=90,10,5)))+IFERROR(VLOOKUP(AN666,Listes!$V$3:$W$5,2,FALSE),0)+IFERROR(VLOOKUP(AO666,Listes!$Y$3:$Z$5,2,FALSE),0))</f>
        <v/>
      </c>
      <c r="R666" s="12" t="n"/>
      <c r="S666" s="12" t="n"/>
      <c r="T666" s="12" t="n"/>
      <c r="U666" s="15" t="n"/>
      <c r="V666" s="15" t="n"/>
      <c r="W666" s="13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3" t="n"/>
      <c r="AK666" s="12" t="n"/>
      <c r="AL666" s="12" t="n"/>
      <c r="AM666" s="12" t="n"/>
      <c r="AN666" s="12" t="n"/>
      <c r="AO666" s="12" t="n"/>
      <c r="AP666" s="12" t="n"/>
      <c r="AQ666" s="7">
        <f>IF(A666="","",IF(AP666&lt;&gt;"",AP666,IF(LEFT(Z666,11)="gads_marque","Google Search – Marque",IF(LEFT(Z666,12)="gads_mariage","Google Search – Mariage et privé",IF(LEFT(Z666,10)="gads_corpo","Google Search – Corporatif",IF(LEFT(Z666,5)="meta_","Meta – Leads",IF(LEFT(Z666,5)="msft_","Microsoft Ads",IF(LEFT(Z666,8)="chatgpt_","ChatGPT Ads – Test",IF(X666="gbp","Fiche Google (organique)","Autre / non payé")))))))))</f>
        <v/>
      </c>
      <c r="AR666" s="7">
        <f>IF(K666="","",IFERROR(VLOOKUP(K666,Listes!$F$3:$H$8,3,FALSE),""))</f>
        <v/>
      </c>
      <c r="AS666" s="7">
        <f>IF(O666="","",IF(AND(M666="Autre (plus de 40 km)",OR(O666="lt600",O666="600_999",O666="1000_2499")),"D",IF(OR(O666="lt600",AND(O666="600_999",K666&lt;&gt;"mariage",K666&lt;&gt;"prive")),"C",IF(OR(O666="2500_4999",O666="5000p",J666="entreprise",J666="organisme",J666="agence"),"A",IF(OR(O666="1000_2499",O666="600_999"),"B",IF(O666="inconnu",IF(OR(N666="75_149",N666="150p"),"A","B"),""))))))</f>
        <v/>
      </c>
      <c r="AT666" s="7">
        <f>IF(A666="","",IF(P666&lt;&gt;"",P666,AS666))</f>
        <v/>
      </c>
      <c r="AU666" s="7">
        <f>IF(A666="","",IF(OR(AT666="A",AT666="B"),1,0))</f>
        <v/>
      </c>
      <c r="AV666" s="7">
        <f>IF(A666="","",IF(OR(R666="Dépôt payé (gagné)",R666="Événement livré",R666="Avis obtenu"),1,0))</f>
        <v/>
      </c>
      <c r="AW666" s="7">
        <f>IF(A666="","",IF(Q666&gt;70,"Immédiat – propriétaire",IF(Q666&gt;=40,"15 min – personne de garde","Selon la route")))</f>
        <v/>
      </c>
      <c r="AX666" s="11">
        <f>IF(A666="","",IF(AT666="A",400,IF(AT666="B",150,0)))</f>
        <v/>
      </c>
      <c r="AY666" s="11">
        <f>IF(A666="","",IF(AV666=1,N(V666),IF(N(U666)&gt;0,ROUND(N(U666)*IFERROR(VLOOKUP(R666,Listes!$AE$3:$AG$12,2,FALSE),0),0),0)))</f>
        <v/>
      </c>
      <c r="AZ666" s="7">
        <f>IF(LEFT(A666,7)="EXEMPLE",1,0)</f>
        <v/>
      </c>
      <c r="BA666" s="7">
        <f>IF(AND(AV666=1,AZ666=0,AC666&lt;&gt;"",W666&lt;&gt;"",N(V666)&gt;0),COUNTIFS($AV$3:AV666,1,$AZ$3:AZ666,0,$AC$3:AC666,"&lt;&gt;",$W$3:W666,"&lt;&gt;",$V$3:V666,"&gt;0"),"")</f>
        <v/>
      </c>
    </row>
    <row r="667">
      <c r="A667" s="12" t="n"/>
      <c r="B667" s="13" t="n"/>
      <c r="C667" s="13" t="n"/>
      <c r="D667" s="7">
        <f>IF(OR(B667="",C667=""),"",ROUND((C667-B667)*1440,0))</f>
        <v/>
      </c>
      <c r="E667" s="12" t="n"/>
      <c r="F667" s="12" t="n"/>
      <c r="G667" s="12" t="n"/>
      <c r="H667" s="12" t="n"/>
      <c r="I667" s="12" t="n"/>
      <c r="J667" s="12" t="n"/>
      <c r="K667" s="12" t="n"/>
      <c r="L667" s="14" t="n"/>
      <c r="M667" s="12" t="n"/>
      <c r="N667" s="12" t="n"/>
      <c r="O667" s="12" t="n"/>
      <c r="P667" s="12" t="n"/>
      <c r="Q667" s="7">
        <f>IF(A667="","",IFERROR(VLOOKUP(O667,Listes!$R$3:$T$8,2,FALSE),0)+IFERROR(VLOOKUP(J667,Listes!$J$3:$L$6,2,FALSE),0)+IFERROR(VLOOKUP(N667,Listes!$N$3:$P$6,2,FALSE),0)+IF(OR(L667="",B667=""),0,IF(L667-INT(B667)&lt;10,8,IF(L667-INT(B667)&lt;=90,10,5)))+IFERROR(VLOOKUP(AN667,Listes!$V$3:$W$5,2,FALSE),0)+IFERROR(VLOOKUP(AO667,Listes!$Y$3:$Z$5,2,FALSE),0))</f>
        <v/>
      </c>
      <c r="R667" s="12" t="n"/>
      <c r="S667" s="12" t="n"/>
      <c r="T667" s="12" t="n"/>
      <c r="U667" s="15" t="n"/>
      <c r="V667" s="15" t="n"/>
      <c r="W667" s="13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3" t="n"/>
      <c r="AK667" s="12" t="n"/>
      <c r="AL667" s="12" t="n"/>
      <c r="AM667" s="12" t="n"/>
      <c r="AN667" s="12" t="n"/>
      <c r="AO667" s="12" t="n"/>
      <c r="AP667" s="12" t="n"/>
      <c r="AQ667" s="7">
        <f>IF(A667="","",IF(AP667&lt;&gt;"",AP667,IF(LEFT(Z667,11)="gads_marque","Google Search – Marque",IF(LEFT(Z667,12)="gads_mariage","Google Search – Mariage et privé",IF(LEFT(Z667,10)="gads_corpo","Google Search – Corporatif",IF(LEFT(Z667,5)="meta_","Meta – Leads",IF(LEFT(Z667,5)="msft_","Microsoft Ads",IF(LEFT(Z667,8)="chatgpt_","ChatGPT Ads – Test",IF(X667="gbp","Fiche Google (organique)","Autre / non payé")))))))))</f>
        <v/>
      </c>
      <c r="AR667" s="7">
        <f>IF(K667="","",IFERROR(VLOOKUP(K667,Listes!$F$3:$H$8,3,FALSE),""))</f>
        <v/>
      </c>
      <c r="AS667" s="7">
        <f>IF(O667="","",IF(AND(M667="Autre (plus de 40 km)",OR(O667="lt600",O667="600_999",O667="1000_2499")),"D",IF(OR(O667="lt600",AND(O667="600_999",K667&lt;&gt;"mariage",K667&lt;&gt;"prive")),"C",IF(OR(O667="2500_4999",O667="5000p",J667="entreprise",J667="organisme",J667="agence"),"A",IF(OR(O667="1000_2499",O667="600_999"),"B",IF(O667="inconnu",IF(OR(N667="75_149",N667="150p"),"A","B"),""))))))</f>
        <v/>
      </c>
      <c r="AT667" s="7">
        <f>IF(A667="","",IF(P667&lt;&gt;"",P667,AS667))</f>
        <v/>
      </c>
      <c r="AU667" s="7">
        <f>IF(A667="","",IF(OR(AT667="A",AT667="B"),1,0))</f>
        <v/>
      </c>
      <c r="AV667" s="7">
        <f>IF(A667="","",IF(OR(R667="Dépôt payé (gagné)",R667="Événement livré",R667="Avis obtenu"),1,0))</f>
        <v/>
      </c>
      <c r="AW667" s="7">
        <f>IF(A667="","",IF(Q667&gt;70,"Immédiat – propriétaire",IF(Q667&gt;=40,"15 min – personne de garde","Selon la route")))</f>
        <v/>
      </c>
      <c r="AX667" s="11">
        <f>IF(A667="","",IF(AT667="A",400,IF(AT667="B",150,0)))</f>
        <v/>
      </c>
      <c r="AY667" s="11">
        <f>IF(A667="","",IF(AV667=1,N(V667),IF(N(U667)&gt;0,ROUND(N(U667)*IFERROR(VLOOKUP(R667,Listes!$AE$3:$AG$12,2,FALSE),0),0),0)))</f>
        <v/>
      </c>
      <c r="AZ667" s="7">
        <f>IF(LEFT(A667,7)="EXEMPLE",1,0)</f>
        <v/>
      </c>
      <c r="BA667" s="7">
        <f>IF(AND(AV667=1,AZ667=0,AC667&lt;&gt;"",W667&lt;&gt;"",N(V667)&gt;0),COUNTIFS($AV$3:AV667,1,$AZ$3:AZ667,0,$AC$3:AC667,"&lt;&gt;",$W$3:W667,"&lt;&gt;",$V$3:V667,"&gt;0"),"")</f>
        <v/>
      </c>
    </row>
    <row r="668">
      <c r="A668" s="12" t="n"/>
      <c r="B668" s="13" t="n"/>
      <c r="C668" s="13" t="n"/>
      <c r="D668" s="7">
        <f>IF(OR(B668="",C668=""),"",ROUND((C668-B668)*1440,0))</f>
        <v/>
      </c>
      <c r="E668" s="12" t="n"/>
      <c r="F668" s="12" t="n"/>
      <c r="G668" s="12" t="n"/>
      <c r="H668" s="12" t="n"/>
      <c r="I668" s="12" t="n"/>
      <c r="J668" s="12" t="n"/>
      <c r="K668" s="12" t="n"/>
      <c r="L668" s="14" t="n"/>
      <c r="M668" s="12" t="n"/>
      <c r="N668" s="12" t="n"/>
      <c r="O668" s="12" t="n"/>
      <c r="P668" s="12" t="n"/>
      <c r="Q668" s="7">
        <f>IF(A668="","",IFERROR(VLOOKUP(O668,Listes!$R$3:$T$8,2,FALSE),0)+IFERROR(VLOOKUP(J668,Listes!$J$3:$L$6,2,FALSE),0)+IFERROR(VLOOKUP(N668,Listes!$N$3:$P$6,2,FALSE),0)+IF(OR(L668="",B668=""),0,IF(L668-INT(B668)&lt;10,8,IF(L668-INT(B668)&lt;=90,10,5)))+IFERROR(VLOOKUP(AN668,Listes!$V$3:$W$5,2,FALSE),0)+IFERROR(VLOOKUP(AO668,Listes!$Y$3:$Z$5,2,FALSE),0))</f>
        <v/>
      </c>
      <c r="R668" s="12" t="n"/>
      <c r="S668" s="12" t="n"/>
      <c r="T668" s="12" t="n"/>
      <c r="U668" s="15" t="n"/>
      <c r="V668" s="15" t="n"/>
      <c r="W668" s="13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3" t="n"/>
      <c r="AK668" s="12" t="n"/>
      <c r="AL668" s="12" t="n"/>
      <c r="AM668" s="12" t="n"/>
      <c r="AN668" s="12" t="n"/>
      <c r="AO668" s="12" t="n"/>
      <c r="AP668" s="12" t="n"/>
      <c r="AQ668" s="7">
        <f>IF(A668="","",IF(AP668&lt;&gt;"",AP668,IF(LEFT(Z668,11)="gads_marque","Google Search – Marque",IF(LEFT(Z668,12)="gads_mariage","Google Search – Mariage et privé",IF(LEFT(Z668,10)="gads_corpo","Google Search – Corporatif",IF(LEFT(Z668,5)="meta_","Meta – Leads",IF(LEFT(Z668,5)="msft_","Microsoft Ads",IF(LEFT(Z668,8)="chatgpt_","ChatGPT Ads – Test",IF(X668="gbp","Fiche Google (organique)","Autre / non payé")))))))))</f>
        <v/>
      </c>
      <c r="AR668" s="7">
        <f>IF(K668="","",IFERROR(VLOOKUP(K668,Listes!$F$3:$H$8,3,FALSE),""))</f>
        <v/>
      </c>
      <c r="AS668" s="7">
        <f>IF(O668="","",IF(AND(M668="Autre (plus de 40 km)",OR(O668="lt600",O668="600_999",O668="1000_2499")),"D",IF(OR(O668="lt600",AND(O668="600_999",K668&lt;&gt;"mariage",K668&lt;&gt;"prive")),"C",IF(OR(O668="2500_4999",O668="5000p",J668="entreprise",J668="organisme",J668="agence"),"A",IF(OR(O668="1000_2499",O668="600_999"),"B",IF(O668="inconnu",IF(OR(N668="75_149",N668="150p"),"A","B"),""))))))</f>
        <v/>
      </c>
      <c r="AT668" s="7">
        <f>IF(A668="","",IF(P668&lt;&gt;"",P668,AS668))</f>
        <v/>
      </c>
      <c r="AU668" s="7">
        <f>IF(A668="","",IF(OR(AT668="A",AT668="B"),1,0))</f>
        <v/>
      </c>
      <c r="AV668" s="7">
        <f>IF(A668="","",IF(OR(R668="Dépôt payé (gagné)",R668="Événement livré",R668="Avis obtenu"),1,0))</f>
        <v/>
      </c>
      <c r="AW668" s="7">
        <f>IF(A668="","",IF(Q668&gt;70,"Immédiat – propriétaire",IF(Q668&gt;=40,"15 min – personne de garde","Selon la route")))</f>
        <v/>
      </c>
      <c r="AX668" s="11">
        <f>IF(A668="","",IF(AT668="A",400,IF(AT668="B",150,0)))</f>
        <v/>
      </c>
      <c r="AY668" s="11">
        <f>IF(A668="","",IF(AV668=1,N(V668),IF(N(U668)&gt;0,ROUND(N(U668)*IFERROR(VLOOKUP(R668,Listes!$AE$3:$AG$12,2,FALSE),0),0),0)))</f>
        <v/>
      </c>
      <c r="AZ668" s="7">
        <f>IF(LEFT(A668,7)="EXEMPLE",1,0)</f>
        <v/>
      </c>
      <c r="BA668" s="7">
        <f>IF(AND(AV668=1,AZ668=0,AC668&lt;&gt;"",W668&lt;&gt;"",N(V668)&gt;0),COUNTIFS($AV$3:AV668,1,$AZ$3:AZ668,0,$AC$3:AC668,"&lt;&gt;",$W$3:W668,"&lt;&gt;",$V$3:V668,"&gt;0"),"")</f>
        <v/>
      </c>
    </row>
    <row r="669">
      <c r="A669" s="12" t="n"/>
      <c r="B669" s="13" t="n"/>
      <c r="C669" s="13" t="n"/>
      <c r="D669" s="7">
        <f>IF(OR(B669="",C669=""),"",ROUND((C669-B669)*1440,0))</f>
        <v/>
      </c>
      <c r="E669" s="12" t="n"/>
      <c r="F669" s="12" t="n"/>
      <c r="G669" s="12" t="n"/>
      <c r="H669" s="12" t="n"/>
      <c r="I669" s="12" t="n"/>
      <c r="J669" s="12" t="n"/>
      <c r="K669" s="12" t="n"/>
      <c r="L669" s="14" t="n"/>
      <c r="M669" s="12" t="n"/>
      <c r="N669" s="12" t="n"/>
      <c r="O669" s="12" t="n"/>
      <c r="P669" s="12" t="n"/>
      <c r="Q669" s="7">
        <f>IF(A669="","",IFERROR(VLOOKUP(O669,Listes!$R$3:$T$8,2,FALSE),0)+IFERROR(VLOOKUP(J669,Listes!$J$3:$L$6,2,FALSE),0)+IFERROR(VLOOKUP(N669,Listes!$N$3:$P$6,2,FALSE),0)+IF(OR(L669="",B669=""),0,IF(L669-INT(B669)&lt;10,8,IF(L669-INT(B669)&lt;=90,10,5)))+IFERROR(VLOOKUP(AN669,Listes!$V$3:$W$5,2,FALSE),0)+IFERROR(VLOOKUP(AO669,Listes!$Y$3:$Z$5,2,FALSE),0))</f>
        <v/>
      </c>
      <c r="R669" s="12" t="n"/>
      <c r="S669" s="12" t="n"/>
      <c r="T669" s="12" t="n"/>
      <c r="U669" s="15" t="n"/>
      <c r="V669" s="15" t="n"/>
      <c r="W669" s="13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3" t="n"/>
      <c r="AK669" s="12" t="n"/>
      <c r="AL669" s="12" t="n"/>
      <c r="AM669" s="12" t="n"/>
      <c r="AN669" s="12" t="n"/>
      <c r="AO669" s="12" t="n"/>
      <c r="AP669" s="12" t="n"/>
      <c r="AQ669" s="7">
        <f>IF(A669="","",IF(AP669&lt;&gt;"",AP669,IF(LEFT(Z669,11)="gads_marque","Google Search – Marque",IF(LEFT(Z669,12)="gads_mariage","Google Search – Mariage et privé",IF(LEFT(Z669,10)="gads_corpo","Google Search – Corporatif",IF(LEFT(Z669,5)="meta_","Meta – Leads",IF(LEFT(Z669,5)="msft_","Microsoft Ads",IF(LEFT(Z669,8)="chatgpt_","ChatGPT Ads – Test",IF(X669="gbp","Fiche Google (organique)","Autre / non payé")))))))))</f>
        <v/>
      </c>
      <c r="AR669" s="7">
        <f>IF(K669="","",IFERROR(VLOOKUP(K669,Listes!$F$3:$H$8,3,FALSE),""))</f>
        <v/>
      </c>
      <c r="AS669" s="7">
        <f>IF(O669="","",IF(AND(M669="Autre (plus de 40 km)",OR(O669="lt600",O669="600_999",O669="1000_2499")),"D",IF(OR(O669="lt600",AND(O669="600_999",K669&lt;&gt;"mariage",K669&lt;&gt;"prive")),"C",IF(OR(O669="2500_4999",O669="5000p",J669="entreprise",J669="organisme",J669="agence"),"A",IF(OR(O669="1000_2499",O669="600_999"),"B",IF(O669="inconnu",IF(OR(N669="75_149",N669="150p"),"A","B"),""))))))</f>
        <v/>
      </c>
      <c r="AT669" s="7">
        <f>IF(A669="","",IF(P669&lt;&gt;"",P669,AS669))</f>
        <v/>
      </c>
      <c r="AU669" s="7">
        <f>IF(A669="","",IF(OR(AT669="A",AT669="B"),1,0))</f>
        <v/>
      </c>
      <c r="AV669" s="7">
        <f>IF(A669="","",IF(OR(R669="Dépôt payé (gagné)",R669="Événement livré",R669="Avis obtenu"),1,0))</f>
        <v/>
      </c>
      <c r="AW669" s="7">
        <f>IF(A669="","",IF(Q669&gt;70,"Immédiat – propriétaire",IF(Q669&gt;=40,"15 min – personne de garde","Selon la route")))</f>
        <v/>
      </c>
      <c r="AX669" s="11">
        <f>IF(A669="","",IF(AT669="A",400,IF(AT669="B",150,0)))</f>
        <v/>
      </c>
      <c r="AY669" s="11">
        <f>IF(A669="","",IF(AV669=1,N(V669),IF(N(U669)&gt;0,ROUND(N(U669)*IFERROR(VLOOKUP(R669,Listes!$AE$3:$AG$12,2,FALSE),0),0),0)))</f>
        <v/>
      </c>
      <c r="AZ669" s="7">
        <f>IF(LEFT(A669,7)="EXEMPLE",1,0)</f>
        <v/>
      </c>
      <c r="BA669" s="7">
        <f>IF(AND(AV669=1,AZ669=0,AC669&lt;&gt;"",W669&lt;&gt;"",N(V669)&gt;0),COUNTIFS($AV$3:AV669,1,$AZ$3:AZ669,0,$AC$3:AC669,"&lt;&gt;",$W$3:W669,"&lt;&gt;",$V$3:V669,"&gt;0"),"")</f>
        <v/>
      </c>
    </row>
    <row r="670">
      <c r="A670" s="12" t="n"/>
      <c r="B670" s="13" t="n"/>
      <c r="C670" s="13" t="n"/>
      <c r="D670" s="7">
        <f>IF(OR(B670="",C670=""),"",ROUND((C670-B670)*1440,0))</f>
        <v/>
      </c>
      <c r="E670" s="12" t="n"/>
      <c r="F670" s="12" t="n"/>
      <c r="G670" s="12" t="n"/>
      <c r="H670" s="12" t="n"/>
      <c r="I670" s="12" t="n"/>
      <c r="J670" s="12" t="n"/>
      <c r="K670" s="12" t="n"/>
      <c r="L670" s="14" t="n"/>
      <c r="M670" s="12" t="n"/>
      <c r="N670" s="12" t="n"/>
      <c r="O670" s="12" t="n"/>
      <c r="P670" s="12" t="n"/>
      <c r="Q670" s="7">
        <f>IF(A670="","",IFERROR(VLOOKUP(O670,Listes!$R$3:$T$8,2,FALSE),0)+IFERROR(VLOOKUP(J670,Listes!$J$3:$L$6,2,FALSE),0)+IFERROR(VLOOKUP(N670,Listes!$N$3:$P$6,2,FALSE),0)+IF(OR(L670="",B670=""),0,IF(L670-INT(B670)&lt;10,8,IF(L670-INT(B670)&lt;=90,10,5)))+IFERROR(VLOOKUP(AN670,Listes!$V$3:$W$5,2,FALSE),0)+IFERROR(VLOOKUP(AO670,Listes!$Y$3:$Z$5,2,FALSE),0))</f>
        <v/>
      </c>
      <c r="R670" s="12" t="n"/>
      <c r="S670" s="12" t="n"/>
      <c r="T670" s="12" t="n"/>
      <c r="U670" s="15" t="n"/>
      <c r="V670" s="15" t="n"/>
      <c r="W670" s="13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3" t="n"/>
      <c r="AK670" s="12" t="n"/>
      <c r="AL670" s="12" t="n"/>
      <c r="AM670" s="12" t="n"/>
      <c r="AN670" s="12" t="n"/>
      <c r="AO670" s="12" t="n"/>
      <c r="AP670" s="12" t="n"/>
      <c r="AQ670" s="7">
        <f>IF(A670="","",IF(AP670&lt;&gt;"",AP670,IF(LEFT(Z670,11)="gads_marque","Google Search – Marque",IF(LEFT(Z670,12)="gads_mariage","Google Search – Mariage et privé",IF(LEFT(Z670,10)="gads_corpo","Google Search – Corporatif",IF(LEFT(Z670,5)="meta_","Meta – Leads",IF(LEFT(Z670,5)="msft_","Microsoft Ads",IF(LEFT(Z670,8)="chatgpt_","ChatGPT Ads – Test",IF(X670="gbp","Fiche Google (organique)","Autre / non payé")))))))))</f>
        <v/>
      </c>
      <c r="AR670" s="7">
        <f>IF(K670="","",IFERROR(VLOOKUP(K670,Listes!$F$3:$H$8,3,FALSE),""))</f>
        <v/>
      </c>
      <c r="AS670" s="7">
        <f>IF(O670="","",IF(AND(M670="Autre (plus de 40 km)",OR(O670="lt600",O670="600_999",O670="1000_2499")),"D",IF(OR(O670="lt600",AND(O670="600_999",K670&lt;&gt;"mariage",K670&lt;&gt;"prive")),"C",IF(OR(O670="2500_4999",O670="5000p",J670="entreprise",J670="organisme",J670="agence"),"A",IF(OR(O670="1000_2499",O670="600_999"),"B",IF(O670="inconnu",IF(OR(N670="75_149",N670="150p"),"A","B"),""))))))</f>
        <v/>
      </c>
      <c r="AT670" s="7">
        <f>IF(A670="","",IF(P670&lt;&gt;"",P670,AS670))</f>
        <v/>
      </c>
      <c r="AU670" s="7">
        <f>IF(A670="","",IF(OR(AT670="A",AT670="B"),1,0))</f>
        <v/>
      </c>
      <c r="AV670" s="7">
        <f>IF(A670="","",IF(OR(R670="Dépôt payé (gagné)",R670="Événement livré",R670="Avis obtenu"),1,0))</f>
        <v/>
      </c>
      <c r="AW670" s="7">
        <f>IF(A670="","",IF(Q670&gt;70,"Immédiat – propriétaire",IF(Q670&gt;=40,"15 min – personne de garde","Selon la route")))</f>
        <v/>
      </c>
      <c r="AX670" s="11">
        <f>IF(A670="","",IF(AT670="A",400,IF(AT670="B",150,0)))</f>
        <v/>
      </c>
      <c r="AY670" s="11">
        <f>IF(A670="","",IF(AV670=1,N(V670),IF(N(U670)&gt;0,ROUND(N(U670)*IFERROR(VLOOKUP(R670,Listes!$AE$3:$AG$12,2,FALSE),0),0),0)))</f>
        <v/>
      </c>
      <c r="AZ670" s="7">
        <f>IF(LEFT(A670,7)="EXEMPLE",1,0)</f>
        <v/>
      </c>
      <c r="BA670" s="7">
        <f>IF(AND(AV670=1,AZ670=0,AC670&lt;&gt;"",W670&lt;&gt;"",N(V670)&gt;0),COUNTIFS($AV$3:AV670,1,$AZ$3:AZ670,0,$AC$3:AC670,"&lt;&gt;",$W$3:W670,"&lt;&gt;",$V$3:V670,"&gt;0"),"")</f>
        <v/>
      </c>
    </row>
    <row r="671">
      <c r="A671" s="12" t="n"/>
      <c r="B671" s="13" t="n"/>
      <c r="C671" s="13" t="n"/>
      <c r="D671" s="7">
        <f>IF(OR(B671="",C671=""),"",ROUND((C671-B671)*1440,0))</f>
        <v/>
      </c>
      <c r="E671" s="12" t="n"/>
      <c r="F671" s="12" t="n"/>
      <c r="G671" s="12" t="n"/>
      <c r="H671" s="12" t="n"/>
      <c r="I671" s="12" t="n"/>
      <c r="J671" s="12" t="n"/>
      <c r="K671" s="12" t="n"/>
      <c r="L671" s="14" t="n"/>
      <c r="M671" s="12" t="n"/>
      <c r="N671" s="12" t="n"/>
      <c r="O671" s="12" t="n"/>
      <c r="P671" s="12" t="n"/>
      <c r="Q671" s="7">
        <f>IF(A671="","",IFERROR(VLOOKUP(O671,Listes!$R$3:$T$8,2,FALSE),0)+IFERROR(VLOOKUP(J671,Listes!$J$3:$L$6,2,FALSE),0)+IFERROR(VLOOKUP(N671,Listes!$N$3:$P$6,2,FALSE),0)+IF(OR(L671="",B671=""),0,IF(L671-INT(B671)&lt;10,8,IF(L671-INT(B671)&lt;=90,10,5)))+IFERROR(VLOOKUP(AN671,Listes!$V$3:$W$5,2,FALSE),0)+IFERROR(VLOOKUP(AO671,Listes!$Y$3:$Z$5,2,FALSE),0))</f>
        <v/>
      </c>
      <c r="R671" s="12" t="n"/>
      <c r="S671" s="12" t="n"/>
      <c r="T671" s="12" t="n"/>
      <c r="U671" s="15" t="n"/>
      <c r="V671" s="15" t="n"/>
      <c r="W671" s="13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3" t="n"/>
      <c r="AK671" s="12" t="n"/>
      <c r="AL671" s="12" t="n"/>
      <c r="AM671" s="12" t="n"/>
      <c r="AN671" s="12" t="n"/>
      <c r="AO671" s="12" t="n"/>
      <c r="AP671" s="12" t="n"/>
      <c r="AQ671" s="7">
        <f>IF(A671="","",IF(AP671&lt;&gt;"",AP671,IF(LEFT(Z671,11)="gads_marque","Google Search – Marque",IF(LEFT(Z671,12)="gads_mariage","Google Search – Mariage et privé",IF(LEFT(Z671,10)="gads_corpo","Google Search – Corporatif",IF(LEFT(Z671,5)="meta_","Meta – Leads",IF(LEFT(Z671,5)="msft_","Microsoft Ads",IF(LEFT(Z671,8)="chatgpt_","ChatGPT Ads – Test",IF(X671="gbp","Fiche Google (organique)","Autre / non payé")))))))))</f>
        <v/>
      </c>
      <c r="AR671" s="7">
        <f>IF(K671="","",IFERROR(VLOOKUP(K671,Listes!$F$3:$H$8,3,FALSE),""))</f>
        <v/>
      </c>
      <c r="AS671" s="7">
        <f>IF(O671="","",IF(AND(M671="Autre (plus de 40 km)",OR(O671="lt600",O671="600_999",O671="1000_2499")),"D",IF(OR(O671="lt600",AND(O671="600_999",K671&lt;&gt;"mariage",K671&lt;&gt;"prive")),"C",IF(OR(O671="2500_4999",O671="5000p",J671="entreprise",J671="organisme",J671="agence"),"A",IF(OR(O671="1000_2499",O671="600_999"),"B",IF(O671="inconnu",IF(OR(N671="75_149",N671="150p"),"A","B"),""))))))</f>
        <v/>
      </c>
      <c r="AT671" s="7">
        <f>IF(A671="","",IF(P671&lt;&gt;"",P671,AS671))</f>
        <v/>
      </c>
      <c r="AU671" s="7">
        <f>IF(A671="","",IF(OR(AT671="A",AT671="B"),1,0))</f>
        <v/>
      </c>
      <c r="AV671" s="7">
        <f>IF(A671="","",IF(OR(R671="Dépôt payé (gagné)",R671="Événement livré",R671="Avis obtenu"),1,0))</f>
        <v/>
      </c>
      <c r="AW671" s="7">
        <f>IF(A671="","",IF(Q671&gt;70,"Immédiat – propriétaire",IF(Q671&gt;=40,"15 min – personne de garde","Selon la route")))</f>
        <v/>
      </c>
      <c r="AX671" s="11">
        <f>IF(A671="","",IF(AT671="A",400,IF(AT671="B",150,0)))</f>
        <v/>
      </c>
      <c r="AY671" s="11">
        <f>IF(A671="","",IF(AV671=1,N(V671),IF(N(U671)&gt;0,ROUND(N(U671)*IFERROR(VLOOKUP(R671,Listes!$AE$3:$AG$12,2,FALSE),0),0),0)))</f>
        <v/>
      </c>
      <c r="AZ671" s="7">
        <f>IF(LEFT(A671,7)="EXEMPLE",1,0)</f>
        <v/>
      </c>
      <c r="BA671" s="7">
        <f>IF(AND(AV671=1,AZ671=0,AC671&lt;&gt;"",W671&lt;&gt;"",N(V671)&gt;0),COUNTIFS($AV$3:AV671,1,$AZ$3:AZ671,0,$AC$3:AC671,"&lt;&gt;",$W$3:W671,"&lt;&gt;",$V$3:V671,"&gt;0"),"")</f>
        <v/>
      </c>
    </row>
    <row r="672">
      <c r="A672" s="12" t="n"/>
      <c r="B672" s="13" t="n"/>
      <c r="C672" s="13" t="n"/>
      <c r="D672" s="7">
        <f>IF(OR(B672="",C672=""),"",ROUND((C672-B672)*1440,0))</f>
        <v/>
      </c>
      <c r="E672" s="12" t="n"/>
      <c r="F672" s="12" t="n"/>
      <c r="G672" s="12" t="n"/>
      <c r="H672" s="12" t="n"/>
      <c r="I672" s="12" t="n"/>
      <c r="J672" s="12" t="n"/>
      <c r="K672" s="12" t="n"/>
      <c r="L672" s="14" t="n"/>
      <c r="M672" s="12" t="n"/>
      <c r="N672" s="12" t="n"/>
      <c r="O672" s="12" t="n"/>
      <c r="P672" s="12" t="n"/>
      <c r="Q672" s="7">
        <f>IF(A672="","",IFERROR(VLOOKUP(O672,Listes!$R$3:$T$8,2,FALSE),0)+IFERROR(VLOOKUP(J672,Listes!$J$3:$L$6,2,FALSE),0)+IFERROR(VLOOKUP(N672,Listes!$N$3:$P$6,2,FALSE),0)+IF(OR(L672="",B672=""),0,IF(L672-INT(B672)&lt;10,8,IF(L672-INT(B672)&lt;=90,10,5)))+IFERROR(VLOOKUP(AN672,Listes!$V$3:$W$5,2,FALSE),0)+IFERROR(VLOOKUP(AO672,Listes!$Y$3:$Z$5,2,FALSE),0))</f>
        <v/>
      </c>
      <c r="R672" s="12" t="n"/>
      <c r="S672" s="12" t="n"/>
      <c r="T672" s="12" t="n"/>
      <c r="U672" s="15" t="n"/>
      <c r="V672" s="15" t="n"/>
      <c r="W672" s="13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3" t="n"/>
      <c r="AK672" s="12" t="n"/>
      <c r="AL672" s="12" t="n"/>
      <c r="AM672" s="12" t="n"/>
      <c r="AN672" s="12" t="n"/>
      <c r="AO672" s="12" t="n"/>
      <c r="AP672" s="12" t="n"/>
      <c r="AQ672" s="7">
        <f>IF(A672="","",IF(AP672&lt;&gt;"",AP672,IF(LEFT(Z672,11)="gads_marque","Google Search – Marque",IF(LEFT(Z672,12)="gads_mariage","Google Search – Mariage et privé",IF(LEFT(Z672,10)="gads_corpo","Google Search – Corporatif",IF(LEFT(Z672,5)="meta_","Meta – Leads",IF(LEFT(Z672,5)="msft_","Microsoft Ads",IF(LEFT(Z672,8)="chatgpt_","ChatGPT Ads – Test",IF(X672="gbp","Fiche Google (organique)","Autre / non payé")))))))))</f>
        <v/>
      </c>
      <c r="AR672" s="7">
        <f>IF(K672="","",IFERROR(VLOOKUP(K672,Listes!$F$3:$H$8,3,FALSE),""))</f>
        <v/>
      </c>
      <c r="AS672" s="7">
        <f>IF(O672="","",IF(AND(M672="Autre (plus de 40 km)",OR(O672="lt600",O672="600_999",O672="1000_2499")),"D",IF(OR(O672="lt600",AND(O672="600_999",K672&lt;&gt;"mariage",K672&lt;&gt;"prive")),"C",IF(OR(O672="2500_4999",O672="5000p",J672="entreprise",J672="organisme",J672="agence"),"A",IF(OR(O672="1000_2499",O672="600_999"),"B",IF(O672="inconnu",IF(OR(N672="75_149",N672="150p"),"A","B"),""))))))</f>
        <v/>
      </c>
      <c r="AT672" s="7">
        <f>IF(A672="","",IF(P672&lt;&gt;"",P672,AS672))</f>
        <v/>
      </c>
      <c r="AU672" s="7">
        <f>IF(A672="","",IF(OR(AT672="A",AT672="B"),1,0))</f>
        <v/>
      </c>
      <c r="AV672" s="7">
        <f>IF(A672="","",IF(OR(R672="Dépôt payé (gagné)",R672="Événement livré",R672="Avis obtenu"),1,0))</f>
        <v/>
      </c>
      <c r="AW672" s="7">
        <f>IF(A672="","",IF(Q672&gt;70,"Immédiat – propriétaire",IF(Q672&gt;=40,"15 min – personne de garde","Selon la route")))</f>
        <v/>
      </c>
      <c r="AX672" s="11">
        <f>IF(A672="","",IF(AT672="A",400,IF(AT672="B",150,0)))</f>
        <v/>
      </c>
      <c r="AY672" s="11">
        <f>IF(A672="","",IF(AV672=1,N(V672),IF(N(U672)&gt;0,ROUND(N(U672)*IFERROR(VLOOKUP(R672,Listes!$AE$3:$AG$12,2,FALSE),0),0),0)))</f>
        <v/>
      </c>
      <c r="AZ672" s="7">
        <f>IF(LEFT(A672,7)="EXEMPLE",1,0)</f>
        <v/>
      </c>
      <c r="BA672" s="7">
        <f>IF(AND(AV672=1,AZ672=0,AC672&lt;&gt;"",W672&lt;&gt;"",N(V672)&gt;0),COUNTIFS($AV$3:AV672,1,$AZ$3:AZ672,0,$AC$3:AC672,"&lt;&gt;",$W$3:W672,"&lt;&gt;",$V$3:V672,"&gt;0"),"")</f>
        <v/>
      </c>
    </row>
    <row r="673">
      <c r="A673" s="12" t="n"/>
      <c r="B673" s="13" t="n"/>
      <c r="C673" s="13" t="n"/>
      <c r="D673" s="7">
        <f>IF(OR(B673="",C673=""),"",ROUND((C673-B673)*1440,0))</f>
        <v/>
      </c>
      <c r="E673" s="12" t="n"/>
      <c r="F673" s="12" t="n"/>
      <c r="G673" s="12" t="n"/>
      <c r="H673" s="12" t="n"/>
      <c r="I673" s="12" t="n"/>
      <c r="J673" s="12" t="n"/>
      <c r="K673" s="12" t="n"/>
      <c r="L673" s="14" t="n"/>
      <c r="M673" s="12" t="n"/>
      <c r="N673" s="12" t="n"/>
      <c r="O673" s="12" t="n"/>
      <c r="P673" s="12" t="n"/>
      <c r="Q673" s="7">
        <f>IF(A673="","",IFERROR(VLOOKUP(O673,Listes!$R$3:$T$8,2,FALSE),0)+IFERROR(VLOOKUP(J673,Listes!$J$3:$L$6,2,FALSE),0)+IFERROR(VLOOKUP(N673,Listes!$N$3:$P$6,2,FALSE),0)+IF(OR(L673="",B673=""),0,IF(L673-INT(B673)&lt;10,8,IF(L673-INT(B673)&lt;=90,10,5)))+IFERROR(VLOOKUP(AN673,Listes!$V$3:$W$5,2,FALSE),0)+IFERROR(VLOOKUP(AO673,Listes!$Y$3:$Z$5,2,FALSE),0))</f>
        <v/>
      </c>
      <c r="R673" s="12" t="n"/>
      <c r="S673" s="12" t="n"/>
      <c r="T673" s="12" t="n"/>
      <c r="U673" s="15" t="n"/>
      <c r="V673" s="15" t="n"/>
      <c r="W673" s="13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3" t="n"/>
      <c r="AK673" s="12" t="n"/>
      <c r="AL673" s="12" t="n"/>
      <c r="AM673" s="12" t="n"/>
      <c r="AN673" s="12" t="n"/>
      <c r="AO673" s="12" t="n"/>
      <c r="AP673" s="12" t="n"/>
      <c r="AQ673" s="7">
        <f>IF(A673="","",IF(AP673&lt;&gt;"",AP673,IF(LEFT(Z673,11)="gads_marque","Google Search – Marque",IF(LEFT(Z673,12)="gads_mariage","Google Search – Mariage et privé",IF(LEFT(Z673,10)="gads_corpo","Google Search – Corporatif",IF(LEFT(Z673,5)="meta_","Meta – Leads",IF(LEFT(Z673,5)="msft_","Microsoft Ads",IF(LEFT(Z673,8)="chatgpt_","ChatGPT Ads – Test",IF(X673="gbp","Fiche Google (organique)","Autre / non payé")))))))))</f>
        <v/>
      </c>
      <c r="AR673" s="7">
        <f>IF(K673="","",IFERROR(VLOOKUP(K673,Listes!$F$3:$H$8,3,FALSE),""))</f>
        <v/>
      </c>
      <c r="AS673" s="7">
        <f>IF(O673="","",IF(AND(M673="Autre (plus de 40 km)",OR(O673="lt600",O673="600_999",O673="1000_2499")),"D",IF(OR(O673="lt600",AND(O673="600_999",K673&lt;&gt;"mariage",K673&lt;&gt;"prive")),"C",IF(OR(O673="2500_4999",O673="5000p",J673="entreprise",J673="organisme",J673="agence"),"A",IF(OR(O673="1000_2499",O673="600_999"),"B",IF(O673="inconnu",IF(OR(N673="75_149",N673="150p"),"A","B"),""))))))</f>
        <v/>
      </c>
      <c r="AT673" s="7">
        <f>IF(A673="","",IF(P673&lt;&gt;"",P673,AS673))</f>
        <v/>
      </c>
      <c r="AU673" s="7">
        <f>IF(A673="","",IF(OR(AT673="A",AT673="B"),1,0))</f>
        <v/>
      </c>
      <c r="AV673" s="7">
        <f>IF(A673="","",IF(OR(R673="Dépôt payé (gagné)",R673="Événement livré",R673="Avis obtenu"),1,0))</f>
        <v/>
      </c>
      <c r="AW673" s="7">
        <f>IF(A673="","",IF(Q673&gt;70,"Immédiat – propriétaire",IF(Q673&gt;=40,"15 min – personne de garde","Selon la route")))</f>
        <v/>
      </c>
      <c r="AX673" s="11">
        <f>IF(A673="","",IF(AT673="A",400,IF(AT673="B",150,0)))</f>
        <v/>
      </c>
      <c r="AY673" s="11">
        <f>IF(A673="","",IF(AV673=1,N(V673),IF(N(U673)&gt;0,ROUND(N(U673)*IFERROR(VLOOKUP(R673,Listes!$AE$3:$AG$12,2,FALSE),0),0),0)))</f>
        <v/>
      </c>
      <c r="AZ673" s="7">
        <f>IF(LEFT(A673,7)="EXEMPLE",1,0)</f>
        <v/>
      </c>
      <c r="BA673" s="7">
        <f>IF(AND(AV673=1,AZ673=0,AC673&lt;&gt;"",W673&lt;&gt;"",N(V673)&gt;0),COUNTIFS($AV$3:AV673,1,$AZ$3:AZ673,0,$AC$3:AC673,"&lt;&gt;",$W$3:W673,"&lt;&gt;",$V$3:V673,"&gt;0"),"")</f>
        <v/>
      </c>
    </row>
    <row r="674">
      <c r="A674" s="12" t="n"/>
      <c r="B674" s="13" t="n"/>
      <c r="C674" s="13" t="n"/>
      <c r="D674" s="7">
        <f>IF(OR(B674="",C674=""),"",ROUND((C674-B674)*1440,0))</f>
        <v/>
      </c>
      <c r="E674" s="12" t="n"/>
      <c r="F674" s="12" t="n"/>
      <c r="G674" s="12" t="n"/>
      <c r="H674" s="12" t="n"/>
      <c r="I674" s="12" t="n"/>
      <c r="J674" s="12" t="n"/>
      <c r="K674" s="12" t="n"/>
      <c r="L674" s="14" t="n"/>
      <c r="M674" s="12" t="n"/>
      <c r="N674" s="12" t="n"/>
      <c r="O674" s="12" t="n"/>
      <c r="P674" s="12" t="n"/>
      <c r="Q674" s="7">
        <f>IF(A674="","",IFERROR(VLOOKUP(O674,Listes!$R$3:$T$8,2,FALSE),0)+IFERROR(VLOOKUP(J674,Listes!$J$3:$L$6,2,FALSE),0)+IFERROR(VLOOKUP(N674,Listes!$N$3:$P$6,2,FALSE),0)+IF(OR(L674="",B674=""),0,IF(L674-INT(B674)&lt;10,8,IF(L674-INT(B674)&lt;=90,10,5)))+IFERROR(VLOOKUP(AN674,Listes!$V$3:$W$5,2,FALSE),0)+IFERROR(VLOOKUP(AO674,Listes!$Y$3:$Z$5,2,FALSE),0))</f>
        <v/>
      </c>
      <c r="R674" s="12" t="n"/>
      <c r="S674" s="12" t="n"/>
      <c r="T674" s="12" t="n"/>
      <c r="U674" s="15" t="n"/>
      <c r="V674" s="15" t="n"/>
      <c r="W674" s="13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3" t="n"/>
      <c r="AK674" s="12" t="n"/>
      <c r="AL674" s="12" t="n"/>
      <c r="AM674" s="12" t="n"/>
      <c r="AN674" s="12" t="n"/>
      <c r="AO674" s="12" t="n"/>
      <c r="AP674" s="12" t="n"/>
      <c r="AQ674" s="7">
        <f>IF(A674="","",IF(AP674&lt;&gt;"",AP674,IF(LEFT(Z674,11)="gads_marque","Google Search – Marque",IF(LEFT(Z674,12)="gads_mariage","Google Search – Mariage et privé",IF(LEFT(Z674,10)="gads_corpo","Google Search – Corporatif",IF(LEFT(Z674,5)="meta_","Meta – Leads",IF(LEFT(Z674,5)="msft_","Microsoft Ads",IF(LEFT(Z674,8)="chatgpt_","ChatGPT Ads – Test",IF(X674="gbp","Fiche Google (organique)","Autre / non payé")))))))))</f>
        <v/>
      </c>
      <c r="AR674" s="7">
        <f>IF(K674="","",IFERROR(VLOOKUP(K674,Listes!$F$3:$H$8,3,FALSE),""))</f>
        <v/>
      </c>
      <c r="AS674" s="7">
        <f>IF(O674="","",IF(AND(M674="Autre (plus de 40 km)",OR(O674="lt600",O674="600_999",O674="1000_2499")),"D",IF(OR(O674="lt600",AND(O674="600_999",K674&lt;&gt;"mariage",K674&lt;&gt;"prive")),"C",IF(OR(O674="2500_4999",O674="5000p",J674="entreprise",J674="organisme",J674="agence"),"A",IF(OR(O674="1000_2499",O674="600_999"),"B",IF(O674="inconnu",IF(OR(N674="75_149",N674="150p"),"A","B"),""))))))</f>
        <v/>
      </c>
      <c r="AT674" s="7">
        <f>IF(A674="","",IF(P674&lt;&gt;"",P674,AS674))</f>
        <v/>
      </c>
      <c r="AU674" s="7">
        <f>IF(A674="","",IF(OR(AT674="A",AT674="B"),1,0))</f>
        <v/>
      </c>
      <c r="AV674" s="7">
        <f>IF(A674="","",IF(OR(R674="Dépôt payé (gagné)",R674="Événement livré",R674="Avis obtenu"),1,0))</f>
        <v/>
      </c>
      <c r="AW674" s="7">
        <f>IF(A674="","",IF(Q674&gt;70,"Immédiat – propriétaire",IF(Q674&gt;=40,"15 min – personne de garde","Selon la route")))</f>
        <v/>
      </c>
      <c r="AX674" s="11">
        <f>IF(A674="","",IF(AT674="A",400,IF(AT674="B",150,0)))</f>
        <v/>
      </c>
      <c r="AY674" s="11">
        <f>IF(A674="","",IF(AV674=1,N(V674),IF(N(U674)&gt;0,ROUND(N(U674)*IFERROR(VLOOKUP(R674,Listes!$AE$3:$AG$12,2,FALSE),0),0),0)))</f>
        <v/>
      </c>
      <c r="AZ674" s="7">
        <f>IF(LEFT(A674,7)="EXEMPLE",1,0)</f>
        <v/>
      </c>
      <c r="BA674" s="7">
        <f>IF(AND(AV674=1,AZ674=0,AC674&lt;&gt;"",W674&lt;&gt;"",N(V674)&gt;0),COUNTIFS($AV$3:AV674,1,$AZ$3:AZ674,0,$AC$3:AC674,"&lt;&gt;",$W$3:W674,"&lt;&gt;",$V$3:V674,"&gt;0"),"")</f>
        <v/>
      </c>
    </row>
    <row r="675">
      <c r="A675" s="12" t="n"/>
      <c r="B675" s="13" t="n"/>
      <c r="C675" s="13" t="n"/>
      <c r="D675" s="7">
        <f>IF(OR(B675="",C675=""),"",ROUND((C675-B675)*1440,0))</f>
        <v/>
      </c>
      <c r="E675" s="12" t="n"/>
      <c r="F675" s="12" t="n"/>
      <c r="G675" s="12" t="n"/>
      <c r="H675" s="12" t="n"/>
      <c r="I675" s="12" t="n"/>
      <c r="J675" s="12" t="n"/>
      <c r="K675" s="12" t="n"/>
      <c r="L675" s="14" t="n"/>
      <c r="M675" s="12" t="n"/>
      <c r="N675" s="12" t="n"/>
      <c r="O675" s="12" t="n"/>
      <c r="P675" s="12" t="n"/>
      <c r="Q675" s="7">
        <f>IF(A675="","",IFERROR(VLOOKUP(O675,Listes!$R$3:$T$8,2,FALSE),0)+IFERROR(VLOOKUP(J675,Listes!$J$3:$L$6,2,FALSE),0)+IFERROR(VLOOKUP(N675,Listes!$N$3:$P$6,2,FALSE),0)+IF(OR(L675="",B675=""),0,IF(L675-INT(B675)&lt;10,8,IF(L675-INT(B675)&lt;=90,10,5)))+IFERROR(VLOOKUP(AN675,Listes!$V$3:$W$5,2,FALSE),0)+IFERROR(VLOOKUP(AO675,Listes!$Y$3:$Z$5,2,FALSE),0))</f>
        <v/>
      </c>
      <c r="R675" s="12" t="n"/>
      <c r="S675" s="12" t="n"/>
      <c r="T675" s="12" t="n"/>
      <c r="U675" s="15" t="n"/>
      <c r="V675" s="15" t="n"/>
      <c r="W675" s="13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3" t="n"/>
      <c r="AK675" s="12" t="n"/>
      <c r="AL675" s="12" t="n"/>
      <c r="AM675" s="12" t="n"/>
      <c r="AN675" s="12" t="n"/>
      <c r="AO675" s="12" t="n"/>
      <c r="AP675" s="12" t="n"/>
      <c r="AQ675" s="7">
        <f>IF(A675="","",IF(AP675&lt;&gt;"",AP675,IF(LEFT(Z675,11)="gads_marque","Google Search – Marque",IF(LEFT(Z675,12)="gads_mariage","Google Search – Mariage et privé",IF(LEFT(Z675,10)="gads_corpo","Google Search – Corporatif",IF(LEFT(Z675,5)="meta_","Meta – Leads",IF(LEFT(Z675,5)="msft_","Microsoft Ads",IF(LEFT(Z675,8)="chatgpt_","ChatGPT Ads – Test",IF(X675="gbp","Fiche Google (organique)","Autre / non payé")))))))))</f>
        <v/>
      </c>
      <c r="AR675" s="7">
        <f>IF(K675="","",IFERROR(VLOOKUP(K675,Listes!$F$3:$H$8,3,FALSE),""))</f>
        <v/>
      </c>
      <c r="AS675" s="7">
        <f>IF(O675="","",IF(AND(M675="Autre (plus de 40 km)",OR(O675="lt600",O675="600_999",O675="1000_2499")),"D",IF(OR(O675="lt600",AND(O675="600_999",K675&lt;&gt;"mariage",K675&lt;&gt;"prive")),"C",IF(OR(O675="2500_4999",O675="5000p",J675="entreprise",J675="organisme",J675="agence"),"A",IF(OR(O675="1000_2499",O675="600_999"),"B",IF(O675="inconnu",IF(OR(N675="75_149",N675="150p"),"A","B"),""))))))</f>
        <v/>
      </c>
      <c r="AT675" s="7">
        <f>IF(A675="","",IF(P675&lt;&gt;"",P675,AS675))</f>
        <v/>
      </c>
      <c r="AU675" s="7">
        <f>IF(A675="","",IF(OR(AT675="A",AT675="B"),1,0))</f>
        <v/>
      </c>
      <c r="AV675" s="7">
        <f>IF(A675="","",IF(OR(R675="Dépôt payé (gagné)",R675="Événement livré",R675="Avis obtenu"),1,0))</f>
        <v/>
      </c>
      <c r="AW675" s="7">
        <f>IF(A675="","",IF(Q675&gt;70,"Immédiat – propriétaire",IF(Q675&gt;=40,"15 min – personne de garde","Selon la route")))</f>
        <v/>
      </c>
      <c r="AX675" s="11">
        <f>IF(A675="","",IF(AT675="A",400,IF(AT675="B",150,0)))</f>
        <v/>
      </c>
      <c r="AY675" s="11">
        <f>IF(A675="","",IF(AV675=1,N(V675),IF(N(U675)&gt;0,ROUND(N(U675)*IFERROR(VLOOKUP(R675,Listes!$AE$3:$AG$12,2,FALSE),0),0),0)))</f>
        <v/>
      </c>
      <c r="AZ675" s="7">
        <f>IF(LEFT(A675,7)="EXEMPLE",1,0)</f>
        <v/>
      </c>
      <c r="BA675" s="7">
        <f>IF(AND(AV675=1,AZ675=0,AC675&lt;&gt;"",W675&lt;&gt;"",N(V675)&gt;0),COUNTIFS($AV$3:AV675,1,$AZ$3:AZ675,0,$AC$3:AC675,"&lt;&gt;",$W$3:W675,"&lt;&gt;",$V$3:V675,"&gt;0"),"")</f>
        <v/>
      </c>
    </row>
    <row r="676">
      <c r="A676" s="12" t="n"/>
      <c r="B676" s="13" t="n"/>
      <c r="C676" s="13" t="n"/>
      <c r="D676" s="7">
        <f>IF(OR(B676="",C676=""),"",ROUND((C676-B676)*1440,0))</f>
        <v/>
      </c>
      <c r="E676" s="12" t="n"/>
      <c r="F676" s="12" t="n"/>
      <c r="G676" s="12" t="n"/>
      <c r="H676" s="12" t="n"/>
      <c r="I676" s="12" t="n"/>
      <c r="J676" s="12" t="n"/>
      <c r="K676" s="12" t="n"/>
      <c r="L676" s="14" t="n"/>
      <c r="M676" s="12" t="n"/>
      <c r="N676" s="12" t="n"/>
      <c r="O676" s="12" t="n"/>
      <c r="P676" s="12" t="n"/>
      <c r="Q676" s="7">
        <f>IF(A676="","",IFERROR(VLOOKUP(O676,Listes!$R$3:$T$8,2,FALSE),0)+IFERROR(VLOOKUP(J676,Listes!$J$3:$L$6,2,FALSE),0)+IFERROR(VLOOKUP(N676,Listes!$N$3:$P$6,2,FALSE),0)+IF(OR(L676="",B676=""),0,IF(L676-INT(B676)&lt;10,8,IF(L676-INT(B676)&lt;=90,10,5)))+IFERROR(VLOOKUP(AN676,Listes!$V$3:$W$5,2,FALSE),0)+IFERROR(VLOOKUP(AO676,Listes!$Y$3:$Z$5,2,FALSE),0))</f>
        <v/>
      </c>
      <c r="R676" s="12" t="n"/>
      <c r="S676" s="12" t="n"/>
      <c r="T676" s="12" t="n"/>
      <c r="U676" s="15" t="n"/>
      <c r="V676" s="15" t="n"/>
      <c r="W676" s="13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3" t="n"/>
      <c r="AK676" s="12" t="n"/>
      <c r="AL676" s="12" t="n"/>
      <c r="AM676" s="12" t="n"/>
      <c r="AN676" s="12" t="n"/>
      <c r="AO676" s="12" t="n"/>
      <c r="AP676" s="12" t="n"/>
      <c r="AQ676" s="7">
        <f>IF(A676="","",IF(AP676&lt;&gt;"",AP676,IF(LEFT(Z676,11)="gads_marque","Google Search – Marque",IF(LEFT(Z676,12)="gads_mariage","Google Search – Mariage et privé",IF(LEFT(Z676,10)="gads_corpo","Google Search – Corporatif",IF(LEFT(Z676,5)="meta_","Meta – Leads",IF(LEFT(Z676,5)="msft_","Microsoft Ads",IF(LEFT(Z676,8)="chatgpt_","ChatGPT Ads – Test",IF(X676="gbp","Fiche Google (organique)","Autre / non payé")))))))))</f>
        <v/>
      </c>
      <c r="AR676" s="7">
        <f>IF(K676="","",IFERROR(VLOOKUP(K676,Listes!$F$3:$H$8,3,FALSE),""))</f>
        <v/>
      </c>
      <c r="AS676" s="7">
        <f>IF(O676="","",IF(AND(M676="Autre (plus de 40 km)",OR(O676="lt600",O676="600_999",O676="1000_2499")),"D",IF(OR(O676="lt600",AND(O676="600_999",K676&lt;&gt;"mariage",K676&lt;&gt;"prive")),"C",IF(OR(O676="2500_4999",O676="5000p",J676="entreprise",J676="organisme",J676="agence"),"A",IF(OR(O676="1000_2499",O676="600_999"),"B",IF(O676="inconnu",IF(OR(N676="75_149",N676="150p"),"A","B"),""))))))</f>
        <v/>
      </c>
      <c r="AT676" s="7">
        <f>IF(A676="","",IF(P676&lt;&gt;"",P676,AS676))</f>
        <v/>
      </c>
      <c r="AU676" s="7">
        <f>IF(A676="","",IF(OR(AT676="A",AT676="B"),1,0))</f>
        <v/>
      </c>
      <c r="AV676" s="7">
        <f>IF(A676="","",IF(OR(R676="Dépôt payé (gagné)",R676="Événement livré",R676="Avis obtenu"),1,0))</f>
        <v/>
      </c>
      <c r="AW676" s="7">
        <f>IF(A676="","",IF(Q676&gt;70,"Immédiat – propriétaire",IF(Q676&gt;=40,"15 min – personne de garde","Selon la route")))</f>
        <v/>
      </c>
      <c r="AX676" s="11">
        <f>IF(A676="","",IF(AT676="A",400,IF(AT676="B",150,0)))</f>
        <v/>
      </c>
      <c r="AY676" s="11">
        <f>IF(A676="","",IF(AV676=1,N(V676),IF(N(U676)&gt;0,ROUND(N(U676)*IFERROR(VLOOKUP(R676,Listes!$AE$3:$AG$12,2,FALSE),0),0),0)))</f>
        <v/>
      </c>
      <c r="AZ676" s="7">
        <f>IF(LEFT(A676,7)="EXEMPLE",1,0)</f>
        <v/>
      </c>
      <c r="BA676" s="7">
        <f>IF(AND(AV676=1,AZ676=0,AC676&lt;&gt;"",W676&lt;&gt;"",N(V676)&gt;0),COUNTIFS($AV$3:AV676,1,$AZ$3:AZ676,0,$AC$3:AC676,"&lt;&gt;",$W$3:W676,"&lt;&gt;",$V$3:V676,"&gt;0"),"")</f>
        <v/>
      </c>
    </row>
    <row r="677">
      <c r="A677" s="12" t="n"/>
      <c r="B677" s="13" t="n"/>
      <c r="C677" s="13" t="n"/>
      <c r="D677" s="7">
        <f>IF(OR(B677="",C677=""),"",ROUND((C677-B677)*1440,0))</f>
        <v/>
      </c>
      <c r="E677" s="12" t="n"/>
      <c r="F677" s="12" t="n"/>
      <c r="G677" s="12" t="n"/>
      <c r="H677" s="12" t="n"/>
      <c r="I677" s="12" t="n"/>
      <c r="J677" s="12" t="n"/>
      <c r="K677" s="12" t="n"/>
      <c r="L677" s="14" t="n"/>
      <c r="M677" s="12" t="n"/>
      <c r="N677" s="12" t="n"/>
      <c r="O677" s="12" t="n"/>
      <c r="P677" s="12" t="n"/>
      <c r="Q677" s="7">
        <f>IF(A677="","",IFERROR(VLOOKUP(O677,Listes!$R$3:$T$8,2,FALSE),0)+IFERROR(VLOOKUP(J677,Listes!$J$3:$L$6,2,FALSE),0)+IFERROR(VLOOKUP(N677,Listes!$N$3:$P$6,2,FALSE),0)+IF(OR(L677="",B677=""),0,IF(L677-INT(B677)&lt;10,8,IF(L677-INT(B677)&lt;=90,10,5)))+IFERROR(VLOOKUP(AN677,Listes!$V$3:$W$5,2,FALSE),0)+IFERROR(VLOOKUP(AO677,Listes!$Y$3:$Z$5,2,FALSE),0))</f>
        <v/>
      </c>
      <c r="R677" s="12" t="n"/>
      <c r="S677" s="12" t="n"/>
      <c r="T677" s="12" t="n"/>
      <c r="U677" s="15" t="n"/>
      <c r="V677" s="15" t="n"/>
      <c r="W677" s="13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3" t="n"/>
      <c r="AK677" s="12" t="n"/>
      <c r="AL677" s="12" t="n"/>
      <c r="AM677" s="12" t="n"/>
      <c r="AN677" s="12" t="n"/>
      <c r="AO677" s="12" t="n"/>
      <c r="AP677" s="12" t="n"/>
      <c r="AQ677" s="7">
        <f>IF(A677="","",IF(AP677&lt;&gt;"",AP677,IF(LEFT(Z677,11)="gads_marque","Google Search – Marque",IF(LEFT(Z677,12)="gads_mariage","Google Search – Mariage et privé",IF(LEFT(Z677,10)="gads_corpo","Google Search – Corporatif",IF(LEFT(Z677,5)="meta_","Meta – Leads",IF(LEFT(Z677,5)="msft_","Microsoft Ads",IF(LEFT(Z677,8)="chatgpt_","ChatGPT Ads – Test",IF(X677="gbp","Fiche Google (organique)","Autre / non payé")))))))))</f>
        <v/>
      </c>
      <c r="AR677" s="7">
        <f>IF(K677="","",IFERROR(VLOOKUP(K677,Listes!$F$3:$H$8,3,FALSE),""))</f>
        <v/>
      </c>
      <c r="AS677" s="7">
        <f>IF(O677="","",IF(AND(M677="Autre (plus de 40 km)",OR(O677="lt600",O677="600_999",O677="1000_2499")),"D",IF(OR(O677="lt600",AND(O677="600_999",K677&lt;&gt;"mariage",K677&lt;&gt;"prive")),"C",IF(OR(O677="2500_4999",O677="5000p",J677="entreprise",J677="organisme",J677="agence"),"A",IF(OR(O677="1000_2499",O677="600_999"),"B",IF(O677="inconnu",IF(OR(N677="75_149",N677="150p"),"A","B"),""))))))</f>
        <v/>
      </c>
      <c r="AT677" s="7">
        <f>IF(A677="","",IF(P677&lt;&gt;"",P677,AS677))</f>
        <v/>
      </c>
      <c r="AU677" s="7">
        <f>IF(A677="","",IF(OR(AT677="A",AT677="B"),1,0))</f>
        <v/>
      </c>
      <c r="AV677" s="7">
        <f>IF(A677="","",IF(OR(R677="Dépôt payé (gagné)",R677="Événement livré",R677="Avis obtenu"),1,0))</f>
        <v/>
      </c>
      <c r="AW677" s="7">
        <f>IF(A677="","",IF(Q677&gt;70,"Immédiat – propriétaire",IF(Q677&gt;=40,"15 min – personne de garde","Selon la route")))</f>
        <v/>
      </c>
      <c r="AX677" s="11">
        <f>IF(A677="","",IF(AT677="A",400,IF(AT677="B",150,0)))</f>
        <v/>
      </c>
      <c r="AY677" s="11">
        <f>IF(A677="","",IF(AV677=1,N(V677),IF(N(U677)&gt;0,ROUND(N(U677)*IFERROR(VLOOKUP(R677,Listes!$AE$3:$AG$12,2,FALSE),0),0),0)))</f>
        <v/>
      </c>
      <c r="AZ677" s="7">
        <f>IF(LEFT(A677,7)="EXEMPLE",1,0)</f>
        <v/>
      </c>
      <c r="BA677" s="7">
        <f>IF(AND(AV677=1,AZ677=0,AC677&lt;&gt;"",W677&lt;&gt;"",N(V677)&gt;0),COUNTIFS($AV$3:AV677,1,$AZ$3:AZ677,0,$AC$3:AC677,"&lt;&gt;",$W$3:W677,"&lt;&gt;",$V$3:V677,"&gt;0"),"")</f>
        <v/>
      </c>
    </row>
    <row r="678">
      <c r="A678" s="12" t="n"/>
      <c r="B678" s="13" t="n"/>
      <c r="C678" s="13" t="n"/>
      <c r="D678" s="7">
        <f>IF(OR(B678="",C678=""),"",ROUND((C678-B678)*1440,0))</f>
        <v/>
      </c>
      <c r="E678" s="12" t="n"/>
      <c r="F678" s="12" t="n"/>
      <c r="G678" s="12" t="n"/>
      <c r="H678" s="12" t="n"/>
      <c r="I678" s="12" t="n"/>
      <c r="J678" s="12" t="n"/>
      <c r="K678" s="12" t="n"/>
      <c r="L678" s="14" t="n"/>
      <c r="M678" s="12" t="n"/>
      <c r="N678" s="12" t="n"/>
      <c r="O678" s="12" t="n"/>
      <c r="P678" s="12" t="n"/>
      <c r="Q678" s="7">
        <f>IF(A678="","",IFERROR(VLOOKUP(O678,Listes!$R$3:$T$8,2,FALSE),0)+IFERROR(VLOOKUP(J678,Listes!$J$3:$L$6,2,FALSE),0)+IFERROR(VLOOKUP(N678,Listes!$N$3:$P$6,2,FALSE),0)+IF(OR(L678="",B678=""),0,IF(L678-INT(B678)&lt;10,8,IF(L678-INT(B678)&lt;=90,10,5)))+IFERROR(VLOOKUP(AN678,Listes!$V$3:$W$5,2,FALSE),0)+IFERROR(VLOOKUP(AO678,Listes!$Y$3:$Z$5,2,FALSE),0))</f>
        <v/>
      </c>
      <c r="R678" s="12" t="n"/>
      <c r="S678" s="12" t="n"/>
      <c r="T678" s="12" t="n"/>
      <c r="U678" s="15" t="n"/>
      <c r="V678" s="15" t="n"/>
      <c r="W678" s="13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3" t="n"/>
      <c r="AK678" s="12" t="n"/>
      <c r="AL678" s="12" t="n"/>
      <c r="AM678" s="12" t="n"/>
      <c r="AN678" s="12" t="n"/>
      <c r="AO678" s="12" t="n"/>
      <c r="AP678" s="12" t="n"/>
      <c r="AQ678" s="7">
        <f>IF(A678="","",IF(AP678&lt;&gt;"",AP678,IF(LEFT(Z678,11)="gads_marque","Google Search – Marque",IF(LEFT(Z678,12)="gads_mariage","Google Search – Mariage et privé",IF(LEFT(Z678,10)="gads_corpo","Google Search – Corporatif",IF(LEFT(Z678,5)="meta_","Meta – Leads",IF(LEFT(Z678,5)="msft_","Microsoft Ads",IF(LEFT(Z678,8)="chatgpt_","ChatGPT Ads – Test",IF(X678="gbp","Fiche Google (organique)","Autre / non payé")))))))))</f>
        <v/>
      </c>
      <c r="AR678" s="7">
        <f>IF(K678="","",IFERROR(VLOOKUP(K678,Listes!$F$3:$H$8,3,FALSE),""))</f>
        <v/>
      </c>
      <c r="AS678" s="7">
        <f>IF(O678="","",IF(AND(M678="Autre (plus de 40 km)",OR(O678="lt600",O678="600_999",O678="1000_2499")),"D",IF(OR(O678="lt600",AND(O678="600_999",K678&lt;&gt;"mariage",K678&lt;&gt;"prive")),"C",IF(OR(O678="2500_4999",O678="5000p",J678="entreprise",J678="organisme",J678="agence"),"A",IF(OR(O678="1000_2499",O678="600_999"),"B",IF(O678="inconnu",IF(OR(N678="75_149",N678="150p"),"A","B"),""))))))</f>
        <v/>
      </c>
      <c r="AT678" s="7">
        <f>IF(A678="","",IF(P678&lt;&gt;"",P678,AS678))</f>
        <v/>
      </c>
      <c r="AU678" s="7">
        <f>IF(A678="","",IF(OR(AT678="A",AT678="B"),1,0))</f>
        <v/>
      </c>
      <c r="AV678" s="7">
        <f>IF(A678="","",IF(OR(R678="Dépôt payé (gagné)",R678="Événement livré",R678="Avis obtenu"),1,0))</f>
        <v/>
      </c>
      <c r="AW678" s="7">
        <f>IF(A678="","",IF(Q678&gt;70,"Immédiat – propriétaire",IF(Q678&gt;=40,"15 min – personne de garde","Selon la route")))</f>
        <v/>
      </c>
      <c r="AX678" s="11">
        <f>IF(A678="","",IF(AT678="A",400,IF(AT678="B",150,0)))</f>
        <v/>
      </c>
      <c r="AY678" s="11">
        <f>IF(A678="","",IF(AV678=1,N(V678),IF(N(U678)&gt;0,ROUND(N(U678)*IFERROR(VLOOKUP(R678,Listes!$AE$3:$AG$12,2,FALSE),0),0),0)))</f>
        <v/>
      </c>
      <c r="AZ678" s="7">
        <f>IF(LEFT(A678,7)="EXEMPLE",1,0)</f>
        <v/>
      </c>
      <c r="BA678" s="7">
        <f>IF(AND(AV678=1,AZ678=0,AC678&lt;&gt;"",W678&lt;&gt;"",N(V678)&gt;0),COUNTIFS($AV$3:AV678,1,$AZ$3:AZ678,0,$AC$3:AC678,"&lt;&gt;",$W$3:W678,"&lt;&gt;",$V$3:V678,"&gt;0"),"")</f>
        <v/>
      </c>
    </row>
    <row r="679">
      <c r="A679" s="12" t="n"/>
      <c r="B679" s="13" t="n"/>
      <c r="C679" s="13" t="n"/>
      <c r="D679" s="7">
        <f>IF(OR(B679="",C679=""),"",ROUND((C679-B679)*1440,0))</f>
        <v/>
      </c>
      <c r="E679" s="12" t="n"/>
      <c r="F679" s="12" t="n"/>
      <c r="G679" s="12" t="n"/>
      <c r="H679" s="12" t="n"/>
      <c r="I679" s="12" t="n"/>
      <c r="J679" s="12" t="n"/>
      <c r="K679" s="12" t="n"/>
      <c r="L679" s="14" t="n"/>
      <c r="M679" s="12" t="n"/>
      <c r="N679" s="12" t="n"/>
      <c r="O679" s="12" t="n"/>
      <c r="P679" s="12" t="n"/>
      <c r="Q679" s="7">
        <f>IF(A679="","",IFERROR(VLOOKUP(O679,Listes!$R$3:$T$8,2,FALSE),0)+IFERROR(VLOOKUP(J679,Listes!$J$3:$L$6,2,FALSE),0)+IFERROR(VLOOKUP(N679,Listes!$N$3:$P$6,2,FALSE),0)+IF(OR(L679="",B679=""),0,IF(L679-INT(B679)&lt;10,8,IF(L679-INT(B679)&lt;=90,10,5)))+IFERROR(VLOOKUP(AN679,Listes!$V$3:$W$5,2,FALSE),0)+IFERROR(VLOOKUP(AO679,Listes!$Y$3:$Z$5,2,FALSE),0))</f>
        <v/>
      </c>
      <c r="R679" s="12" t="n"/>
      <c r="S679" s="12" t="n"/>
      <c r="T679" s="12" t="n"/>
      <c r="U679" s="15" t="n"/>
      <c r="V679" s="15" t="n"/>
      <c r="W679" s="13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3" t="n"/>
      <c r="AK679" s="12" t="n"/>
      <c r="AL679" s="12" t="n"/>
      <c r="AM679" s="12" t="n"/>
      <c r="AN679" s="12" t="n"/>
      <c r="AO679" s="12" t="n"/>
      <c r="AP679" s="12" t="n"/>
      <c r="AQ679" s="7">
        <f>IF(A679="","",IF(AP679&lt;&gt;"",AP679,IF(LEFT(Z679,11)="gads_marque","Google Search – Marque",IF(LEFT(Z679,12)="gads_mariage","Google Search – Mariage et privé",IF(LEFT(Z679,10)="gads_corpo","Google Search – Corporatif",IF(LEFT(Z679,5)="meta_","Meta – Leads",IF(LEFT(Z679,5)="msft_","Microsoft Ads",IF(LEFT(Z679,8)="chatgpt_","ChatGPT Ads – Test",IF(X679="gbp","Fiche Google (organique)","Autre / non payé")))))))))</f>
        <v/>
      </c>
      <c r="AR679" s="7">
        <f>IF(K679="","",IFERROR(VLOOKUP(K679,Listes!$F$3:$H$8,3,FALSE),""))</f>
        <v/>
      </c>
      <c r="AS679" s="7">
        <f>IF(O679="","",IF(AND(M679="Autre (plus de 40 km)",OR(O679="lt600",O679="600_999",O679="1000_2499")),"D",IF(OR(O679="lt600",AND(O679="600_999",K679&lt;&gt;"mariage",K679&lt;&gt;"prive")),"C",IF(OR(O679="2500_4999",O679="5000p",J679="entreprise",J679="organisme",J679="agence"),"A",IF(OR(O679="1000_2499",O679="600_999"),"B",IF(O679="inconnu",IF(OR(N679="75_149",N679="150p"),"A","B"),""))))))</f>
        <v/>
      </c>
      <c r="AT679" s="7">
        <f>IF(A679="","",IF(P679&lt;&gt;"",P679,AS679))</f>
        <v/>
      </c>
      <c r="AU679" s="7">
        <f>IF(A679="","",IF(OR(AT679="A",AT679="B"),1,0))</f>
        <v/>
      </c>
      <c r="AV679" s="7">
        <f>IF(A679="","",IF(OR(R679="Dépôt payé (gagné)",R679="Événement livré",R679="Avis obtenu"),1,0))</f>
        <v/>
      </c>
      <c r="AW679" s="7">
        <f>IF(A679="","",IF(Q679&gt;70,"Immédiat – propriétaire",IF(Q679&gt;=40,"15 min – personne de garde","Selon la route")))</f>
        <v/>
      </c>
      <c r="AX679" s="11">
        <f>IF(A679="","",IF(AT679="A",400,IF(AT679="B",150,0)))</f>
        <v/>
      </c>
      <c r="AY679" s="11">
        <f>IF(A679="","",IF(AV679=1,N(V679),IF(N(U679)&gt;0,ROUND(N(U679)*IFERROR(VLOOKUP(R679,Listes!$AE$3:$AG$12,2,FALSE),0),0),0)))</f>
        <v/>
      </c>
      <c r="AZ679" s="7">
        <f>IF(LEFT(A679,7)="EXEMPLE",1,0)</f>
        <v/>
      </c>
      <c r="BA679" s="7">
        <f>IF(AND(AV679=1,AZ679=0,AC679&lt;&gt;"",W679&lt;&gt;"",N(V679)&gt;0),COUNTIFS($AV$3:AV679,1,$AZ$3:AZ679,0,$AC$3:AC679,"&lt;&gt;",$W$3:W679,"&lt;&gt;",$V$3:V679,"&gt;0"),"")</f>
        <v/>
      </c>
    </row>
    <row r="680">
      <c r="A680" s="12" t="n"/>
      <c r="B680" s="13" t="n"/>
      <c r="C680" s="13" t="n"/>
      <c r="D680" s="7">
        <f>IF(OR(B680="",C680=""),"",ROUND((C680-B680)*1440,0))</f>
        <v/>
      </c>
      <c r="E680" s="12" t="n"/>
      <c r="F680" s="12" t="n"/>
      <c r="G680" s="12" t="n"/>
      <c r="H680" s="12" t="n"/>
      <c r="I680" s="12" t="n"/>
      <c r="J680" s="12" t="n"/>
      <c r="K680" s="12" t="n"/>
      <c r="L680" s="14" t="n"/>
      <c r="M680" s="12" t="n"/>
      <c r="N680" s="12" t="n"/>
      <c r="O680" s="12" t="n"/>
      <c r="P680" s="12" t="n"/>
      <c r="Q680" s="7">
        <f>IF(A680="","",IFERROR(VLOOKUP(O680,Listes!$R$3:$T$8,2,FALSE),0)+IFERROR(VLOOKUP(J680,Listes!$J$3:$L$6,2,FALSE),0)+IFERROR(VLOOKUP(N680,Listes!$N$3:$P$6,2,FALSE),0)+IF(OR(L680="",B680=""),0,IF(L680-INT(B680)&lt;10,8,IF(L680-INT(B680)&lt;=90,10,5)))+IFERROR(VLOOKUP(AN680,Listes!$V$3:$W$5,2,FALSE),0)+IFERROR(VLOOKUP(AO680,Listes!$Y$3:$Z$5,2,FALSE),0))</f>
        <v/>
      </c>
      <c r="R680" s="12" t="n"/>
      <c r="S680" s="12" t="n"/>
      <c r="T680" s="12" t="n"/>
      <c r="U680" s="15" t="n"/>
      <c r="V680" s="15" t="n"/>
      <c r="W680" s="13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3" t="n"/>
      <c r="AK680" s="12" t="n"/>
      <c r="AL680" s="12" t="n"/>
      <c r="AM680" s="12" t="n"/>
      <c r="AN680" s="12" t="n"/>
      <c r="AO680" s="12" t="n"/>
      <c r="AP680" s="12" t="n"/>
      <c r="AQ680" s="7">
        <f>IF(A680="","",IF(AP680&lt;&gt;"",AP680,IF(LEFT(Z680,11)="gads_marque","Google Search – Marque",IF(LEFT(Z680,12)="gads_mariage","Google Search – Mariage et privé",IF(LEFT(Z680,10)="gads_corpo","Google Search – Corporatif",IF(LEFT(Z680,5)="meta_","Meta – Leads",IF(LEFT(Z680,5)="msft_","Microsoft Ads",IF(LEFT(Z680,8)="chatgpt_","ChatGPT Ads – Test",IF(X680="gbp","Fiche Google (organique)","Autre / non payé")))))))))</f>
        <v/>
      </c>
      <c r="AR680" s="7">
        <f>IF(K680="","",IFERROR(VLOOKUP(K680,Listes!$F$3:$H$8,3,FALSE),""))</f>
        <v/>
      </c>
      <c r="AS680" s="7">
        <f>IF(O680="","",IF(AND(M680="Autre (plus de 40 km)",OR(O680="lt600",O680="600_999",O680="1000_2499")),"D",IF(OR(O680="lt600",AND(O680="600_999",K680&lt;&gt;"mariage",K680&lt;&gt;"prive")),"C",IF(OR(O680="2500_4999",O680="5000p",J680="entreprise",J680="organisme",J680="agence"),"A",IF(OR(O680="1000_2499",O680="600_999"),"B",IF(O680="inconnu",IF(OR(N680="75_149",N680="150p"),"A","B"),""))))))</f>
        <v/>
      </c>
      <c r="AT680" s="7">
        <f>IF(A680="","",IF(P680&lt;&gt;"",P680,AS680))</f>
        <v/>
      </c>
      <c r="AU680" s="7">
        <f>IF(A680="","",IF(OR(AT680="A",AT680="B"),1,0))</f>
        <v/>
      </c>
      <c r="AV680" s="7">
        <f>IF(A680="","",IF(OR(R680="Dépôt payé (gagné)",R680="Événement livré",R680="Avis obtenu"),1,0))</f>
        <v/>
      </c>
      <c r="AW680" s="7">
        <f>IF(A680="","",IF(Q680&gt;70,"Immédiat – propriétaire",IF(Q680&gt;=40,"15 min – personne de garde","Selon la route")))</f>
        <v/>
      </c>
      <c r="AX680" s="11">
        <f>IF(A680="","",IF(AT680="A",400,IF(AT680="B",150,0)))</f>
        <v/>
      </c>
      <c r="AY680" s="11">
        <f>IF(A680="","",IF(AV680=1,N(V680),IF(N(U680)&gt;0,ROUND(N(U680)*IFERROR(VLOOKUP(R680,Listes!$AE$3:$AG$12,2,FALSE),0),0),0)))</f>
        <v/>
      </c>
      <c r="AZ680" s="7">
        <f>IF(LEFT(A680,7)="EXEMPLE",1,0)</f>
        <v/>
      </c>
      <c r="BA680" s="7">
        <f>IF(AND(AV680=1,AZ680=0,AC680&lt;&gt;"",W680&lt;&gt;"",N(V680)&gt;0),COUNTIFS($AV$3:AV680,1,$AZ$3:AZ680,0,$AC$3:AC680,"&lt;&gt;",$W$3:W680,"&lt;&gt;",$V$3:V680,"&gt;0"),"")</f>
        <v/>
      </c>
    </row>
    <row r="681">
      <c r="A681" s="12" t="n"/>
      <c r="B681" s="13" t="n"/>
      <c r="C681" s="13" t="n"/>
      <c r="D681" s="7">
        <f>IF(OR(B681="",C681=""),"",ROUND((C681-B681)*1440,0))</f>
        <v/>
      </c>
      <c r="E681" s="12" t="n"/>
      <c r="F681" s="12" t="n"/>
      <c r="G681" s="12" t="n"/>
      <c r="H681" s="12" t="n"/>
      <c r="I681" s="12" t="n"/>
      <c r="J681" s="12" t="n"/>
      <c r="K681" s="12" t="n"/>
      <c r="L681" s="14" t="n"/>
      <c r="M681" s="12" t="n"/>
      <c r="N681" s="12" t="n"/>
      <c r="O681" s="12" t="n"/>
      <c r="P681" s="12" t="n"/>
      <c r="Q681" s="7">
        <f>IF(A681="","",IFERROR(VLOOKUP(O681,Listes!$R$3:$T$8,2,FALSE),0)+IFERROR(VLOOKUP(J681,Listes!$J$3:$L$6,2,FALSE),0)+IFERROR(VLOOKUP(N681,Listes!$N$3:$P$6,2,FALSE),0)+IF(OR(L681="",B681=""),0,IF(L681-INT(B681)&lt;10,8,IF(L681-INT(B681)&lt;=90,10,5)))+IFERROR(VLOOKUP(AN681,Listes!$V$3:$W$5,2,FALSE),0)+IFERROR(VLOOKUP(AO681,Listes!$Y$3:$Z$5,2,FALSE),0))</f>
        <v/>
      </c>
      <c r="R681" s="12" t="n"/>
      <c r="S681" s="12" t="n"/>
      <c r="T681" s="12" t="n"/>
      <c r="U681" s="15" t="n"/>
      <c r="V681" s="15" t="n"/>
      <c r="W681" s="13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3" t="n"/>
      <c r="AK681" s="12" t="n"/>
      <c r="AL681" s="12" t="n"/>
      <c r="AM681" s="12" t="n"/>
      <c r="AN681" s="12" t="n"/>
      <c r="AO681" s="12" t="n"/>
      <c r="AP681" s="12" t="n"/>
      <c r="AQ681" s="7">
        <f>IF(A681="","",IF(AP681&lt;&gt;"",AP681,IF(LEFT(Z681,11)="gads_marque","Google Search – Marque",IF(LEFT(Z681,12)="gads_mariage","Google Search – Mariage et privé",IF(LEFT(Z681,10)="gads_corpo","Google Search – Corporatif",IF(LEFT(Z681,5)="meta_","Meta – Leads",IF(LEFT(Z681,5)="msft_","Microsoft Ads",IF(LEFT(Z681,8)="chatgpt_","ChatGPT Ads – Test",IF(X681="gbp","Fiche Google (organique)","Autre / non payé")))))))))</f>
        <v/>
      </c>
      <c r="AR681" s="7">
        <f>IF(K681="","",IFERROR(VLOOKUP(K681,Listes!$F$3:$H$8,3,FALSE),""))</f>
        <v/>
      </c>
      <c r="AS681" s="7">
        <f>IF(O681="","",IF(AND(M681="Autre (plus de 40 km)",OR(O681="lt600",O681="600_999",O681="1000_2499")),"D",IF(OR(O681="lt600",AND(O681="600_999",K681&lt;&gt;"mariage",K681&lt;&gt;"prive")),"C",IF(OR(O681="2500_4999",O681="5000p",J681="entreprise",J681="organisme",J681="agence"),"A",IF(OR(O681="1000_2499",O681="600_999"),"B",IF(O681="inconnu",IF(OR(N681="75_149",N681="150p"),"A","B"),""))))))</f>
        <v/>
      </c>
      <c r="AT681" s="7">
        <f>IF(A681="","",IF(P681&lt;&gt;"",P681,AS681))</f>
        <v/>
      </c>
      <c r="AU681" s="7">
        <f>IF(A681="","",IF(OR(AT681="A",AT681="B"),1,0))</f>
        <v/>
      </c>
      <c r="AV681" s="7">
        <f>IF(A681="","",IF(OR(R681="Dépôt payé (gagné)",R681="Événement livré",R681="Avis obtenu"),1,0))</f>
        <v/>
      </c>
      <c r="AW681" s="7">
        <f>IF(A681="","",IF(Q681&gt;70,"Immédiat – propriétaire",IF(Q681&gt;=40,"15 min – personne de garde","Selon la route")))</f>
        <v/>
      </c>
      <c r="AX681" s="11">
        <f>IF(A681="","",IF(AT681="A",400,IF(AT681="B",150,0)))</f>
        <v/>
      </c>
      <c r="AY681" s="11">
        <f>IF(A681="","",IF(AV681=1,N(V681),IF(N(U681)&gt;0,ROUND(N(U681)*IFERROR(VLOOKUP(R681,Listes!$AE$3:$AG$12,2,FALSE),0),0),0)))</f>
        <v/>
      </c>
      <c r="AZ681" s="7">
        <f>IF(LEFT(A681,7)="EXEMPLE",1,0)</f>
        <v/>
      </c>
      <c r="BA681" s="7">
        <f>IF(AND(AV681=1,AZ681=0,AC681&lt;&gt;"",W681&lt;&gt;"",N(V681)&gt;0),COUNTIFS($AV$3:AV681,1,$AZ$3:AZ681,0,$AC$3:AC681,"&lt;&gt;",$W$3:W681,"&lt;&gt;",$V$3:V681,"&gt;0"),"")</f>
        <v/>
      </c>
    </row>
    <row r="682">
      <c r="A682" s="12" t="n"/>
      <c r="B682" s="13" t="n"/>
      <c r="C682" s="13" t="n"/>
      <c r="D682" s="7">
        <f>IF(OR(B682="",C682=""),"",ROUND((C682-B682)*1440,0))</f>
        <v/>
      </c>
      <c r="E682" s="12" t="n"/>
      <c r="F682" s="12" t="n"/>
      <c r="G682" s="12" t="n"/>
      <c r="H682" s="12" t="n"/>
      <c r="I682" s="12" t="n"/>
      <c r="J682" s="12" t="n"/>
      <c r="K682" s="12" t="n"/>
      <c r="L682" s="14" t="n"/>
      <c r="M682" s="12" t="n"/>
      <c r="N682" s="12" t="n"/>
      <c r="O682" s="12" t="n"/>
      <c r="P682" s="12" t="n"/>
      <c r="Q682" s="7">
        <f>IF(A682="","",IFERROR(VLOOKUP(O682,Listes!$R$3:$T$8,2,FALSE),0)+IFERROR(VLOOKUP(J682,Listes!$J$3:$L$6,2,FALSE),0)+IFERROR(VLOOKUP(N682,Listes!$N$3:$P$6,2,FALSE),0)+IF(OR(L682="",B682=""),0,IF(L682-INT(B682)&lt;10,8,IF(L682-INT(B682)&lt;=90,10,5)))+IFERROR(VLOOKUP(AN682,Listes!$V$3:$W$5,2,FALSE),0)+IFERROR(VLOOKUP(AO682,Listes!$Y$3:$Z$5,2,FALSE),0))</f>
        <v/>
      </c>
      <c r="R682" s="12" t="n"/>
      <c r="S682" s="12" t="n"/>
      <c r="T682" s="12" t="n"/>
      <c r="U682" s="15" t="n"/>
      <c r="V682" s="15" t="n"/>
      <c r="W682" s="13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3" t="n"/>
      <c r="AK682" s="12" t="n"/>
      <c r="AL682" s="12" t="n"/>
      <c r="AM682" s="12" t="n"/>
      <c r="AN682" s="12" t="n"/>
      <c r="AO682" s="12" t="n"/>
      <c r="AP682" s="12" t="n"/>
      <c r="AQ682" s="7">
        <f>IF(A682="","",IF(AP682&lt;&gt;"",AP682,IF(LEFT(Z682,11)="gads_marque","Google Search – Marque",IF(LEFT(Z682,12)="gads_mariage","Google Search – Mariage et privé",IF(LEFT(Z682,10)="gads_corpo","Google Search – Corporatif",IF(LEFT(Z682,5)="meta_","Meta – Leads",IF(LEFT(Z682,5)="msft_","Microsoft Ads",IF(LEFT(Z682,8)="chatgpt_","ChatGPT Ads – Test",IF(X682="gbp","Fiche Google (organique)","Autre / non payé")))))))))</f>
        <v/>
      </c>
      <c r="AR682" s="7">
        <f>IF(K682="","",IFERROR(VLOOKUP(K682,Listes!$F$3:$H$8,3,FALSE),""))</f>
        <v/>
      </c>
      <c r="AS682" s="7">
        <f>IF(O682="","",IF(AND(M682="Autre (plus de 40 km)",OR(O682="lt600",O682="600_999",O682="1000_2499")),"D",IF(OR(O682="lt600",AND(O682="600_999",K682&lt;&gt;"mariage",K682&lt;&gt;"prive")),"C",IF(OR(O682="2500_4999",O682="5000p",J682="entreprise",J682="organisme",J682="agence"),"A",IF(OR(O682="1000_2499",O682="600_999"),"B",IF(O682="inconnu",IF(OR(N682="75_149",N682="150p"),"A","B"),""))))))</f>
        <v/>
      </c>
      <c r="AT682" s="7">
        <f>IF(A682="","",IF(P682&lt;&gt;"",P682,AS682))</f>
        <v/>
      </c>
      <c r="AU682" s="7">
        <f>IF(A682="","",IF(OR(AT682="A",AT682="B"),1,0))</f>
        <v/>
      </c>
      <c r="AV682" s="7">
        <f>IF(A682="","",IF(OR(R682="Dépôt payé (gagné)",R682="Événement livré",R682="Avis obtenu"),1,0))</f>
        <v/>
      </c>
      <c r="AW682" s="7">
        <f>IF(A682="","",IF(Q682&gt;70,"Immédiat – propriétaire",IF(Q682&gt;=40,"15 min – personne de garde","Selon la route")))</f>
        <v/>
      </c>
      <c r="AX682" s="11">
        <f>IF(A682="","",IF(AT682="A",400,IF(AT682="B",150,0)))</f>
        <v/>
      </c>
      <c r="AY682" s="11">
        <f>IF(A682="","",IF(AV682=1,N(V682),IF(N(U682)&gt;0,ROUND(N(U682)*IFERROR(VLOOKUP(R682,Listes!$AE$3:$AG$12,2,FALSE),0),0),0)))</f>
        <v/>
      </c>
      <c r="AZ682" s="7">
        <f>IF(LEFT(A682,7)="EXEMPLE",1,0)</f>
        <v/>
      </c>
      <c r="BA682" s="7">
        <f>IF(AND(AV682=1,AZ682=0,AC682&lt;&gt;"",W682&lt;&gt;"",N(V682)&gt;0),COUNTIFS($AV$3:AV682,1,$AZ$3:AZ682,0,$AC$3:AC682,"&lt;&gt;",$W$3:W682,"&lt;&gt;",$V$3:V682,"&gt;0"),"")</f>
        <v/>
      </c>
    </row>
    <row r="683">
      <c r="A683" s="12" t="n"/>
      <c r="B683" s="13" t="n"/>
      <c r="C683" s="13" t="n"/>
      <c r="D683" s="7">
        <f>IF(OR(B683="",C683=""),"",ROUND((C683-B683)*1440,0))</f>
        <v/>
      </c>
      <c r="E683" s="12" t="n"/>
      <c r="F683" s="12" t="n"/>
      <c r="G683" s="12" t="n"/>
      <c r="H683" s="12" t="n"/>
      <c r="I683" s="12" t="n"/>
      <c r="J683" s="12" t="n"/>
      <c r="K683" s="12" t="n"/>
      <c r="L683" s="14" t="n"/>
      <c r="M683" s="12" t="n"/>
      <c r="N683" s="12" t="n"/>
      <c r="O683" s="12" t="n"/>
      <c r="P683" s="12" t="n"/>
      <c r="Q683" s="7">
        <f>IF(A683="","",IFERROR(VLOOKUP(O683,Listes!$R$3:$T$8,2,FALSE),0)+IFERROR(VLOOKUP(J683,Listes!$J$3:$L$6,2,FALSE),0)+IFERROR(VLOOKUP(N683,Listes!$N$3:$P$6,2,FALSE),0)+IF(OR(L683="",B683=""),0,IF(L683-INT(B683)&lt;10,8,IF(L683-INT(B683)&lt;=90,10,5)))+IFERROR(VLOOKUP(AN683,Listes!$V$3:$W$5,2,FALSE),0)+IFERROR(VLOOKUP(AO683,Listes!$Y$3:$Z$5,2,FALSE),0))</f>
        <v/>
      </c>
      <c r="R683" s="12" t="n"/>
      <c r="S683" s="12" t="n"/>
      <c r="T683" s="12" t="n"/>
      <c r="U683" s="15" t="n"/>
      <c r="V683" s="15" t="n"/>
      <c r="W683" s="13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3" t="n"/>
      <c r="AK683" s="12" t="n"/>
      <c r="AL683" s="12" t="n"/>
      <c r="AM683" s="12" t="n"/>
      <c r="AN683" s="12" t="n"/>
      <c r="AO683" s="12" t="n"/>
      <c r="AP683" s="12" t="n"/>
      <c r="AQ683" s="7">
        <f>IF(A683="","",IF(AP683&lt;&gt;"",AP683,IF(LEFT(Z683,11)="gads_marque","Google Search – Marque",IF(LEFT(Z683,12)="gads_mariage","Google Search – Mariage et privé",IF(LEFT(Z683,10)="gads_corpo","Google Search – Corporatif",IF(LEFT(Z683,5)="meta_","Meta – Leads",IF(LEFT(Z683,5)="msft_","Microsoft Ads",IF(LEFT(Z683,8)="chatgpt_","ChatGPT Ads – Test",IF(X683="gbp","Fiche Google (organique)","Autre / non payé")))))))))</f>
        <v/>
      </c>
      <c r="AR683" s="7">
        <f>IF(K683="","",IFERROR(VLOOKUP(K683,Listes!$F$3:$H$8,3,FALSE),""))</f>
        <v/>
      </c>
      <c r="AS683" s="7">
        <f>IF(O683="","",IF(AND(M683="Autre (plus de 40 km)",OR(O683="lt600",O683="600_999",O683="1000_2499")),"D",IF(OR(O683="lt600",AND(O683="600_999",K683&lt;&gt;"mariage",K683&lt;&gt;"prive")),"C",IF(OR(O683="2500_4999",O683="5000p",J683="entreprise",J683="organisme",J683="agence"),"A",IF(OR(O683="1000_2499",O683="600_999"),"B",IF(O683="inconnu",IF(OR(N683="75_149",N683="150p"),"A","B"),""))))))</f>
        <v/>
      </c>
      <c r="AT683" s="7">
        <f>IF(A683="","",IF(P683&lt;&gt;"",P683,AS683))</f>
        <v/>
      </c>
      <c r="AU683" s="7">
        <f>IF(A683="","",IF(OR(AT683="A",AT683="B"),1,0))</f>
        <v/>
      </c>
      <c r="AV683" s="7">
        <f>IF(A683="","",IF(OR(R683="Dépôt payé (gagné)",R683="Événement livré",R683="Avis obtenu"),1,0))</f>
        <v/>
      </c>
      <c r="AW683" s="7">
        <f>IF(A683="","",IF(Q683&gt;70,"Immédiat – propriétaire",IF(Q683&gt;=40,"15 min – personne de garde","Selon la route")))</f>
        <v/>
      </c>
      <c r="AX683" s="11">
        <f>IF(A683="","",IF(AT683="A",400,IF(AT683="B",150,0)))</f>
        <v/>
      </c>
      <c r="AY683" s="11">
        <f>IF(A683="","",IF(AV683=1,N(V683),IF(N(U683)&gt;0,ROUND(N(U683)*IFERROR(VLOOKUP(R683,Listes!$AE$3:$AG$12,2,FALSE),0),0),0)))</f>
        <v/>
      </c>
      <c r="AZ683" s="7">
        <f>IF(LEFT(A683,7)="EXEMPLE",1,0)</f>
        <v/>
      </c>
      <c r="BA683" s="7">
        <f>IF(AND(AV683=1,AZ683=0,AC683&lt;&gt;"",W683&lt;&gt;"",N(V683)&gt;0),COUNTIFS($AV$3:AV683,1,$AZ$3:AZ683,0,$AC$3:AC683,"&lt;&gt;",$W$3:W683,"&lt;&gt;",$V$3:V683,"&gt;0"),"")</f>
        <v/>
      </c>
    </row>
    <row r="684">
      <c r="A684" s="12" t="n"/>
      <c r="B684" s="13" t="n"/>
      <c r="C684" s="13" t="n"/>
      <c r="D684" s="7">
        <f>IF(OR(B684="",C684=""),"",ROUND((C684-B684)*1440,0))</f>
        <v/>
      </c>
      <c r="E684" s="12" t="n"/>
      <c r="F684" s="12" t="n"/>
      <c r="G684" s="12" t="n"/>
      <c r="H684" s="12" t="n"/>
      <c r="I684" s="12" t="n"/>
      <c r="J684" s="12" t="n"/>
      <c r="K684" s="12" t="n"/>
      <c r="L684" s="14" t="n"/>
      <c r="M684" s="12" t="n"/>
      <c r="N684" s="12" t="n"/>
      <c r="O684" s="12" t="n"/>
      <c r="P684" s="12" t="n"/>
      <c r="Q684" s="7">
        <f>IF(A684="","",IFERROR(VLOOKUP(O684,Listes!$R$3:$T$8,2,FALSE),0)+IFERROR(VLOOKUP(J684,Listes!$J$3:$L$6,2,FALSE),0)+IFERROR(VLOOKUP(N684,Listes!$N$3:$P$6,2,FALSE),0)+IF(OR(L684="",B684=""),0,IF(L684-INT(B684)&lt;10,8,IF(L684-INT(B684)&lt;=90,10,5)))+IFERROR(VLOOKUP(AN684,Listes!$V$3:$W$5,2,FALSE),0)+IFERROR(VLOOKUP(AO684,Listes!$Y$3:$Z$5,2,FALSE),0))</f>
        <v/>
      </c>
      <c r="R684" s="12" t="n"/>
      <c r="S684" s="12" t="n"/>
      <c r="T684" s="12" t="n"/>
      <c r="U684" s="15" t="n"/>
      <c r="V684" s="15" t="n"/>
      <c r="W684" s="13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3" t="n"/>
      <c r="AK684" s="12" t="n"/>
      <c r="AL684" s="12" t="n"/>
      <c r="AM684" s="12" t="n"/>
      <c r="AN684" s="12" t="n"/>
      <c r="AO684" s="12" t="n"/>
      <c r="AP684" s="12" t="n"/>
      <c r="AQ684" s="7">
        <f>IF(A684="","",IF(AP684&lt;&gt;"",AP684,IF(LEFT(Z684,11)="gads_marque","Google Search – Marque",IF(LEFT(Z684,12)="gads_mariage","Google Search – Mariage et privé",IF(LEFT(Z684,10)="gads_corpo","Google Search – Corporatif",IF(LEFT(Z684,5)="meta_","Meta – Leads",IF(LEFT(Z684,5)="msft_","Microsoft Ads",IF(LEFT(Z684,8)="chatgpt_","ChatGPT Ads – Test",IF(X684="gbp","Fiche Google (organique)","Autre / non payé")))))))))</f>
        <v/>
      </c>
      <c r="AR684" s="7">
        <f>IF(K684="","",IFERROR(VLOOKUP(K684,Listes!$F$3:$H$8,3,FALSE),""))</f>
        <v/>
      </c>
      <c r="AS684" s="7">
        <f>IF(O684="","",IF(AND(M684="Autre (plus de 40 km)",OR(O684="lt600",O684="600_999",O684="1000_2499")),"D",IF(OR(O684="lt600",AND(O684="600_999",K684&lt;&gt;"mariage",K684&lt;&gt;"prive")),"C",IF(OR(O684="2500_4999",O684="5000p",J684="entreprise",J684="organisme",J684="agence"),"A",IF(OR(O684="1000_2499",O684="600_999"),"B",IF(O684="inconnu",IF(OR(N684="75_149",N684="150p"),"A","B"),""))))))</f>
        <v/>
      </c>
      <c r="AT684" s="7">
        <f>IF(A684="","",IF(P684&lt;&gt;"",P684,AS684))</f>
        <v/>
      </c>
      <c r="AU684" s="7">
        <f>IF(A684="","",IF(OR(AT684="A",AT684="B"),1,0))</f>
        <v/>
      </c>
      <c r="AV684" s="7">
        <f>IF(A684="","",IF(OR(R684="Dépôt payé (gagné)",R684="Événement livré",R684="Avis obtenu"),1,0))</f>
        <v/>
      </c>
      <c r="AW684" s="7">
        <f>IF(A684="","",IF(Q684&gt;70,"Immédiat – propriétaire",IF(Q684&gt;=40,"15 min – personne de garde","Selon la route")))</f>
        <v/>
      </c>
      <c r="AX684" s="11">
        <f>IF(A684="","",IF(AT684="A",400,IF(AT684="B",150,0)))</f>
        <v/>
      </c>
      <c r="AY684" s="11">
        <f>IF(A684="","",IF(AV684=1,N(V684),IF(N(U684)&gt;0,ROUND(N(U684)*IFERROR(VLOOKUP(R684,Listes!$AE$3:$AG$12,2,FALSE),0),0),0)))</f>
        <v/>
      </c>
      <c r="AZ684" s="7">
        <f>IF(LEFT(A684,7)="EXEMPLE",1,0)</f>
        <v/>
      </c>
      <c r="BA684" s="7">
        <f>IF(AND(AV684=1,AZ684=0,AC684&lt;&gt;"",W684&lt;&gt;"",N(V684)&gt;0),COUNTIFS($AV$3:AV684,1,$AZ$3:AZ684,0,$AC$3:AC684,"&lt;&gt;",$W$3:W684,"&lt;&gt;",$V$3:V684,"&gt;0"),"")</f>
        <v/>
      </c>
    </row>
    <row r="685">
      <c r="A685" s="12" t="n"/>
      <c r="B685" s="13" t="n"/>
      <c r="C685" s="13" t="n"/>
      <c r="D685" s="7">
        <f>IF(OR(B685="",C685=""),"",ROUND((C685-B685)*1440,0))</f>
        <v/>
      </c>
      <c r="E685" s="12" t="n"/>
      <c r="F685" s="12" t="n"/>
      <c r="G685" s="12" t="n"/>
      <c r="H685" s="12" t="n"/>
      <c r="I685" s="12" t="n"/>
      <c r="J685" s="12" t="n"/>
      <c r="K685" s="12" t="n"/>
      <c r="L685" s="14" t="n"/>
      <c r="M685" s="12" t="n"/>
      <c r="N685" s="12" t="n"/>
      <c r="O685" s="12" t="n"/>
      <c r="P685" s="12" t="n"/>
      <c r="Q685" s="7">
        <f>IF(A685="","",IFERROR(VLOOKUP(O685,Listes!$R$3:$T$8,2,FALSE),0)+IFERROR(VLOOKUP(J685,Listes!$J$3:$L$6,2,FALSE),0)+IFERROR(VLOOKUP(N685,Listes!$N$3:$P$6,2,FALSE),0)+IF(OR(L685="",B685=""),0,IF(L685-INT(B685)&lt;10,8,IF(L685-INT(B685)&lt;=90,10,5)))+IFERROR(VLOOKUP(AN685,Listes!$V$3:$W$5,2,FALSE),0)+IFERROR(VLOOKUP(AO685,Listes!$Y$3:$Z$5,2,FALSE),0))</f>
        <v/>
      </c>
      <c r="R685" s="12" t="n"/>
      <c r="S685" s="12" t="n"/>
      <c r="T685" s="12" t="n"/>
      <c r="U685" s="15" t="n"/>
      <c r="V685" s="15" t="n"/>
      <c r="W685" s="13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3" t="n"/>
      <c r="AK685" s="12" t="n"/>
      <c r="AL685" s="12" t="n"/>
      <c r="AM685" s="12" t="n"/>
      <c r="AN685" s="12" t="n"/>
      <c r="AO685" s="12" t="n"/>
      <c r="AP685" s="12" t="n"/>
      <c r="AQ685" s="7">
        <f>IF(A685="","",IF(AP685&lt;&gt;"",AP685,IF(LEFT(Z685,11)="gads_marque","Google Search – Marque",IF(LEFT(Z685,12)="gads_mariage","Google Search – Mariage et privé",IF(LEFT(Z685,10)="gads_corpo","Google Search – Corporatif",IF(LEFT(Z685,5)="meta_","Meta – Leads",IF(LEFT(Z685,5)="msft_","Microsoft Ads",IF(LEFT(Z685,8)="chatgpt_","ChatGPT Ads – Test",IF(X685="gbp","Fiche Google (organique)","Autre / non payé")))))))))</f>
        <v/>
      </c>
      <c r="AR685" s="7">
        <f>IF(K685="","",IFERROR(VLOOKUP(K685,Listes!$F$3:$H$8,3,FALSE),""))</f>
        <v/>
      </c>
      <c r="AS685" s="7">
        <f>IF(O685="","",IF(AND(M685="Autre (plus de 40 km)",OR(O685="lt600",O685="600_999",O685="1000_2499")),"D",IF(OR(O685="lt600",AND(O685="600_999",K685&lt;&gt;"mariage",K685&lt;&gt;"prive")),"C",IF(OR(O685="2500_4999",O685="5000p",J685="entreprise",J685="organisme",J685="agence"),"A",IF(OR(O685="1000_2499",O685="600_999"),"B",IF(O685="inconnu",IF(OR(N685="75_149",N685="150p"),"A","B"),""))))))</f>
        <v/>
      </c>
      <c r="AT685" s="7">
        <f>IF(A685="","",IF(P685&lt;&gt;"",P685,AS685))</f>
        <v/>
      </c>
      <c r="AU685" s="7">
        <f>IF(A685="","",IF(OR(AT685="A",AT685="B"),1,0))</f>
        <v/>
      </c>
      <c r="AV685" s="7">
        <f>IF(A685="","",IF(OR(R685="Dépôt payé (gagné)",R685="Événement livré",R685="Avis obtenu"),1,0))</f>
        <v/>
      </c>
      <c r="AW685" s="7">
        <f>IF(A685="","",IF(Q685&gt;70,"Immédiat – propriétaire",IF(Q685&gt;=40,"15 min – personne de garde","Selon la route")))</f>
        <v/>
      </c>
      <c r="AX685" s="11">
        <f>IF(A685="","",IF(AT685="A",400,IF(AT685="B",150,0)))</f>
        <v/>
      </c>
      <c r="AY685" s="11">
        <f>IF(A685="","",IF(AV685=1,N(V685),IF(N(U685)&gt;0,ROUND(N(U685)*IFERROR(VLOOKUP(R685,Listes!$AE$3:$AG$12,2,FALSE),0),0),0)))</f>
        <v/>
      </c>
      <c r="AZ685" s="7">
        <f>IF(LEFT(A685,7)="EXEMPLE",1,0)</f>
        <v/>
      </c>
      <c r="BA685" s="7">
        <f>IF(AND(AV685=1,AZ685=0,AC685&lt;&gt;"",W685&lt;&gt;"",N(V685)&gt;0),COUNTIFS($AV$3:AV685,1,$AZ$3:AZ685,0,$AC$3:AC685,"&lt;&gt;",$W$3:W685,"&lt;&gt;",$V$3:V685,"&gt;0"),"")</f>
        <v/>
      </c>
    </row>
    <row r="686">
      <c r="A686" s="12" t="n"/>
      <c r="B686" s="13" t="n"/>
      <c r="C686" s="13" t="n"/>
      <c r="D686" s="7">
        <f>IF(OR(B686="",C686=""),"",ROUND((C686-B686)*1440,0))</f>
        <v/>
      </c>
      <c r="E686" s="12" t="n"/>
      <c r="F686" s="12" t="n"/>
      <c r="G686" s="12" t="n"/>
      <c r="H686" s="12" t="n"/>
      <c r="I686" s="12" t="n"/>
      <c r="J686" s="12" t="n"/>
      <c r="K686" s="12" t="n"/>
      <c r="L686" s="14" t="n"/>
      <c r="M686" s="12" t="n"/>
      <c r="N686" s="12" t="n"/>
      <c r="O686" s="12" t="n"/>
      <c r="P686" s="12" t="n"/>
      <c r="Q686" s="7">
        <f>IF(A686="","",IFERROR(VLOOKUP(O686,Listes!$R$3:$T$8,2,FALSE),0)+IFERROR(VLOOKUP(J686,Listes!$J$3:$L$6,2,FALSE),0)+IFERROR(VLOOKUP(N686,Listes!$N$3:$P$6,2,FALSE),0)+IF(OR(L686="",B686=""),0,IF(L686-INT(B686)&lt;10,8,IF(L686-INT(B686)&lt;=90,10,5)))+IFERROR(VLOOKUP(AN686,Listes!$V$3:$W$5,2,FALSE),0)+IFERROR(VLOOKUP(AO686,Listes!$Y$3:$Z$5,2,FALSE),0))</f>
        <v/>
      </c>
      <c r="R686" s="12" t="n"/>
      <c r="S686" s="12" t="n"/>
      <c r="T686" s="12" t="n"/>
      <c r="U686" s="15" t="n"/>
      <c r="V686" s="15" t="n"/>
      <c r="W686" s="13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3" t="n"/>
      <c r="AK686" s="12" t="n"/>
      <c r="AL686" s="12" t="n"/>
      <c r="AM686" s="12" t="n"/>
      <c r="AN686" s="12" t="n"/>
      <c r="AO686" s="12" t="n"/>
      <c r="AP686" s="12" t="n"/>
      <c r="AQ686" s="7">
        <f>IF(A686="","",IF(AP686&lt;&gt;"",AP686,IF(LEFT(Z686,11)="gads_marque","Google Search – Marque",IF(LEFT(Z686,12)="gads_mariage","Google Search – Mariage et privé",IF(LEFT(Z686,10)="gads_corpo","Google Search – Corporatif",IF(LEFT(Z686,5)="meta_","Meta – Leads",IF(LEFT(Z686,5)="msft_","Microsoft Ads",IF(LEFT(Z686,8)="chatgpt_","ChatGPT Ads – Test",IF(X686="gbp","Fiche Google (organique)","Autre / non payé")))))))))</f>
        <v/>
      </c>
      <c r="AR686" s="7">
        <f>IF(K686="","",IFERROR(VLOOKUP(K686,Listes!$F$3:$H$8,3,FALSE),""))</f>
        <v/>
      </c>
      <c r="AS686" s="7">
        <f>IF(O686="","",IF(AND(M686="Autre (plus de 40 km)",OR(O686="lt600",O686="600_999",O686="1000_2499")),"D",IF(OR(O686="lt600",AND(O686="600_999",K686&lt;&gt;"mariage",K686&lt;&gt;"prive")),"C",IF(OR(O686="2500_4999",O686="5000p",J686="entreprise",J686="organisme",J686="agence"),"A",IF(OR(O686="1000_2499",O686="600_999"),"B",IF(O686="inconnu",IF(OR(N686="75_149",N686="150p"),"A","B"),""))))))</f>
        <v/>
      </c>
      <c r="AT686" s="7">
        <f>IF(A686="","",IF(P686&lt;&gt;"",P686,AS686))</f>
        <v/>
      </c>
      <c r="AU686" s="7">
        <f>IF(A686="","",IF(OR(AT686="A",AT686="B"),1,0))</f>
        <v/>
      </c>
      <c r="AV686" s="7">
        <f>IF(A686="","",IF(OR(R686="Dépôt payé (gagné)",R686="Événement livré",R686="Avis obtenu"),1,0))</f>
        <v/>
      </c>
      <c r="AW686" s="7">
        <f>IF(A686="","",IF(Q686&gt;70,"Immédiat – propriétaire",IF(Q686&gt;=40,"15 min – personne de garde","Selon la route")))</f>
        <v/>
      </c>
      <c r="AX686" s="11">
        <f>IF(A686="","",IF(AT686="A",400,IF(AT686="B",150,0)))</f>
        <v/>
      </c>
      <c r="AY686" s="11">
        <f>IF(A686="","",IF(AV686=1,N(V686),IF(N(U686)&gt;0,ROUND(N(U686)*IFERROR(VLOOKUP(R686,Listes!$AE$3:$AG$12,2,FALSE),0),0),0)))</f>
        <v/>
      </c>
      <c r="AZ686" s="7">
        <f>IF(LEFT(A686,7)="EXEMPLE",1,0)</f>
        <v/>
      </c>
      <c r="BA686" s="7">
        <f>IF(AND(AV686=1,AZ686=0,AC686&lt;&gt;"",W686&lt;&gt;"",N(V686)&gt;0),COUNTIFS($AV$3:AV686,1,$AZ$3:AZ686,0,$AC$3:AC686,"&lt;&gt;",$W$3:W686,"&lt;&gt;",$V$3:V686,"&gt;0"),"")</f>
        <v/>
      </c>
    </row>
    <row r="687">
      <c r="A687" s="12" t="n"/>
      <c r="B687" s="13" t="n"/>
      <c r="C687" s="13" t="n"/>
      <c r="D687" s="7">
        <f>IF(OR(B687="",C687=""),"",ROUND((C687-B687)*1440,0))</f>
        <v/>
      </c>
      <c r="E687" s="12" t="n"/>
      <c r="F687" s="12" t="n"/>
      <c r="G687" s="12" t="n"/>
      <c r="H687" s="12" t="n"/>
      <c r="I687" s="12" t="n"/>
      <c r="J687" s="12" t="n"/>
      <c r="K687" s="12" t="n"/>
      <c r="L687" s="14" t="n"/>
      <c r="M687" s="12" t="n"/>
      <c r="N687" s="12" t="n"/>
      <c r="O687" s="12" t="n"/>
      <c r="P687" s="12" t="n"/>
      <c r="Q687" s="7">
        <f>IF(A687="","",IFERROR(VLOOKUP(O687,Listes!$R$3:$T$8,2,FALSE),0)+IFERROR(VLOOKUP(J687,Listes!$J$3:$L$6,2,FALSE),0)+IFERROR(VLOOKUP(N687,Listes!$N$3:$P$6,2,FALSE),0)+IF(OR(L687="",B687=""),0,IF(L687-INT(B687)&lt;10,8,IF(L687-INT(B687)&lt;=90,10,5)))+IFERROR(VLOOKUP(AN687,Listes!$V$3:$W$5,2,FALSE),0)+IFERROR(VLOOKUP(AO687,Listes!$Y$3:$Z$5,2,FALSE),0))</f>
        <v/>
      </c>
      <c r="R687" s="12" t="n"/>
      <c r="S687" s="12" t="n"/>
      <c r="T687" s="12" t="n"/>
      <c r="U687" s="15" t="n"/>
      <c r="V687" s="15" t="n"/>
      <c r="W687" s="13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3" t="n"/>
      <c r="AK687" s="12" t="n"/>
      <c r="AL687" s="12" t="n"/>
      <c r="AM687" s="12" t="n"/>
      <c r="AN687" s="12" t="n"/>
      <c r="AO687" s="12" t="n"/>
      <c r="AP687" s="12" t="n"/>
      <c r="AQ687" s="7">
        <f>IF(A687="","",IF(AP687&lt;&gt;"",AP687,IF(LEFT(Z687,11)="gads_marque","Google Search – Marque",IF(LEFT(Z687,12)="gads_mariage","Google Search – Mariage et privé",IF(LEFT(Z687,10)="gads_corpo","Google Search – Corporatif",IF(LEFT(Z687,5)="meta_","Meta – Leads",IF(LEFT(Z687,5)="msft_","Microsoft Ads",IF(LEFT(Z687,8)="chatgpt_","ChatGPT Ads – Test",IF(X687="gbp","Fiche Google (organique)","Autre / non payé")))))))))</f>
        <v/>
      </c>
      <c r="AR687" s="7">
        <f>IF(K687="","",IFERROR(VLOOKUP(K687,Listes!$F$3:$H$8,3,FALSE),""))</f>
        <v/>
      </c>
      <c r="AS687" s="7">
        <f>IF(O687="","",IF(AND(M687="Autre (plus de 40 km)",OR(O687="lt600",O687="600_999",O687="1000_2499")),"D",IF(OR(O687="lt600",AND(O687="600_999",K687&lt;&gt;"mariage",K687&lt;&gt;"prive")),"C",IF(OR(O687="2500_4999",O687="5000p",J687="entreprise",J687="organisme",J687="agence"),"A",IF(OR(O687="1000_2499",O687="600_999"),"B",IF(O687="inconnu",IF(OR(N687="75_149",N687="150p"),"A","B"),""))))))</f>
        <v/>
      </c>
      <c r="AT687" s="7">
        <f>IF(A687="","",IF(P687&lt;&gt;"",P687,AS687))</f>
        <v/>
      </c>
      <c r="AU687" s="7">
        <f>IF(A687="","",IF(OR(AT687="A",AT687="B"),1,0))</f>
        <v/>
      </c>
      <c r="AV687" s="7">
        <f>IF(A687="","",IF(OR(R687="Dépôt payé (gagné)",R687="Événement livré",R687="Avis obtenu"),1,0))</f>
        <v/>
      </c>
      <c r="AW687" s="7">
        <f>IF(A687="","",IF(Q687&gt;70,"Immédiat – propriétaire",IF(Q687&gt;=40,"15 min – personne de garde","Selon la route")))</f>
        <v/>
      </c>
      <c r="AX687" s="11">
        <f>IF(A687="","",IF(AT687="A",400,IF(AT687="B",150,0)))</f>
        <v/>
      </c>
      <c r="AY687" s="11">
        <f>IF(A687="","",IF(AV687=1,N(V687),IF(N(U687)&gt;0,ROUND(N(U687)*IFERROR(VLOOKUP(R687,Listes!$AE$3:$AG$12,2,FALSE),0),0),0)))</f>
        <v/>
      </c>
      <c r="AZ687" s="7">
        <f>IF(LEFT(A687,7)="EXEMPLE",1,0)</f>
        <v/>
      </c>
      <c r="BA687" s="7">
        <f>IF(AND(AV687=1,AZ687=0,AC687&lt;&gt;"",W687&lt;&gt;"",N(V687)&gt;0),COUNTIFS($AV$3:AV687,1,$AZ$3:AZ687,0,$AC$3:AC687,"&lt;&gt;",$W$3:W687,"&lt;&gt;",$V$3:V687,"&gt;0"),"")</f>
        <v/>
      </c>
    </row>
    <row r="688">
      <c r="A688" s="12" t="n"/>
      <c r="B688" s="13" t="n"/>
      <c r="C688" s="13" t="n"/>
      <c r="D688" s="7">
        <f>IF(OR(B688="",C688=""),"",ROUND((C688-B688)*1440,0))</f>
        <v/>
      </c>
      <c r="E688" s="12" t="n"/>
      <c r="F688" s="12" t="n"/>
      <c r="G688" s="12" t="n"/>
      <c r="H688" s="12" t="n"/>
      <c r="I688" s="12" t="n"/>
      <c r="J688" s="12" t="n"/>
      <c r="K688" s="12" t="n"/>
      <c r="L688" s="14" t="n"/>
      <c r="M688" s="12" t="n"/>
      <c r="N688" s="12" t="n"/>
      <c r="O688" s="12" t="n"/>
      <c r="P688" s="12" t="n"/>
      <c r="Q688" s="7">
        <f>IF(A688="","",IFERROR(VLOOKUP(O688,Listes!$R$3:$T$8,2,FALSE),0)+IFERROR(VLOOKUP(J688,Listes!$J$3:$L$6,2,FALSE),0)+IFERROR(VLOOKUP(N688,Listes!$N$3:$P$6,2,FALSE),0)+IF(OR(L688="",B688=""),0,IF(L688-INT(B688)&lt;10,8,IF(L688-INT(B688)&lt;=90,10,5)))+IFERROR(VLOOKUP(AN688,Listes!$V$3:$W$5,2,FALSE),0)+IFERROR(VLOOKUP(AO688,Listes!$Y$3:$Z$5,2,FALSE),0))</f>
        <v/>
      </c>
      <c r="R688" s="12" t="n"/>
      <c r="S688" s="12" t="n"/>
      <c r="T688" s="12" t="n"/>
      <c r="U688" s="15" t="n"/>
      <c r="V688" s="15" t="n"/>
      <c r="W688" s="13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3" t="n"/>
      <c r="AK688" s="12" t="n"/>
      <c r="AL688" s="12" t="n"/>
      <c r="AM688" s="12" t="n"/>
      <c r="AN688" s="12" t="n"/>
      <c r="AO688" s="12" t="n"/>
      <c r="AP688" s="12" t="n"/>
      <c r="AQ688" s="7">
        <f>IF(A688="","",IF(AP688&lt;&gt;"",AP688,IF(LEFT(Z688,11)="gads_marque","Google Search – Marque",IF(LEFT(Z688,12)="gads_mariage","Google Search – Mariage et privé",IF(LEFT(Z688,10)="gads_corpo","Google Search – Corporatif",IF(LEFT(Z688,5)="meta_","Meta – Leads",IF(LEFT(Z688,5)="msft_","Microsoft Ads",IF(LEFT(Z688,8)="chatgpt_","ChatGPT Ads – Test",IF(X688="gbp","Fiche Google (organique)","Autre / non payé")))))))))</f>
        <v/>
      </c>
      <c r="AR688" s="7">
        <f>IF(K688="","",IFERROR(VLOOKUP(K688,Listes!$F$3:$H$8,3,FALSE),""))</f>
        <v/>
      </c>
      <c r="AS688" s="7">
        <f>IF(O688="","",IF(AND(M688="Autre (plus de 40 km)",OR(O688="lt600",O688="600_999",O688="1000_2499")),"D",IF(OR(O688="lt600",AND(O688="600_999",K688&lt;&gt;"mariage",K688&lt;&gt;"prive")),"C",IF(OR(O688="2500_4999",O688="5000p",J688="entreprise",J688="organisme",J688="agence"),"A",IF(OR(O688="1000_2499",O688="600_999"),"B",IF(O688="inconnu",IF(OR(N688="75_149",N688="150p"),"A","B"),""))))))</f>
        <v/>
      </c>
      <c r="AT688" s="7">
        <f>IF(A688="","",IF(P688&lt;&gt;"",P688,AS688))</f>
        <v/>
      </c>
      <c r="AU688" s="7">
        <f>IF(A688="","",IF(OR(AT688="A",AT688="B"),1,0))</f>
        <v/>
      </c>
      <c r="AV688" s="7">
        <f>IF(A688="","",IF(OR(R688="Dépôt payé (gagné)",R688="Événement livré",R688="Avis obtenu"),1,0))</f>
        <v/>
      </c>
      <c r="AW688" s="7">
        <f>IF(A688="","",IF(Q688&gt;70,"Immédiat – propriétaire",IF(Q688&gt;=40,"15 min – personne de garde","Selon la route")))</f>
        <v/>
      </c>
      <c r="AX688" s="11">
        <f>IF(A688="","",IF(AT688="A",400,IF(AT688="B",150,0)))</f>
        <v/>
      </c>
      <c r="AY688" s="11">
        <f>IF(A688="","",IF(AV688=1,N(V688),IF(N(U688)&gt;0,ROUND(N(U688)*IFERROR(VLOOKUP(R688,Listes!$AE$3:$AG$12,2,FALSE),0),0),0)))</f>
        <v/>
      </c>
      <c r="AZ688" s="7">
        <f>IF(LEFT(A688,7)="EXEMPLE",1,0)</f>
        <v/>
      </c>
      <c r="BA688" s="7">
        <f>IF(AND(AV688=1,AZ688=0,AC688&lt;&gt;"",W688&lt;&gt;"",N(V688)&gt;0),COUNTIFS($AV$3:AV688,1,$AZ$3:AZ688,0,$AC$3:AC688,"&lt;&gt;",$W$3:W688,"&lt;&gt;",$V$3:V688,"&gt;0"),"")</f>
        <v/>
      </c>
    </row>
    <row r="689">
      <c r="A689" s="12" t="n"/>
      <c r="B689" s="13" t="n"/>
      <c r="C689" s="13" t="n"/>
      <c r="D689" s="7">
        <f>IF(OR(B689="",C689=""),"",ROUND((C689-B689)*1440,0))</f>
        <v/>
      </c>
      <c r="E689" s="12" t="n"/>
      <c r="F689" s="12" t="n"/>
      <c r="G689" s="12" t="n"/>
      <c r="H689" s="12" t="n"/>
      <c r="I689" s="12" t="n"/>
      <c r="J689" s="12" t="n"/>
      <c r="K689" s="12" t="n"/>
      <c r="L689" s="14" t="n"/>
      <c r="M689" s="12" t="n"/>
      <c r="N689" s="12" t="n"/>
      <c r="O689" s="12" t="n"/>
      <c r="P689" s="12" t="n"/>
      <c r="Q689" s="7">
        <f>IF(A689="","",IFERROR(VLOOKUP(O689,Listes!$R$3:$T$8,2,FALSE),0)+IFERROR(VLOOKUP(J689,Listes!$J$3:$L$6,2,FALSE),0)+IFERROR(VLOOKUP(N689,Listes!$N$3:$P$6,2,FALSE),0)+IF(OR(L689="",B689=""),0,IF(L689-INT(B689)&lt;10,8,IF(L689-INT(B689)&lt;=90,10,5)))+IFERROR(VLOOKUP(AN689,Listes!$V$3:$W$5,2,FALSE),0)+IFERROR(VLOOKUP(AO689,Listes!$Y$3:$Z$5,2,FALSE),0))</f>
        <v/>
      </c>
      <c r="R689" s="12" t="n"/>
      <c r="S689" s="12" t="n"/>
      <c r="T689" s="12" t="n"/>
      <c r="U689" s="15" t="n"/>
      <c r="V689" s="15" t="n"/>
      <c r="W689" s="13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3" t="n"/>
      <c r="AK689" s="12" t="n"/>
      <c r="AL689" s="12" t="n"/>
      <c r="AM689" s="12" t="n"/>
      <c r="AN689" s="12" t="n"/>
      <c r="AO689" s="12" t="n"/>
      <c r="AP689" s="12" t="n"/>
      <c r="AQ689" s="7">
        <f>IF(A689="","",IF(AP689&lt;&gt;"",AP689,IF(LEFT(Z689,11)="gads_marque","Google Search – Marque",IF(LEFT(Z689,12)="gads_mariage","Google Search – Mariage et privé",IF(LEFT(Z689,10)="gads_corpo","Google Search – Corporatif",IF(LEFT(Z689,5)="meta_","Meta – Leads",IF(LEFT(Z689,5)="msft_","Microsoft Ads",IF(LEFT(Z689,8)="chatgpt_","ChatGPT Ads – Test",IF(X689="gbp","Fiche Google (organique)","Autre / non payé")))))))))</f>
        <v/>
      </c>
      <c r="AR689" s="7">
        <f>IF(K689="","",IFERROR(VLOOKUP(K689,Listes!$F$3:$H$8,3,FALSE),""))</f>
        <v/>
      </c>
      <c r="AS689" s="7">
        <f>IF(O689="","",IF(AND(M689="Autre (plus de 40 km)",OR(O689="lt600",O689="600_999",O689="1000_2499")),"D",IF(OR(O689="lt600",AND(O689="600_999",K689&lt;&gt;"mariage",K689&lt;&gt;"prive")),"C",IF(OR(O689="2500_4999",O689="5000p",J689="entreprise",J689="organisme",J689="agence"),"A",IF(OR(O689="1000_2499",O689="600_999"),"B",IF(O689="inconnu",IF(OR(N689="75_149",N689="150p"),"A","B"),""))))))</f>
        <v/>
      </c>
      <c r="AT689" s="7">
        <f>IF(A689="","",IF(P689&lt;&gt;"",P689,AS689))</f>
        <v/>
      </c>
      <c r="AU689" s="7">
        <f>IF(A689="","",IF(OR(AT689="A",AT689="B"),1,0))</f>
        <v/>
      </c>
      <c r="AV689" s="7">
        <f>IF(A689="","",IF(OR(R689="Dépôt payé (gagné)",R689="Événement livré",R689="Avis obtenu"),1,0))</f>
        <v/>
      </c>
      <c r="AW689" s="7">
        <f>IF(A689="","",IF(Q689&gt;70,"Immédiat – propriétaire",IF(Q689&gt;=40,"15 min – personne de garde","Selon la route")))</f>
        <v/>
      </c>
      <c r="AX689" s="11">
        <f>IF(A689="","",IF(AT689="A",400,IF(AT689="B",150,0)))</f>
        <v/>
      </c>
      <c r="AY689" s="11">
        <f>IF(A689="","",IF(AV689=1,N(V689),IF(N(U689)&gt;0,ROUND(N(U689)*IFERROR(VLOOKUP(R689,Listes!$AE$3:$AG$12,2,FALSE),0),0),0)))</f>
        <v/>
      </c>
      <c r="AZ689" s="7">
        <f>IF(LEFT(A689,7)="EXEMPLE",1,0)</f>
        <v/>
      </c>
      <c r="BA689" s="7">
        <f>IF(AND(AV689=1,AZ689=0,AC689&lt;&gt;"",W689&lt;&gt;"",N(V689)&gt;0),COUNTIFS($AV$3:AV689,1,$AZ$3:AZ689,0,$AC$3:AC689,"&lt;&gt;",$W$3:W689,"&lt;&gt;",$V$3:V689,"&gt;0"),"")</f>
        <v/>
      </c>
    </row>
    <row r="690">
      <c r="A690" s="12" t="n"/>
      <c r="B690" s="13" t="n"/>
      <c r="C690" s="13" t="n"/>
      <c r="D690" s="7">
        <f>IF(OR(B690="",C690=""),"",ROUND((C690-B690)*1440,0))</f>
        <v/>
      </c>
      <c r="E690" s="12" t="n"/>
      <c r="F690" s="12" t="n"/>
      <c r="G690" s="12" t="n"/>
      <c r="H690" s="12" t="n"/>
      <c r="I690" s="12" t="n"/>
      <c r="J690" s="12" t="n"/>
      <c r="K690" s="12" t="n"/>
      <c r="L690" s="14" t="n"/>
      <c r="M690" s="12" t="n"/>
      <c r="N690" s="12" t="n"/>
      <c r="O690" s="12" t="n"/>
      <c r="P690" s="12" t="n"/>
      <c r="Q690" s="7">
        <f>IF(A690="","",IFERROR(VLOOKUP(O690,Listes!$R$3:$T$8,2,FALSE),0)+IFERROR(VLOOKUP(J690,Listes!$J$3:$L$6,2,FALSE),0)+IFERROR(VLOOKUP(N690,Listes!$N$3:$P$6,2,FALSE),0)+IF(OR(L690="",B690=""),0,IF(L690-INT(B690)&lt;10,8,IF(L690-INT(B690)&lt;=90,10,5)))+IFERROR(VLOOKUP(AN690,Listes!$V$3:$W$5,2,FALSE),0)+IFERROR(VLOOKUP(AO690,Listes!$Y$3:$Z$5,2,FALSE),0))</f>
        <v/>
      </c>
      <c r="R690" s="12" t="n"/>
      <c r="S690" s="12" t="n"/>
      <c r="T690" s="12" t="n"/>
      <c r="U690" s="15" t="n"/>
      <c r="V690" s="15" t="n"/>
      <c r="W690" s="13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3" t="n"/>
      <c r="AK690" s="12" t="n"/>
      <c r="AL690" s="12" t="n"/>
      <c r="AM690" s="12" t="n"/>
      <c r="AN690" s="12" t="n"/>
      <c r="AO690" s="12" t="n"/>
      <c r="AP690" s="12" t="n"/>
      <c r="AQ690" s="7">
        <f>IF(A690="","",IF(AP690&lt;&gt;"",AP690,IF(LEFT(Z690,11)="gads_marque","Google Search – Marque",IF(LEFT(Z690,12)="gads_mariage","Google Search – Mariage et privé",IF(LEFT(Z690,10)="gads_corpo","Google Search – Corporatif",IF(LEFT(Z690,5)="meta_","Meta – Leads",IF(LEFT(Z690,5)="msft_","Microsoft Ads",IF(LEFT(Z690,8)="chatgpt_","ChatGPT Ads – Test",IF(X690="gbp","Fiche Google (organique)","Autre / non payé")))))))))</f>
        <v/>
      </c>
      <c r="AR690" s="7">
        <f>IF(K690="","",IFERROR(VLOOKUP(K690,Listes!$F$3:$H$8,3,FALSE),""))</f>
        <v/>
      </c>
      <c r="AS690" s="7">
        <f>IF(O690="","",IF(AND(M690="Autre (plus de 40 km)",OR(O690="lt600",O690="600_999",O690="1000_2499")),"D",IF(OR(O690="lt600",AND(O690="600_999",K690&lt;&gt;"mariage",K690&lt;&gt;"prive")),"C",IF(OR(O690="2500_4999",O690="5000p",J690="entreprise",J690="organisme",J690="agence"),"A",IF(OR(O690="1000_2499",O690="600_999"),"B",IF(O690="inconnu",IF(OR(N690="75_149",N690="150p"),"A","B"),""))))))</f>
        <v/>
      </c>
      <c r="AT690" s="7">
        <f>IF(A690="","",IF(P690&lt;&gt;"",P690,AS690))</f>
        <v/>
      </c>
      <c r="AU690" s="7">
        <f>IF(A690="","",IF(OR(AT690="A",AT690="B"),1,0))</f>
        <v/>
      </c>
      <c r="AV690" s="7">
        <f>IF(A690="","",IF(OR(R690="Dépôt payé (gagné)",R690="Événement livré",R690="Avis obtenu"),1,0))</f>
        <v/>
      </c>
      <c r="AW690" s="7">
        <f>IF(A690="","",IF(Q690&gt;70,"Immédiat – propriétaire",IF(Q690&gt;=40,"15 min – personne de garde","Selon la route")))</f>
        <v/>
      </c>
      <c r="AX690" s="11">
        <f>IF(A690="","",IF(AT690="A",400,IF(AT690="B",150,0)))</f>
        <v/>
      </c>
      <c r="AY690" s="11">
        <f>IF(A690="","",IF(AV690=1,N(V690),IF(N(U690)&gt;0,ROUND(N(U690)*IFERROR(VLOOKUP(R690,Listes!$AE$3:$AG$12,2,FALSE),0),0),0)))</f>
        <v/>
      </c>
      <c r="AZ690" s="7">
        <f>IF(LEFT(A690,7)="EXEMPLE",1,0)</f>
        <v/>
      </c>
      <c r="BA690" s="7">
        <f>IF(AND(AV690=1,AZ690=0,AC690&lt;&gt;"",W690&lt;&gt;"",N(V690)&gt;0),COUNTIFS($AV$3:AV690,1,$AZ$3:AZ690,0,$AC$3:AC690,"&lt;&gt;",$W$3:W690,"&lt;&gt;",$V$3:V690,"&gt;0"),"")</f>
        <v/>
      </c>
    </row>
    <row r="691">
      <c r="A691" s="12" t="n"/>
      <c r="B691" s="13" t="n"/>
      <c r="C691" s="13" t="n"/>
      <c r="D691" s="7">
        <f>IF(OR(B691="",C691=""),"",ROUND((C691-B691)*1440,0))</f>
        <v/>
      </c>
      <c r="E691" s="12" t="n"/>
      <c r="F691" s="12" t="n"/>
      <c r="G691" s="12" t="n"/>
      <c r="H691" s="12" t="n"/>
      <c r="I691" s="12" t="n"/>
      <c r="J691" s="12" t="n"/>
      <c r="K691" s="12" t="n"/>
      <c r="L691" s="14" t="n"/>
      <c r="M691" s="12" t="n"/>
      <c r="N691" s="12" t="n"/>
      <c r="O691" s="12" t="n"/>
      <c r="P691" s="12" t="n"/>
      <c r="Q691" s="7">
        <f>IF(A691="","",IFERROR(VLOOKUP(O691,Listes!$R$3:$T$8,2,FALSE),0)+IFERROR(VLOOKUP(J691,Listes!$J$3:$L$6,2,FALSE),0)+IFERROR(VLOOKUP(N691,Listes!$N$3:$P$6,2,FALSE),0)+IF(OR(L691="",B691=""),0,IF(L691-INT(B691)&lt;10,8,IF(L691-INT(B691)&lt;=90,10,5)))+IFERROR(VLOOKUP(AN691,Listes!$V$3:$W$5,2,FALSE),0)+IFERROR(VLOOKUP(AO691,Listes!$Y$3:$Z$5,2,FALSE),0))</f>
        <v/>
      </c>
      <c r="R691" s="12" t="n"/>
      <c r="S691" s="12" t="n"/>
      <c r="T691" s="12" t="n"/>
      <c r="U691" s="15" t="n"/>
      <c r="V691" s="15" t="n"/>
      <c r="W691" s="13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3" t="n"/>
      <c r="AK691" s="12" t="n"/>
      <c r="AL691" s="12" t="n"/>
      <c r="AM691" s="12" t="n"/>
      <c r="AN691" s="12" t="n"/>
      <c r="AO691" s="12" t="n"/>
      <c r="AP691" s="12" t="n"/>
      <c r="AQ691" s="7">
        <f>IF(A691="","",IF(AP691&lt;&gt;"",AP691,IF(LEFT(Z691,11)="gads_marque","Google Search – Marque",IF(LEFT(Z691,12)="gads_mariage","Google Search – Mariage et privé",IF(LEFT(Z691,10)="gads_corpo","Google Search – Corporatif",IF(LEFT(Z691,5)="meta_","Meta – Leads",IF(LEFT(Z691,5)="msft_","Microsoft Ads",IF(LEFT(Z691,8)="chatgpt_","ChatGPT Ads – Test",IF(X691="gbp","Fiche Google (organique)","Autre / non payé")))))))))</f>
        <v/>
      </c>
      <c r="AR691" s="7">
        <f>IF(K691="","",IFERROR(VLOOKUP(K691,Listes!$F$3:$H$8,3,FALSE),""))</f>
        <v/>
      </c>
      <c r="AS691" s="7">
        <f>IF(O691="","",IF(AND(M691="Autre (plus de 40 km)",OR(O691="lt600",O691="600_999",O691="1000_2499")),"D",IF(OR(O691="lt600",AND(O691="600_999",K691&lt;&gt;"mariage",K691&lt;&gt;"prive")),"C",IF(OR(O691="2500_4999",O691="5000p",J691="entreprise",J691="organisme",J691="agence"),"A",IF(OR(O691="1000_2499",O691="600_999"),"B",IF(O691="inconnu",IF(OR(N691="75_149",N691="150p"),"A","B"),""))))))</f>
        <v/>
      </c>
      <c r="AT691" s="7">
        <f>IF(A691="","",IF(P691&lt;&gt;"",P691,AS691))</f>
        <v/>
      </c>
      <c r="AU691" s="7">
        <f>IF(A691="","",IF(OR(AT691="A",AT691="B"),1,0))</f>
        <v/>
      </c>
      <c r="AV691" s="7">
        <f>IF(A691="","",IF(OR(R691="Dépôt payé (gagné)",R691="Événement livré",R691="Avis obtenu"),1,0))</f>
        <v/>
      </c>
      <c r="AW691" s="7">
        <f>IF(A691="","",IF(Q691&gt;70,"Immédiat – propriétaire",IF(Q691&gt;=40,"15 min – personne de garde","Selon la route")))</f>
        <v/>
      </c>
      <c r="AX691" s="11">
        <f>IF(A691="","",IF(AT691="A",400,IF(AT691="B",150,0)))</f>
        <v/>
      </c>
      <c r="AY691" s="11">
        <f>IF(A691="","",IF(AV691=1,N(V691),IF(N(U691)&gt;0,ROUND(N(U691)*IFERROR(VLOOKUP(R691,Listes!$AE$3:$AG$12,2,FALSE),0),0),0)))</f>
        <v/>
      </c>
      <c r="AZ691" s="7">
        <f>IF(LEFT(A691,7)="EXEMPLE",1,0)</f>
        <v/>
      </c>
      <c r="BA691" s="7">
        <f>IF(AND(AV691=1,AZ691=0,AC691&lt;&gt;"",W691&lt;&gt;"",N(V691)&gt;0),COUNTIFS($AV$3:AV691,1,$AZ$3:AZ691,0,$AC$3:AC691,"&lt;&gt;",$W$3:W691,"&lt;&gt;",$V$3:V691,"&gt;0"),"")</f>
        <v/>
      </c>
    </row>
    <row r="692">
      <c r="A692" s="12" t="n"/>
      <c r="B692" s="13" t="n"/>
      <c r="C692" s="13" t="n"/>
      <c r="D692" s="7">
        <f>IF(OR(B692="",C692=""),"",ROUND((C692-B692)*1440,0))</f>
        <v/>
      </c>
      <c r="E692" s="12" t="n"/>
      <c r="F692" s="12" t="n"/>
      <c r="G692" s="12" t="n"/>
      <c r="H692" s="12" t="n"/>
      <c r="I692" s="12" t="n"/>
      <c r="J692" s="12" t="n"/>
      <c r="K692" s="12" t="n"/>
      <c r="L692" s="14" t="n"/>
      <c r="M692" s="12" t="n"/>
      <c r="N692" s="12" t="n"/>
      <c r="O692" s="12" t="n"/>
      <c r="P692" s="12" t="n"/>
      <c r="Q692" s="7">
        <f>IF(A692="","",IFERROR(VLOOKUP(O692,Listes!$R$3:$T$8,2,FALSE),0)+IFERROR(VLOOKUP(J692,Listes!$J$3:$L$6,2,FALSE),0)+IFERROR(VLOOKUP(N692,Listes!$N$3:$P$6,2,FALSE),0)+IF(OR(L692="",B692=""),0,IF(L692-INT(B692)&lt;10,8,IF(L692-INT(B692)&lt;=90,10,5)))+IFERROR(VLOOKUP(AN692,Listes!$V$3:$W$5,2,FALSE),0)+IFERROR(VLOOKUP(AO692,Listes!$Y$3:$Z$5,2,FALSE),0))</f>
        <v/>
      </c>
      <c r="R692" s="12" t="n"/>
      <c r="S692" s="12" t="n"/>
      <c r="T692" s="12" t="n"/>
      <c r="U692" s="15" t="n"/>
      <c r="V692" s="15" t="n"/>
      <c r="W692" s="13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3" t="n"/>
      <c r="AK692" s="12" t="n"/>
      <c r="AL692" s="12" t="n"/>
      <c r="AM692" s="12" t="n"/>
      <c r="AN692" s="12" t="n"/>
      <c r="AO692" s="12" t="n"/>
      <c r="AP692" s="12" t="n"/>
      <c r="AQ692" s="7">
        <f>IF(A692="","",IF(AP692&lt;&gt;"",AP692,IF(LEFT(Z692,11)="gads_marque","Google Search – Marque",IF(LEFT(Z692,12)="gads_mariage","Google Search – Mariage et privé",IF(LEFT(Z692,10)="gads_corpo","Google Search – Corporatif",IF(LEFT(Z692,5)="meta_","Meta – Leads",IF(LEFT(Z692,5)="msft_","Microsoft Ads",IF(LEFT(Z692,8)="chatgpt_","ChatGPT Ads – Test",IF(X692="gbp","Fiche Google (organique)","Autre / non payé")))))))))</f>
        <v/>
      </c>
      <c r="AR692" s="7">
        <f>IF(K692="","",IFERROR(VLOOKUP(K692,Listes!$F$3:$H$8,3,FALSE),""))</f>
        <v/>
      </c>
      <c r="AS692" s="7">
        <f>IF(O692="","",IF(AND(M692="Autre (plus de 40 km)",OR(O692="lt600",O692="600_999",O692="1000_2499")),"D",IF(OR(O692="lt600",AND(O692="600_999",K692&lt;&gt;"mariage",K692&lt;&gt;"prive")),"C",IF(OR(O692="2500_4999",O692="5000p",J692="entreprise",J692="organisme",J692="agence"),"A",IF(OR(O692="1000_2499",O692="600_999"),"B",IF(O692="inconnu",IF(OR(N692="75_149",N692="150p"),"A","B"),""))))))</f>
        <v/>
      </c>
      <c r="AT692" s="7">
        <f>IF(A692="","",IF(P692&lt;&gt;"",P692,AS692))</f>
        <v/>
      </c>
      <c r="AU692" s="7">
        <f>IF(A692="","",IF(OR(AT692="A",AT692="B"),1,0))</f>
        <v/>
      </c>
      <c r="AV692" s="7">
        <f>IF(A692="","",IF(OR(R692="Dépôt payé (gagné)",R692="Événement livré",R692="Avis obtenu"),1,0))</f>
        <v/>
      </c>
      <c r="AW692" s="7">
        <f>IF(A692="","",IF(Q692&gt;70,"Immédiat – propriétaire",IF(Q692&gt;=40,"15 min – personne de garde","Selon la route")))</f>
        <v/>
      </c>
      <c r="AX692" s="11">
        <f>IF(A692="","",IF(AT692="A",400,IF(AT692="B",150,0)))</f>
        <v/>
      </c>
      <c r="AY692" s="11">
        <f>IF(A692="","",IF(AV692=1,N(V692),IF(N(U692)&gt;0,ROUND(N(U692)*IFERROR(VLOOKUP(R692,Listes!$AE$3:$AG$12,2,FALSE),0),0),0)))</f>
        <v/>
      </c>
      <c r="AZ692" s="7">
        <f>IF(LEFT(A692,7)="EXEMPLE",1,0)</f>
        <v/>
      </c>
      <c r="BA692" s="7">
        <f>IF(AND(AV692=1,AZ692=0,AC692&lt;&gt;"",W692&lt;&gt;"",N(V692)&gt;0),COUNTIFS($AV$3:AV692,1,$AZ$3:AZ692,0,$AC$3:AC692,"&lt;&gt;",$W$3:W692,"&lt;&gt;",$V$3:V692,"&gt;0"),"")</f>
        <v/>
      </c>
    </row>
    <row r="693">
      <c r="A693" s="12" t="n"/>
      <c r="B693" s="13" t="n"/>
      <c r="C693" s="13" t="n"/>
      <c r="D693" s="7">
        <f>IF(OR(B693="",C693=""),"",ROUND((C693-B693)*1440,0))</f>
        <v/>
      </c>
      <c r="E693" s="12" t="n"/>
      <c r="F693" s="12" t="n"/>
      <c r="G693" s="12" t="n"/>
      <c r="H693" s="12" t="n"/>
      <c r="I693" s="12" t="n"/>
      <c r="J693" s="12" t="n"/>
      <c r="K693" s="12" t="n"/>
      <c r="L693" s="14" t="n"/>
      <c r="M693" s="12" t="n"/>
      <c r="N693" s="12" t="n"/>
      <c r="O693" s="12" t="n"/>
      <c r="P693" s="12" t="n"/>
      <c r="Q693" s="7">
        <f>IF(A693="","",IFERROR(VLOOKUP(O693,Listes!$R$3:$T$8,2,FALSE),0)+IFERROR(VLOOKUP(J693,Listes!$J$3:$L$6,2,FALSE),0)+IFERROR(VLOOKUP(N693,Listes!$N$3:$P$6,2,FALSE),0)+IF(OR(L693="",B693=""),0,IF(L693-INT(B693)&lt;10,8,IF(L693-INT(B693)&lt;=90,10,5)))+IFERROR(VLOOKUP(AN693,Listes!$V$3:$W$5,2,FALSE),0)+IFERROR(VLOOKUP(AO693,Listes!$Y$3:$Z$5,2,FALSE),0))</f>
        <v/>
      </c>
      <c r="R693" s="12" t="n"/>
      <c r="S693" s="12" t="n"/>
      <c r="T693" s="12" t="n"/>
      <c r="U693" s="15" t="n"/>
      <c r="V693" s="15" t="n"/>
      <c r="W693" s="13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3" t="n"/>
      <c r="AK693" s="12" t="n"/>
      <c r="AL693" s="12" t="n"/>
      <c r="AM693" s="12" t="n"/>
      <c r="AN693" s="12" t="n"/>
      <c r="AO693" s="12" t="n"/>
      <c r="AP693" s="12" t="n"/>
      <c r="AQ693" s="7">
        <f>IF(A693="","",IF(AP693&lt;&gt;"",AP693,IF(LEFT(Z693,11)="gads_marque","Google Search – Marque",IF(LEFT(Z693,12)="gads_mariage","Google Search – Mariage et privé",IF(LEFT(Z693,10)="gads_corpo","Google Search – Corporatif",IF(LEFT(Z693,5)="meta_","Meta – Leads",IF(LEFT(Z693,5)="msft_","Microsoft Ads",IF(LEFT(Z693,8)="chatgpt_","ChatGPT Ads – Test",IF(X693="gbp","Fiche Google (organique)","Autre / non payé")))))))))</f>
        <v/>
      </c>
      <c r="AR693" s="7">
        <f>IF(K693="","",IFERROR(VLOOKUP(K693,Listes!$F$3:$H$8,3,FALSE),""))</f>
        <v/>
      </c>
      <c r="AS693" s="7">
        <f>IF(O693="","",IF(AND(M693="Autre (plus de 40 km)",OR(O693="lt600",O693="600_999",O693="1000_2499")),"D",IF(OR(O693="lt600",AND(O693="600_999",K693&lt;&gt;"mariage",K693&lt;&gt;"prive")),"C",IF(OR(O693="2500_4999",O693="5000p",J693="entreprise",J693="organisme",J693="agence"),"A",IF(OR(O693="1000_2499",O693="600_999"),"B",IF(O693="inconnu",IF(OR(N693="75_149",N693="150p"),"A","B"),""))))))</f>
        <v/>
      </c>
      <c r="AT693" s="7">
        <f>IF(A693="","",IF(P693&lt;&gt;"",P693,AS693))</f>
        <v/>
      </c>
      <c r="AU693" s="7">
        <f>IF(A693="","",IF(OR(AT693="A",AT693="B"),1,0))</f>
        <v/>
      </c>
      <c r="AV693" s="7">
        <f>IF(A693="","",IF(OR(R693="Dépôt payé (gagné)",R693="Événement livré",R693="Avis obtenu"),1,0))</f>
        <v/>
      </c>
      <c r="AW693" s="7">
        <f>IF(A693="","",IF(Q693&gt;70,"Immédiat – propriétaire",IF(Q693&gt;=40,"15 min – personne de garde","Selon la route")))</f>
        <v/>
      </c>
      <c r="AX693" s="11">
        <f>IF(A693="","",IF(AT693="A",400,IF(AT693="B",150,0)))</f>
        <v/>
      </c>
      <c r="AY693" s="11">
        <f>IF(A693="","",IF(AV693=1,N(V693),IF(N(U693)&gt;0,ROUND(N(U693)*IFERROR(VLOOKUP(R693,Listes!$AE$3:$AG$12,2,FALSE),0),0),0)))</f>
        <v/>
      </c>
      <c r="AZ693" s="7">
        <f>IF(LEFT(A693,7)="EXEMPLE",1,0)</f>
        <v/>
      </c>
      <c r="BA693" s="7">
        <f>IF(AND(AV693=1,AZ693=0,AC693&lt;&gt;"",W693&lt;&gt;"",N(V693)&gt;0),COUNTIFS($AV$3:AV693,1,$AZ$3:AZ693,0,$AC$3:AC693,"&lt;&gt;",$W$3:W693,"&lt;&gt;",$V$3:V693,"&gt;0"),"")</f>
        <v/>
      </c>
    </row>
    <row r="694">
      <c r="A694" s="12" t="n"/>
      <c r="B694" s="13" t="n"/>
      <c r="C694" s="13" t="n"/>
      <c r="D694" s="7">
        <f>IF(OR(B694="",C694=""),"",ROUND((C694-B694)*1440,0))</f>
        <v/>
      </c>
      <c r="E694" s="12" t="n"/>
      <c r="F694" s="12" t="n"/>
      <c r="G694" s="12" t="n"/>
      <c r="H694" s="12" t="n"/>
      <c r="I694" s="12" t="n"/>
      <c r="J694" s="12" t="n"/>
      <c r="K694" s="12" t="n"/>
      <c r="L694" s="14" t="n"/>
      <c r="M694" s="12" t="n"/>
      <c r="N694" s="12" t="n"/>
      <c r="O694" s="12" t="n"/>
      <c r="P694" s="12" t="n"/>
      <c r="Q694" s="7">
        <f>IF(A694="","",IFERROR(VLOOKUP(O694,Listes!$R$3:$T$8,2,FALSE),0)+IFERROR(VLOOKUP(J694,Listes!$J$3:$L$6,2,FALSE),0)+IFERROR(VLOOKUP(N694,Listes!$N$3:$P$6,2,FALSE),0)+IF(OR(L694="",B694=""),0,IF(L694-INT(B694)&lt;10,8,IF(L694-INT(B694)&lt;=90,10,5)))+IFERROR(VLOOKUP(AN694,Listes!$V$3:$W$5,2,FALSE),0)+IFERROR(VLOOKUP(AO694,Listes!$Y$3:$Z$5,2,FALSE),0))</f>
        <v/>
      </c>
      <c r="R694" s="12" t="n"/>
      <c r="S694" s="12" t="n"/>
      <c r="T694" s="12" t="n"/>
      <c r="U694" s="15" t="n"/>
      <c r="V694" s="15" t="n"/>
      <c r="W694" s="13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3" t="n"/>
      <c r="AK694" s="12" t="n"/>
      <c r="AL694" s="12" t="n"/>
      <c r="AM694" s="12" t="n"/>
      <c r="AN694" s="12" t="n"/>
      <c r="AO694" s="12" t="n"/>
      <c r="AP694" s="12" t="n"/>
      <c r="AQ694" s="7">
        <f>IF(A694="","",IF(AP694&lt;&gt;"",AP694,IF(LEFT(Z694,11)="gads_marque","Google Search – Marque",IF(LEFT(Z694,12)="gads_mariage","Google Search – Mariage et privé",IF(LEFT(Z694,10)="gads_corpo","Google Search – Corporatif",IF(LEFT(Z694,5)="meta_","Meta – Leads",IF(LEFT(Z694,5)="msft_","Microsoft Ads",IF(LEFT(Z694,8)="chatgpt_","ChatGPT Ads – Test",IF(X694="gbp","Fiche Google (organique)","Autre / non payé")))))))))</f>
        <v/>
      </c>
      <c r="AR694" s="7">
        <f>IF(K694="","",IFERROR(VLOOKUP(K694,Listes!$F$3:$H$8,3,FALSE),""))</f>
        <v/>
      </c>
      <c r="AS694" s="7">
        <f>IF(O694="","",IF(AND(M694="Autre (plus de 40 km)",OR(O694="lt600",O694="600_999",O694="1000_2499")),"D",IF(OR(O694="lt600",AND(O694="600_999",K694&lt;&gt;"mariage",K694&lt;&gt;"prive")),"C",IF(OR(O694="2500_4999",O694="5000p",J694="entreprise",J694="organisme",J694="agence"),"A",IF(OR(O694="1000_2499",O694="600_999"),"B",IF(O694="inconnu",IF(OR(N694="75_149",N694="150p"),"A","B"),""))))))</f>
        <v/>
      </c>
      <c r="AT694" s="7">
        <f>IF(A694="","",IF(P694&lt;&gt;"",P694,AS694))</f>
        <v/>
      </c>
      <c r="AU694" s="7">
        <f>IF(A694="","",IF(OR(AT694="A",AT694="B"),1,0))</f>
        <v/>
      </c>
      <c r="AV694" s="7">
        <f>IF(A694="","",IF(OR(R694="Dépôt payé (gagné)",R694="Événement livré",R694="Avis obtenu"),1,0))</f>
        <v/>
      </c>
      <c r="AW694" s="7">
        <f>IF(A694="","",IF(Q694&gt;70,"Immédiat – propriétaire",IF(Q694&gt;=40,"15 min – personne de garde","Selon la route")))</f>
        <v/>
      </c>
      <c r="AX694" s="11">
        <f>IF(A694="","",IF(AT694="A",400,IF(AT694="B",150,0)))</f>
        <v/>
      </c>
      <c r="AY694" s="11">
        <f>IF(A694="","",IF(AV694=1,N(V694),IF(N(U694)&gt;0,ROUND(N(U694)*IFERROR(VLOOKUP(R694,Listes!$AE$3:$AG$12,2,FALSE),0),0),0)))</f>
        <v/>
      </c>
      <c r="AZ694" s="7">
        <f>IF(LEFT(A694,7)="EXEMPLE",1,0)</f>
        <v/>
      </c>
      <c r="BA694" s="7">
        <f>IF(AND(AV694=1,AZ694=0,AC694&lt;&gt;"",W694&lt;&gt;"",N(V694)&gt;0),COUNTIFS($AV$3:AV694,1,$AZ$3:AZ694,0,$AC$3:AC694,"&lt;&gt;",$W$3:W694,"&lt;&gt;",$V$3:V694,"&gt;0"),"")</f>
        <v/>
      </c>
    </row>
    <row r="695">
      <c r="A695" s="12" t="n"/>
      <c r="B695" s="13" t="n"/>
      <c r="C695" s="13" t="n"/>
      <c r="D695" s="7">
        <f>IF(OR(B695="",C695=""),"",ROUND((C695-B695)*1440,0))</f>
        <v/>
      </c>
      <c r="E695" s="12" t="n"/>
      <c r="F695" s="12" t="n"/>
      <c r="G695" s="12" t="n"/>
      <c r="H695" s="12" t="n"/>
      <c r="I695" s="12" t="n"/>
      <c r="J695" s="12" t="n"/>
      <c r="K695" s="12" t="n"/>
      <c r="L695" s="14" t="n"/>
      <c r="M695" s="12" t="n"/>
      <c r="N695" s="12" t="n"/>
      <c r="O695" s="12" t="n"/>
      <c r="P695" s="12" t="n"/>
      <c r="Q695" s="7">
        <f>IF(A695="","",IFERROR(VLOOKUP(O695,Listes!$R$3:$T$8,2,FALSE),0)+IFERROR(VLOOKUP(J695,Listes!$J$3:$L$6,2,FALSE),0)+IFERROR(VLOOKUP(N695,Listes!$N$3:$P$6,2,FALSE),0)+IF(OR(L695="",B695=""),0,IF(L695-INT(B695)&lt;10,8,IF(L695-INT(B695)&lt;=90,10,5)))+IFERROR(VLOOKUP(AN695,Listes!$V$3:$W$5,2,FALSE),0)+IFERROR(VLOOKUP(AO695,Listes!$Y$3:$Z$5,2,FALSE),0))</f>
        <v/>
      </c>
      <c r="R695" s="12" t="n"/>
      <c r="S695" s="12" t="n"/>
      <c r="T695" s="12" t="n"/>
      <c r="U695" s="15" t="n"/>
      <c r="V695" s="15" t="n"/>
      <c r="W695" s="13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3" t="n"/>
      <c r="AK695" s="12" t="n"/>
      <c r="AL695" s="12" t="n"/>
      <c r="AM695" s="12" t="n"/>
      <c r="AN695" s="12" t="n"/>
      <c r="AO695" s="12" t="n"/>
      <c r="AP695" s="12" t="n"/>
      <c r="AQ695" s="7">
        <f>IF(A695="","",IF(AP695&lt;&gt;"",AP695,IF(LEFT(Z695,11)="gads_marque","Google Search – Marque",IF(LEFT(Z695,12)="gads_mariage","Google Search – Mariage et privé",IF(LEFT(Z695,10)="gads_corpo","Google Search – Corporatif",IF(LEFT(Z695,5)="meta_","Meta – Leads",IF(LEFT(Z695,5)="msft_","Microsoft Ads",IF(LEFT(Z695,8)="chatgpt_","ChatGPT Ads – Test",IF(X695="gbp","Fiche Google (organique)","Autre / non payé")))))))))</f>
        <v/>
      </c>
      <c r="AR695" s="7">
        <f>IF(K695="","",IFERROR(VLOOKUP(K695,Listes!$F$3:$H$8,3,FALSE),""))</f>
        <v/>
      </c>
      <c r="AS695" s="7">
        <f>IF(O695="","",IF(AND(M695="Autre (plus de 40 km)",OR(O695="lt600",O695="600_999",O695="1000_2499")),"D",IF(OR(O695="lt600",AND(O695="600_999",K695&lt;&gt;"mariage",K695&lt;&gt;"prive")),"C",IF(OR(O695="2500_4999",O695="5000p",J695="entreprise",J695="organisme",J695="agence"),"A",IF(OR(O695="1000_2499",O695="600_999"),"B",IF(O695="inconnu",IF(OR(N695="75_149",N695="150p"),"A","B"),""))))))</f>
        <v/>
      </c>
      <c r="AT695" s="7">
        <f>IF(A695="","",IF(P695&lt;&gt;"",P695,AS695))</f>
        <v/>
      </c>
      <c r="AU695" s="7">
        <f>IF(A695="","",IF(OR(AT695="A",AT695="B"),1,0))</f>
        <v/>
      </c>
      <c r="AV695" s="7">
        <f>IF(A695="","",IF(OR(R695="Dépôt payé (gagné)",R695="Événement livré",R695="Avis obtenu"),1,0))</f>
        <v/>
      </c>
      <c r="AW695" s="7">
        <f>IF(A695="","",IF(Q695&gt;70,"Immédiat – propriétaire",IF(Q695&gt;=40,"15 min – personne de garde","Selon la route")))</f>
        <v/>
      </c>
      <c r="AX695" s="11">
        <f>IF(A695="","",IF(AT695="A",400,IF(AT695="B",150,0)))</f>
        <v/>
      </c>
      <c r="AY695" s="11">
        <f>IF(A695="","",IF(AV695=1,N(V695),IF(N(U695)&gt;0,ROUND(N(U695)*IFERROR(VLOOKUP(R695,Listes!$AE$3:$AG$12,2,FALSE),0),0),0)))</f>
        <v/>
      </c>
      <c r="AZ695" s="7">
        <f>IF(LEFT(A695,7)="EXEMPLE",1,0)</f>
        <v/>
      </c>
      <c r="BA695" s="7">
        <f>IF(AND(AV695=1,AZ695=0,AC695&lt;&gt;"",W695&lt;&gt;"",N(V695)&gt;0),COUNTIFS($AV$3:AV695,1,$AZ$3:AZ695,0,$AC$3:AC695,"&lt;&gt;",$W$3:W695,"&lt;&gt;",$V$3:V695,"&gt;0"),"")</f>
        <v/>
      </c>
    </row>
    <row r="696">
      <c r="A696" s="12" t="n"/>
      <c r="B696" s="13" t="n"/>
      <c r="C696" s="13" t="n"/>
      <c r="D696" s="7">
        <f>IF(OR(B696="",C696=""),"",ROUND((C696-B696)*1440,0))</f>
        <v/>
      </c>
      <c r="E696" s="12" t="n"/>
      <c r="F696" s="12" t="n"/>
      <c r="G696" s="12" t="n"/>
      <c r="H696" s="12" t="n"/>
      <c r="I696" s="12" t="n"/>
      <c r="J696" s="12" t="n"/>
      <c r="K696" s="12" t="n"/>
      <c r="L696" s="14" t="n"/>
      <c r="M696" s="12" t="n"/>
      <c r="N696" s="12" t="n"/>
      <c r="O696" s="12" t="n"/>
      <c r="P696" s="12" t="n"/>
      <c r="Q696" s="7">
        <f>IF(A696="","",IFERROR(VLOOKUP(O696,Listes!$R$3:$T$8,2,FALSE),0)+IFERROR(VLOOKUP(J696,Listes!$J$3:$L$6,2,FALSE),0)+IFERROR(VLOOKUP(N696,Listes!$N$3:$P$6,2,FALSE),0)+IF(OR(L696="",B696=""),0,IF(L696-INT(B696)&lt;10,8,IF(L696-INT(B696)&lt;=90,10,5)))+IFERROR(VLOOKUP(AN696,Listes!$V$3:$W$5,2,FALSE),0)+IFERROR(VLOOKUP(AO696,Listes!$Y$3:$Z$5,2,FALSE),0))</f>
        <v/>
      </c>
      <c r="R696" s="12" t="n"/>
      <c r="S696" s="12" t="n"/>
      <c r="T696" s="12" t="n"/>
      <c r="U696" s="15" t="n"/>
      <c r="V696" s="15" t="n"/>
      <c r="W696" s="13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3" t="n"/>
      <c r="AK696" s="12" t="n"/>
      <c r="AL696" s="12" t="n"/>
      <c r="AM696" s="12" t="n"/>
      <c r="AN696" s="12" t="n"/>
      <c r="AO696" s="12" t="n"/>
      <c r="AP696" s="12" t="n"/>
      <c r="AQ696" s="7">
        <f>IF(A696="","",IF(AP696&lt;&gt;"",AP696,IF(LEFT(Z696,11)="gads_marque","Google Search – Marque",IF(LEFT(Z696,12)="gads_mariage","Google Search – Mariage et privé",IF(LEFT(Z696,10)="gads_corpo","Google Search – Corporatif",IF(LEFT(Z696,5)="meta_","Meta – Leads",IF(LEFT(Z696,5)="msft_","Microsoft Ads",IF(LEFT(Z696,8)="chatgpt_","ChatGPT Ads – Test",IF(X696="gbp","Fiche Google (organique)","Autre / non payé")))))))))</f>
        <v/>
      </c>
      <c r="AR696" s="7">
        <f>IF(K696="","",IFERROR(VLOOKUP(K696,Listes!$F$3:$H$8,3,FALSE),""))</f>
        <v/>
      </c>
      <c r="AS696" s="7">
        <f>IF(O696="","",IF(AND(M696="Autre (plus de 40 km)",OR(O696="lt600",O696="600_999",O696="1000_2499")),"D",IF(OR(O696="lt600",AND(O696="600_999",K696&lt;&gt;"mariage",K696&lt;&gt;"prive")),"C",IF(OR(O696="2500_4999",O696="5000p",J696="entreprise",J696="organisme",J696="agence"),"A",IF(OR(O696="1000_2499",O696="600_999"),"B",IF(O696="inconnu",IF(OR(N696="75_149",N696="150p"),"A","B"),""))))))</f>
        <v/>
      </c>
      <c r="AT696" s="7">
        <f>IF(A696="","",IF(P696&lt;&gt;"",P696,AS696))</f>
        <v/>
      </c>
      <c r="AU696" s="7">
        <f>IF(A696="","",IF(OR(AT696="A",AT696="B"),1,0))</f>
        <v/>
      </c>
      <c r="AV696" s="7">
        <f>IF(A696="","",IF(OR(R696="Dépôt payé (gagné)",R696="Événement livré",R696="Avis obtenu"),1,0))</f>
        <v/>
      </c>
      <c r="AW696" s="7">
        <f>IF(A696="","",IF(Q696&gt;70,"Immédiat – propriétaire",IF(Q696&gt;=40,"15 min – personne de garde","Selon la route")))</f>
        <v/>
      </c>
      <c r="AX696" s="11">
        <f>IF(A696="","",IF(AT696="A",400,IF(AT696="B",150,0)))</f>
        <v/>
      </c>
      <c r="AY696" s="11">
        <f>IF(A696="","",IF(AV696=1,N(V696),IF(N(U696)&gt;0,ROUND(N(U696)*IFERROR(VLOOKUP(R696,Listes!$AE$3:$AG$12,2,FALSE),0),0),0)))</f>
        <v/>
      </c>
      <c r="AZ696" s="7">
        <f>IF(LEFT(A696,7)="EXEMPLE",1,0)</f>
        <v/>
      </c>
      <c r="BA696" s="7">
        <f>IF(AND(AV696=1,AZ696=0,AC696&lt;&gt;"",W696&lt;&gt;"",N(V696)&gt;0),COUNTIFS($AV$3:AV696,1,$AZ$3:AZ696,0,$AC$3:AC696,"&lt;&gt;",$W$3:W696,"&lt;&gt;",$V$3:V696,"&gt;0"),"")</f>
        <v/>
      </c>
    </row>
    <row r="697">
      <c r="A697" s="12" t="n"/>
      <c r="B697" s="13" t="n"/>
      <c r="C697" s="13" t="n"/>
      <c r="D697" s="7">
        <f>IF(OR(B697="",C697=""),"",ROUND((C697-B697)*1440,0))</f>
        <v/>
      </c>
      <c r="E697" s="12" t="n"/>
      <c r="F697" s="12" t="n"/>
      <c r="G697" s="12" t="n"/>
      <c r="H697" s="12" t="n"/>
      <c r="I697" s="12" t="n"/>
      <c r="J697" s="12" t="n"/>
      <c r="K697" s="12" t="n"/>
      <c r="L697" s="14" t="n"/>
      <c r="M697" s="12" t="n"/>
      <c r="N697" s="12" t="n"/>
      <c r="O697" s="12" t="n"/>
      <c r="P697" s="12" t="n"/>
      <c r="Q697" s="7">
        <f>IF(A697="","",IFERROR(VLOOKUP(O697,Listes!$R$3:$T$8,2,FALSE),0)+IFERROR(VLOOKUP(J697,Listes!$J$3:$L$6,2,FALSE),0)+IFERROR(VLOOKUP(N697,Listes!$N$3:$P$6,2,FALSE),0)+IF(OR(L697="",B697=""),0,IF(L697-INT(B697)&lt;10,8,IF(L697-INT(B697)&lt;=90,10,5)))+IFERROR(VLOOKUP(AN697,Listes!$V$3:$W$5,2,FALSE),0)+IFERROR(VLOOKUP(AO697,Listes!$Y$3:$Z$5,2,FALSE),0))</f>
        <v/>
      </c>
      <c r="R697" s="12" t="n"/>
      <c r="S697" s="12" t="n"/>
      <c r="T697" s="12" t="n"/>
      <c r="U697" s="15" t="n"/>
      <c r="V697" s="15" t="n"/>
      <c r="W697" s="13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3" t="n"/>
      <c r="AK697" s="12" t="n"/>
      <c r="AL697" s="12" t="n"/>
      <c r="AM697" s="12" t="n"/>
      <c r="AN697" s="12" t="n"/>
      <c r="AO697" s="12" t="n"/>
      <c r="AP697" s="12" t="n"/>
      <c r="AQ697" s="7">
        <f>IF(A697="","",IF(AP697&lt;&gt;"",AP697,IF(LEFT(Z697,11)="gads_marque","Google Search – Marque",IF(LEFT(Z697,12)="gads_mariage","Google Search – Mariage et privé",IF(LEFT(Z697,10)="gads_corpo","Google Search – Corporatif",IF(LEFT(Z697,5)="meta_","Meta – Leads",IF(LEFT(Z697,5)="msft_","Microsoft Ads",IF(LEFT(Z697,8)="chatgpt_","ChatGPT Ads – Test",IF(X697="gbp","Fiche Google (organique)","Autre / non payé")))))))))</f>
        <v/>
      </c>
      <c r="AR697" s="7">
        <f>IF(K697="","",IFERROR(VLOOKUP(K697,Listes!$F$3:$H$8,3,FALSE),""))</f>
        <v/>
      </c>
      <c r="AS697" s="7">
        <f>IF(O697="","",IF(AND(M697="Autre (plus de 40 km)",OR(O697="lt600",O697="600_999",O697="1000_2499")),"D",IF(OR(O697="lt600",AND(O697="600_999",K697&lt;&gt;"mariage",K697&lt;&gt;"prive")),"C",IF(OR(O697="2500_4999",O697="5000p",J697="entreprise",J697="organisme",J697="agence"),"A",IF(OR(O697="1000_2499",O697="600_999"),"B",IF(O697="inconnu",IF(OR(N697="75_149",N697="150p"),"A","B"),""))))))</f>
        <v/>
      </c>
      <c r="AT697" s="7">
        <f>IF(A697="","",IF(P697&lt;&gt;"",P697,AS697))</f>
        <v/>
      </c>
      <c r="AU697" s="7">
        <f>IF(A697="","",IF(OR(AT697="A",AT697="B"),1,0))</f>
        <v/>
      </c>
      <c r="AV697" s="7">
        <f>IF(A697="","",IF(OR(R697="Dépôt payé (gagné)",R697="Événement livré",R697="Avis obtenu"),1,0))</f>
        <v/>
      </c>
      <c r="AW697" s="7">
        <f>IF(A697="","",IF(Q697&gt;70,"Immédiat – propriétaire",IF(Q697&gt;=40,"15 min – personne de garde","Selon la route")))</f>
        <v/>
      </c>
      <c r="AX697" s="11">
        <f>IF(A697="","",IF(AT697="A",400,IF(AT697="B",150,0)))</f>
        <v/>
      </c>
      <c r="AY697" s="11">
        <f>IF(A697="","",IF(AV697=1,N(V697),IF(N(U697)&gt;0,ROUND(N(U697)*IFERROR(VLOOKUP(R697,Listes!$AE$3:$AG$12,2,FALSE),0),0),0)))</f>
        <v/>
      </c>
      <c r="AZ697" s="7">
        <f>IF(LEFT(A697,7)="EXEMPLE",1,0)</f>
        <v/>
      </c>
      <c r="BA697" s="7">
        <f>IF(AND(AV697=1,AZ697=0,AC697&lt;&gt;"",W697&lt;&gt;"",N(V697)&gt;0),COUNTIFS($AV$3:AV697,1,$AZ$3:AZ697,0,$AC$3:AC697,"&lt;&gt;",$W$3:W697,"&lt;&gt;",$V$3:V697,"&gt;0"),"")</f>
        <v/>
      </c>
    </row>
    <row r="698">
      <c r="A698" s="12" t="n"/>
      <c r="B698" s="13" t="n"/>
      <c r="C698" s="13" t="n"/>
      <c r="D698" s="7">
        <f>IF(OR(B698="",C698=""),"",ROUND((C698-B698)*1440,0))</f>
        <v/>
      </c>
      <c r="E698" s="12" t="n"/>
      <c r="F698" s="12" t="n"/>
      <c r="G698" s="12" t="n"/>
      <c r="H698" s="12" t="n"/>
      <c r="I698" s="12" t="n"/>
      <c r="J698" s="12" t="n"/>
      <c r="K698" s="12" t="n"/>
      <c r="L698" s="14" t="n"/>
      <c r="M698" s="12" t="n"/>
      <c r="N698" s="12" t="n"/>
      <c r="O698" s="12" t="n"/>
      <c r="P698" s="12" t="n"/>
      <c r="Q698" s="7">
        <f>IF(A698="","",IFERROR(VLOOKUP(O698,Listes!$R$3:$T$8,2,FALSE),0)+IFERROR(VLOOKUP(J698,Listes!$J$3:$L$6,2,FALSE),0)+IFERROR(VLOOKUP(N698,Listes!$N$3:$P$6,2,FALSE),0)+IF(OR(L698="",B698=""),0,IF(L698-INT(B698)&lt;10,8,IF(L698-INT(B698)&lt;=90,10,5)))+IFERROR(VLOOKUP(AN698,Listes!$V$3:$W$5,2,FALSE),0)+IFERROR(VLOOKUP(AO698,Listes!$Y$3:$Z$5,2,FALSE),0))</f>
        <v/>
      </c>
      <c r="R698" s="12" t="n"/>
      <c r="S698" s="12" t="n"/>
      <c r="T698" s="12" t="n"/>
      <c r="U698" s="15" t="n"/>
      <c r="V698" s="15" t="n"/>
      <c r="W698" s="13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3" t="n"/>
      <c r="AK698" s="12" t="n"/>
      <c r="AL698" s="12" t="n"/>
      <c r="AM698" s="12" t="n"/>
      <c r="AN698" s="12" t="n"/>
      <c r="AO698" s="12" t="n"/>
      <c r="AP698" s="12" t="n"/>
      <c r="AQ698" s="7">
        <f>IF(A698="","",IF(AP698&lt;&gt;"",AP698,IF(LEFT(Z698,11)="gads_marque","Google Search – Marque",IF(LEFT(Z698,12)="gads_mariage","Google Search – Mariage et privé",IF(LEFT(Z698,10)="gads_corpo","Google Search – Corporatif",IF(LEFT(Z698,5)="meta_","Meta – Leads",IF(LEFT(Z698,5)="msft_","Microsoft Ads",IF(LEFT(Z698,8)="chatgpt_","ChatGPT Ads – Test",IF(X698="gbp","Fiche Google (organique)","Autre / non payé")))))))))</f>
        <v/>
      </c>
      <c r="AR698" s="7">
        <f>IF(K698="","",IFERROR(VLOOKUP(K698,Listes!$F$3:$H$8,3,FALSE),""))</f>
        <v/>
      </c>
      <c r="AS698" s="7">
        <f>IF(O698="","",IF(AND(M698="Autre (plus de 40 km)",OR(O698="lt600",O698="600_999",O698="1000_2499")),"D",IF(OR(O698="lt600",AND(O698="600_999",K698&lt;&gt;"mariage",K698&lt;&gt;"prive")),"C",IF(OR(O698="2500_4999",O698="5000p",J698="entreprise",J698="organisme",J698="agence"),"A",IF(OR(O698="1000_2499",O698="600_999"),"B",IF(O698="inconnu",IF(OR(N698="75_149",N698="150p"),"A","B"),""))))))</f>
        <v/>
      </c>
      <c r="AT698" s="7">
        <f>IF(A698="","",IF(P698&lt;&gt;"",P698,AS698))</f>
        <v/>
      </c>
      <c r="AU698" s="7">
        <f>IF(A698="","",IF(OR(AT698="A",AT698="B"),1,0))</f>
        <v/>
      </c>
      <c r="AV698" s="7">
        <f>IF(A698="","",IF(OR(R698="Dépôt payé (gagné)",R698="Événement livré",R698="Avis obtenu"),1,0))</f>
        <v/>
      </c>
      <c r="AW698" s="7">
        <f>IF(A698="","",IF(Q698&gt;70,"Immédiat – propriétaire",IF(Q698&gt;=40,"15 min – personne de garde","Selon la route")))</f>
        <v/>
      </c>
      <c r="AX698" s="11">
        <f>IF(A698="","",IF(AT698="A",400,IF(AT698="B",150,0)))</f>
        <v/>
      </c>
      <c r="AY698" s="11">
        <f>IF(A698="","",IF(AV698=1,N(V698),IF(N(U698)&gt;0,ROUND(N(U698)*IFERROR(VLOOKUP(R698,Listes!$AE$3:$AG$12,2,FALSE),0),0),0)))</f>
        <v/>
      </c>
      <c r="AZ698" s="7">
        <f>IF(LEFT(A698,7)="EXEMPLE",1,0)</f>
        <v/>
      </c>
      <c r="BA698" s="7">
        <f>IF(AND(AV698=1,AZ698=0,AC698&lt;&gt;"",W698&lt;&gt;"",N(V698)&gt;0),COUNTIFS($AV$3:AV698,1,$AZ$3:AZ698,0,$AC$3:AC698,"&lt;&gt;",$W$3:W698,"&lt;&gt;",$V$3:V698,"&gt;0"),"")</f>
        <v/>
      </c>
    </row>
    <row r="699">
      <c r="A699" s="12" t="n"/>
      <c r="B699" s="13" t="n"/>
      <c r="C699" s="13" t="n"/>
      <c r="D699" s="7">
        <f>IF(OR(B699="",C699=""),"",ROUND((C699-B699)*1440,0))</f>
        <v/>
      </c>
      <c r="E699" s="12" t="n"/>
      <c r="F699" s="12" t="n"/>
      <c r="G699" s="12" t="n"/>
      <c r="H699" s="12" t="n"/>
      <c r="I699" s="12" t="n"/>
      <c r="J699" s="12" t="n"/>
      <c r="K699" s="12" t="n"/>
      <c r="L699" s="14" t="n"/>
      <c r="M699" s="12" t="n"/>
      <c r="N699" s="12" t="n"/>
      <c r="O699" s="12" t="n"/>
      <c r="P699" s="12" t="n"/>
      <c r="Q699" s="7">
        <f>IF(A699="","",IFERROR(VLOOKUP(O699,Listes!$R$3:$T$8,2,FALSE),0)+IFERROR(VLOOKUP(J699,Listes!$J$3:$L$6,2,FALSE),0)+IFERROR(VLOOKUP(N699,Listes!$N$3:$P$6,2,FALSE),0)+IF(OR(L699="",B699=""),0,IF(L699-INT(B699)&lt;10,8,IF(L699-INT(B699)&lt;=90,10,5)))+IFERROR(VLOOKUP(AN699,Listes!$V$3:$W$5,2,FALSE),0)+IFERROR(VLOOKUP(AO699,Listes!$Y$3:$Z$5,2,FALSE),0))</f>
        <v/>
      </c>
      <c r="R699" s="12" t="n"/>
      <c r="S699" s="12" t="n"/>
      <c r="T699" s="12" t="n"/>
      <c r="U699" s="15" t="n"/>
      <c r="V699" s="15" t="n"/>
      <c r="W699" s="13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3" t="n"/>
      <c r="AK699" s="12" t="n"/>
      <c r="AL699" s="12" t="n"/>
      <c r="AM699" s="12" t="n"/>
      <c r="AN699" s="12" t="n"/>
      <c r="AO699" s="12" t="n"/>
      <c r="AP699" s="12" t="n"/>
      <c r="AQ699" s="7">
        <f>IF(A699="","",IF(AP699&lt;&gt;"",AP699,IF(LEFT(Z699,11)="gads_marque","Google Search – Marque",IF(LEFT(Z699,12)="gads_mariage","Google Search – Mariage et privé",IF(LEFT(Z699,10)="gads_corpo","Google Search – Corporatif",IF(LEFT(Z699,5)="meta_","Meta – Leads",IF(LEFT(Z699,5)="msft_","Microsoft Ads",IF(LEFT(Z699,8)="chatgpt_","ChatGPT Ads – Test",IF(X699="gbp","Fiche Google (organique)","Autre / non payé")))))))))</f>
        <v/>
      </c>
      <c r="AR699" s="7">
        <f>IF(K699="","",IFERROR(VLOOKUP(K699,Listes!$F$3:$H$8,3,FALSE),""))</f>
        <v/>
      </c>
      <c r="AS699" s="7">
        <f>IF(O699="","",IF(AND(M699="Autre (plus de 40 km)",OR(O699="lt600",O699="600_999",O699="1000_2499")),"D",IF(OR(O699="lt600",AND(O699="600_999",K699&lt;&gt;"mariage",K699&lt;&gt;"prive")),"C",IF(OR(O699="2500_4999",O699="5000p",J699="entreprise",J699="organisme",J699="agence"),"A",IF(OR(O699="1000_2499",O699="600_999"),"B",IF(O699="inconnu",IF(OR(N699="75_149",N699="150p"),"A","B"),""))))))</f>
        <v/>
      </c>
      <c r="AT699" s="7">
        <f>IF(A699="","",IF(P699&lt;&gt;"",P699,AS699))</f>
        <v/>
      </c>
      <c r="AU699" s="7">
        <f>IF(A699="","",IF(OR(AT699="A",AT699="B"),1,0))</f>
        <v/>
      </c>
      <c r="AV699" s="7">
        <f>IF(A699="","",IF(OR(R699="Dépôt payé (gagné)",R699="Événement livré",R699="Avis obtenu"),1,0))</f>
        <v/>
      </c>
      <c r="AW699" s="7">
        <f>IF(A699="","",IF(Q699&gt;70,"Immédiat – propriétaire",IF(Q699&gt;=40,"15 min – personne de garde","Selon la route")))</f>
        <v/>
      </c>
      <c r="AX699" s="11">
        <f>IF(A699="","",IF(AT699="A",400,IF(AT699="B",150,0)))</f>
        <v/>
      </c>
      <c r="AY699" s="11">
        <f>IF(A699="","",IF(AV699=1,N(V699),IF(N(U699)&gt;0,ROUND(N(U699)*IFERROR(VLOOKUP(R699,Listes!$AE$3:$AG$12,2,FALSE),0),0),0)))</f>
        <v/>
      </c>
      <c r="AZ699" s="7">
        <f>IF(LEFT(A699,7)="EXEMPLE",1,0)</f>
        <v/>
      </c>
      <c r="BA699" s="7">
        <f>IF(AND(AV699=1,AZ699=0,AC699&lt;&gt;"",W699&lt;&gt;"",N(V699)&gt;0),COUNTIFS($AV$3:AV699,1,$AZ$3:AZ699,0,$AC$3:AC699,"&lt;&gt;",$W$3:W699,"&lt;&gt;",$V$3:V699,"&gt;0"),"")</f>
        <v/>
      </c>
    </row>
    <row r="700">
      <c r="A700" s="12" t="n"/>
      <c r="B700" s="13" t="n"/>
      <c r="C700" s="13" t="n"/>
      <c r="D700" s="7">
        <f>IF(OR(B700="",C700=""),"",ROUND((C700-B700)*1440,0))</f>
        <v/>
      </c>
      <c r="E700" s="12" t="n"/>
      <c r="F700" s="12" t="n"/>
      <c r="G700" s="12" t="n"/>
      <c r="H700" s="12" t="n"/>
      <c r="I700" s="12" t="n"/>
      <c r="J700" s="12" t="n"/>
      <c r="K700" s="12" t="n"/>
      <c r="L700" s="14" t="n"/>
      <c r="M700" s="12" t="n"/>
      <c r="N700" s="12" t="n"/>
      <c r="O700" s="12" t="n"/>
      <c r="P700" s="12" t="n"/>
      <c r="Q700" s="7">
        <f>IF(A700="","",IFERROR(VLOOKUP(O700,Listes!$R$3:$T$8,2,FALSE),0)+IFERROR(VLOOKUP(J700,Listes!$J$3:$L$6,2,FALSE),0)+IFERROR(VLOOKUP(N700,Listes!$N$3:$P$6,2,FALSE),0)+IF(OR(L700="",B700=""),0,IF(L700-INT(B700)&lt;10,8,IF(L700-INT(B700)&lt;=90,10,5)))+IFERROR(VLOOKUP(AN700,Listes!$V$3:$W$5,2,FALSE),0)+IFERROR(VLOOKUP(AO700,Listes!$Y$3:$Z$5,2,FALSE),0))</f>
        <v/>
      </c>
      <c r="R700" s="12" t="n"/>
      <c r="S700" s="12" t="n"/>
      <c r="T700" s="12" t="n"/>
      <c r="U700" s="15" t="n"/>
      <c r="V700" s="15" t="n"/>
      <c r="W700" s="13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3" t="n"/>
      <c r="AK700" s="12" t="n"/>
      <c r="AL700" s="12" t="n"/>
      <c r="AM700" s="12" t="n"/>
      <c r="AN700" s="12" t="n"/>
      <c r="AO700" s="12" t="n"/>
      <c r="AP700" s="12" t="n"/>
      <c r="AQ700" s="7">
        <f>IF(A700="","",IF(AP700&lt;&gt;"",AP700,IF(LEFT(Z700,11)="gads_marque","Google Search – Marque",IF(LEFT(Z700,12)="gads_mariage","Google Search – Mariage et privé",IF(LEFT(Z700,10)="gads_corpo","Google Search – Corporatif",IF(LEFT(Z700,5)="meta_","Meta – Leads",IF(LEFT(Z700,5)="msft_","Microsoft Ads",IF(LEFT(Z700,8)="chatgpt_","ChatGPT Ads – Test",IF(X700="gbp","Fiche Google (organique)","Autre / non payé")))))))))</f>
        <v/>
      </c>
      <c r="AR700" s="7">
        <f>IF(K700="","",IFERROR(VLOOKUP(K700,Listes!$F$3:$H$8,3,FALSE),""))</f>
        <v/>
      </c>
      <c r="AS700" s="7">
        <f>IF(O700="","",IF(AND(M700="Autre (plus de 40 km)",OR(O700="lt600",O700="600_999",O700="1000_2499")),"D",IF(OR(O700="lt600",AND(O700="600_999",K700&lt;&gt;"mariage",K700&lt;&gt;"prive")),"C",IF(OR(O700="2500_4999",O700="5000p",J700="entreprise",J700="organisme",J700="agence"),"A",IF(OR(O700="1000_2499",O700="600_999"),"B",IF(O700="inconnu",IF(OR(N700="75_149",N700="150p"),"A","B"),""))))))</f>
        <v/>
      </c>
      <c r="AT700" s="7">
        <f>IF(A700="","",IF(P700&lt;&gt;"",P700,AS700))</f>
        <v/>
      </c>
      <c r="AU700" s="7">
        <f>IF(A700="","",IF(OR(AT700="A",AT700="B"),1,0))</f>
        <v/>
      </c>
      <c r="AV700" s="7">
        <f>IF(A700="","",IF(OR(R700="Dépôt payé (gagné)",R700="Événement livré",R700="Avis obtenu"),1,0))</f>
        <v/>
      </c>
      <c r="AW700" s="7">
        <f>IF(A700="","",IF(Q700&gt;70,"Immédiat – propriétaire",IF(Q700&gt;=40,"15 min – personne de garde","Selon la route")))</f>
        <v/>
      </c>
      <c r="AX700" s="11">
        <f>IF(A700="","",IF(AT700="A",400,IF(AT700="B",150,0)))</f>
        <v/>
      </c>
      <c r="AY700" s="11">
        <f>IF(A700="","",IF(AV700=1,N(V700),IF(N(U700)&gt;0,ROUND(N(U700)*IFERROR(VLOOKUP(R700,Listes!$AE$3:$AG$12,2,FALSE),0),0),0)))</f>
        <v/>
      </c>
      <c r="AZ700" s="7">
        <f>IF(LEFT(A700,7)="EXEMPLE",1,0)</f>
        <v/>
      </c>
      <c r="BA700" s="7">
        <f>IF(AND(AV700=1,AZ700=0,AC700&lt;&gt;"",W700&lt;&gt;"",N(V700)&gt;0),COUNTIFS($AV$3:AV700,1,$AZ$3:AZ700,0,$AC$3:AC700,"&lt;&gt;",$W$3:W700,"&lt;&gt;",$V$3:V700,"&gt;0"),"")</f>
        <v/>
      </c>
    </row>
    <row r="701">
      <c r="A701" s="12" t="n"/>
      <c r="B701" s="13" t="n"/>
      <c r="C701" s="13" t="n"/>
      <c r="D701" s="7">
        <f>IF(OR(B701="",C701=""),"",ROUND((C701-B701)*1440,0))</f>
        <v/>
      </c>
      <c r="E701" s="12" t="n"/>
      <c r="F701" s="12" t="n"/>
      <c r="G701" s="12" t="n"/>
      <c r="H701" s="12" t="n"/>
      <c r="I701" s="12" t="n"/>
      <c r="J701" s="12" t="n"/>
      <c r="K701" s="12" t="n"/>
      <c r="L701" s="14" t="n"/>
      <c r="M701" s="12" t="n"/>
      <c r="N701" s="12" t="n"/>
      <c r="O701" s="12" t="n"/>
      <c r="P701" s="12" t="n"/>
      <c r="Q701" s="7">
        <f>IF(A701="","",IFERROR(VLOOKUP(O701,Listes!$R$3:$T$8,2,FALSE),0)+IFERROR(VLOOKUP(J701,Listes!$J$3:$L$6,2,FALSE),0)+IFERROR(VLOOKUP(N701,Listes!$N$3:$P$6,2,FALSE),0)+IF(OR(L701="",B701=""),0,IF(L701-INT(B701)&lt;10,8,IF(L701-INT(B701)&lt;=90,10,5)))+IFERROR(VLOOKUP(AN701,Listes!$V$3:$W$5,2,FALSE),0)+IFERROR(VLOOKUP(AO701,Listes!$Y$3:$Z$5,2,FALSE),0))</f>
        <v/>
      </c>
      <c r="R701" s="12" t="n"/>
      <c r="S701" s="12" t="n"/>
      <c r="T701" s="12" t="n"/>
      <c r="U701" s="15" t="n"/>
      <c r="V701" s="15" t="n"/>
      <c r="W701" s="13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3" t="n"/>
      <c r="AK701" s="12" t="n"/>
      <c r="AL701" s="12" t="n"/>
      <c r="AM701" s="12" t="n"/>
      <c r="AN701" s="12" t="n"/>
      <c r="AO701" s="12" t="n"/>
      <c r="AP701" s="12" t="n"/>
      <c r="AQ701" s="7">
        <f>IF(A701="","",IF(AP701&lt;&gt;"",AP701,IF(LEFT(Z701,11)="gads_marque","Google Search – Marque",IF(LEFT(Z701,12)="gads_mariage","Google Search – Mariage et privé",IF(LEFT(Z701,10)="gads_corpo","Google Search – Corporatif",IF(LEFT(Z701,5)="meta_","Meta – Leads",IF(LEFT(Z701,5)="msft_","Microsoft Ads",IF(LEFT(Z701,8)="chatgpt_","ChatGPT Ads – Test",IF(X701="gbp","Fiche Google (organique)","Autre / non payé")))))))))</f>
        <v/>
      </c>
      <c r="AR701" s="7">
        <f>IF(K701="","",IFERROR(VLOOKUP(K701,Listes!$F$3:$H$8,3,FALSE),""))</f>
        <v/>
      </c>
      <c r="AS701" s="7">
        <f>IF(O701="","",IF(AND(M701="Autre (plus de 40 km)",OR(O701="lt600",O701="600_999",O701="1000_2499")),"D",IF(OR(O701="lt600",AND(O701="600_999",K701&lt;&gt;"mariage",K701&lt;&gt;"prive")),"C",IF(OR(O701="2500_4999",O701="5000p",J701="entreprise",J701="organisme",J701="agence"),"A",IF(OR(O701="1000_2499",O701="600_999"),"B",IF(O701="inconnu",IF(OR(N701="75_149",N701="150p"),"A","B"),""))))))</f>
        <v/>
      </c>
      <c r="AT701" s="7">
        <f>IF(A701="","",IF(P701&lt;&gt;"",P701,AS701))</f>
        <v/>
      </c>
      <c r="AU701" s="7">
        <f>IF(A701="","",IF(OR(AT701="A",AT701="B"),1,0))</f>
        <v/>
      </c>
      <c r="AV701" s="7">
        <f>IF(A701="","",IF(OR(R701="Dépôt payé (gagné)",R701="Événement livré",R701="Avis obtenu"),1,0))</f>
        <v/>
      </c>
      <c r="AW701" s="7">
        <f>IF(A701="","",IF(Q701&gt;70,"Immédiat – propriétaire",IF(Q701&gt;=40,"15 min – personne de garde","Selon la route")))</f>
        <v/>
      </c>
      <c r="AX701" s="11">
        <f>IF(A701="","",IF(AT701="A",400,IF(AT701="B",150,0)))</f>
        <v/>
      </c>
      <c r="AY701" s="11">
        <f>IF(A701="","",IF(AV701=1,N(V701),IF(N(U701)&gt;0,ROUND(N(U701)*IFERROR(VLOOKUP(R701,Listes!$AE$3:$AG$12,2,FALSE),0),0),0)))</f>
        <v/>
      </c>
      <c r="AZ701" s="7">
        <f>IF(LEFT(A701,7)="EXEMPLE",1,0)</f>
        <v/>
      </c>
      <c r="BA701" s="7">
        <f>IF(AND(AV701=1,AZ701=0,AC701&lt;&gt;"",W701&lt;&gt;"",N(V701)&gt;0),COUNTIFS($AV$3:AV701,1,$AZ$3:AZ701,0,$AC$3:AC701,"&lt;&gt;",$W$3:W701,"&lt;&gt;",$V$3:V701,"&gt;0"),"")</f>
        <v/>
      </c>
    </row>
    <row r="702">
      <c r="A702" s="12" t="n"/>
      <c r="B702" s="13" t="n"/>
      <c r="C702" s="13" t="n"/>
      <c r="D702" s="7">
        <f>IF(OR(B702="",C702=""),"",ROUND((C702-B702)*1440,0))</f>
        <v/>
      </c>
      <c r="E702" s="12" t="n"/>
      <c r="F702" s="12" t="n"/>
      <c r="G702" s="12" t="n"/>
      <c r="H702" s="12" t="n"/>
      <c r="I702" s="12" t="n"/>
      <c r="J702" s="12" t="n"/>
      <c r="K702" s="12" t="n"/>
      <c r="L702" s="14" t="n"/>
      <c r="M702" s="12" t="n"/>
      <c r="N702" s="12" t="n"/>
      <c r="O702" s="12" t="n"/>
      <c r="P702" s="12" t="n"/>
      <c r="Q702" s="7">
        <f>IF(A702="","",IFERROR(VLOOKUP(O702,Listes!$R$3:$T$8,2,FALSE),0)+IFERROR(VLOOKUP(J702,Listes!$J$3:$L$6,2,FALSE),0)+IFERROR(VLOOKUP(N702,Listes!$N$3:$P$6,2,FALSE),0)+IF(OR(L702="",B702=""),0,IF(L702-INT(B702)&lt;10,8,IF(L702-INT(B702)&lt;=90,10,5)))+IFERROR(VLOOKUP(AN702,Listes!$V$3:$W$5,2,FALSE),0)+IFERROR(VLOOKUP(AO702,Listes!$Y$3:$Z$5,2,FALSE),0))</f>
        <v/>
      </c>
      <c r="R702" s="12" t="n"/>
      <c r="S702" s="12" t="n"/>
      <c r="T702" s="12" t="n"/>
      <c r="U702" s="15" t="n"/>
      <c r="V702" s="15" t="n"/>
      <c r="W702" s="13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3" t="n"/>
      <c r="AK702" s="12" t="n"/>
      <c r="AL702" s="12" t="n"/>
      <c r="AM702" s="12" t="n"/>
      <c r="AN702" s="12" t="n"/>
      <c r="AO702" s="12" t="n"/>
      <c r="AP702" s="12" t="n"/>
      <c r="AQ702" s="7">
        <f>IF(A702="","",IF(AP702&lt;&gt;"",AP702,IF(LEFT(Z702,11)="gads_marque","Google Search – Marque",IF(LEFT(Z702,12)="gads_mariage","Google Search – Mariage et privé",IF(LEFT(Z702,10)="gads_corpo","Google Search – Corporatif",IF(LEFT(Z702,5)="meta_","Meta – Leads",IF(LEFT(Z702,5)="msft_","Microsoft Ads",IF(LEFT(Z702,8)="chatgpt_","ChatGPT Ads – Test",IF(X702="gbp","Fiche Google (organique)","Autre / non payé")))))))))</f>
        <v/>
      </c>
      <c r="AR702" s="7">
        <f>IF(K702="","",IFERROR(VLOOKUP(K702,Listes!$F$3:$H$8,3,FALSE),""))</f>
        <v/>
      </c>
      <c r="AS702" s="7">
        <f>IF(O702="","",IF(AND(M702="Autre (plus de 40 km)",OR(O702="lt600",O702="600_999",O702="1000_2499")),"D",IF(OR(O702="lt600",AND(O702="600_999",K702&lt;&gt;"mariage",K702&lt;&gt;"prive")),"C",IF(OR(O702="2500_4999",O702="5000p",J702="entreprise",J702="organisme",J702="agence"),"A",IF(OR(O702="1000_2499",O702="600_999"),"B",IF(O702="inconnu",IF(OR(N702="75_149",N702="150p"),"A","B"),""))))))</f>
        <v/>
      </c>
      <c r="AT702" s="7">
        <f>IF(A702="","",IF(P702&lt;&gt;"",P702,AS702))</f>
        <v/>
      </c>
      <c r="AU702" s="7">
        <f>IF(A702="","",IF(OR(AT702="A",AT702="B"),1,0))</f>
        <v/>
      </c>
      <c r="AV702" s="7">
        <f>IF(A702="","",IF(OR(R702="Dépôt payé (gagné)",R702="Événement livré",R702="Avis obtenu"),1,0))</f>
        <v/>
      </c>
      <c r="AW702" s="7">
        <f>IF(A702="","",IF(Q702&gt;70,"Immédiat – propriétaire",IF(Q702&gt;=40,"15 min – personne de garde","Selon la route")))</f>
        <v/>
      </c>
      <c r="AX702" s="11">
        <f>IF(A702="","",IF(AT702="A",400,IF(AT702="B",150,0)))</f>
        <v/>
      </c>
      <c r="AY702" s="11">
        <f>IF(A702="","",IF(AV702=1,N(V702),IF(N(U702)&gt;0,ROUND(N(U702)*IFERROR(VLOOKUP(R702,Listes!$AE$3:$AG$12,2,FALSE),0),0),0)))</f>
        <v/>
      </c>
      <c r="AZ702" s="7">
        <f>IF(LEFT(A702,7)="EXEMPLE",1,0)</f>
        <v/>
      </c>
      <c r="BA702" s="7">
        <f>IF(AND(AV702=1,AZ702=0,AC702&lt;&gt;"",W702&lt;&gt;"",N(V702)&gt;0),COUNTIFS($AV$3:AV702,1,$AZ$3:AZ702,0,$AC$3:AC702,"&lt;&gt;",$W$3:W702,"&lt;&gt;",$V$3:V702,"&gt;0"),"")</f>
        <v/>
      </c>
    </row>
    <row r="703">
      <c r="A703" s="12" t="n"/>
      <c r="B703" s="13" t="n"/>
      <c r="C703" s="13" t="n"/>
      <c r="D703" s="7">
        <f>IF(OR(B703="",C703=""),"",ROUND((C703-B703)*1440,0))</f>
        <v/>
      </c>
      <c r="E703" s="12" t="n"/>
      <c r="F703" s="12" t="n"/>
      <c r="G703" s="12" t="n"/>
      <c r="H703" s="12" t="n"/>
      <c r="I703" s="12" t="n"/>
      <c r="J703" s="12" t="n"/>
      <c r="K703" s="12" t="n"/>
      <c r="L703" s="14" t="n"/>
      <c r="M703" s="12" t="n"/>
      <c r="N703" s="12" t="n"/>
      <c r="O703" s="12" t="n"/>
      <c r="P703" s="12" t="n"/>
      <c r="Q703" s="7">
        <f>IF(A703="","",IFERROR(VLOOKUP(O703,Listes!$R$3:$T$8,2,FALSE),0)+IFERROR(VLOOKUP(J703,Listes!$J$3:$L$6,2,FALSE),0)+IFERROR(VLOOKUP(N703,Listes!$N$3:$P$6,2,FALSE),0)+IF(OR(L703="",B703=""),0,IF(L703-INT(B703)&lt;10,8,IF(L703-INT(B703)&lt;=90,10,5)))+IFERROR(VLOOKUP(AN703,Listes!$V$3:$W$5,2,FALSE),0)+IFERROR(VLOOKUP(AO703,Listes!$Y$3:$Z$5,2,FALSE),0))</f>
        <v/>
      </c>
      <c r="R703" s="12" t="n"/>
      <c r="S703" s="12" t="n"/>
      <c r="T703" s="12" t="n"/>
      <c r="U703" s="15" t="n"/>
      <c r="V703" s="15" t="n"/>
      <c r="W703" s="13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3" t="n"/>
      <c r="AK703" s="12" t="n"/>
      <c r="AL703" s="12" t="n"/>
      <c r="AM703" s="12" t="n"/>
      <c r="AN703" s="12" t="n"/>
      <c r="AO703" s="12" t="n"/>
      <c r="AP703" s="12" t="n"/>
      <c r="AQ703" s="7">
        <f>IF(A703="","",IF(AP703&lt;&gt;"",AP703,IF(LEFT(Z703,11)="gads_marque","Google Search – Marque",IF(LEFT(Z703,12)="gads_mariage","Google Search – Mariage et privé",IF(LEFT(Z703,10)="gads_corpo","Google Search – Corporatif",IF(LEFT(Z703,5)="meta_","Meta – Leads",IF(LEFT(Z703,5)="msft_","Microsoft Ads",IF(LEFT(Z703,8)="chatgpt_","ChatGPT Ads – Test",IF(X703="gbp","Fiche Google (organique)","Autre / non payé")))))))))</f>
        <v/>
      </c>
      <c r="AR703" s="7">
        <f>IF(K703="","",IFERROR(VLOOKUP(K703,Listes!$F$3:$H$8,3,FALSE),""))</f>
        <v/>
      </c>
      <c r="AS703" s="7">
        <f>IF(O703="","",IF(AND(M703="Autre (plus de 40 km)",OR(O703="lt600",O703="600_999",O703="1000_2499")),"D",IF(OR(O703="lt600",AND(O703="600_999",K703&lt;&gt;"mariage",K703&lt;&gt;"prive")),"C",IF(OR(O703="2500_4999",O703="5000p",J703="entreprise",J703="organisme",J703="agence"),"A",IF(OR(O703="1000_2499",O703="600_999"),"B",IF(O703="inconnu",IF(OR(N703="75_149",N703="150p"),"A","B"),""))))))</f>
        <v/>
      </c>
      <c r="AT703" s="7">
        <f>IF(A703="","",IF(P703&lt;&gt;"",P703,AS703))</f>
        <v/>
      </c>
      <c r="AU703" s="7">
        <f>IF(A703="","",IF(OR(AT703="A",AT703="B"),1,0))</f>
        <v/>
      </c>
      <c r="AV703" s="7">
        <f>IF(A703="","",IF(OR(R703="Dépôt payé (gagné)",R703="Événement livré",R703="Avis obtenu"),1,0))</f>
        <v/>
      </c>
      <c r="AW703" s="7">
        <f>IF(A703="","",IF(Q703&gt;70,"Immédiat – propriétaire",IF(Q703&gt;=40,"15 min – personne de garde","Selon la route")))</f>
        <v/>
      </c>
      <c r="AX703" s="11">
        <f>IF(A703="","",IF(AT703="A",400,IF(AT703="B",150,0)))</f>
        <v/>
      </c>
      <c r="AY703" s="11">
        <f>IF(A703="","",IF(AV703=1,N(V703),IF(N(U703)&gt;0,ROUND(N(U703)*IFERROR(VLOOKUP(R703,Listes!$AE$3:$AG$12,2,FALSE),0),0),0)))</f>
        <v/>
      </c>
      <c r="AZ703" s="7">
        <f>IF(LEFT(A703,7)="EXEMPLE",1,0)</f>
        <v/>
      </c>
      <c r="BA703" s="7">
        <f>IF(AND(AV703=1,AZ703=0,AC703&lt;&gt;"",W703&lt;&gt;"",N(V703)&gt;0),COUNTIFS($AV$3:AV703,1,$AZ$3:AZ703,0,$AC$3:AC703,"&lt;&gt;",$W$3:W703,"&lt;&gt;",$V$3:V703,"&gt;0"),"")</f>
        <v/>
      </c>
    </row>
    <row r="704">
      <c r="A704" s="12" t="n"/>
      <c r="B704" s="13" t="n"/>
      <c r="C704" s="13" t="n"/>
      <c r="D704" s="7">
        <f>IF(OR(B704="",C704=""),"",ROUND((C704-B704)*1440,0))</f>
        <v/>
      </c>
      <c r="E704" s="12" t="n"/>
      <c r="F704" s="12" t="n"/>
      <c r="G704" s="12" t="n"/>
      <c r="H704" s="12" t="n"/>
      <c r="I704" s="12" t="n"/>
      <c r="J704" s="12" t="n"/>
      <c r="K704" s="12" t="n"/>
      <c r="L704" s="14" t="n"/>
      <c r="M704" s="12" t="n"/>
      <c r="N704" s="12" t="n"/>
      <c r="O704" s="12" t="n"/>
      <c r="P704" s="12" t="n"/>
      <c r="Q704" s="7">
        <f>IF(A704="","",IFERROR(VLOOKUP(O704,Listes!$R$3:$T$8,2,FALSE),0)+IFERROR(VLOOKUP(J704,Listes!$J$3:$L$6,2,FALSE),0)+IFERROR(VLOOKUP(N704,Listes!$N$3:$P$6,2,FALSE),0)+IF(OR(L704="",B704=""),0,IF(L704-INT(B704)&lt;10,8,IF(L704-INT(B704)&lt;=90,10,5)))+IFERROR(VLOOKUP(AN704,Listes!$V$3:$W$5,2,FALSE),0)+IFERROR(VLOOKUP(AO704,Listes!$Y$3:$Z$5,2,FALSE),0))</f>
        <v/>
      </c>
      <c r="R704" s="12" t="n"/>
      <c r="S704" s="12" t="n"/>
      <c r="T704" s="12" t="n"/>
      <c r="U704" s="15" t="n"/>
      <c r="V704" s="15" t="n"/>
      <c r="W704" s="13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3" t="n"/>
      <c r="AK704" s="12" t="n"/>
      <c r="AL704" s="12" t="n"/>
      <c r="AM704" s="12" t="n"/>
      <c r="AN704" s="12" t="n"/>
      <c r="AO704" s="12" t="n"/>
      <c r="AP704" s="12" t="n"/>
      <c r="AQ704" s="7">
        <f>IF(A704="","",IF(AP704&lt;&gt;"",AP704,IF(LEFT(Z704,11)="gads_marque","Google Search – Marque",IF(LEFT(Z704,12)="gads_mariage","Google Search – Mariage et privé",IF(LEFT(Z704,10)="gads_corpo","Google Search – Corporatif",IF(LEFT(Z704,5)="meta_","Meta – Leads",IF(LEFT(Z704,5)="msft_","Microsoft Ads",IF(LEFT(Z704,8)="chatgpt_","ChatGPT Ads – Test",IF(X704="gbp","Fiche Google (organique)","Autre / non payé")))))))))</f>
        <v/>
      </c>
      <c r="AR704" s="7">
        <f>IF(K704="","",IFERROR(VLOOKUP(K704,Listes!$F$3:$H$8,3,FALSE),""))</f>
        <v/>
      </c>
      <c r="AS704" s="7">
        <f>IF(O704="","",IF(AND(M704="Autre (plus de 40 km)",OR(O704="lt600",O704="600_999",O704="1000_2499")),"D",IF(OR(O704="lt600",AND(O704="600_999",K704&lt;&gt;"mariage",K704&lt;&gt;"prive")),"C",IF(OR(O704="2500_4999",O704="5000p",J704="entreprise",J704="organisme",J704="agence"),"A",IF(OR(O704="1000_2499",O704="600_999"),"B",IF(O704="inconnu",IF(OR(N704="75_149",N704="150p"),"A","B"),""))))))</f>
        <v/>
      </c>
      <c r="AT704" s="7">
        <f>IF(A704="","",IF(P704&lt;&gt;"",P704,AS704))</f>
        <v/>
      </c>
      <c r="AU704" s="7">
        <f>IF(A704="","",IF(OR(AT704="A",AT704="B"),1,0))</f>
        <v/>
      </c>
      <c r="AV704" s="7">
        <f>IF(A704="","",IF(OR(R704="Dépôt payé (gagné)",R704="Événement livré",R704="Avis obtenu"),1,0))</f>
        <v/>
      </c>
      <c r="AW704" s="7">
        <f>IF(A704="","",IF(Q704&gt;70,"Immédiat – propriétaire",IF(Q704&gt;=40,"15 min – personne de garde","Selon la route")))</f>
        <v/>
      </c>
      <c r="AX704" s="11">
        <f>IF(A704="","",IF(AT704="A",400,IF(AT704="B",150,0)))</f>
        <v/>
      </c>
      <c r="AY704" s="11">
        <f>IF(A704="","",IF(AV704=1,N(V704),IF(N(U704)&gt;0,ROUND(N(U704)*IFERROR(VLOOKUP(R704,Listes!$AE$3:$AG$12,2,FALSE),0),0),0)))</f>
        <v/>
      </c>
      <c r="AZ704" s="7">
        <f>IF(LEFT(A704,7)="EXEMPLE",1,0)</f>
        <v/>
      </c>
      <c r="BA704" s="7">
        <f>IF(AND(AV704=1,AZ704=0,AC704&lt;&gt;"",W704&lt;&gt;"",N(V704)&gt;0),COUNTIFS($AV$3:AV704,1,$AZ$3:AZ704,0,$AC$3:AC704,"&lt;&gt;",$W$3:W704,"&lt;&gt;",$V$3:V704,"&gt;0"),"")</f>
        <v/>
      </c>
    </row>
    <row r="705">
      <c r="A705" s="12" t="n"/>
      <c r="B705" s="13" t="n"/>
      <c r="C705" s="13" t="n"/>
      <c r="D705" s="7">
        <f>IF(OR(B705="",C705=""),"",ROUND((C705-B705)*1440,0))</f>
        <v/>
      </c>
      <c r="E705" s="12" t="n"/>
      <c r="F705" s="12" t="n"/>
      <c r="G705" s="12" t="n"/>
      <c r="H705" s="12" t="n"/>
      <c r="I705" s="12" t="n"/>
      <c r="J705" s="12" t="n"/>
      <c r="K705" s="12" t="n"/>
      <c r="L705" s="14" t="n"/>
      <c r="M705" s="12" t="n"/>
      <c r="N705" s="12" t="n"/>
      <c r="O705" s="12" t="n"/>
      <c r="P705" s="12" t="n"/>
      <c r="Q705" s="7">
        <f>IF(A705="","",IFERROR(VLOOKUP(O705,Listes!$R$3:$T$8,2,FALSE),0)+IFERROR(VLOOKUP(J705,Listes!$J$3:$L$6,2,FALSE),0)+IFERROR(VLOOKUP(N705,Listes!$N$3:$P$6,2,FALSE),0)+IF(OR(L705="",B705=""),0,IF(L705-INT(B705)&lt;10,8,IF(L705-INT(B705)&lt;=90,10,5)))+IFERROR(VLOOKUP(AN705,Listes!$V$3:$W$5,2,FALSE),0)+IFERROR(VLOOKUP(AO705,Listes!$Y$3:$Z$5,2,FALSE),0))</f>
        <v/>
      </c>
      <c r="R705" s="12" t="n"/>
      <c r="S705" s="12" t="n"/>
      <c r="T705" s="12" t="n"/>
      <c r="U705" s="15" t="n"/>
      <c r="V705" s="15" t="n"/>
      <c r="W705" s="13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3" t="n"/>
      <c r="AK705" s="12" t="n"/>
      <c r="AL705" s="12" t="n"/>
      <c r="AM705" s="12" t="n"/>
      <c r="AN705" s="12" t="n"/>
      <c r="AO705" s="12" t="n"/>
      <c r="AP705" s="12" t="n"/>
      <c r="AQ705" s="7">
        <f>IF(A705="","",IF(AP705&lt;&gt;"",AP705,IF(LEFT(Z705,11)="gads_marque","Google Search – Marque",IF(LEFT(Z705,12)="gads_mariage","Google Search – Mariage et privé",IF(LEFT(Z705,10)="gads_corpo","Google Search – Corporatif",IF(LEFT(Z705,5)="meta_","Meta – Leads",IF(LEFT(Z705,5)="msft_","Microsoft Ads",IF(LEFT(Z705,8)="chatgpt_","ChatGPT Ads – Test",IF(X705="gbp","Fiche Google (organique)","Autre / non payé")))))))))</f>
        <v/>
      </c>
      <c r="AR705" s="7">
        <f>IF(K705="","",IFERROR(VLOOKUP(K705,Listes!$F$3:$H$8,3,FALSE),""))</f>
        <v/>
      </c>
      <c r="AS705" s="7">
        <f>IF(O705="","",IF(AND(M705="Autre (plus de 40 km)",OR(O705="lt600",O705="600_999",O705="1000_2499")),"D",IF(OR(O705="lt600",AND(O705="600_999",K705&lt;&gt;"mariage",K705&lt;&gt;"prive")),"C",IF(OR(O705="2500_4999",O705="5000p",J705="entreprise",J705="organisme",J705="agence"),"A",IF(OR(O705="1000_2499",O705="600_999"),"B",IF(O705="inconnu",IF(OR(N705="75_149",N705="150p"),"A","B"),""))))))</f>
        <v/>
      </c>
      <c r="AT705" s="7">
        <f>IF(A705="","",IF(P705&lt;&gt;"",P705,AS705))</f>
        <v/>
      </c>
      <c r="AU705" s="7">
        <f>IF(A705="","",IF(OR(AT705="A",AT705="B"),1,0))</f>
        <v/>
      </c>
      <c r="AV705" s="7">
        <f>IF(A705="","",IF(OR(R705="Dépôt payé (gagné)",R705="Événement livré",R705="Avis obtenu"),1,0))</f>
        <v/>
      </c>
      <c r="AW705" s="7">
        <f>IF(A705="","",IF(Q705&gt;70,"Immédiat – propriétaire",IF(Q705&gt;=40,"15 min – personne de garde","Selon la route")))</f>
        <v/>
      </c>
      <c r="AX705" s="11">
        <f>IF(A705="","",IF(AT705="A",400,IF(AT705="B",150,0)))</f>
        <v/>
      </c>
      <c r="AY705" s="11">
        <f>IF(A705="","",IF(AV705=1,N(V705),IF(N(U705)&gt;0,ROUND(N(U705)*IFERROR(VLOOKUP(R705,Listes!$AE$3:$AG$12,2,FALSE),0),0),0)))</f>
        <v/>
      </c>
      <c r="AZ705" s="7">
        <f>IF(LEFT(A705,7)="EXEMPLE",1,0)</f>
        <v/>
      </c>
      <c r="BA705" s="7">
        <f>IF(AND(AV705=1,AZ705=0,AC705&lt;&gt;"",W705&lt;&gt;"",N(V705)&gt;0),COUNTIFS($AV$3:AV705,1,$AZ$3:AZ705,0,$AC$3:AC705,"&lt;&gt;",$W$3:W705,"&lt;&gt;",$V$3:V705,"&gt;0"),"")</f>
        <v/>
      </c>
    </row>
    <row r="706">
      <c r="A706" s="12" t="n"/>
      <c r="B706" s="13" t="n"/>
      <c r="C706" s="13" t="n"/>
      <c r="D706" s="7">
        <f>IF(OR(B706="",C706=""),"",ROUND((C706-B706)*1440,0))</f>
        <v/>
      </c>
      <c r="E706" s="12" t="n"/>
      <c r="F706" s="12" t="n"/>
      <c r="G706" s="12" t="n"/>
      <c r="H706" s="12" t="n"/>
      <c r="I706" s="12" t="n"/>
      <c r="J706" s="12" t="n"/>
      <c r="K706" s="12" t="n"/>
      <c r="L706" s="14" t="n"/>
      <c r="M706" s="12" t="n"/>
      <c r="N706" s="12" t="n"/>
      <c r="O706" s="12" t="n"/>
      <c r="P706" s="12" t="n"/>
      <c r="Q706" s="7">
        <f>IF(A706="","",IFERROR(VLOOKUP(O706,Listes!$R$3:$T$8,2,FALSE),0)+IFERROR(VLOOKUP(J706,Listes!$J$3:$L$6,2,FALSE),0)+IFERROR(VLOOKUP(N706,Listes!$N$3:$P$6,2,FALSE),0)+IF(OR(L706="",B706=""),0,IF(L706-INT(B706)&lt;10,8,IF(L706-INT(B706)&lt;=90,10,5)))+IFERROR(VLOOKUP(AN706,Listes!$V$3:$W$5,2,FALSE),0)+IFERROR(VLOOKUP(AO706,Listes!$Y$3:$Z$5,2,FALSE),0))</f>
        <v/>
      </c>
      <c r="R706" s="12" t="n"/>
      <c r="S706" s="12" t="n"/>
      <c r="T706" s="12" t="n"/>
      <c r="U706" s="15" t="n"/>
      <c r="V706" s="15" t="n"/>
      <c r="W706" s="13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3" t="n"/>
      <c r="AK706" s="12" t="n"/>
      <c r="AL706" s="12" t="n"/>
      <c r="AM706" s="12" t="n"/>
      <c r="AN706" s="12" t="n"/>
      <c r="AO706" s="12" t="n"/>
      <c r="AP706" s="12" t="n"/>
      <c r="AQ706" s="7">
        <f>IF(A706="","",IF(AP706&lt;&gt;"",AP706,IF(LEFT(Z706,11)="gads_marque","Google Search – Marque",IF(LEFT(Z706,12)="gads_mariage","Google Search – Mariage et privé",IF(LEFT(Z706,10)="gads_corpo","Google Search – Corporatif",IF(LEFT(Z706,5)="meta_","Meta – Leads",IF(LEFT(Z706,5)="msft_","Microsoft Ads",IF(LEFT(Z706,8)="chatgpt_","ChatGPT Ads – Test",IF(X706="gbp","Fiche Google (organique)","Autre / non payé")))))))))</f>
        <v/>
      </c>
      <c r="AR706" s="7">
        <f>IF(K706="","",IFERROR(VLOOKUP(K706,Listes!$F$3:$H$8,3,FALSE),""))</f>
        <v/>
      </c>
      <c r="AS706" s="7">
        <f>IF(O706="","",IF(AND(M706="Autre (plus de 40 km)",OR(O706="lt600",O706="600_999",O706="1000_2499")),"D",IF(OR(O706="lt600",AND(O706="600_999",K706&lt;&gt;"mariage",K706&lt;&gt;"prive")),"C",IF(OR(O706="2500_4999",O706="5000p",J706="entreprise",J706="organisme",J706="agence"),"A",IF(OR(O706="1000_2499",O706="600_999"),"B",IF(O706="inconnu",IF(OR(N706="75_149",N706="150p"),"A","B"),""))))))</f>
        <v/>
      </c>
      <c r="AT706" s="7">
        <f>IF(A706="","",IF(P706&lt;&gt;"",P706,AS706))</f>
        <v/>
      </c>
      <c r="AU706" s="7">
        <f>IF(A706="","",IF(OR(AT706="A",AT706="B"),1,0))</f>
        <v/>
      </c>
      <c r="AV706" s="7">
        <f>IF(A706="","",IF(OR(R706="Dépôt payé (gagné)",R706="Événement livré",R706="Avis obtenu"),1,0))</f>
        <v/>
      </c>
      <c r="AW706" s="7">
        <f>IF(A706="","",IF(Q706&gt;70,"Immédiat – propriétaire",IF(Q706&gt;=40,"15 min – personne de garde","Selon la route")))</f>
        <v/>
      </c>
      <c r="AX706" s="11">
        <f>IF(A706="","",IF(AT706="A",400,IF(AT706="B",150,0)))</f>
        <v/>
      </c>
      <c r="AY706" s="11">
        <f>IF(A706="","",IF(AV706=1,N(V706),IF(N(U706)&gt;0,ROUND(N(U706)*IFERROR(VLOOKUP(R706,Listes!$AE$3:$AG$12,2,FALSE),0),0),0)))</f>
        <v/>
      </c>
      <c r="AZ706" s="7">
        <f>IF(LEFT(A706,7)="EXEMPLE",1,0)</f>
        <v/>
      </c>
      <c r="BA706" s="7">
        <f>IF(AND(AV706=1,AZ706=0,AC706&lt;&gt;"",W706&lt;&gt;"",N(V706)&gt;0),COUNTIFS($AV$3:AV706,1,$AZ$3:AZ706,0,$AC$3:AC706,"&lt;&gt;",$W$3:W706,"&lt;&gt;",$V$3:V706,"&gt;0"),"")</f>
        <v/>
      </c>
    </row>
    <row r="707">
      <c r="A707" s="12" t="n"/>
      <c r="B707" s="13" t="n"/>
      <c r="C707" s="13" t="n"/>
      <c r="D707" s="7">
        <f>IF(OR(B707="",C707=""),"",ROUND((C707-B707)*1440,0))</f>
        <v/>
      </c>
      <c r="E707" s="12" t="n"/>
      <c r="F707" s="12" t="n"/>
      <c r="G707" s="12" t="n"/>
      <c r="H707" s="12" t="n"/>
      <c r="I707" s="12" t="n"/>
      <c r="J707" s="12" t="n"/>
      <c r="K707" s="12" t="n"/>
      <c r="L707" s="14" t="n"/>
      <c r="M707" s="12" t="n"/>
      <c r="N707" s="12" t="n"/>
      <c r="O707" s="12" t="n"/>
      <c r="P707" s="12" t="n"/>
      <c r="Q707" s="7">
        <f>IF(A707="","",IFERROR(VLOOKUP(O707,Listes!$R$3:$T$8,2,FALSE),0)+IFERROR(VLOOKUP(J707,Listes!$J$3:$L$6,2,FALSE),0)+IFERROR(VLOOKUP(N707,Listes!$N$3:$P$6,2,FALSE),0)+IF(OR(L707="",B707=""),0,IF(L707-INT(B707)&lt;10,8,IF(L707-INT(B707)&lt;=90,10,5)))+IFERROR(VLOOKUP(AN707,Listes!$V$3:$W$5,2,FALSE),0)+IFERROR(VLOOKUP(AO707,Listes!$Y$3:$Z$5,2,FALSE),0))</f>
        <v/>
      </c>
      <c r="R707" s="12" t="n"/>
      <c r="S707" s="12" t="n"/>
      <c r="T707" s="12" t="n"/>
      <c r="U707" s="15" t="n"/>
      <c r="V707" s="15" t="n"/>
      <c r="W707" s="13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3" t="n"/>
      <c r="AK707" s="12" t="n"/>
      <c r="AL707" s="12" t="n"/>
      <c r="AM707" s="12" t="n"/>
      <c r="AN707" s="12" t="n"/>
      <c r="AO707" s="12" t="n"/>
      <c r="AP707" s="12" t="n"/>
      <c r="AQ707" s="7">
        <f>IF(A707="","",IF(AP707&lt;&gt;"",AP707,IF(LEFT(Z707,11)="gads_marque","Google Search – Marque",IF(LEFT(Z707,12)="gads_mariage","Google Search – Mariage et privé",IF(LEFT(Z707,10)="gads_corpo","Google Search – Corporatif",IF(LEFT(Z707,5)="meta_","Meta – Leads",IF(LEFT(Z707,5)="msft_","Microsoft Ads",IF(LEFT(Z707,8)="chatgpt_","ChatGPT Ads – Test",IF(X707="gbp","Fiche Google (organique)","Autre / non payé")))))))))</f>
        <v/>
      </c>
      <c r="AR707" s="7">
        <f>IF(K707="","",IFERROR(VLOOKUP(K707,Listes!$F$3:$H$8,3,FALSE),""))</f>
        <v/>
      </c>
      <c r="AS707" s="7">
        <f>IF(O707="","",IF(AND(M707="Autre (plus de 40 km)",OR(O707="lt600",O707="600_999",O707="1000_2499")),"D",IF(OR(O707="lt600",AND(O707="600_999",K707&lt;&gt;"mariage",K707&lt;&gt;"prive")),"C",IF(OR(O707="2500_4999",O707="5000p",J707="entreprise",J707="organisme",J707="agence"),"A",IF(OR(O707="1000_2499",O707="600_999"),"B",IF(O707="inconnu",IF(OR(N707="75_149",N707="150p"),"A","B"),""))))))</f>
        <v/>
      </c>
      <c r="AT707" s="7">
        <f>IF(A707="","",IF(P707&lt;&gt;"",P707,AS707))</f>
        <v/>
      </c>
      <c r="AU707" s="7">
        <f>IF(A707="","",IF(OR(AT707="A",AT707="B"),1,0))</f>
        <v/>
      </c>
      <c r="AV707" s="7">
        <f>IF(A707="","",IF(OR(R707="Dépôt payé (gagné)",R707="Événement livré",R707="Avis obtenu"),1,0))</f>
        <v/>
      </c>
      <c r="AW707" s="7">
        <f>IF(A707="","",IF(Q707&gt;70,"Immédiat – propriétaire",IF(Q707&gt;=40,"15 min – personne de garde","Selon la route")))</f>
        <v/>
      </c>
      <c r="AX707" s="11">
        <f>IF(A707="","",IF(AT707="A",400,IF(AT707="B",150,0)))</f>
        <v/>
      </c>
      <c r="AY707" s="11">
        <f>IF(A707="","",IF(AV707=1,N(V707),IF(N(U707)&gt;0,ROUND(N(U707)*IFERROR(VLOOKUP(R707,Listes!$AE$3:$AG$12,2,FALSE),0),0),0)))</f>
        <v/>
      </c>
      <c r="AZ707" s="7">
        <f>IF(LEFT(A707,7)="EXEMPLE",1,0)</f>
        <v/>
      </c>
      <c r="BA707" s="7">
        <f>IF(AND(AV707=1,AZ707=0,AC707&lt;&gt;"",W707&lt;&gt;"",N(V707)&gt;0),COUNTIFS($AV$3:AV707,1,$AZ$3:AZ707,0,$AC$3:AC707,"&lt;&gt;",$W$3:W707,"&lt;&gt;",$V$3:V707,"&gt;0"),"")</f>
        <v/>
      </c>
    </row>
    <row r="708">
      <c r="A708" s="12" t="n"/>
      <c r="B708" s="13" t="n"/>
      <c r="C708" s="13" t="n"/>
      <c r="D708" s="7">
        <f>IF(OR(B708="",C708=""),"",ROUND((C708-B708)*1440,0))</f>
        <v/>
      </c>
      <c r="E708" s="12" t="n"/>
      <c r="F708" s="12" t="n"/>
      <c r="G708" s="12" t="n"/>
      <c r="H708" s="12" t="n"/>
      <c r="I708" s="12" t="n"/>
      <c r="J708" s="12" t="n"/>
      <c r="K708" s="12" t="n"/>
      <c r="L708" s="14" t="n"/>
      <c r="M708" s="12" t="n"/>
      <c r="N708" s="12" t="n"/>
      <c r="O708" s="12" t="n"/>
      <c r="P708" s="12" t="n"/>
      <c r="Q708" s="7">
        <f>IF(A708="","",IFERROR(VLOOKUP(O708,Listes!$R$3:$T$8,2,FALSE),0)+IFERROR(VLOOKUP(J708,Listes!$J$3:$L$6,2,FALSE),0)+IFERROR(VLOOKUP(N708,Listes!$N$3:$P$6,2,FALSE),0)+IF(OR(L708="",B708=""),0,IF(L708-INT(B708)&lt;10,8,IF(L708-INT(B708)&lt;=90,10,5)))+IFERROR(VLOOKUP(AN708,Listes!$V$3:$W$5,2,FALSE),0)+IFERROR(VLOOKUP(AO708,Listes!$Y$3:$Z$5,2,FALSE),0))</f>
        <v/>
      </c>
      <c r="R708" s="12" t="n"/>
      <c r="S708" s="12" t="n"/>
      <c r="T708" s="12" t="n"/>
      <c r="U708" s="15" t="n"/>
      <c r="V708" s="15" t="n"/>
      <c r="W708" s="13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3" t="n"/>
      <c r="AK708" s="12" t="n"/>
      <c r="AL708" s="12" t="n"/>
      <c r="AM708" s="12" t="n"/>
      <c r="AN708" s="12" t="n"/>
      <c r="AO708" s="12" t="n"/>
      <c r="AP708" s="12" t="n"/>
      <c r="AQ708" s="7">
        <f>IF(A708="","",IF(AP708&lt;&gt;"",AP708,IF(LEFT(Z708,11)="gads_marque","Google Search – Marque",IF(LEFT(Z708,12)="gads_mariage","Google Search – Mariage et privé",IF(LEFT(Z708,10)="gads_corpo","Google Search – Corporatif",IF(LEFT(Z708,5)="meta_","Meta – Leads",IF(LEFT(Z708,5)="msft_","Microsoft Ads",IF(LEFT(Z708,8)="chatgpt_","ChatGPT Ads – Test",IF(X708="gbp","Fiche Google (organique)","Autre / non payé")))))))))</f>
        <v/>
      </c>
      <c r="AR708" s="7">
        <f>IF(K708="","",IFERROR(VLOOKUP(K708,Listes!$F$3:$H$8,3,FALSE),""))</f>
        <v/>
      </c>
      <c r="AS708" s="7">
        <f>IF(O708="","",IF(AND(M708="Autre (plus de 40 km)",OR(O708="lt600",O708="600_999",O708="1000_2499")),"D",IF(OR(O708="lt600",AND(O708="600_999",K708&lt;&gt;"mariage",K708&lt;&gt;"prive")),"C",IF(OR(O708="2500_4999",O708="5000p",J708="entreprise",J708="organisme",J708="agence"),"A",IF(OR(O708="1000_2499",O708="600_999"),"B",IF(O708="inconnu",IF(OR(N708="75_149",N708="150p"),"A","B"),""))))))</f>
        <v/>
      </c>
      <c r="AT708" s="7">
        <f>IF(A708="","",IF(P708&lt;&gt;"",P708,AS708))</f>
        <v/>
      </c>
      <c r="AU708" s="7">
        <f>IF(A708="","",IF(OR(AT708="A",AT708="B"),1,0))</f>
        <v/>
      </c>
      <c r="AV708" s="7">
        <f>IF(A708="","",IF(OR(R708="Dépôt payé (gagné)",R708="Événement livré",R708="Avis obtenu"),1,0))</f>
        <v/>
      </c>
      <c r="AW708" s="7">
        <f>IF(A708="","",IF(Q708&gt;70,"Immédiat – propriétaire",IF(Q708&gt;=40,"15 min – personne de garde","Selon la route")))</f>
        <v/>
      </c>
      <c r="AX708" s="11">
        <f>IF(A708="","",IF(AT708="A",400,IF(AT708="B",150,0)))</f>
        <v/>
      </c>
      <c r="AY708" s="11">
        <f>IF(A708="","",IF(AV708=1,N(V708),IF(N(U708)&gt;0,ROUND(N(U708)*IFERROR(VLOOKUP(R708,Listes!$AE$3:$AG$12,2,FALSE),0),0),0)))</f>
        <v/>
      </c>
      <c r="AZ708" s="7">
        <f>IF(LEFT(A708,7)="EXEMPLE",1,0)</f>
        <v/>
      </c>
      <c r="BA708" s="7">
        <f>IF(AND(AV708=1,AZ708=0,AC708&lt;&gt;"",W708&lt;&gt;"",N(V708)&gt;0),COUNTIFS($AV$3:AV708,1,$AZ$3:AZ708,0,$AC$3:AC708,"&lt;&gt;",$W$3:W708,"&lt;&gt;",$V$3:V708,"&gt;0"),"")</f>
        <v/>
      </c>
    </row>
    <row r="709">
      <c r="A709" s="12" t="n"/>
      <c r="B709" s="13" t="n"/>
      <c r="C709" s="13" t="n"/>
      <c r="D709" s="7">
        <f>IF(OR(B709="",C709=""),"",ROUND((C709-B709)*1440,0))</f>
        <v/>
      </c>
      <c r="E709" s="12" t="n"/>
      <c r="F709" s="12" t="n"/>
      <c r="G709" s="12" t="n"/>
      <c r="H709" s="12" t="n"/>
      <c r="I709" s="12" t="n"/>
      <c r="J709" s="12" t="n"/>
      <c r="K709" s="12" t="n"/>
      <c r="L709" s="14" t="n"/>
      <c r="M709" s="12" t="n"/>
      <c r="N709" s="12" t="n"/>
      <c r="O709" s="12" t="n"/>
      <c r="P709" s="12" t="n"/>
      <c r="Q709" s="7">
        <f>IF(A709="","",IFERROR(VLOOKUP(O709,Listes!$R$3:$T$8,2,FALSE),0)+IFERROR(VLOOKUP(J709,Listes!$J$3:$L$6,2,FALSE),0)+IFERROR(VLOOKUP(N709,Listes!$N$3:$P$6,2,FALSE),0)+IF(OR(L709="",B709=""),0,IF(L709-INT(B709)&lt;10,8,IF(L709-INT(B709)&lt;=90,10,5)))+IFERROR(VLOOKUP(AN709,Listes!$V$3:$W$5,2,FALSE),0)+IFERROR(VLOOKUP(AO709,Listes!$Y$3:$Z$5,2,FALSE),0))</f>
        <v/>
      </c>
      <c r="R709" s="12" t="n"/>
      <c r="S709" s="12" t="n"/>
      <c r="T709" s="12" t="n"/>
      <c r="U709" s="15" t="n"/>
      <c r="V709" s="15" t="n"/>
      <c r="W709" s="13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3" t="n"/>
      <c r="AK709" s="12" t="n"/>
      <c r="AL709" s="12" t="n"/>
      <c r="AM709" s="12" t="n"/>
      <c r="AN709" s="12" t="n"/>
      <c r="AO709" s="12" t="n"/>
      <c r="AP709" s="12" t="n"/>
      <c r="AQ709" s="7">
        <f>IF(A709="","",IF(AP709&lt;&gt;"",AP709,IF(LEFT(Z709,11)="gads_marque","Google Search – Marque",IF(LEFT(Z709,12)="gads_mariage","Google Search – Mariage et privé",IF(LEFT(Z709,10)="gads_corpo","Google Search – Corporatif",IF(LEFT(Z709,5)="meta_","Meta – Leads",IF(LEFT(Z709,5)="msft_","Microsoft Ads",IF(LEFT(Z709,8)="chatgpt_","ChatGPT Ads – Test",IF(X709="gbp","Fiche Google (organique)","Autre / non payé")))))))))</f>
        <v/>
      </c>
      <c r="AR709" s="7">
        <f>IF(K709="","",IFERROR(VLOOKUP(K709,Listes!$F$3:$H$8,3,FALSE),""))</f>
        <v/>
      </c>
      <c r="AS709" s="7">
        <f>IF(O709="","",IF(AND(M709="Autre (plus de 40 km)",OR(O709="lt600",O709="600_999",O709="1000_2499")),"D",IF(OR(O709="lt600",AND(O709="600_999",K709&lt;&gt;"mariage",K709&lt;&gt;"prive")),"C",IF(OR(O709="2500_4999",O709="5000p",J709="entreprise",J709="organisme",J709="agence"),"A",IF(OR(O709="1000_2499",O709="600_999"),"B",IF(O709="inconnu",IF(OR(N709="75_149",N709="150p"),"A","B"),""))))))</f>
        <v/>
      </c>
      <c r="AT709" s="7">
        <f>IF(A709="","",IF(P709&lt;&gt;"",P709,AS709))</f>
        <v/>
      </c>
      <c r="AU709" s="7">
        <f>IF(A709="","",IF(OR(AT709="A",AT709="B"),1,0))</f>
        <v/>
      </c>
      <c r="AV709" s="7">
        <f>IF(A709="","",IF(OR(R709="Dépôt payé (gagné)",R709="Événement livré",R709="Avis obtenu"),1,0))</f>
        <v/>
      </c>
      <c r="AW709" s="7">
        <f>IF(A709="","",IF(Q709&gt;70,"Immédiat – propriétaire",IF(Q709&gt;=40,"15 min – personne de garde","Selon la route")))</f>
        <v/>
      </c>
      <c r="AX709" s="11">
        <f>IF(A709="","",IF(AT709="A",400,IF(AT709="B",150,0)))</f>
        <v/>
      </c>
      <c r="AY709" s="11">
        <f>IF(A709="","",IF(AV709=1,N(V709),IF(N(U709)&gt;0,ROUND(N(U709)*IFERROR(VLOOKUP(R709,Listes!$AE$3:$AG$12,2,FALSE),0),0),0)))</f>
        <v/>
      </c>
      <c r="AZ709" s="7">
        <f>IF(LEFT(A709,7)="EXEMPLE",1,0)</f>
        <v/>
      </c>
      <c r="BA709" s="7">
        <f>IF(AND(AV709=1,AZ709=0,AC709&lt;&gt;"",W709&lt;&gt;"",N(V709)&gt;0),COUNTIFS($AV$3:AV709,1,$AZ$3:AZ709,0,$AC$3:AC709,"&lt;&gt;",$W$3:W709,"&lt;&gt;",$V$3:V709,"&gt;0"),"")</f>
        <v/>
      </c>
    </row>
    <row r="710">
      <c r="A710" s="12" t="n"/>
      <c r="B710" s="13" t="n"/>
      <c r="C710" s="13" t="n"/>
      <c r="D710" s="7">
        <f>IF(OR(B710="",C710=""),"",ROUND((C710-B710)*1440,0))</f>
        <v/>
      </c>
      <c r="E710" s="12" t="n"/>
      <c r="F710" s="12" t="n"/>
      <c r="G710" s="12" t="n"/>
      <c r="H710" s="12" t="n"/>
      <c r="I710" s="12" t="n"/>
      <c r="J710" s="12" t="n"/>
      <c r="K710" s="12" t="n"/>
      <c r="L710" s="14" t="n"/>
      <c r="M710" s="12" t="n"/>
      <c r="N710" s="12" t="n"/>
      <c r="O710" s="12" t="n"/>
      <c r="P710" s="12" t="n"/>
      <c r="Q710" s="7">
        <f>IF(A710="","",IFERROR(VLOOKUP(O710,Listes!$R$3:$T$8,2,FALSE),0)+IFERROR(VLOOKUP(J710,Listes!$J$3:$L$6,2,FALSE),0)+IFERROR(VLOOKUP(N710,Listes!$N$3:$P$6,2,FALSE),0)+IF(OR(L710="",B710=""),0,IF(L710-INT(B710)&lt;10,8,IF(L710-INT(B710)&lt;=90,10,5)))+IFERROR(VLOOKUP(AN710,Listes!$V$3:$W$5,2,FALSE),0)+IFERROR(VLOOKUP(AO710,Listes!$Y$3:$Z$5,2,FALSE),0))</f>
        <v/>
      </c>
      <c r="R710" s="12" t="n"/>
      <c r="S710" s="12" t="n"/>
      <c r="T710" s="12" t="n"/>
      <c r="U710" s="15" t="n"/>
      <c r="V710" s="15" t="n"/>
      <c r="W710" s="13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3" t="n"/>
      <c r="AK710" s="12" t="n"/>
      <c r="AL710" s="12" t="n"/>
      <c r="AM710" s="12" t="n"/>
      <c r="AN710" s="12" t="n"/>
      <c r="AO710" s="12" t="n"/>
      <c r="AP710" s="12" t="n"/>
      <c r="AQ710" s="7">
        <f>IF(A710="","",IF(AP710&lt;&gt;"",AP710,IF(LEFT(Z710,11)="gads_marque","Google Search – Marque",IF(LEFT(Z710,12)="gads_mariage","Google Search – Mariage et privé",IF(LEFT(Z710,10)="gads_corpo","Google Search – Corporatif",IF(LEFT(Z710,5)="meta_","Meta – Leads",IF(LEFT(Z710,5)="msft_","Microsoft Ads",IF(LEFT(Z710,8)="chatgpt_","ChatGPT Ads – Test",IF(X710="gbp","Fiche Google (organique)","Autre / non payé")))))))))</f>
        <v/>
      </c>
      <c r="AR710" s="7">
        <f>IF(K710="","",IFERROR(VLOOKUP(K710,Listes!$F$3:$H$8,3,FALSE),""))</f>
        <v/>
      </c>
      <c r="AS710" s="7">
        <f>IF(O710="","",IF(AND(M710="Autre (plus de 40 km)",OR(O710="lt600",O710="600_999",O710="1000_2499")),"D",IF(OR(O710="lt600",AND(O710="600_999",K710&lt;&gt;"mariage",K710&lt;&gt;"prive")),"C",IF(OR(O710="2500_4999",O710="5000p",J710="entreprise",J710="organisme",J710="agence"),"A",IF(OR(O710="1000_2499",O710="600_999"),"B",IF(O710="inconnu",IF(OR(N710="75_149",N710="150p"),"A","B"),""))))))</f>
        <v/>
      </c>
      <c r="AT710" s="7">
        <f>IF(A710="","",IF(P710&lt;&gt;"",P710,AS710))</f>
        <v/>
      </c>
      <c r="AU710" s="7">
        <f>IF(A710="","",IF(OR(AT710="A",AT710="B"),1,0))</f>
        <v/>
      </c>
      <c r="AV710" s="7">
        <f>IF(A710="","",IF(OR(R710="Dépôt payé (gagné)",R710="Événement livré",R710="Avis obtenu"),1,0))</f>
        <v/>
      </c>
      <c r="AW710" s="7">
        <f>IF(A710="","",IF(Q710&gt;70,"Immédiat – propriétaire",IF(Q710&gt;=40,"15 min – personne de garde","Selon la route")))</f>
        <v/>
      </c>
      <c r="AX710" s="11">
        <f>IF(A710="","",IF(AT710="A",400,IF(AT710="B",150,0)))</f>
        <v/>
      </c>
      <c r="AY710" s="11">
        <f>IF(A710="","",IF(AV710=1,N(V710),IF(N(U710)&gt;0,ROUND(N(U710)*IFERROR(VLOOKUP(R710,Listes!$AE$3:$AG$12,2,FALSE),0),0),0)))</f>
        <v/>
      </c>
      <c r="AZ710" s="7">
        <f>IF(LEFT(A710,7)="EXEMPLE",1,0)</f>
        <v/>
      </c>
      <c r="BA710" s="7">
        <f>IF(AND(AV710=1,AZ710=0,AC710&lt;&gt;"",W710&lt;&gt;"",N(V710)&gt;0),COUNTIFS($AV$3:AV710,1,$AZ$3:AZ710,0,$AC$3:AC710,"&lt;&gt;",$W$3:W710,"&lt;&gt;",$V$3:V710,"&gt;0"),"")</f>
        <v/>
      </c>
    </row>
    <row r="711">
      <c r="A711" s="12" t="n"/>
      <c r="B711" s="13" t="n"/>
      <c r="C711" s="13" t="n"/>
      <c r="D711" s="7">
        <f>IF(OR(B711="",C711=""),"",ROUND((C711-B711)*1440,0))</f>
        <v/>
      </c>
      <c r="E711" s="12" t="n"/>
      <c r="F711" s="12" t="n"/>
      <c r="G711" s="12" t="n"/>
      <c r="H711" s="12" t="n"/>
      <c r="I711" s="12" t="n"/>
      <c r="J711" s="12" t="n"/>
      <c r="K711" s="12" t="n"/>
      <c r="L711" s="14" t="n"/>
      <c r="M711" s="12" t="n"/>
      <c r="N711" s="12" t="n"/>
      <c r="O711" s="12" t="n"/>
      <c r="P711" s="12" t="n"/>
      <c r="Q711" s="7">
        <f>IF(A711="","",IFERROR(VLOOKUP(O711,Listes!$R$3:$T$8,2,FALSE),0)+IFERROR(VLOOKUP(J711,Listes!$J$3:$L$6,2,FALSE),0)+IFERROR(VLOOKUP(N711,Listes!$N$3:$P$6,2,FALSE),0)+IF(OR(L711="",B711=""),0,IF(L711-INT(B711)&lt;10,8,IF(L711-INT(B711)&lt;=90,10,5)))+IFERROR(VLOOKUP(AN711,Listes!$V$3:$W$5,2,FALSE),0)+IFERROR(VLOOKUP(AO711,Listes!$Y$3:$Z$5,2,FALSE),0))</f>
        <v/>
      </c>
      <c r="R711" s="12" t="n"/>
      <c r="S711" s="12" t="n"/>
      <c r="T711" s="12" t="n"/>
      <c r="U711" s="15" t="n"/>
      <c r="V711" s="15" t="n"/>
      <c r="W711" s="13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3" t="n"/>
      <c r="AK711" s="12" t="n"/>
      <c r="AL711" s="12" t="n"/>
      <c r="AM711" s="12" t="n"/>
      <c r="AN711" s="12" t="n"/>
      <c r="AO711" s="12" t="n"/>
      <c r="AP711" s="12" t="n"/>
      <c r="AQ711" s="7">
        <f>IF(A711="","",IF(AP711&lt;&gt;"",AP711,IF(LEFT(Z711,11)="gads_marque","Google Search – Marque",IF(LEFT(Z711,12)="gads_mariage","Google Search – Mariage et privé",IF(LEFT(Z711,10)="gads_corpo","Google Search – Corporatif",IF(LEFT(Z711,5)="meta_","Meta – Leads",IF(LEFT(Z711,5)="msft_","Microsoft Ads",IF(LEFT(Z711,8)="chatgpt_","ChatGPT Ads – Test",IF(X711="gbp","Fiche Google (organique)","Autre / non payé")))))))))</f>
        <v/>
      </c>
      <c r="AR711" s="7">
        <f>IF(K711="","",IFERROR(VLOOKUP(K711,Listes!$F$3:$H$8,3,FALSE),""))</f>
        <v/>
      </c>
      <c r="AS711" s="7">
        <f>IF(O711="","",IF(AND(M711="Autre (plus de 40 km)",OR(O711="lt600",O711="600_999",O711="1000_2499")),"D",IF(OR(O711="lt600",AND(O711="600_999",K711&lt;&gt;"mariage",K711&lt;&gt;"prive")),"C",IF(OR(O711="2500_4999",O711="5000p",J711="entreprise",J711="organisme",J711="agence"),"A",IF(OR(O711="1000_2499",O711="600_999"),"B",IF(O711="inconnu",IF(OR(N711="75_149",N711="150p"),"A","B"),""))))))</f>
        <v/>
      </c>
      <c r="AT711" s="7">
        <f>IF(A711="","",IF(P711&lt;&gt;"",P711,AS711))</f>
        <v/>
      </c>
      <c r="AU711" s="7">
        <f>IF(A711="","",IF(OR(AT711="A",AT711="B"),1,0))</f>
        <v/>
      </c>
      <c r="AV711" s="7">
        <f>IF(A711="","",IF(OR(R711="Dépôt payé (gagné)",R711="Événement livré",R711="Avis obtenu"),1,0))</f>
        <v/>
      </c>
      <c r="AW711" s="7">
        <f>IF(A711="","",IF(Q711&gt;70,"Immédiat – propriétaire",IF(Q711&gt;=40,"15 min – personne de garde","Selon la route")))</f>
        <v/>
      </c>
      <c r="AX711" s="11">
        <f>IF(A711="","",IF(AT711="A",400,IF(AT711="B",150,0)))</f>
        <v/>
      </c>
      <c r="AY711" s="11">
        <f>IF(A711="","",IF(AV711=1,N(V711),IF(N(U711)&gt;0,ROUND(N(U711)*IFERROR(VLOOKUP(R711,Listes!$AE$3:$AG$12,2,FALSE),0),0),0)))</f>
        <v/>
      </c>
      <c r="AZ711" s="7">
        <f>IF(LEFT(A711,7)="EXEMPLE",1,0)</f>
        <v/>
      </c>
      <c r="BA711" s="7">
        <f>IF(AND(AV711=1,AZ711=0,AC711&lt;&gt;"",W711&lt;&gt;"",N(V711)&gt;0),COUNTIFS($AV$3:AV711,1,$AZ$3:AZ711,0,$AC$3:AC711,"&lt;&gt;",$W$3:W711,"&lt;&gt;",$V$3:V711,"&gt;0"),"")</f>
        <v/>
      </c>
    </row>
    <row r="712">
      <c r="A712" s="12" t="n"/>
      <c r="B712" s="13" t="n"/>
      <c r="C712" s="13" t="n"/>
      <c r="D712" s="7">
        <f>IF(OR(B712="",C712=""),"",ROUND((C712-B712)*1440,0))</f>
        <v/>
      </c>
      <c r="E712" s="12" t="n"/>
      <c r="F712" s="12" t="n"/>
      <c r="G712" s="12" t="n"/>
      <c r="H712" s="12" t="n"/>
      <c r="I712" s="12" t="n"/>
      <c r="J712" s="12" t="n"/>
      <c r="K712" s="12" t="n"/>
      <c r="L712" s="14" t="n"/>
      <c r="M712" s="12" t="n"/>
      <c r="N712" s="12" t="n"/>
      <c r="O712" s="12" t="n"/>
      <c r="P712" s="12" t="n"/>
      <c r="Q712" s="7">
        <f>IF(A712="","",IFERROR(VLOOKUP(O712,Listes!$R$3:$T$8,2,FALSE),0)+IFERROR(VLOOKUP(J712,Listes!$J$3:$L$6,2,FALSE),0)+IFERROR(VLOOKUP(N712,Listes!$N$3:$P$6,2,FALSE),0)+IF(OR(L712="",B712=""),0,IF(L712-INT(B712)&lt;10,8,IF(L712-INT(B712)&lt;=90,10,5)))+IFERROR(VLOOKUP(AN712,Listes!$V$3:$W$5,2,FALSE),0)+IFERROR(VLOOKUP(AO712,Listes!$Y$3:$Z$5,2,FALSE),0))</f>
        <v/>
      </c>
      <c r="R712" s="12" t="n"/>
      <c r="S712" s="12" t="n"/>
      <c r="T712" s="12" t="n"/>
      <c r="U712" s="15" t="n"/>
      <c r="V712" s="15" t="n"/>
      <c r="W712" s="13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3" t="n"/>
      <c r="AK712" s="12" t="n"/>
      <c r="AL712" s="12" t="n"/>
      <c r="AM712" s="12" t="n"/>
      <c r="AN712" s="12" t="n"/>
      <c r="AO712" s="12" t="n"/>
      <c r="AP712" s="12" t="n"/>
      <c r="AQ712" s="7">
        <f>IF(A712="","",IF(AP712&lt;&gt;"",AP712,IF(LEFT(Z712,11)="gads_marque","Google Search – Marque",IF(LEFT(Z712,12)="gads_mariage","Google Search – Mariage et privé",IF(LEFT(Z712,10)="gads_corpo","Google Search – Corporatif",IF(LEFT(Z712,5)="meta_","Meta – Leads",IF(LEFT(Z712,5)="msft_","Microsoft Ads",IF(LEFT(Z712,8)="chatgpt_","ChatGPT Ads – Test",IF(X712="gbp","Fiche Google (organique)","Autre / non payé")))))))))</f>
        <v/>
      </c>
      <c r="AR712" s="7">
        <f>IF(K712="","",IFERROR(VLOOKUP(K712,Listes!$F$3:$H$8,3,FALSE),""))</f>
        <v/>
      </c>
      <c r="AS712" s="7">
        <f>IF(O712="","",IF(AND(M712="Autre (plus de 40 km)",OR(O712="lt600",O712="600_999",O712="1000_2499")),"D",IF(OR(O712="lt600",AND(O712="600_999",K712&lt;&gt;"mariage",K712&lt;&gt;"prive")),"C",IF(OR(O712="2500_4999",O712="5000p",J712="entreprise",J712="organisme",J712="agence"),"A",IF(OR(O712="1000_2499",O712="600_999"),"B",IF(O712="inconnu",IF(OR(N712="75_149",N712="150p"),"A","B"),""))))))</f>
        <v/>
      </c>
      <c r="AT712" s="7">
        <f>IF(A712="","",IF(P712&lt;&gt;"",P712,AS712))</f>
        <v/>
      </c>
      <c r="AU712" s="7">
        <f>IF(A712="","",IF(OR(AT712="A",AT712="B"),1,0))</f>
        <v/>
      </c>
      <c r="AV712" s="7">
        <f>IF(A712="","",IF(OR(R712="Dépôt payé (gagné)",R712="Événement livré",R712="Avis obtenu"),1,0))</f>
        <v/>
      </c>
      <c r="AW712" s="7">
        <f>IF(A712="","",IF(Q712&gt;70,"Immédiat – propriétaire",IF(Q712&gt;=40,"15 min – personne de garde","Selon la route")))</f>
        <v/>
      </c>
      <c r="AX712" s="11">
        <f>IF(A712="","",IF(AT712="A",400,IF(AT712="B",150,0)))</f>
        <v/>
      </c>
      <c r="AY712" s="11">
        <f>IF(A712="","",IF(AV712=1,N(V712),IF(N(U712)&gt;0,ROUND(N(U712)*IFERROR(VLOOKUP(R712,Listes!$AE$3:$AG$12,2,FALSE),0),0),0)))</f>
        <v/>
      </c>
      <c r="AZ712" s="7">
        <f>IF(LEFT(A712,7)="EXEMPLE",1,0)</f>
        <v/>
      </c>
      <c r="BA712" s="7">
        <f>IF(AND(AV712=1,AZ712=0,AC712&lt;&gt;"",W712&lt;&gt;"",N(V712)&gt;0),COUNTIFS($AV$3:AV712,1,$AZ$3:AZ712,0,$AC$3:AC712,"&lt;&gt;",$W$3:W712,"&lt;&gt;",$V$3:V712,"&gt;0"),"")</f>
        <v/>
      </c>
    </row>
    <row r="713">
      <c r="A713" s="12" t="n"/>
      <c r="B713" s="13" t="n"/>
      <c r="C713" s="13" t="n"/>
      <c r="D713" s="7">
        <f>IF(OR(B713="",C713=""),"",ROUND((C713-B713)*1440,0))</f>
        <v/>
      </c>
      <c r="E713" s="12" t="n"/>
      <c r="F713" s="12" t="n"/>
      <c r="G713" s="12" t="n"/>
      <c r="H713" s="12" t="n"/>
      <c r="I713" s="12" t="n"/>
      <c r="J713" s="12" t="n"/>
      <c r="K713" s="12" t="n"/>
      <c r="L713" s="14" t="n"/>
      <c r="M713" s="12" t="n"/>
      <c r="N713" s="12" t="n"/>
      <c r="O713" s="12" t="n"/>
      <c r="P713" s="12" t="n"/>
      <c r="Q713" s="7">
        <f>IF(A713="","",IFERROR(VLOOKUP(O713,Listes!$R$3:$T$8,2,FALSE),0)+IFERROR(VLOOKUP(J713,Listes!$J$3:$L$6,2,FALSE),0)+IFERROR(VLOOKUP(N713,Listes!$N$3:$P$6,2,FALSE),0)+IF(OR(L713="",B713=""),0,IF(L713-INT(B713)&lt;10,8,IF(L713-INT(B713)&lt;=90,10,5)))+IFERROR(VLOOKUP(AN713,Listes!$V$3:$W$5,2,FALSE),0)+IFERROR(VLOOKUP(AO713,Listes!$Y$3:$Z$5,2,FALSE),0))</f>
        <v/>
      </c>
      <c r="R713" s="12" t="n"/>
      <c r="S713" s="12" t="n"/>
      <c r="T713" s="12" t="n"/>
      <c r="U713" s="15" t="n"/>
      <c r="V713" s="15" t="n"/>
      <c r="W713" s="13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3" t="n"/>
      <c r="AK713" s="12" t="n"/>
      <c r="AL713" s="12" t="n"/>
      <c r="AM713" s="12" t="n"/>
      <c r="AN713" s="12" t="n"/>
      <c r="AO713" s="12" t="n"/>
      <c r="AP713" s="12" t="n"/>
      <c r="AQ713" s="7">
        <f>IF(A713="","",IF(AP713&lt;&gt;"",AP713,IF(LEFT(Z713,11)="gads_marque","Google Search – Marque",IF(LEFT(Z713,12)="gads_mariage","Google Search – Mariage et privé",IF(LEFT(Z713,10)="gads_corpo","Google Search – Corporatif",IF(LEFT(Z713,5)="meta_","Meta – Leads",IF(LEFT(Z713,5)="msft_","Microsoft Ads",IF(LEFT(Z713,8)="chatgpt_","ChatGPT Ads – Test",IF(X713="gbp","Fiche Google (organique)","Autre / non payé")))))))))</f>
        <v/>
      </c>
      <c r="AR713" s="7">
        <f>IF(K713="","",IFERROR(VLOOKUP(K713,Listes!$F$3:$H$8,3,FALSE),""))</f>
        <v/>
      </c>
      <c r="AS713" s="7">
        <f>IF(O713="","",IF(AND(M713="Autre (plus de 40 km)",OR(O713="lt600",O713="600_999",O713="1000_2499")),"D",IF(OR(O713="lt600",AND(O713="600_999",K713&lt;&gt;"mariage",K713&lt;&gt;"prive")),"C",IF(OR(O713="2500_4999",O713="5000p",J713="entreprise",J713="organisme",J713="agence"),"A",IF(OR(O713="1000_2499",O713="600_999"),"B",IF(O713="inconnu",IF(OR(N713="75_149",N713="150p"),"A","B"),""))))))</f>
        <v/>
      </c>
      <c r="AT713" s="7">
        <f>IF(A713="","",IF(P713&lt;&gt;"",P713,AS713))</f>
        <v/>
      </c>
      <c r="AU713" s="7">
        <f>IF(A713="","",IF(OR(AT713="A",AT713="B"),1,0))</f>
        <v/>
      </c>
      <c r="AV713" s="7">
        <f>IF(A713="","",IF(OR(R713="Dépôt payé (gagné)",R713="Événement livré",R713="Avis obtenu"),1,0))</f>
        <v/>
      </c>
      <c r="AW713" s="7">
        <f>IF(A713="","",IF(Q713&gt;70,"Immédiat – propriétaire",IF(Q713&gt;=40,"15 min – personne de garde","Selon la route")))</f>
        <v/>
      </c>
      <c r="AX713" s="11">
        <f>IF(A713="","",IF(AT713="A",400,IF(AT713="B",150,0)))</f>
        <v/>
      </c>
      <c r="AY713" s="11">
        <f>IF(A713="","",IF(AV713=1,N(V713),IF(N(U713)&gt;0,ROUND(N(U713)*IFERROR(VLOOKUP(R713,Listes!$AE$3:$AG$12,2,FALSE),0),0),0)))</f>
        <v/>
      </c>
      <c r="AZ713" s="7">
        <f>IF(LEFT(A713,7)="EXEMPLE",1,0)</f>
        <v/>
      </c>
      <c r="BA713" s="7">
        <f>IF(AND(AV713=1,AZ713=0,AC713&lt;&gt;"",W713&lt;&gt;"",N(V713)&gt;0),COUNTIFS($AV$3:AV713,1,$AZ$3:AZ713,0,$AC$3:AC713,"&lt;&gt;",$W$3:W713,"&lt;&gt;",$V$3:V713,"&gt;0"),"")</f>
        <v/>
      </c>
    </row>
    <row r="714">
      <c r="A714" s="12" t="n"/>
      <c r="B714" s="13" t="n"/>
      <c r="C714" s="13" t="n"/>
      <c r="D714" s="7">
        <f>IF(OR(B714="",C714=""),"",ROUND((C714-B714)*1440,0))</f>
        <v/>
      </c>
      <c r="E714" s="12" t="n"/>
      <c r="F714" s="12" t="n"/>
      <c r="G714" s="12" t="n"/>
      <c r="H714" s="12" t="n"/>
      <c r="I714" s="12" t="n"/>
      <c r="J714" s="12" t="n"/>
      <c r="K714" s="12" t="n"/>
      <c r="L714" s="14" t="n"/>
      <c r="M714" s="12" t="n"/>
      <c r="N714" s="12" t="n"/>
      <c r="O714" s="12" t="n"/>
      <c r="P714" s="12" t="n"/>
      <c r="Q714" s="7">
        <f>IF(A714="","",IFERROR(VLOOKUP(O714,Listes!$R$3:$T$8,2,FALSE),0)+IFERROR(VLOOKUP(J714,Listes!$J$3:$L$6,2,FALSE),0)+IFERROR(VLOOKUP(N714,Listes!$N$3:$P$6,2,FALSE),0)+IF(OR(L714="",B714=""),0,IF(L714-INT(B714)&lt;10,8,IF(L714-INT(B714)&lt;=90,10,5)))+IFERROR(VLOOKUP(AN714,Listes!$V$3:$W$5,2,FALSE),0)+IFERROR(VLOOKUP(AO714,Listes!$Y$3:$Z$5,2,FALSE),0))</f>
        <v/>
      </c>
      <c r="R714" s="12" t="n"/>
      <c r="S714" s="12" t="n"/>
      <c r="T714" s="12" t="n"/>
      <c r="U714" s="15" t="n"/>
      <c r="V714" s="15" t="n"/>
      <c r="W714" s="13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3" t="n"/>
      <c r="AK714" s="12" t="n"/>
      <c r="AL714" s="12" t="n"/>
      <c r="AM714" s="12" t="n"/>
      <c r="AN714" s="12" t="n"/>
      <c r="AO714" s="12" t="n"/>
      <c r="AP714" s="12" t="n"/>
      <c r="AQ714" s="7">
        <f>IF(A714="","",IF(AP714&lt;&gt;"",AP714,IF(LEFT(Z714,11)="gads_marque","Google Search – Marque",IF(LEFT(Z714,12)="gads_mariage","Google Search – Mariage et privé",IF(LEFT(Z714,10)="gads_corpo","Google Search – Corporatif",IF(LEFT(Z714,5)="meta_","Meta – Leads",IF(LEFT(Z714,5)="msft_","Microsoft Ads",IF(LEFT(Z714,8)="chatgpt_","ChatGPT Ads – Test",IF(X714="gbp","Fiche Google (organique)","Autre / non payé")))))))))</f>
        <v/>
      </c>
      <c r="AR714" s="7">
        <f>IF(K714="","",IFERROR(VLOOKUP(K714,Listes!$F$3:$H$8,3,FALSE),""))</f>
        <v/>
      </c>
      <c r="AS714" s="7">
        <f>IF(O714="","",IF(AND(M714="Autre (plus de 40 km)",OR(O714="lt600",O714="600_999",O714="1000_2499")),"D",IF(OR(O714="lt600",AND(O714="600_999",K714&lt;&gt;"mariage",K714&lt;&gt;"prive")),"C",IF(OR(O714="2500_4999",O714="5000p",J714="entreprise",J714="organisme",J714="agence"),"A",IF(OR(O714="1000_2499",O714="600_999"),"B",IF(O714="inconnu",IF(OR(N714="75_149",N714="150p"),"A","B"),""))))))</f>
        <v/>
      </c>
      <c r="AT714" s="7">
        <f>IF(A714="","",IF(P714&lt;&gt;"",P714,AS714))</f>
        <v/>
      </c>
      <c r="AU714" s="7">
        <f>IF(A714="","",IF(OR(AT714="A",AT714="B"),1,0))</f>
        <v/>
      </c>
      <c r="AV714" s="7">
        <f>IF(A714="","",IF(OR(R714="Dépôt payé (gagné)",R714="Événement livré",R714="Avis obtenu"),1,0))</f>
        <v/>
      </c>
      <c r="AW714" s="7">
        <f>IF(A714="","",IF(Q714&gt;70,"Immédiat – propriétaire",IF(Q714&gt;=40,"15 min – personne de garde","Selon la route")))</f>
        <v/>
      </c>
      <c r="AX714" s="11">
        <f>IF(A714="","",IF(AT714="A",400,IF(AT714="B",150,0)))</f>
        <v/>
      </c>
      <c r="AY714" s="11">
        <f>IF(A714="","",IF(AV714=1,N(V714),IF(N(U714)&gt;0,ROUND(N(U714)*IFERROR(VLOOKUP(R714,Listes!$AE$3:$AG$12,2,FALSE),0),0),0)))</f>
        <v/>
      </c>
      <c r="AZ714" s="7">
        <f>IF(LEFT(A714,7)="EXEMPLE",1,0)</f>
        <v/>
      </c>
      <c r="BA714" s="7">
        <f>IF(AND(AV714=1,AZ714=0,AC714&lt;&gt;"",W714&lt;&gt;"",N(V714)&gt;0),COUNTIFS($AV$3:AV714,1,$AZ$3:AZ714,0,$AC$3:AC714,"&lt;&gt;",$W$3:W714,"&lt;&gt;",$V$3:V714,"&gt;0"),"")</f>
        <v/>
      </c>
    </row>
    <row r="715">
      <c r="A715" s="12" t="n"/>
      <c r="B715" s="13" t="n"/>
      <c r="C715" s="13" t="n"/>
      <c r="D715" s="7">
        <f>IF(OR(B715="",C715=""),"",ROUND((C715-B715)*1440,0))</f>
        <v/>
      </c>
      <c r="E715" s="12" t="n"/>
      <c r="F715" s="12" t="n"/>
      <c r="G715" s="12" t="n"/>
      <c r="H715" s="12" t="n"/>
      <c r="I715" s="12" t="n"/>
      <c r="J715" s="12" t="n"/>
      <c r="K715" s="12" t="n"/>
      <c r="L715" s="14" t="n"/>
      <c r="M715" s="12" t="n"/>
      <c r="N715" s="12" t="n"/>
      <c r="O715" s="12" t="n"/>
      <c r="P715" s="12" t="n"/>
      <c r="Q715" s="7">
        <f>IF(A715="","",IFERROR(VLOOKUP(O715,Listes!$R$3:$T$8,2,FALSE),0)+IFERROR(VLOOKUP(J715,Listes!$J$3:$L$6,2,FALSE),0)+IFERROR(VLOOKUP(N715,Listes!$N$3:$P$6,2,FALSE),0)+IF(OR(L715="",B715=""),0,IF(L715-INT(B715)&lt;10,8,IF(L715-INT(B715)&lt;=90,10,5)))+IFERROR(VLOOKUP(AN715,Listes!$V$3:$W$5,2,FALSE),0)+IFERROR(VLOOKUP(AO715,Listes!$Y$3:$Z$5,2,FALSE),0))</f>
        <v/>
      </c>
      <c r="R715" s="12" t="n"/>
      <c r="S715" s="12" t="n"/>
      <c r="T715" s="12" t="n"/>
      <c r="U715" s="15" t="n"/>
      <c r="V715" s="15" t="n"/>
      <c r="W715" s="13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3" t="n"/>
      <c r="AK715" s="12" t="n"/>
      <c r="AL715" s="12" t="n"/>
      <c r="AM715" s="12" t="n"/>
      <c r="AN715" s="12" t="n"/>
      <c r="AO715" s="12" t="n"/>
      <c r="AP715" s="12" t="n"/>
      <c r="AQ715" s="7">
        <f>IF(A715="","",IF(AP715&lt;&gt;"",AP715,IF(LEFT(Z715,11)="gads_marque","Google Search – Marque",IF(LEFT(Z715,12)="gads_mariage","Google Search – Mariage et privé",IF(LEFT(Z715,10)="gads_corpo","Google Search – Corporatif",IF(LEFT(Z715,5)="meta_","Meta – Leads",IF(LEFT(Z715,5)="msft_","Microsoft Ads",IF(LEFT(Z715,8)="chatgpt_","ChatGPT Ads – Test",IF(X715="gbp","Fiche Google (organique)","Autre / non payé")))))))))</f>
        <v/>
      </c>
      <c r="AR715" s="7">
        <f>IF(K715="","",IFERROR(VLOOKUP(K715,Listes!$F$3:$H$8,3,FALSE),""))</f>
        <v/>
      </c>
      <c r="AS715" s="7">
        <f>IF(O715="","",IF(AND(M715="Autre (plus de 40 km)",OR(O715="lt600",O715="600_999",O715="1000_2499")),"D",IF(OR(O715="lt600",AND(O715="600_999",K715&lt;&gt;"mariage",K715&lt;&gt;"prive")),"C",IF(OR(O715="2500_4999",O715="5000p",J715="entreprise",J715="organisme",J715="agence"),"A",IF(OR(O715="1000_2499",O715="600_999"),"B",IF(O715="inconnu",IF(OR(N715="75_149",N715="150p"),"A","B"),""))))))</f>
        <v/>
      </c>
      <c r="AT715" s="7">
        <f>IF(A715="","",IF(P715&lt;&gt;"",P715,AS715))</f>
        <v/>
      </c>
      <c r="AU715" s="7">
        <f>IF(A715="","",IF(OR(AT715="A",AT715="B"),1,0))</f>
        <v/>
      </c>
      <c r="AV715" s="7">
        <f>IF(A715="","",IF(OR(R715="Dépôt payé (gagné)",R715="Événement livré",R715="Avis obtenu"),1,0))</f>
        <v/>
      </c>
      <c r="AW715" s="7">
        <f>IF(A715="","",IF(Q715&gt;70,"Immédiat – propriétaire",IF(Q715&gt;=40,"15 min – personne de garde","Selon la route")))</f>
        <v/>
      </c>
      <c r="AX715" s="11">
        <f>IF(A715="","",IF(AT715="A",400,IF(AT715="B",150,0)))</f>
        <v/>
      </c>
      <c r="AY715" s="11">
        <f>IF(A715="","",IF(AV715=1,N(V715),IF(N(U715)&gt;0,ROUND(N(U715)*IFERROR(VLOOKUP(R715,Listes!$AE$3:$AG$12,2,FALSE),0),0),0)))</f>
        <v/>
      </c>
      <c r="AZ715" s="7">
        <f>IF(LEFT(A715,7)="EXEMPLE",1,0)</f>
        <v/>
      </c>
      <c r="BA715" s="7">
        <f>IF(AND(AV715=1,AZ715=0,AC715&lt;&gt;"",W715&lt;&gt;"",N(V715)&gt;0),COUNTIFS($AV$3:AV715,1,$AZ$3:AZ715,0,$AC$3:AC715,"&lt;&gt;",$W$3:W715,"&lt;&gt;",$V$3:V715,"&gt;0"),"")</f>
        <v/>
      </c>
    </row>
    <row r="716">
      <c r="A716" s="12" t="n"/>
      <c r="B716" s="13" t="n"/>
      <c r="C716" s="13" t="n"/>
      <c r="D716" s="7">
        <f>IF(OR(B716="",C716=""),"",ROUND((C716-B716)*1440,0))</f>
        <v/>
      </c>
      <c r="E716" s="12" t="n"/>
      <c r="F716" s="12" t="n"/>
      <c r="G716" s="12" t="n"/>
      <c r="H716" s="12" t="n"/>
      <c r="I716" s="12" t="n"/>
      <c r="J716" s="12" t="n"/>
      <c r="K716" s="12" t="n"/>
      <c r="L716" s="14" t="n"/>
      <c r="M716" s="12" t="n"/>
      <c r="N716" s="12" t="n"/>
      <c r="O716" s="12" t="n"/>
      <c r="P716" s="12" t="n"/>
      <c r="Q716" s="7">
        <f>IF(A716="","",IFERROR(VLOOKUP(O716,Listes!$R$3:$T$8,2,FALSE),0)+IFERROR(VLOOKUP(J716,Listes!$J$3:$L$6,2,FALSE),0)+IFERROR(VLOOKUP(N716,Listes!$N$3:$P$6,2,FALSE),0)+IF(OR(L716="",B716=""),0,IF(L716-INT(B716)&lt;10,8,IF(L716-INT(B716)&lt;=90,10,5)))+IFERROR(VLOOKUP(AN716,Listes!$V$3:$W$5,2,FALSE),0)+IFERROR(VLOOKUP(AO716,Listes!$Y$3:$Z$5,2,FALSE),0))</f>
        <v/>
      </c>
      <c r="R716" s="12" t="n"/>
      <c r="S716" s="12" t="n"/>
      <c r="T716" s="12" t="n"/>
      <c r="U716" s="15" t="n"/>
      <c r="V716" s="15" t="n"/>
      <c r="W716" s="13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3" t="n"/>
      <c r="AK716" s="12" t="n"/>
      <c r="AL716" s="12" t="n"/>
      <c r="AM716" s="12" t="n"/>
      <c r="AN716" s="12" t="n"/>
      <c r="AO716" s="12" t="n"/>
      <c r="AP716" s="12" t="n"/>
      <c r="AQ716" s="7">
        <f>IF(A716="","",IF(AP716&lt;&gt;"",AP716,IF(LEFT(Z716,11)="gads_marque","Google Search – Marque",IF(LEFT(Z716,12)="gads_mariage","Google Search – Mariage et privé",IF(LEFT(Z716,10)="gads_corpo","Google Search – Corporatif",IF(LEFT(Z716,5)="meta_","Meta – Leads",IF(LEFT(Z716,5)="msft_","Microsoft Ads",IF(LEFT(Z716,8)="chatgpt_","ChatGPT Ads – Test",IF(X716="gbp","Fiche Google (organique)","Autre / non payé")))))))))</f>
        <v/>
      </c>
      <c r="AR716" s="7">
        <f>IF(K716="","",IFERROR(VLOOKUP(K716,Listes!$F$3:$H$8,3,FALSE),""))</f>
        <v/>
      </c>
      <c r="AS716" s="7">
        <f>IF(O716="","",IF(AND(M716="Autre (plus de 40 km)",OR(O716="lt600",O716="600_999",O716="1000_2499")),"D",IF(OR(O716="lt600",AND(O716="600_999",K716&lt;&gt;"mariage",K716&lt;&gt;"prive")),"C",IF(OR(O716="2500_4999",O716="5000p",J716="entreprise",J716="organisme",J716="agence"),"A",IF(OR(O716="1000_2499",O716="600_999"),"B",IF(O716="inconnu",IF(OR(N716="75_149",N716="150p"),"A","B"),""))))))</f>
        <v/>
      </c>
      <c r="AT716" s="7">
        <f>IF(A716="","",IF(P716&lt;&gt;"",P716,AS716))</f>
        <v/>
      </c>
      <c r="AU716" s="7">
        <f>IF(A716="","",IF(OR(AT716="A",AT716="B"),1,0))</f>
        <v/>
      </c>
      <c r="AV716" s="7">
        <f>IF(A716="","",IF(OR(R716="Dépôt payé (gagné)",R716="Événement livré",R716="Avis obtenu"),1,0))</f>
        <v/>
      </c>
      <c r="AW716" s="7">
        <f>IF(A716="","",IF(Q716&gt;70,"Immédiat – propriétaire",IF(Q716&gt;=40,"15 min – personne de garde","Selon la route")))</f>
        <v/>
      </c>
      <c r="AX716" s="11">
        <f>IF(A716="","",IF(AT716="A",400,IF(AT716="B",150,0)))</f>
        <v/>
      </c>
      <c r="AY716" s="11">
        <f>IF(A716="","",IF(AV716=1,N(V716),IF(N(U716)&gt;0,ROUND(N(U716)*IFERROR(VLOOKUP(R716,Listes!$AE$3:$AG$12,2,FALSE),0),0),0)))</f>
        <v/>
      </c>
      <c r="AZ716" s="7">
        <f>IF(LEFT(A716,7)="EXEMPLE",1,0)</f>
        <v/>
      </c>
      <c r="BA716" s="7">
        <f>IF(AND(AV716=1,AZ716=0,AC716&lt;&gt;"",W716&lt;&gt;"",N(V716)&gt;0),COUNTIFS($AV$3:AV716,1,$AZ$3:AZ716,0,$AC$3:AC716,"&lt;&gt;",$W$3:W716,"&lt;&gt;",$V$3:V716,"&gt;0"),"")</f>
        <v/>
      </c>
    </row>
    <row r="717">
      <c r="A717" s="12" t="n"/>
      <c r="B717" s="13" t="n"/>
      <c r="C717" s="13" t="n"/>
      <c r="D717" s="7">
        <f>IF(OR(B717="",C717=""),"",ROUND((C717-B717)*1440,0))</f>
        <v/>
      </c>
      <c r="E717" s="12" t="n"/>
      <c r="F717" s="12" t="n"/>
      <c r="G717" s="12" t="n"/>
      <c r="H717" s="12" t="n"/>
      <c r="I717" s="12" t="n"/>
      <c r="J717" s="12" t="n"/>
      <c r="K717" s="12" t="n"/>
      <c r="L717" s="14" t="n"/>
      <c r="M717" s="12" t="n"/>
      <c r="N717" s="12" t="n"/>
      <c r="O717" s="12" t="n"/>
      <c r="P717" s="12" t="n"/>
      <c r="Q717" s="7">
        <f>IF(A717="","",IFERROR(VLOOKUP(O717,Listes!$R$3:$T$8,2,FALSE),0)+IFERROR(VLOOKUP(J717,Listes!$J$3:$L$6,2,FALSE),0)+IFERROR(VLOOKUP(N717,Listes!$N$3:$P$6,2,FALSE),0)+IF(OR(L717="",B717=""),0,IF(L717-INT(B717)&lt;10,8,IF(L717-INT(B717)&lt;=90,10,5)))+IFERROR(VLOOKUP(AN717,Listes!$V$3:$W$5,2,FALSE),0)+IFERROR(VLOOKUP(AO717,Listes!$Y$3:$Z$5,2,FALSE),0))</f>
        <v/>
      </c>
      <c r="R717" s="12" t="n"/>
      <c r="S717" s="12" t="n"/>
      <c r="T717" s="12" t="n"/>
      <c r="U717" s="15" t="n"/>
      <c r="V717" s="15" t="n"/>
      <c r="W717" s="13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3" t="n"/>
      <c r="AK717" s="12" t="n"/>
      <c r="AL717" s="12" t="n"/>
      <c r="AM717" s="12" t="n"/>
      <c r="AN717" s="12" t="n"/>
      <c r="AO717" s="12" t="n"/>
      <c r="AP717" s="12" t="n"/>
      <c r="AQ717" s="7">
        <f>IF(A717="","",IF(AP717&lt;&gt;"",AP717,IF(LEFT(Z717,11)="gads_marque","Google Search – Marque",IF(LEFT(Z717,12)="gads_mariage","Google Search – Mariage et privé",IF(LEFT(Z717,10)="gads_corpo","Google Search – Corporatif",IF(LEFT(Z717,5)="meta_","Meta – Leads",IF(LEFT(Z717,5)="msft_","Microsoft Ads",IF(LEFT(Z717,8)="chatgpt_","ChatGPT Ads – Test",IF(X717="gbp","Fiche Google (organique)","Autre / non payé")))))))))</f>
        <v/>
      </c>
      <c r="AR717" s="7">
        <f>IF(K717="","",IFERROR(VLOOKUP(K717,Listes!$F$3:$H$8,3,FALSE),""))</f>
        <v/>
      </c>
      <c r="AS717" s="7">
        <f>IF(O717="","",IF(AND(M717="Autre (plus de 40 km)",OR(O717="lt600",O717="600_999",O717="1000_2499")),"D",IF(OR(O717="lt600",AND(O717="600_999",K717&lt;&gt;"mariage",K717&lt;&gt;"prive")),"C",IF(OR(O717="2500_4999",O717="5000p",J717="entreprise",J717="organisme",J717="agence"),"A",IF(OR(O717="1000_2499",O717="600_999"),"B",IF(O717="inconnu",IF(OR(N717="75_149",N717="150p"),"A","B"),""))))))</f>
        <v/>
      </c>
      <c r="AT717" s="7">
        <f>IF(A717="","",IF(P717&lt;&gt;"",P717,AS717))</f>
        <v/>
      </c>
      <c r="AU717" s="7">
        <f>IF(A717="","",IF(OR(AT717="A",AT717="B"),1,0))</f>
        <v/>
      </c>
      <c r="AV717" s="7">
        <f>IF(A717="","",IF(OR(R717="Dépôt payé (gagné)",R717="Événement livré",R717="Avis obtenu"),1,0))</f>
        <v/>
      </c>
      <c r="AW717" s="7">
        <f>IF(A717="","",IF(Q717&gt;70,"Immédiat – propriétaire",IF(Q717&gt;=40,"15 min – personne de garde","Selon la route")))</f>
        <v/>
      </c>
      <c r="AX717" s="11">
        <f>IF(A717="","",IF(AT717="A",400,IF(AT717="B",150,0)))</f>
        <v/>
      </c>
      <c r="AY717" s="11">
        <f>IF(A717="","",IF(AV717=1,N(V717),IF(N(U717)&gt;0,ROUND(N(U717)*IFERROR(VLOOKUP(R717,Listes!$AE$3:$AG$12,2,FALSE),0),0),0)))</f>
        <v/>
      </c>
      <c r="AZ717" s="7">
        <f>IF(LEFT(A717,7)="EXEMPLE",1,0)</f>
        <v/>
      </c>
      <c r="BA717" s="7">
        <f>IF(AND(AV717=1,AZ717=0,AC717&lt;&gt;"",W717&lt;&gt;"",N(V717)&gt;0),COUNTIFS($AV$3:AV717,1,$AZ$3:AZ717,0,$AC$3:AC717,"&lt;&gt;",$W$3:W717,"&lt;&gt;",$V$3:V717,"&gt;0"),"")</f>
        <v/>
      </c>
    </row>
    <row r="718">
      <c r="A718" s="12" t="n"/>
      <c r="B718" s="13" t="n"/>
      <c r="C718" s="13" t="n"/>
      <c r="D718" s="7">
        <f>IF(OR(B718="",C718=""),"",ROUND((C718-B718)*1440,0))</f>
        <v/>
      </c>
      <c r="E718" s="12" t="n"/>
      <c r="F718" s="12" t="n"/>
      <c r="G718" s="12" t="n"/>
      <c r="H718" s="12" t="n"/>
      <c r="I718" s="12" t="n"/>
      <c r="J718" s="12" t="n"/>
      <c r="K718" s="12" t="n"/>
      <c r="L718" s="14" t="n"/>
      <c r="M718" s="12" t="n"/>
      <c r="N718" s="12" t="n"/>
      <c r="O718" s="12" t="n"/>
      <c r="P718" s="12" t="n"/>
      <c r="Q718" s="7">
        <f>IF(A718="","",IFERROR(VLOOKUP(O718,Listes!$R$3:$T$8,2,FALSE),0)+IFERROR(VLOOKUP(J718,Listes!$J$3:$L$6,2,FALSE),0)+IFERROR(VLOOKUP(N718,Listes!$N$3:$P$6,2,FALSE),0)+IF(OR(L718="",B718=""),0,IF(L718-INT(B718)&lt;10,8,IF(L718-INT(B718)&lt;=90,10,5)))+IFERROR(VLOOKUP(AN718,Listes!$V$3:$W$5,2,FALSE),0)+IFERROR(VLOOKUP(AO718,Listes!$Y$3:$Z$5,2,FALSE),0))</f>
        <v/>
      </c>
      <c r="R718" s="12" t="n"/>
      <c r="S718" s="12" t="n"/>
      <c r="T718" s="12" t="n"/>
      <c r="U718" s="15" t="n"/>
      <c r="V718" s="15" t="n"/>
      <c r="W718" s="13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3" t="n"/>
      <c r="AK718" s="12" t="n"/>
      <c r="AL718" s="12" t="n"/>
      <c r="AM718" s="12" t="n"/>
      <c r="AN718" s="12" t="n"/>
      <c r="AO718" s="12" t="n"/>
      <c r="AP718" s="12" t="n"/>
      <c r="AQ718" s="7">
        <f>IF(A718="","",IF(AP718&lt;&gt;"",AP718,IF(LEFT(Z718,11)="gads_marque","Google Search – Marque",IF(LEFT(Z718,12)="gads_mariage","Google Search – Mariage et privé",IF(LEFT(Z718,10)="gads_corpo","Google Search – Corporatif",IF(LEFT(Z718,5)="meta_","Meta – Leads",IF(LEFT(Z718,5)="msft_","Microsoft Ads",IF(LEFT(Z718,8)="chatgpt_","ChatGPT Ads – Test",IF(X718="gbp","Fiche Google (organique)","Autre / non payé")))))))))</f>
        <v/>
      </c>
      <c r="AR718" s="7">
        <f>IF(K718="","",IFERROR(VLOOKUP(K718,Listes!$F$3:$H$8,3,FALSE),""))</f>
        <v/>
      </c>
      <c r="AS718" s="7">
        <f>IF(O718="","",IF(AND(M718="Autre (plus de 40 km)",OR(O718="lt600",O718="600_999",O718="1000_2499")),"D",IF(OR(O718="lt600",AND(O718="600_999",K718&lt;&gt;"mariage",K718&lt;&gt;"prive")),"C",IF(OR(O718="2500_4999",O718="5000p",J718="entreprise",J718="organisme",J718="agence"),"A",IF(OR(O718="1000_2499",O718="600_999"),"B",IF(O718="inconnu",IF(OR(N718="75_149",N718="150p"),"A","B"),""))))))</f>
        <v/>
      </c>
      <c r="AT718" s="7">
        <f>IF(A718="","",IF(P718&lt;&gt;"",P718,AS718))</f>
        <v/>
      </c>
      <c r="AU718" s="7">
        <f>IF(A718="","",IF(OR(AT718="A",AT718="B"),1,0))</f>
        <v/>
      </c>
      <c r="AV718" s="7">
        <f>IF(A718="","",IF(OR(R718="Dépôt payé (gagné)",R718="Événement livré",R718="Avis obtenu"),1,0))</f>
        <v/>
      </c>
      <c r="AW718" s="7">
        <f>IF(A718="","",IF(Q718&gt;70,"Immédiat – propriétaire",IF(Q718&gt;=40,"15 min – personne de garde","Selon la route")))</f>
        <v/>
      </c>
      <c r="AX718" s="11">
        <f>IF(A718="","",IF(AT718="A",400,IF(AT718="B",150,0)))</f>
        <v/>
      </c>
      <c r="AY718" s="11">
        <f>IF(A718="","",IF(AV718=1,N(V718),IF(N(U718)&gt;0,ROUND(N(U718)*IFERROR(VLOOKUP(R718,Listes!$AE$3:$AG$12,2,FALSE),0),0),0)))</f>
        <v/>
      </c>
      <c r="AZ718" s="7">
        <f>IF(LEFT(A718,7)="EXEMPLE",1,0)</f>
        <v/>
      </c>
      <c r="BA718" s="7">
        <f>IF(AND(AV718=1,AZ718=0,AC718&lt;&gt;"",W718&lt;&gt;"",N(V718)&gt;0),COUNTIFS($AV$3:AV718,1,$AZ$3:AZ718,0,$AC$3:AC718,"&lt;&gt;",$W$3:W718,"&lt;&gt;",$V$3:V718,"&gt;0"),"")</f>
        <v/>
      </c>
    </row>
    <row r="719">
      <c r="A719" s="12" t="n"/>
      <c r="B719" s="13" t="n"/>
      <c r="C719" s="13" t="n"/>
      <c r="D719" s="7">
        <f>IF(OR(B719="",C719=""),"",ROUND((C719-B719)*1440,0))</f>
        <v/>
      </c>
      <c r="E719" s="12" t="n"/>
      <c r="F719" s="12" t="n"/>
      <c r="G719" s="12" t="n"/>
      <c r="H719" s="12" t="n"/>
      <c r="I719" s="12" t="n"/>
      <c r="J719" s="12" t="n"/>
      <c r="K719" s="12" t="n"/>
      <c r="L719" s="14" t="n"/>
      <c r="M719" s="12" t="n"/>
      <c r="N719" s="12" t="n"/>
      <c r="O719" s="12" t="n"/>
      <c r="P719" s="12" t="n"/>
      <c r="Q719" s="7">
        <f>IF(A719="","",IFERROR(VLOOKUP(O719,Listes!$R$3:$T$8,2,FALSE),0)+IFERROR(VLOOKUP(J719,Listes!$J$3:$L$6,2,FALSE),0)+IFERROR(VLOOKUP(N719,Listes!$N$3:$P$6,2,FALSE),0)+IF(OR(L719="",B719=""),0,IF(L719-INT(B719)&lt;10,8,IF(L719-INT(B719)&lt;=90,10,5)))+IFERROR(VLOOKUP(AN719,Listes!$V$3:$W$5,2,FALSE),0)+IFERROR(VLOOKUP(AO719,Listes!$Y$3:$Z$5,2,FALSE),0))</f>
        <v/>
      </c>
      <c r="R719" s="12" t="n"/>
      <c r="S719" s="12" t="n"/>
      <c r="T719" s="12" t="n"/>
      <c r="U719" s="15" t="n"/>
      <c r="V719" s="15" t="n"/>
      <c r="W719" s="13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3" t="n"/>
      <c r="AK719" s="12" t="n"/>
      <c r="AL719" s="12" t="n"/>
      <c r="AM719" s="12" t="n"/>
      <c r="AN719" s="12" t="n"/>
      <c r="AO719" s="12" t="n"/>
      <c r="AP719" s="12" t="n"/>
      <c r="AQ719" s="7">
        <f>IF(A719="","",IF(AP719&lt;&gt;"",AP719,IF(LEFT(Z719,11)="gads_marque","Google Search – Marque",IF(LEFT(Z719,12)="gads_mariage","Google Search – Mariage et privé",IF(LEFT(Z719,10)="gads_corpo","Google Search – Corporatif",IF(LEFT(Z719,5)="meta_","Meta – Leads",IF(LEFT(Z719,5)="msft_","Microsoft Ads",IF(LEFT(Z719,8)="chatgpt_","ChatGPT Ads – Test",IF(X719="gbp","Fiche Google (organique)","Autre / non payé")))))))))</f>
        <v/>
      </c>
      <c r="AR719" s="7">
        <f>IF(K719="","",IFERROR(VLOOKUP(K719,Listes!$F$3:$H$8,3,FALSE),""))</f>
        <v/>
      </c>
      <c r="AS719" s="7">
        <f>IF(O719="","",IF(AND(M719="Autre (plus de 40 km)",OR(O719="lt600",O719="600_999",O719="1000_2499")),"D",IF(OR(O719="lt600",AND(O719="600_999",K719&lt;&gt;"mariage",K719&lt;&gt;"prive")),"C",IF(OR(O719="2500_4999",O719="5000p",J719="entreprise",J719="organisme",J719="agence"),"A",IF(OR(O719="1000_2499",O719="600_999"),"B",IF(O719="inconnu",IF(OR(N719="75_149",N719="150p"),"A","B"),""))))))</f>
        <v/>
      </c>
      <c r="AT719" s="7">
        <f>IF(A719="","",IF(P719&lt;&gt;"",P719,AS719))</f>
        <v/>
      </c>
      <c r="AU719" s="7">
        <f>IF(A719="","",IF(OR(AT719="A",AT719="B"),1,0))</f>
        <v/>
      </c>
      <c r="AV719" s="7">
        <f>IF(A719="","",IF(OR(R719="Dépôt payé (gagné)",R719="Événement livré",R719="Avis obtenu"),1,0))</f>
        <v/>
      </c>
      <c r="AW719" s="7">
        <f>IF(A719="","",IF(Q719&gt;70,"Immédiat – propriétaire",IF(Q719&gt;=40,"15 min – personne de garde","Selon la route")))</f>
        <v/>
      </c>
      <c r="AX719" s="11">
        <f>IF(A719="","",IF(AT719="A",400,IF(AT719="B",150,0)))</f>
        <v/>
      </c>
      <c r="AY719" s="11">
        <f>IF(A719="","",IF(AV719=1,N(V719),IF(N(U719)&gt;0,ROUND(N(U719)*IFERROR(VLOOKUP(R719,Listes!$AE$3:$AG$12,2,FALSE),0),0),0)))</f>
        <v/>
      </c>
      <c r="AZ719" s="7">
        <f>IF(LEFT(A719,7)="EXEMPLE",1,0)</f>
        <v/>
      </c>
      <c r="BA719" s="7">
        <f>IF(AND(AV719=1,AZ719=0,AC719&lt;&gt;"",W719&lt;&gt;"",N(V719)&gt;0),COUNTIFS($AV$3:AV719,1,$AZ$3:AZ719,0,$AC$3:AC719,"&lt;&gt;",$W$3:W719,"&lt;&gt;",$V$3:V719,"&gt;0"),"")</f>
        <v/>
      </c>
    </row>
    <row r="720">
      <c r="A720" s="12" t="n"/>
      <c r="B720" s="13" t="n"/>
      <c r="C720" s="13" t="n"/>
      <c r="D720" s="7">
        <f>IF(OR(B720="",C720=""),"",ROUND((C720-B720)*1440,0))</f>
        <v/>
      </c>
      <c r="E720" s="12" t="n"/>
      <c r="F720" s="12" t="n"/>
      <c r="G720" s="12" t="n"/>
      <c r="H720" s="12" t="n"/>
      <c r="I720" s="12" t="n"/>
      <c r="J720" s="12" t="n"/>
      <c r="K720" s="12" t="n"/>
      <c r="L720" s="14" t="n"/>
      <c r="M720" s="12" t="n"/>
      <c r="N720" s="12" t="n"/>
      <c r="O720" s="12" t="n"/>
      <c r="P720" s="12" t="n"/>
      <c r="Q720" s="7">
        <f>IF(A720="","",IFERROR(VLOOKUP(O720,Listes!$R$3:$T$8,2,FALSE),0)+IFERROR(VLOOKUP(J720,Listes!$J$3:$L$6,2,FALSE),0)+IFERROR(VLOOKUP(N720,Listes!$N$3:$P$6,2,FALSE),0)+IF(OR(L720="",B720=""),0,IF(L720-INT(B720)&lt;10,8,IF(L720-INT(B720)&lt;=90,10,5)))+IFERROR(VLOOKUP(AN720,Listes!$V$3:$W$5,2,FALSE),0)+IFERROR(VLOOKUP(AO720,Listes!$Y$3:$Z$5,2,FALSE),0))</f>
        <v/>
      </c>
      <c r="R720" s="12" t="n"/>
      <c r="S720" s="12" t="n"/>
      <c r="T720" s="12" t="n"/>
      <c r="U720" s="15" t="n"/>
      <c r="V720" s="15" t="n"/>
      <c r="W720" s="13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3" t="n"/>
      <c r="AK720" s="12" t="n"/>
      <c r="AL720" s="12" t="n"/>
      <c r="AM720" s="12" t="n"/>
      <c r="AN720" s="12" t="n"/>
      <c r="AO720" s="12" t="n"/>
      <c r="AP720" s="12" t="n"/>
      <c r="AQ720" s="7">
        <f>IF(A720="","",IF(AP720&lt;&gt;"",AP720,IF(LEFT(Z720,11)="gads_marque","Google Search – Marque",IF(LEFT(Z720,12)="gads_mariage","Google Search – Mariage et privé",IF(LEFT(Z720,10)="gads_corpo","Google Search – Corporatif",IF(LEFT(Z720,5)="meta_","Meta – Leads",IF(LEFT(Z720,5)="msft_","Microsoft Ads",IF(LEFT(Z720,8)="chatgpt_","ChatGPT Ads – Test",IF(X720="gbp","Fiche Google (organique)","Autre / non payé")))))))))</f>
        <v/>
      </c>
      <c r="AR720" s="7">
        <f>IF(K720="","",IFERROR(VLOOKUP(K720,Listes!$F$3:$H$8,3,FALSE),""))</f>
        <v/>
      </c>
      <c r="AS720" s="7">
        <f>IF(O720="","",IF(AND(M720="Autre (plus de 40 km)",OR(O720="lt600",O720="600_999",O720="1000_2499")),"D",IF(OR(O720="lt600",AND(O720="600_999",K720&lt;&gt;"mariage",K720&lt;&gt;"prive")),"C",IF(OR(O720="2500_4999",O720="5000p",J720="entreprise",J720="organisme",J720="agence"),"A",IF(OR(O720="1000_2499",O720="600_999"),"B",IF(O720="inconnu",IF(OR(N720="75_149",N720="150p"),"A","B"),""))))))</f>
        <v/>
      </c>
      <c r="AT720" s="7">
        <f>IF(A720="","",IF(P720&lt;&gt;"",P720,AS720))</f>
        <v/>
      </c>
      <c r="AU720" s="7">
        <f>IF(A720="","",IF(OR(AT720="A",AT720="B"),1,0))</f>
        <v/>
      </c>
      <c r="AV720" s="7">
        <f>IF(A720="","",IF(OR(R720="Dépôt payé (gagné)",R720="Événement livré",R720="Avis obtenu"),1,0))</f>
        <v/>
      </c>
      <c r="AW720" s="7">
        <f>IF(A720="","",IF(Q720&gt;70,"Immédiat – propriétaire",IF(Q720&gt;=40,"15 min – personne de garde","Selon la route")))</f>
        <v/>
      </c>
      <c r="AX720" s="11">
        <f>IF(A720="","",IF(AT720="A",400,IF(AT720="B",150,0)))</f>
        <v/>
      </c>
      <c r="AY720" s="11">
        <f>IF(A720="","",IF(AV720=1,N(V720),IF(N(U720)&gt;0,ROUND(N(U720)*IFERROR(VLOOKUP(R720,Listes!$AE$3:$AG$12,2,FALSE),0),0),0)))</f>
        <v/>
      </c>
      <c r="AZ720" s="7">
        <f>IF(LEFT(A720,7)="EXEMPLE",1,0)</f>
        <v/>
      </c>
      <c r="BA720" s="7">
        <f>IF(AND(AV720=1,AZ720=0,AC720&lt;&gt;"",W720&lt;&gt;"",N(V720)&gt;0),COUNTIFS($AV$3:AV720,1,$AZ$3:AZ720,0,$AC$3:AC720,"&lt;&gt;",$W$3:W720,"&lt;&gt;",$V$3:V720,"&gt;0"),"")</f>
        <v/>
      </c>
    </row>
    <row r="721">
      <c r="A721" s="12" t="n"/>
      <c r="B721" s="13" t="n"/>
      <c r="C721" s="13" t="n"/>
      <c r="D721" s="7">
        <f>IF(OR(B721="",C721=""),"",ROUND((C721-B721)*1440,0))</f>
        <v/>
      </c>
      <c r="E721" s="12" t="n"/>
      <c r="F721" s="12" t="n"/>
      <c r="G721" s="12" t="n"/>
      <c r="H721" s="12" t="n"/>
      <c r="I721" s="12" t="n"/>
      <c r="J721" s="12" t="n"/>
      <c r="K721" s="12" t="n"/>
      <c r="L721" s="14" t="n"/>
      <c r="M721" s="12" t="n"/>
      <c r="N721" s="12" t="n"/>
      <c r="O721" s="12" t="n"/>
      <c r="P721" s="12" t="n"/>
      <c r="Q721" s="7">
        <f>IF(A721="","",IFERROR(VLOOKUP(O721,Listes!$R$3:$T$8,2,FALSE),0)+IFERROR(VLOOKUP(J721,Listes!$J$3:$L$6,2,FALSE),0)+IFERROR(VLOOKUP(N721,Listes!$N$3:$P$6,2,FALSE),0)+IF(OR(L721="",B721=""),0,IF(L721-INT(B721)&lt;10,8,IF(L721-INT(B721)&lt;=90,10,5)))+IFERROR(VLOOKUP(AN721,Listes!$V$3:$W$5,2,FALSE),0)+IFERROR(VLOOKUP(AO721,Listes!$Y$3:$Z$5,2,FALSE),0))</f>
        <v/>
      </c>
      <c r="R721" s="12" t="n"/>
      <c r="S721" s="12" t="n"/>
      <c r="T721" s="12" t="n"/>
      <c r="U721" s="15" t="n"/>
      <c r="V721" s="15" t="n"/>
      <c r="W721" s="13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3" t="n"/>
      <c r="AK721" s="12" t="n"/>
      <c r="AL721" s="12" t="n"/>
      <c r="AM721" s="12" t="n"/>
      <c r="AN721" s="12" t="n"/>
      <c r="AO721" s="12" t="n"/>
      <c r="AP721" s="12" t="n"/>
      <c r="AQ721" s="7">
        <f>IF(A721="","",IF(AP721&lt;&gt;"",AP721,IF(LEFT(Z721,11)="gads_marque","Google Search – Marque",IF(LEFT(Z721,12)="gads_mariage","Google Search – Mariage et privé",IF(LEFT(Z721,10)="gads_corpo","Google Search – Corporatif",IF(LEFT(Z721,5)="meta_","Meta – Leads",IF(LEFT(Z721,5)="msft_","Microsoft Ads",IF(LEFT(Z721,8)="chatgpt_","ChatGPT Ads – Test",IF(X721="gbp","Fiche Google (organique)","Autre / non payé")))))))))</f>
        <v/>
      </c>
      <c r="AR721" s="7">
        <f>IF(K721="","",IFERROR(VLOOKUP(K721,Listes!$F$3:$H$8,3,FALSE),""))</f>
        <v/>
      </c>
      <c r="AS721" s="7">
        <f>IF(O721="","",IF(AND(M721="Autre (plus de 40 km)",OR(O721="lt600",O721="600_999",O721="1000_2499")),"D",IF(OR(O721="lt600",AND(O721="600_999",K721&lt;&gt;"mariage",K721&lt;&gt;"prive")),"C",IF(OR(O721="2500_4999",O721="5000p",J721="entreprise",J721="organisme",J721="agence"),"A",IF(OR(O721="1000_2499",O721="600_999"),"B",IF(O721="inconnu",IF(OR(N721="75_149",N721="150p"),"A","B"),""))))))</f>
        <v/>
      </c>
      <c r="AT721" s="7">
        <f>IF(A721="","",IF(P721&lt;&gt;"",P721,AS721))</f>
        <v/>
      </c>
      <c r="AU721" s="7">
        <f>IF(A721="","",IF(OR(AT721="A",AT721="B"),1,0))</f>
        <v/>
      </c>
      <c r="AV721" s="7">
        <f>IF(A721="","",IF(OR(R721="Dépôt payé (gagné)",R721="Événement livré",R721="Avis obtenu"),1,0))</f>
        <v/>
      </c>
      <c r="AW721" s="7">
        <f>IF(A721="","",IF(Q721&gt;70,"Immédiat – propriétaire",IF(Q721&gt;=40,"15 min – personne de garde","Selon la route")))</f>
        <v/>
      </c>
      <c r="AX721" s="11">
        <f>IF(A721="","",IF(AT721="A",400,IF(AT721="B",150,0)))</f>
        <v/>
      </c>
      <c r="AY721" s="11">
        <f>IF(A721="","",IF(AV721=1,N(V721),IF(N(U721)&gt;0,ROUND(N(U721)*IFERROR(VLOOKUP(R721,Listes!$AE$3:$AG$12,2,FALSE),0),0),0)))</f>
        <v/>
      </c>
      <c r="AZ721" s="7">
        <f>IF(LEFT(A721,7)="EXEMPLE",1,0)</f>
        <v/>
      </c>
      <c r="BA721" s="7">
        <f>IF(AND(AV721=1,AZ721=0,AC721&lt;&gt;"",W721&lt;&gt;"",N(V721)&gt;0),COUNTIFS($AV$3:AV721,1,$AZ$3:AZ721,0,$AC$3:AC721,"&lt;&gt;",$W$3:W721,"&lt;&gt;",$V$3:V721,"&gt;0"),"")</f>
        <v/>
      </c>
    </row>
    <row r="722">
      <c r="A722" s="12" t="n"/>
      <c r="B722" s="13" t="n"/>
      <c r="C722" s="13" t="n"/>
      <c r="D722" s="7">
        <f>IF(OR(B722="",C722=""),"",ROUND((C722-B722)*1440,0))</f>
        <v/>
      </c>
      <c r="E722" s="12" t="n"/>
      <c r="F722" s="12" t="n"/>
      <c r="G722" s="12" t="n"/>
      <c r="H722" s="12" t="n"/>
      <c r="I722" s="12" t="n"/>
      <c r="J722" s="12" t="n"/>
      <c r="K722" s="12" t="n"/>
      <c r="L722" s="14" t="n"/>
      <c r="M722" s="12" t="n"/>
      <c r="N722" s="12" t="n"/>
      <c r="O722" s="12" t="n"/>
      <c r="P722" s="12" t="n"/>
      <c r="Q722" s="7">
        <f>IF(A722="","",IFERROR(VLOOKUP(O722,Listes!$R$3:$T$8,2,FALSE),0)+IFERROR(VLOOKUP(J722,Listes!$J$3:$L$6,2,FALSE),0)+IFERROR(VLOOKUP(N722,Listes!$N$3:$P$6,2,FALSE),0)+IF(OR(L722="",B722=""),0,IF(L722-INT(B722)&lt;10,8,IF(L722-INT(B722)&lt;=90,10,5)))+IFERROR(VLOOKUP(AN722,Listes!$V$3:$W$5,2,FALSE),0)+IFERROR(VLOOKUP(AO722,Listes!$Y$3:$Z$5,2,FALSE),0))</f>
        <v/>
      </c>
      <c r="R722" s="12" t="n"/>
      <c r="S722" s="12" t="n"/>
      <c r="T722" s="12" t="n"/>
      <c r="U722" s="15" t="n"/>
      <c r="V722" s="15" t="n"/>
      <c r="W722" s="13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3" t="n"/>
      <c r="AK722" s="12" t="n"/>
      <c r="AL722" s="12" t="n"/>
      <c r="AM722" s="12" t="n"/>
      <c r="AN722" s="12" t="n"/>
      <c r="AO722" s="12" t="n"/>
      <c r="AP722" s="12" t="n"/>
      <c r="AQ722" s="7">
        <f>IF(A722="","",IF(AP722&lt;&gt;"",AP722,IF(LEFT(Z722,11)="gads_marque","Google Search – Marque",IF(LEFT(Z722,12)="gads_mariage","Google Search – Mariage et privé",IF(LEFT(Z722,10)="gads_corpo","Google Search – Corporatif",IF(LEFT(Z722,5)="meta_","Meta – Leads",IF(LEFT(Z722,5)="msft_","Microsoft Ads",IF(LEFT(Z722,8)="chatgpt_","ChatGPT Ads – Test",IF(X722="gbp","Fiche Google (organique)","Autre / non payé")))))))))</f>
        <v/>
      </c>
      <c r="AR722" s="7">
        <f>IF(K722="","",IFERROR(VLOOKUP(K722,Listes!$F$3:$H$8,3,FALSE),""))</f>
        <v/>
      </c>
      <c r="AS722" s="7">
        <f>IF(O722="","",IF(AND(M722="Autre (plus de 40 km)",OR(O722="lt600",O722="600_999",O722="1000_2499")),"D",IF(OR(O722="lt600",AND(O722="600_999",K722&lt;&gt;"mariage",K722&lt;&gt;"prive")),"C",IF(OR(O722="2500_4999",O722="5000p",J722="entreprise",J722="organisme",J722="agence"),"A",IF(OR(O722="1000_2499",O722="600_999"),"B",IF(O722="inconnu",IF(OR(N722="75_149",N722="150p"),"A","B"),""))))))</f>
        <v/>
      </c>
      <c r="AT722" s="7">
        <f>IF(A722="","",IF(P722&lt;&gt;"",P722,AS722))</f>
        <v/>
      </c>
      <c r="AU722" s="7">
        <f>IF(A722="","",IF(OR(AT722="A",AT722="B"),1,0))</f>
        <v/>
      </c>
      <c r="AV722" s="7">
        <f>IF(A722="","",IF(OR(R722="Dépôt payé (gagné)",R722="Événement livré",R722="Avis obtenu"),1,0))</f>
        <v/>
      </c>
      <c r="AW722" s="7">
        <f>IF(A722="","",IF(Q722&gt;70,"Immédiat – propriétaire",IF(Q722&gt;=40,"15 min – personne de garde","Selon la route")))</f>
        <v/>
      </c>
      <c r="AX722" s="11">
        <f>IF(A722="","",IF(AT722="A",400,IF(AT722="B",150,0)))</f>
        <v/>
      </c>
      <c r="AY722" s="11">
        <f>IF(A722="","",IF(AV722=1,N(V722),IF(N(U722)&gt;0,ROUND(N(U722)*IFERROR(VLOOKUP(R722,Listes!$AE$3:$AG$12,2,FALSE),0),0),0)))</f>
        <v/>
      </c>
      <c r="AZ722" s="7">
        <f>IF(LEFT(A722,7)="EXEMPLE",1,0)</f>
        <v/>
      </c>
      <c r="BA722" s="7">
        <f>IF(AND(AV722=1,AZ722=0,AC722&lt;&gt;"",W722&lt;&gt;"",N(V722)&gt;0),COUNTIFS($AV$3:AV722,1,$AZ$3:AZ722,0,$AC$3:AC722,"&lt;&gt;",$W$3:W722,"&lt;&gt;",$V$3:V722,"&gt;0"),"")</f>
        <v/>
      </c>
    </row>
    <row r="723">
      <c r="A723" s="12" t="n"/>
      <c r="B723" s="13" t="n"/>
      <c r="C723" s="13" t="n"/>
      <c r="D723" s="7">
        <f>IF(OR(B723="",C723=""),"",ROUND((C723-B723)*1440,0))</f>
        <v/>
      </c>
      <c r="E723" s="12" t="n"/>
      <c r="F723" s="12" t="n"/>
      <c r="G723" s="12" t="n"/>
      <c r="H723" s="12" t="n"/>
      <c r="I723" s="12" t="n"/>
      <c r="J723" s="12" t="n"/>
      <c r="K723" s="12" t="n"/>
      <c r="L723" s="14" t="n"/>
      <c r="M723" s="12" t="n"/>
      <c r="N723" s="12" t="n"/>
      <c r="O723" s="12" t="n"/>
      <c r="P723" s="12" t="n"/>
      <c r="Q723" s="7">
        <f>IF(A723="","",IFERROR(VLOOKUP(O723,Listes!$R$3:$T$8,2,FALSE),0)+IFERROR(VLOOKUP(J723,Listes!$J$3:$L$6,2,FALSE),0)+IFERROR(VLOOKUP(N723,Listes!$N$3:$P$6,2,FALSE),0)+IF(OR(L723="",B723=""),0,IF(L723-INT(B723)&lt;10,8,IF(L723-INT(B723)&lt;=90,10,5)))+IFERROR(VLOOKUP(AN723,Listes!$V$3:$W$5,2,FALSE),0)+IFERROR(VLOOKUP(AO723,Listes!$Y$3:$Z$5,2,FALSE),0))</f>
        <v/>
      </c>
      <c r="R723" s="12" t="n"/>
      <c r="S723" s="12" t="n"/>
      <c r="T723" s="12" t="n"/>
      <c r="U723" s="15" t="n"/>
      <c r="V723" s="15" t="n"/>
      <c r="W723" s="13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3" t="n"/>
      <c r="AK723" s="12" t="n"/>
      <c r="AL723" s="12" t="n"/>
      <c r="AM723" s="12" t="n"/>
      <c r="AN723" s="12" t="n"/>
      <c r="AO723" s="12" t="n"/>
      <c r="AP723" s="12" t="n"/>
      <c r="AQ723" s="7">
        <f>IF(A723="","",IF(AP723&lt;&gt;"",AP723,IF(LEFT(Z723,11)="gads_marque","Google Search – Marque",IF(LEFT(Z723,12)="gads_mariage","Google Search – Mariage et privé",IF(LEFT(Z723,10)="gads_corpo","Google Search – Corporatif",IF(LEFT(Z723,5)="meta_","Meta – Leads",IF(LEFT(Z723,5)="msft_","Microsoft Ads",IF(LEFT(Z723,8)="chatgpt_","ChatGPT Ads – Test",IF(X723="gbp","Fiche Google (organique)","Autre / non payé")))))))))</f>
        <v/>
      </c>
      <c r="AR723" s="7">
        <f>IF(K723="","",IFERROR(VLOOKUP(K723,Listes!$F$3:$H$8,3,FALSE),""))</f>
        <v/>
      </c>
      <c r="AS723" s="7">
        <f>IF(O723="","",IF(AND(M723="Autre (plus de 40 km)",OR(O723="lt600",O723="600_999",O723="1000_2499")),"D",IF(OR(O723="lt600",AND(O723="600_999",K723&lt;&gt;"mariage",K723&lt;&gt;"prive")),"C",IF(OR(O723="2500_4999",O723="5000p",J723="entreprise",J723="organisme",J723="agence"),"A",IF(OR(O723="1000_2499",O723="600_999"),"B",IF(O723="inconnu",IF(OR(N723="75_149",N723="150p"),"A","B"),""))))))</f>
        <v/>
      </c>
      <c r="AT723" s="7">
        <f>IF(A723="","",IF(P723&lt;&gt;"",P723,AS723))</f>
        <v/>
      </c>
      <c r="AU723" s="7">
        <f>IF(A723="","",IF(OR(AT723="A",AT723="B"),1,0))</f>
        <v/>
      </c>
      <c r="AV723" s="7">
        <f>IF(A723="","",IF(OR(R723="Dépôt payé (gagné)",R723="Événement livré",R723="Avis obtenu"),1,0))</f>
        <v/>
      </c>
      <c r="AW723" s="7">
        <f>IF(A723="","",IF(Q723&gt;70,"Immédiat – propriétaire",IF(Q723&gt;=40,"15 min – personne de garde","Selon la route")))</f>
        <v/>
      </c>
      <c r="AX723" s="11">
        <f>IF(A723="","",IF(AT723="A",400,IF(AT723="B",150,0)))</f>
        <v/>
      </c>
      <c r="AY723" s="11">
        <f>IF(A723="","",IF(AV723=1,N(V723),IF(N(U723)&gt;0,ROUND(N(U723)*IFERROR(VLOOKUP(R723,Listes!$AE$3:$AG$12,2,FALSE),0),0),0)))</f>
        <v/>
      </c>
      <c r="AZ723" s="7">
        <f>IF(LEFT(A723,7)="EXEMPLE",1,0)</f>
        <v/>
      </c>
      <c r="BA723" s="7">
        <f>IF(AND(AV723=1,AZ723=0,AC723&lt;&gt;"",W723&lt;&gt;"",N(V723)&gt;0),COUNTIFS($AV$3:AV723,1,$AZ$3:AZ723,0,$AC$3:AC723,"&lt;&gt;",$W$3:W723,"&lt;&gt;",$V$3:V723,"&gt;0"),"")</f>
        <v/>
      </c>
    </row>
    <row r="724">
      <c r="A724" s="12" t="n"/>
      <c r="B724" s="13" t="n"/>
      <c r="C724" s="13" t="n"/>
      <c r="D724" s="7">
        <f>IF(OR(B724="",C724=""),"",ROUND((C724-B724)*1440,0))</f>
        <v/>
      </c>
      <c r="E724" s="12" t="n"/>
      <c r="F724" s="12" t="n"/>
      <c r="G724" s="12" t="n"/>
      <c r="H724" s="12" t="n"/>
      <c r="I724" s="12" t="n"/>
      <c r="J724" s="12" t="n"/>
      <c r="K724" s="12" t="n"/>
      <c r="L724" s="14" t="n"/>
      <c r="M724" s="12" t="n"/>
      <c r="N724" s="12" t="n"/>
      <c r="O724" s="12" t="n"/>
      <c r="P724" s="12" t="n"/>
      <c r="Q724" s="7">
        <f>IF(A724="","",IFERROR(VLOOKUP(O724,Listes!$R$3:$T$8,2,FALSE),0)+IFERROR(VLOOKUP(J724,Listes!$J$3:$L$6,2,FALSE),0)+IFERROR(VLOOKUP(N724,Listes!$N$3:$P$6,2,FALSE),0)+IF(OR(L724="",B724=""),0,IF(L724-INT(B724)&lt;10,8,IF(L724-INT(B724)&lt;=90,10,5)))+IFERROR(VLOOKUP(AN724,Listes!$V$3:$W$5,2,FALSE),0)+IFERROR(VLOOKUP(AO724,Listes!$Y$3:$Z$5,2,FALSE),0))</f>
        <v/>
      </c>
      <c r="R724" s="12" t="n"/>
      <c r="S724" s="12" t="n"/>
      <c r="T724" s="12" t="n"/>
      <c r="U724" s="15" t="n"/>
      <c r="V724" s="15" t="n"/>
      <c r="W724" s="13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3" t="n"/>
      <c r="AK724" s="12" t="n"/>
      <c r="AL724" s="12" t="n"/>
      <c r="AM724" s="12" t="n"/>
      <c r="AN724" s="12" t="n"/>
      <c r="AO724" s="12" t="n"/>
      <c r="AP724" s="12" t="n"/>
      <c r="AQ724" s="7">
        <f>IF(A724="","",IF(AP724&lt;&gt;"",AP724,IF(LEFT(Z724,11)="gads_marque","Google Search – Marque",IF(LEFT(Z724,12)="gads_mariage","Google Search – Mariage et privé",IF(LEFT(Z724,10)="gads_corpo","Google Search – Corporatif",IF(LEFT(Z724,5)="meta_","Meta – Leads",IF(LEFT(Z724,5)="msft_","Microsoft Ads",IF(LEFT(Z724,8)="chatgpt_","ChatGPT Ads – Test",IF(X724="gbp","Fiche Google (organique)","Autre / non payé")))))))))</f>
        <v/>
      </c>
      <c r="AR724" s="7">
        <f>IF(K724="","",IFERROR(VLOOKUP(K724,Listes!$F$3:$H$8,3,FALSE),""))</f>
        <v/>
      </c>
      <c r="AS724" s="7">
        <f>IF(O724="","",IF(AND(M724="Autre (plus de 40 km)",OR(O724="lt600",O724="600_999",O724="1000_2499")),"D",IF(OR(O724="lt600",AND(O724="600_999",K724&lt;&gt;"mariage",K724&lt;&gt;"prive")),"C",IF(OR(O724="2500_4999",O724="5000p",J724="entreprise",J724="organisme",J724="agence"),"A",IF(OR(O724="1000_2499",O724="600_999"),"B",IF(O724="inconnu",IF(OR(N724="75_149",N724="150p"),"A","B"),""))))))</f>
        <v/>
      </c>
      <c r="AT724" s="7">
        <f>IF(A724="","",IF(P724&lt;&gt;"",P724,AS724))</f>
        <v/>
      </c>
      <c r="AU724" s="7">
        <f>IF(A724="","",IF(OR(AT724="A",AT724="B"),1,0))</f>
        <v/>
      </c>
      <c r="AV724" s="7">
        <f>IF(A724="","",IF(OR(R724="Dépôt payé (gagné)",R724="Événement livré",R724="Avis obtenu"),1,0))</f>
        <v/>
      </c>
      <c r="AW724" s="7">
        <f>IF(A724="","",IF(Q724&gt;70,"Immédiat – propriétaire",IF(Q724&gt;=40,"15 min – personne de garde","Selon la route")))</f>
        <v/>
      </c>
      <c r="AX724" s="11">
        <f>IF(A724="","",IF(AT724="A",400,IF(AT724="B",150,0)))</f>
        <v/>
      </c>
      <c r="AY724" s="11">
        <f>IF(A724="","",IF(AV724=1,N(V724),IF(N(U724)&gt;0,ROUND(N(U724)*IFERROR(VLOOKUP(R724,Listes!$AE$3:$AG$12,2,FALSE),0),0),0)))</f>
        <v/>
      </c>
      <c r="AZ724" s="7">
        <f>IF(LEFT(A724,7)="EXEMPLE",1,0)</f>
        <v/>
      </c>
      <c r="BA724" s="7">
        <f>IF(AND(AV724=1,AZ724=0,AC724&lt;&gt;"",W724&lt;&gt;"",N(V724)&gt;0),COUNTIFS($AV$3:AV724,1,$AZ$3:AZ724,0,$AC$3:AC724,"&lt;&gt;",$W$3:W724,"&lt;&gt;",$V$3:V724,"&gt;0"),"")</f>
        <v/>
      </c>
    </row>
    <row r="725">
      <c r="A725" s="12" t="n"/>
      <c r="B725" s="13" t="n"/>
      <c r="C725" s="13" t="n"/>
      <c r="D725" s="7">
        <f>IF(OR(B725="",C725=""),"",ROUND((C725-B725)*1440,0))</f>
        <v/>
      </c>
      <c r="E725" s="12" t="n"/>
      <c r="F725" s="12" t="n"/>
      <c r="G725" s="12" t="n"/>
      <c r="H725" s="12" t="n"/>
      <c r="I725" s="12" t="n"/>
      <c r="J725" s="12" t="n"/>
      <c r="K725" s="12" t="n"/>
      <c r="L725" s="14" t="n"/>
      <c r="M725" s="12" t="n"/>
      <c r="N725" s="12" t="n"/>
      <c r="O725" s="12" t="n"/>
      <c r="P725" s="12" t="n"/>
      <c r="Q725" s="7">
        <f>IF(A725="","",IFERROR(VLOOKUP(O725,Listes!$R$3:$T$8,2,FALSE),0)+IFERROR(VLOOKUP(J725,Listes!$J$3:$L$6,2,FALSE),0)+IFERROR(VLOOKUP(N725,Listes!$N$3:$P$6,2,FALSE),0)+IF(OR(L725="",B725=""),0,IF(L725-INT(B725)&lt;10,8,IF(L725-INT(B725)&lt;=90,10,5)))+IFERROR(VLOOKUP(AN725,Listes!$V$3:$W$5,2,FALSE),0)+IFERROR(VLOOKUP(AO725,Listes!$Y$3:$Z$5,2,FALSE),0))</f>
        <v/>
      </c>
      <c r="R725" s="12" t="n"/>
      <c r="S725" s="12" t="n"/>
      <c r="T725" s="12" t="n"/>
      <c r="U725" s="15" t="n"/>
      <c r="V725" s="15" t="n"/>
      <c r="W725" s="13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3" t="n"/>
      <c r="AK725" s="12" t="n"/>
      <c r="AL725" s="12" t="n"/>
      <c r="AM725" s="12" t="n"/>
      <c r="AN725" s="12" t="n"/>
      <c r="AO725" s="12" t="n"/>
      <c r="AP725" s="12" t="n"/>
      <c r="AQ725" s="7">
        <f>IF(A725="","",IF(AP725&lt;&gt;"",AP725,IF(LEFT(Z725,11)="gads_marque","Google Search – Marque",IF(LEFT(Z725,12)="gads_mariage","Google Search – Mariage et privé",IF(LEFT(Z725,10)="gads_corpo","Google Search – Corporatif",IF(LEFT(Z725,5)="meta_","Meta – Leads",IF(LEFT(Z725,5)="msft_","Microsoft Ads",IF(LEFT(Z725,8)="chatgpt_","ChatGPT Ads – Test",IF(X725="gbp","Fiche Google (organique)","Autre / non payé")))))))))</f>
        <v/>
      </c>
      <c r="AR725" s="7">
        <f>IF(K725="","",IFERROR(VLOOKUP(K725,Listes!$F$3:$H$8,3,FALSE),""))</f>
        <v/>
      </c>
      <c r="AS725" s="7">
        <f>IF(O725="","",IF(AND(M725="Autre (plus de 40 km)",OR(O725="lt600",O725="600_999",O725="1000_2499")),"D",IF(OR(O725="lt600",AND(O725="600_999",K725&lt;&gt;"mariage",K725&lt;&gt;"prive")),"C",IF(OR(O725="2500_4999",O725="5000p",J725="entreprise",J725="organisme",J725="agence"),"A",IF(OR(O725="1000_2499",O725="600_999"),"B",IF(O725="inconnu",IF(OR(N725="75_149",N725="150p"),"A","B"),""))))))</f>
        <v/>
      </c>
      <c r="AT725" s="7">
        <f>IF(A725="","",IF(P725&lt;&gt;"",P725,AS725))</f>
        <v/>
      </c>
      <c r="AU725" s="7">
        <f>IF(A725="","",IF(OR(AT725="A",AT725="B"),1,0))</f>
        <v/>
      </c>
      <c r="AV725" s="7">
        <f>IF(A725="","",IF(OR(R725="Dépôt payé (gagné)",R725="Événement livré",R725="Avis obtenu"),1,0))</f>
        <v/>
      </c>
      <c r="AW725" s="7">
        <f>IF(A725="","",IF(Q725&gt;70,"Immédiat – propriétaire",IF(Q725&gt;=40,"15 min – personne de garde","Selon la route")))</f>
        <v/>
      </c>
      <c r="AX725" s="11">
        <f>IF(A725="","",IF(AT725="A",400,IF(AT725="B",150,0)))</f>
        <v/>
      </c>
      <c r="AY725" s="11">
        <f>IF(A725="","",IF(AV725=1,N(V725),IF(N(U725)&gt;0,ROUND(N(U725)*IFERROR(VLOOKUP(R725,Listes!$AE$3:$AG$12,2,FALSE),0),0),0)))</f>
        <v/>
      </c>
      <c r="AZ725" s="7">
        <f>IF(LEFT(A725,7)="EXEMPLE",1,0)</f>
        <v/>
      </c>
      <c r="BA725" s="7">
        <f>IF(AND(AV725=1,AZ725=0,AC725&lt;&gt;"",W725&lt;&gt;"",N(V725)&gt;0),COUNTIFS($AV$3:AV725,1,$AZ$3:AZ725,0,$AC$3:AC725,"&lt;&gt;",$W$3:W725,"&lt;&gt;",$V$3:V725,"&gt;0"),"")</f>
        <v/>
      </c>
    </row>
    <row r="726">
      <c r="A726" s="12" t="n"/>
      <c r="B726" s="13" t="n"/>
      <c r="C726" s="13" t="n"/>
      <c r="D726" s="7">
        <f>IF(OR(B726="",C726=""),"",ROUND((C726-B726)*1440,0))</f>
        <v/>
      </c>
      <c r="E726" s="12" t="n"/>
      <c r="F726" s="12" t="n"/>
      <c r="G726" s="12" t="n"/>
      <c r="H726" s="12" t="n"/>
      <c r="I726" s="12" t="n"/>
      <c r="J726" s="12" t="n"/>
      <c r="K726" s="12" t="n"/>
      <c r="L726" s="14" t="n"/>
      <c r="M726" s="12" t="n"/>
      <c r="N726" s="12" t="n"/>
      <c r="O726" s="12" t="n"/>
      <c r="P726" s="12" t="n"/>
      <c r="Q726" s="7">
        <f>IF(A726="","",IFERROR(VLOOKUP(O726,Listes!$R$3:$T$8,2,FALSE),0)+IFERROR(VLOOKUP(J726,Listes!$J$3:$L$6,2,FALSE),0)+IFERROR(VLOOKUP(N726,Listes!$N$3:$P$6,2,FALSE),0)+IF(OR(L726="",B726=""),0,IF(L726-INT(B726)&lt;10,8,IF(L726-INT(B726)&lt;=90,10,5)))+IFERROR(VLOOKUP(AN726,Listes!$V$3:$W$5,2,FALSE),0)+IFERROR(VLOOKUP(AO726,Listes!$Y$3:$Z$5,2,FALSE),0))</f>
        <v/>
      </c>
      <c r="R726" s="12" t="n"/>
      <c r="S726" s="12" t="n"/>
      <c r="T726" s="12" t="n"/>
      <c r="U726" s="15" t="n"/>
      <c r="V726" s="15" t="n"/>
      <c r="W726" s="13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3" t="n"/>
      <c r="AK726" s="12" t="n"/>
      <c r="AL726" s="12" t="n"/>
      <c r="AM726" s="12" t="n"/>
      <c r="AN726" s="12" t="n"/>
      <c r="AO726" s="12" t="n"/>
      <c r="AP726" s="12" t="n"/>
      <c r="AQ726" s="7">
        <f>IF(A726="","",IF(AP726&lt;&gt;"",AP726,IF(LEFT(Z726,11)="gads_marque","Google Search – Marque",IF(LEFT(Z726,12)="gads_mariage","Google Search – Mariage et privé",IF(LEFT(Z726,10)="gads_corpo","Google Search – Corporatif",IF(LEFT(Z726,5)="meta_","Meta – Leads",IF(LEFT(Z726,5)="msft_","Microsoft Ads",IF(LEFT(Z726,8)="chatgpt_","ChatGPT Ads – Test",IF(X726="gbp","Fiche Google (organique)","Autre / non payé")))))))))</f>
        <v/>
      </c>
      <c r="AR726" s="7">
        <f>IF(K726="","",IFERROR(VLOOKUP(K726,Listes!$F$3:$H$8,3,FALSE),""))</f>
        <v/>
      </c>
      <c r="AS726" s="7">
        <f>IF(O726="","",IF(AND(M726="Autre (plus de 40 km)",OR(O726="lt600",O726="600_999",O726="1000_2499")),"D",IF(OR(O726="lt600",AND(O726="600_999",K726&lt;&gt;"mariage",K726&lt;&gt;"prive")),"C",IF(OR(O726="2500_4999",O726="5000p",J726="entreprise",J726="organisme",J726="agence"),"A",IF(OR(O726="1000_2499",O726="600_999"),"B",IF(O726="inconnu",IF(OR(N726="75_149",N726="150p"),"A","B"),""))))))</f>
        <v/>
      </c>
      <c r="AT726" s="7">
        <f>IF(A726="","",IF(P726&lt;&gt;"",P726,AS726))</f>
        <v/>
      </c>
      <c r="AU726" s="7">
        <f>IF(A726="","",IF(OR(AT726="A",AT726="B"),1,0))</f>
        <v/>
      </c>
      <c r="AV726" s="7">
        <f>IF(A726="","",IF(OR(R726="Dépôt payé (gagné)",R726="Événement livré",R726="Avis obtenu"),1,0))</f>
        <v/>
      </c>
      <c r="AW726" s="7">
        <f>IF(A726="","",IF(Q726&gt;70,"Immédiat – propriétaire",IF(Q726&gt;=40,"15 min – personne de garde","Selon la route")))</f>
        <v/>
      </c>
      <c r="AX726" s="11">
        <f>IF(A726="","",IF(AT726="A",400,IF(AT726="B",150,0)))</f>
        <v/>
      </c>
      <c r="AY726" s="11">
        <f>IF(A726="","",IF(AV726=1,N(V726),IF(N(U726)&gt;0,ROUND(N(U726)*IFERROR(VLOOKUP(R726,Listes!$AE$3:$AG$12,2,FALSE),0),0),0)))</f>
        <v/>
      </c>
      <c r="AZ726" s="7">
        <f>IF(LEFT(A726,7)="EXEMPLE",1,0)</f>
        <v/>
      </c>
      <c r="BA726" s="7">
        <f>IF(AND(AV726=1,AZ726=0,AC726&lt;&gt;"",W726&lt;&gt;"",N(V726)&gt;0),COUNTIFS($AV$3:AV726,1,$AZ$3:AZ726,0,$AC$3:AC726,"&lt;&gt;",$W$3:W726,"&lt;&gt;",$V$3:V726,"&gt;0"),"")</f>
        <v/>
      </c>
    </row>
    <row r="727">
      <c r="A727" s="12" t="n"/>
      <c r="B727" s="13" t="n"/>
      <c r="C727" s="13" t="n"/>
      <c r="D727" s="7">
        <f>IF(OR(B727="",C727=""),"",ROUND((C727-B727)*1440,0))</f>
        <v/>
      </c>
      <c r="E727" s="12" t="n"/>
      <c r="F727" s="12" t="n"/>
      <c r="G727" s="12" t="n"/>
      <c r="H727" s="12" t="n"/>
      <c r="I727" s="12" t="n"/>
      <c r="J727" s="12" t="n"/>
      <c r="K727" s="12" t="n"/>
      <c r="L727" s="14" t="n"/>
      <c r="M727" s="12" t="n"/>
      <c r="N727" s="12" t="n"/>
      <c r="O727" s="12" t="n"/>
      <c r="P727" s="12" t="n"/>
      <c r="Q727" s="7">
        <f>IF(A727="","",IFERROR(VLOOKUP(O727,Listes!$R$3:$T$8,2,FALSE),0)+IFERROR(VLOOKUP(J727,Listes!$J$3:$L$6,2,FALSE),0)+IFERROR(VLOOKUP(N727,Listes!$N$3:$P$6,2,FALSE),0)+IF(OR(L727="",B727=""),0,IF(L727-INT(B727)&lt;10,8,IF(L727-INT(B727)&lt;=90,10,5)))+IFERROR(VLOOKUP(AN727,Listes!$V$3:$W$5,2,FALSE),0)+IFERROR(VLOOKUP(AO727,Listes!$Y$3:$Z$5,2,FALSE),0))</f>
        <v/>
      </c>
      <c r="R727" s="12" t="n"/>
      <c r="S727" s="12" t="n"/>
      <c r="T727" s="12" t="n"/>
      <c r="U727" s="15" t="n"/>
      <c r="V727" s="15" t="n"/>
      <c r="W727" s="13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3" t="n"/>
      <c r="AK727" s="12" t="n"/>
      <c r="AL727" s="12" t="n"/>
      <c r="AM727" s="12" t="n"/>
      <c r="AN727" s="12" t="n"/>
      <c r="AO727" s="12" t="n"/>
      <c r="AP727" s="12" t="n"/>
      <c r="AQ727" s="7">
        <f>IF(A727="","",IF(AP727&lt;&gt;"",AP727,IF(LEFT(Z727,11)="gads_marque","Google Search – Marque",IF(LEFT(Z727,12)="gads_mariage","Google Search – Mariage et privé",IF(LEFT(Z727,10)="gads_corpo","Google Search – Corporatif",IF(LEFT(Z727,5)="meta_","Meta – Leads",IF(LEFT(Z727,5)="msft_","Microsoft Ads",IF(LEFT(Z727,8)="chatgpt_","ChatGPT Ads – Test",IF(X727="gbp","Fiche Google (organique)","Autre / non payé")))))))))</f>
        <v/>
      </c>
      <c r="AR727" s="7">
        <f>IF(K727="","",IFERROR(VLOOKUP(K727,Listes!$F$3:$H$8,3,FALSE),""))</f>
        <v/>
      </c>
      <c r="AS727" s="7">
        <f>IF(O727="","",IF(AND(M727="Autre (plus de 40 km)",OR(O727="lt600",O727="600_999",O727="1000_2499")),"D",IF(OR(O727="lt600",AND(O727="600_999",K727&lt;&gt;"mariage",K727&lt;&gt;"prive")),"C",IF(OR(O727="2500_4999",O727="5000p",J727="entreprise",J727="organisme",J727="agence"),"A",IF(OR(O727="1000_2499",O727="600_999"),"B",IF(O727="inconnu",IF(OR(N727="75_149",N727="150p"),"A","B"),""))))))</f>
        <v/>
      </c>
      <c r="AT727" s="7">
        <f>IF(A727="","",IF(P727&lt;&gt;"",P727,AS727))</f>
        <v/>
      </c>
      <c r="AU727" s="7">
        <f>IF(A727="","",IF(OR(AT727="A",AT727="B"),1,0))</f>
        <v/>
      </c>
      <c r="AV727" s="7">
        <f>IF(A727="","",IF(OR(R727="Dépôt payé (gagné)",R727="Événement livré",R727="Avis obtenu"),1,0))</f>
        <v/>
      </c>
      <c r="AW727" s="7">
        <f>IF(A727="","",IF(Q727&gt;70,"Immédiat – propriétaire",IF(Q727&gt;=40,"15 min – personne de garde","Selon la route")))</f>
        <v/>
      </c>
      <c r="AX727" s="11">
        <f>IF(A727="","",IF(AT727="A",400,IF(AT727="B",150,0)))</f>
        <v/>
      </c>
      <c r="AY727" s="11">
        <f>IF(A727="","",IF(AV727=1,N(V727),IF(N(U727)&gt;0,ROUND(N(U727)*IFERROR(VLOOKUP(R727,Listes!$AE$3:$AG$12,2,FALSE),0),0),0)))</f>
        <v/>
      </c>
      <c r="AZ727" s="7">
        <f>IF(LEFT(A727,7)="EXEMPLE",1,0)</f>
        <v/>
      </c>
      <c r="BA727" s="7">
        <f>IF(AND(AV727=1,AZ727=0,AC727&lt;&gt;"",W727&lt;&gt;"",N(V727)&gt;0),COUNTIFS($AV$3:AV727,1,$AZ$3:AZ727,0,$AC$3:AC727,"&lt;&gt;",$W$3:W727,"&lt;&gt;",$V$3:V727,"&gt;0"),"")</f>
        <v/>
      </c>
    </row>
    <row r="728">
      <c r="A728" s="12" t="n"/>
      <c r="B728" s="13" t="n"/>
      <c r="C728" s="13" t="n"/>
      <c r="D728" s="7">
        <f>IF(OR(B728="",C728=""),"",ROUND((C728-B728)*1440,0))</f>
        <v/>
      </c>
      <c r="E728" s="12" t="n"/>
      <c r="F728" s="12" t="n"/>
      <c r="G728" s="12" t="n"/>
      <c r="H728" s="12" t="n"/>
      <c r="I728" s="12" t="n"/>
      <c r="J728" s="12" t="n"/>
      <c r="K728" s="12" t="n"/>
      <c r="L728" s="14" t="n"/>
      <c r="M728" s="12" t="n"/>
      <c r="N728" s="12" t="n"/>
      <c r="O728" s="12" t="n"/>
      <c r="P728" s="12" t="n"/>
      <c r="Q728" s="7">
        <f>IF(A728="","",IFERROR(VLOOKUP(O728,Listes!$R$3:$T$8,2,FALSE),0)+IFERROR(VLOOKUP(J728,Listes!$J$3:$L$6,2,FALSE),0)+IFERROR(VLOOKUP(N728,Listes!$N$3:$P$6,2,FALSE),0)+IF(OR(L728="",B728=""),0,IF(L728-INT(B728)&lt;10,8,IF(L728-INT(B728)&lt;=90,10,5)))+IFERROR(VLOOKUP(AN728,Listes!$V$3:$W$5,2,FALSE),0)+IFERROR(VLOOKUP(AO728,Listes!$Y$3:$Z$5,2,FALSE),0))</f>
        <v/>
      </c>
      <c r="R728" s="12" t="n"/>
      <c r="S728" s="12" t="n"/>
      <c r="T728" s="12" t="n"/>
      <c r="U728" s="15" t="n"/>
      <c r="V728" s="15" t="n"/>
      <c r="W728" s="13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3" t="n"/>
      <c r="AK728" s="12" t="n"/>
      <c r="AL728" s="12" t="n"/>
      <c r="AM728" s="12" t="n"/>
      <c r="AN728" s="12" t="n"/>
      <c r="AO728" s="12" t="n"/>
      <c r="AP728" s="12" t="n"/>
      <c r="AQ728" s="7">
        <f>IF(A728="","",IF(AP728&lt;&gt;"",AP728,IF(LEFT(Z728,11)="gads_marque","Google Search – Marque",IF(LEFT(Z728,12)="gads_mariage","Google Search – Mariage et privé",IF(LEFT(Z728,10)="gads_corpo","Google Search – Corporatif",IF(LEFT(Z728,5)="meta_","Meta – Leads",IF(LEFT(Z728,5)="msft_","Microsoft Ads",IF(LEFT(Z728,8)="chatgpt_","ChatGPT Ads – Test",IF(X728="gbp","Fiche Google (organique)","Autre / non payé")))))))))</f>
        <v/>
      </c>
      <c r="AR728" s="7">
        <f>IF(K728="","",IFERROR(VLOOKUP(K728,Listes!$F$3:$H$8,3,FALSE),""))</f>
        <v/>
      </c>
      <c r="AS728" s="7">
        <f>IF(O728="","",IF(AND(M728="Autre (plus de 40 km)",OR(O728="lt600",O728="600_999",O728="1000_2499")),"D",IF(OR(O728="lt600",AND(O728="600_999",K728&lt;&gt;"mariage",K728&lt;&gt;"prive")),"C",IF(OR(O728="2500_4999",O728="5000p",J728="entreprise",J728="organisme",J728="agence"),"A",IF(OR(O728="1000_2499",O728="600_999"),"B",IF(O728="inconnu",IF(OR(N728="75_149",N728="150p"),"A","B"),""))))))</f>
        <v/>
      </c>
      <c r="AT728" s="7">
        <f>IF(A728="","",IF(P728&lt;&gt;"",P728,AS728))</f>
        <v/>
      </c>
      <c r="AU728" s="7">
        <f>IF(A728="","",IF(OR(AT728="A",AT728="B"),1,0))</f>
        <v/>
      </c>
      <c r="AV728" s="7">
        <f>IF(A728="","",IF(OR(R728="Dépôt payé (gagné)",R728="Événement livré",R728="Avis obtenu"),1,0))</f>
        <v/>
      </c>
      <c r="AW728" s="7">
        <f>IF(A728="","",IF(Q728&gt;70,"Immédiat – propriétaire",IF(Q728&gt;=40,"15 min – personne de garde","Selon la route")))</f>
        <v/>
      </c>
      <c r="AX728" s="11">
        <f>IF(A728="","",IF(AT728="A",400,IF(AT728="B",150,0)))</f>
        <v/>
      </c>
      <c r="AY728" s="11">
        <f>IF(A728="","",IF(AV728=1,N(V728),IF(N(U728)&gt;0,ROUND(N(U728)*IFERROR(VLOOKUP(R728,Listes!$AE$3:$AG$12,2,FALSE),0),0),0)))</f>
        <v/>
      </c>
      <c r="AZ728" s="7">
        <f>IF(LEFT(A728,7)="EXEMPLE",1,0)</f>
        <v/>
      </c>
      <c r="BA728" s="7">
        <f>IF(AND(AV728=1,AZ728=0,AC728&lt;&gt;"",W728&lt;&gt;"",N(V728)&gt;0),COUNTIFS($AV$3:AV728,1,$AZ$3:AZ728,0,$AC$3:AC728,"&lt;&gt;",$W$3:W728,"&lt;&gt;",$V$3:V728,"&gt;0"),"")</f>
        <v/>
      </c>
    </row>
    <row r="729">
      <c r="A729" s="12" t="n"/>
      <c r="B729" s="13" t="n"/>
      <c r="C729" s="13" t="n"/>
      <c r="D729" s="7">
        <f>IF(OR(B729="",C729=""),"",ROUND((C729-B729)*1440,0))</f>
        <v/>
      </c>
      <c r="E729" s="12" t="n"/>
      <c r="F729" s="12" t="n"/>
      <c r="G729" s="12" t="n"/>
      <c r="H729" s="12" t="n"/>
      <c r="I729" s="12" t="n"/>
      <c r="J729" s="12" t="n"/>
      <c r="K729" s="12" t="n"/>
      <c r="L729" s="14" t="n"/>
      <c r="M729" s="12" t="n"/>
      <c r="N729" s="12" t="n"/>
      <c r="O729" s="12" t="n"/>
      <c r="P729" s="12" t="n"/>
      <c r="Q729" s="7">
        <f>IF(A729="","",IFERROR(VLOOKUP(O729,Listes!$R$3:$T$8,2,FALSE),0)+IFERROR(VLOOKUP(J729,Listes!$J$3:$L$6,2,FALSE),0)+IFERROR(VLOOKUP(N729,Listes!$N$3:$P$6,2,FALSE),0)+IF(OR(L729="",B729=""),0,IF(L729-INT(B729)&lt;10,8,IF(L729-INT(B729)&lt;=90,10,5)))+IFERROR(VLOOKUP(AN729,Listes!$V$3:$W$5,2,FALSE),0)+IFERROR(VLOOKUP(AO729,Listes!$Y$3:$Z$5,2,FALSE),0))</f>
        <v/>
      </c>
      <c r="R729" s="12" t="n"/>
      <c r="S729" s="12" t="n"/>
      <c r="T729" s="12" t="n"/>
      <c r="U729" s="15" t="n"/>
      <c r="V729" s="15" t="n"/>
      <c r="W729" s="13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3" t="n"/>
      <c r="AK729" s="12" t="n"/>
      <c r="AL729" s="12" t="n"/>
      <c r="AM729" s="12" t="n"/>
      <c r="AN729" s="12" t="n"/>
      <c r="AO729" s="12" t="n"/>
      <c r="AP729" s="12" t="n"/>
      <c r="AQ729" s="7">
        <f>IF(A729="","",IF(AP729&lt;&gt;"",AP729,IF(LEFT(Z729,11)="gads_marque","Google Search – Marque",IF(LEFT(Z729,12)="gads_mariage","Google Search – Mariage et privé",IF(LEFT(Z729,10)="gads_corpo","Google Search – Corporatif",IF(LEFT(Z729,5)="meta_","Meta – Leads",IF(LEFT(Z729,5)="msft_","Microsoft Ads",IF(LEFT(Z729,8)="chatgpt_","ChatGPT Ads – Test",IF(X729="gbp","Fiche Google (organique)","Autre / non payé")))))))))</f>
        <v/>
      </c>
      <c r="AR729" s="7">
        <f>IF(K729="","",IFERROR(VLOOKUP(K729,Listes!$F$3:$H$8,3,FALSE),""))</f>
        <v/>
      </c>
      <c r="AS729" s="7">
        <f>IF(O729="","",IF(AND(M729="Autre (plus de 40 km)",OR(O729="lt600",O729="600_999",O729="1000_2499")),"D",IF(OR(O729="lt600",AND(O729="600_999",K729&lt;&gt;"mariage",K729&lt;&gt;"prive")),"C",IF(OR(O729="2500_4999",O729="5000p",J729="entreprise",J729="organisme",J729="agence"),"A",IF(OR(O729="1000_2499",O729="600_999"),"B",IF(O729="inconnu",IF(OR(N729="75_149",N729="150p"),"A","B"),""))))))</f>
        <v/>
      </c>
      <c r="AT729" s="7">
        <f>IF(A729="","",IF(P729&lt;&gt;"",P729,AS729))</f>
        <v/>
      </c>
      <c r="AU729" s="7">
        <f>IF(A729="","",IF(OR(AT729="A",AT729="B"),1,0))</f>
        <v/>
      </c>
      <c r="AV729" s="7">
        <f>IF(A729="","",IF(OR(R729="Dépôt payé (gagné)",R729="Événement livré",R729="Avis obtenu"),1,0))</f>
        <v/>
      </c>
      <c r="AW729" s="7">
        <f>IF(A729="","",IF(Q729&gt;70,"Immédiat – propriétaire",IF(Q729&gt;=40,"15 min – personne de garde","Selon la route")))</f>
        <v/>
      </c>
      <c r="AX729" s="11">
        <f>IF(A729="","",IF(AT729="A",400,IF(AT729="B",150,0)))</f>
        <v/>
      </c>
      <c r="AY729" s="11">
        <f>IF(A729="","",IF(AV729=1,N(V729),IF(N(U729)&gt;0,ROUND(N(U729)*IFERROR(VLOOKUP(R729,Listes!$AE$3:$AG$12,2,FALSE),0),0),0)))</f>
        <v/>
      </c>
      <c r="AZ729" s="7">
        <f>IF(LEFT(A729,7)="EXEMPLE",1,0)</f>
        <v/>
      </c>
      <c r="BA729" s="7">
        <f>IF(AND(AV729=1,AZ729=0,AC729&lt;&gt;"",W729&lt;&gt;"",N(V729)&gt;0),COUNTIFS($AV$3:AV729,1,$AZ$3:AZ729,0,$AC$3:AC729,"&lt;&gt;",$W$3:W729,"&lt;&gt;",$V$3:V729,"&gt;0"),"")</f>
        <v/>
      </c>
    </row>
    <row r="730">
      <c r="A730" s="12" t="n"/>
      <c r="B730" s="13" t="n"/>
      <c r="C730" s="13" t="n"/>
      <c r="D730" s="7">
        <f>IF(OR(B730="",C730=""),"",ROUND((C730-B730)*1440,0))</f>
        <v/>
      </c>
      <c r="E730" s="12" t="n"/>
      <c r="F730" s="12" t="n"/>
      <c r="G730" s="12" t="n"/>
      <c r="H730" s="12" t="n"/>
      <c r="I730" s="12" t="n"/>
      <c r="J730" s="12" t="n"/>
      <c r="K730" s="12" t="n"/>
      <c r="L730" s="14" t="n"/>
      <c r="M730" s="12" t="n"/>
      <c r="N730" s="12" t="n"/>
      <c r="O730" s="12" t="n"/>
      <c r="P730" s="12" t="n"/>
      <c r="Q730" s="7">
        <f>IF(A730="","",IFERROR(VLOOKUP(O730,Listes!$R$3:$T$8,2,FALSE),0)+IFERROR(VLOOKUP(J730,Listes!$J$3:$L$6,2,FALSE),0)+IFERROR(VLOOKUP(N730,Listes!$N$3:$P$6,2,FALSE),0)+IF(OR(L730="",B730=""),0,IF(L730-INT(B730)&lt;10,8,IF(L730-INT(B730)&lt;=90,10,5)))+IFERROR(VLOOKUP(AN730,Listes!$V$3:$W$5,2,FALSE),0)+IFERROR(VLOOKUP(AO730,Listes!$Y$3:$Z$5,2,FALSE),0))</f>
        <v/>
      </c>
      <c r="R730" s="12" t="n"/>
      <c r="S730" s="12" t="n"/>
      <c r="T730" s="12" t="n"/>
      <c r="U730" s="15" t="n"/>
      <c r="V730" s="15" t="n"/>
      <c r="W730" s="13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3" t="n"/>
      <c r="AK730" s="12" t="n"/>
      <c r="AL730" s="12" t="n"/>
      <c r="AM730" s="12" t="n"/>
      <c r="AN730" s="12" t="n"/>
      <c r="AO730" s="12" t="n"/>
      <c r="AP730" s="12" t="n"/>
      <c r="AQ730" s="7">
        <f>IF(A730="","",IF(AP730&lt;&gt;"",AP730,IF(LEFT(Z730,11)="gads_marque","Google Search – Marque",IF(LEFT(Z730,12)="gads_mariage","Google Search – Mariage et privé",IF(LEFT(Z730,10)="gads_corpo","Google Search – Corporatif",IF(LEFT(Z730,5)="meta_","Meta – Leads",IF(LEFT(Z730,5)="msft_","Microsoft Ads",IF(LEFT(Z730,8)="chatgpt_","ChatGPT Ads – Test",IF(X730="gbp","Fiche Google (organique)","Autre / non payé")))))))))</f>
        <v/>
      </c>
      <c r="AR730" s="7">
        <f>IF(K730="","",IFERROR(VLOOKUP(K730,Listes!$F$3:$H$8,3,FALSE),""))</f>
        <v/>
      </c>
      <c r="AS730" s="7">
        <f>IF(O730="","",IF(AND(M730="Autre (plus de 40 km)",OR(O730="lt600",O730="600_999",O730="1000_2499")),"D",IF(OR(O730="lt600",AND(O730="600_999",K730&lt;&gt;"mariage",K730&lt;&gt;"prive")),"C",IF(OR(O730="2500_4999",O730="5000p",J730="entreprise",J730="organisme",J730="agence"),"A",IF(OR(O730="1000_2499",O730="600_999"),"B",IF(O730="inconnu",IF(OR(N730="75_149",N730="150p"),"A","B"),""))))))</f>
        <v/>
      </c>
      <c r="AT730" s="7">
        <f>IF(A730="","",IF(P730&lt;&gt;"",P730,AS730))</f>
        <v/>
      </c>
      <c r="AU730" s="7">
        <f>IF(A730="","",IF(OR(AT730="A",AT730="B"),1,0))</f>
        <v/>
      </c>
      <c r="AV730" s="7">
        <f>IF(A730="","",IF(OR(R730="Dépôt payé (gagné)",R730="Événement livré",R730="Avis obtenu"),1,0))</f>
        <v/>
      </c>
      <c r="AW730" s="7">
        <f>IF(A730="","",IF(Q730&gt;70,"Immédiat – propriétaire",IF(Q730&gt;=40,"15 min – personne de garde","Selon la route")))</f>
        <v/>
      </c>
      <c r="AX730" s="11">
        <f>IF(A730="","",IF(AT730="A",400,IF(AT730="B",150,0)))</f>
        <v/>
      </c>
      <c r="AY730" s="11">
        <f>IF(A730="","",IF(AV730=1,N(V730),IF(N(U730)&gt;0,ROUND(N(U730)*IFERROR(VLOOKUP(R730,Listes!$AE$3:$AG$12,2,FALSE),0),0),0)))</f>
        <v/>
      </c>
      <c r="AZ730" s="7">
        <f>IF(LEFT(A730,7)="EXEMPLE",1,0)</f>
        <v/>
      </c>
      <c r="BA730" s="7">
        <f>IF(AND(AV730=1,AZ730=0,AC730&lt;&gt;"",W730&lt;&gt;"",N(V730)&gt;0),COUNTIFS($AV$3:AV730,1,$AZ$3:AZ730,0,$AC$3:AC730,"&lt;&gt;",$W$3:W730,"&lt;&gt;",$V$3:V730,"&gt;0"),"")</f>
        <v/>
      </c>
    </row>
    <row r="731">
      <c r="A731" s="12" t="n"/>
      <c r="B731" s="13" t="n"/>
      <c r="C731" s="13" t="n"/>
      <c r="D731" s="7">
        <f>IF(OR(B731="",C731=""),"",ROUND((C731-B731)*1440,0))</f>
        <v/>
      </c>
      <c r="E731" s="12" t="n"/>
      <c r="F731" s="12" t="n"/>
      <c r="G731" s="12" t="n"/>
      <c r="H731" s="12" t="n"/>
      <c r="I731" s="12" t="n"/>
      <c r="J731" s="12" t="n"/>
      <c r="K731" s="12" t="n"/>
      <c r="L731" s="14" t="n"/>
      <c r="M731" s="12" t="n"/>
      <c r="N731" s="12" t="n"/>
      <c r="O731" s="12" t="n"/>
      <c r="P731" s="12" t="n"/>
      <c r="Q731" s="7">
        <f>IF(A731="","",IFERROR(VLOOKUP(O731,Listes!$R$3:$T$8,2,FALSE),0)+IFERROR(VLOOKUP(J731,Listes!$J$3:$L$6,2,FALSE),0)+IFERROR(VLOOKUP(N731,Listes!$N$3:$P$6,2,FALSE),0)+IF(OR(L731="",B731=""),0,IF(L731-INT(B731)&lt;10,8,IF(L731-INT(B731)&lt;=90,10,5)))+IFERROR(VLOOKUP(AN731,Listes!$V$3:$W$5,2,FALSE),0)+IFERROR(VLOOKUP(AO731,Listes!$Y$3:$Z$5,2,FALSE),0))</f>
        <v/>
      </c>
      <c r="R731" s="12" t="n"/>
      <c r="S731" s="12" t="n"/>
      <c r="T731" s="12" t="n"/>
      <c r="U731" s="15" t="n"/>
      <c r="V731" s="15" t="n"/>
      <c r="W731" s="13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3" t="n"/>
      <c r="AK731" s="12" t="n"/>
      <c r="AL731" s="12" t="n"/>
      <c r="AM731" s="12" t="n"/>
      <c r="AN731" s="12" t="n"/>
      <c r="AO731" s="12" t="n"/>
      <c r="AP731" s="12" t="n"/>
      <c r="AQ731" s="7">
        <f>IF(A731="","",IF(AP731&lt;&gt;"",AP731,IF(LEFT(Z731,11)="gads_marque","Google Search – Marque",IF(LEFT(Z731,12)="gads_mariage","Google Search – Mariage et privé",IF(LEFT(Z731,10)="gads_corpo","Google Search – Corporatif",IF(LEFT(Z731,5)="meta_","Meta – Leads",IF(LEFT(Z731,5)="msft_","Microsoft Ads",IF(LEFT(Z731,8)="chatgpt_","ChatGPT Ads – Test",IF(X731="gbp","Fiche Google (organique)","Autre / non payé")))))))))</f>
        <v/>
      </c>
      <c r="AR731" s="7">
        <f>IF(K731="","",IFERROR(VLOOKUP(K731,Listes!$F$3:$H$8,3,FALSE),""))</f>
        <v/>
      </c>
      <c r="AS731" s="7">
        <f>IF(O731="","",IF(AND(M731="Autre (plus de 40 km)",OR(O731="lt600",O731="600_999",O731="1000_2499")),"D",IF(OR(O731="lt600",AND(O731="600_999",K731&lt;&gt;"mariage",K731&lt;&gt;"prive")),"C",IF(OR(O731="2500_4999",O731="5000p",J731="entreprise",J731="organisme",J731="agence"),"A",IF(OR(O731="1000_2499",O731="600_999"),"B",IF(O731="inconnu",IF(OR(N731="75_149",N731="150p"),"A","B"),""))))))</f>
        <v/>
      </c>
      <c r="AT731" s="7">
        <f>IF(A731="","",IF(P731&lt;&gt;"",P731,AS731))</f>
        <v/>
      </c>
      <c r="AU731" s="7">
        <f>IF(A731="","",IF(OR(AT731="A",AT731="B"),1,0))</f>
        <v/>
      </c>
      <c r="AV731" s="7">
        <f>IF(A731="","",IF(OR(R731="Dépôt payé (gagné)",R731="Événement livré",R731="Avis obtenu"),1,0))</f>
        <v/>
      </c>
      <c r="AW731" s="7">
        <f>IF(A731="","",IF(Q731&gt;70,"Immédiat – propriétaire",IF(Q731&gt;=40,"15 min – personne de garde","Selon la route")))</f>
        <v/>
      </c>
      <c r="AX731" s="11">
        <f>IF(A731="","",IF(AT731="A",400,IF(AT731="B",150,0)))</f>
        <v/>
      </c>
      <c r="AY731" s="11">
        <f>IF(A731="","",IF(AV731=1,N(V731),IF(N(U731)&gt;0,ROUND(N(U731)*IFERROR(VLOOKUP(R731,Listes!$AE$3:$AG$12,2,FALSE),0),0),0)))</f>
        <v/>
      </c>
      <c r="AZ731" s="7">
        <f>IF(LEFT(A731,7)="EXEMPLE",1,0)</f>
        <v/>
      </c>
      <c r="BA731" s="7">
        <f>IF(AND(AV731=1,AZ731=0,AC731&lt;&gt;"",W731&lt;&gt;"",N(V731)&gt;0),COUNTIFS($AV$3:AV731,1,$AZ$3:AZ731,0,$AC$3:AC731,"&lt;&gt;",$W$3:W731,"&lt;&gt;",$V$3:V731,"&gt;0"),"")</f>
        <v/>
      </c>
    </row>
    <row r="732">
      <c r="A732" s="12" t="n"/>
      <c r="B732" s="13" t="n"/>
      <c r="C732" s="13" t="n"/>
      <c r="D732" s="7">
        <f>IF(OR(B732="",C732=""),"",ROUND((C732-B732)*1440,0))</f>
        <v/>
      </c>
      <c r="E732" s="12" t="n"/>
      <c r="F732" s="12" t="n"/>
      <c r="G732" s="12" t="n"/>
      <c r="H732" s="12" t="n"/>
      <c r="I732" s="12" t="n"/>
      <c r="J732" s="12" t="n"/>
      <c r="K732" s="12" t="n"/>
      <c r="L732" s="14" t="n"/>
      <c r="M732" s="12" t="n"/>
      <c r="N732" s="12" t="n"/>
      <c r="O732" s="12" t="n"/>
      <c r="P732" s="12" t="n"/>
      <c r="Q732" s="7">
        <f>IF(A732="","",IFERROR(VLOOKUP(O732,Listes!$R$3:$T$8,2,FALSE),0)+IFERROR(VLOOKUP(J732,Listes!$J$3:$L$6,2,FALSE),0)+IFERROR(VLOOKUP(N732,Listes!$N$3:$P$6,2,FALSE),0)+IF(OR(L732="",B732=""),0,IF(L732-INT(B732)&lt;10,8,IF(L732-INT(B732)&lt;=90,10,5)))+IFERROR(VLOOKUP(AN732,Listes!$V$3:$W$5,2,FALSE),0)+IFERROR(VLOOKUP(AO732,Listes!$Y$3:$Z$5,2,FALSE),0))</f>
        <v/>
      </c>
      <c r="R732" s="12" t="n"/>
      <c r="S732" s="12" t="n"/>
      <c r="T732" s="12" t="n"/>
      <c r="U732" s="15" t="n"/>
      <c r="V732" s="15" t="n"/>
      <c r="W732" s="13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3" t="n"/>
      <c r="AK732" s="12" t="n"/>
      <c r="AL732" s="12" t="n"/>
      <c r="AM732" s="12" t="n"/>
      <c r="AN732" s="12" t="n"/>
      <c r="AO732" s="12" t="n"/>
      <c r="AP732" s="12" t="n"/>
      <c r="AQ732" s="7">
        <f>IF(A732="","",IF(AP732&lt;&gt;"",AP732,IF(LEFT(Z732,11)="gads_marque","Google Search – Marque",IF(LEFT(Z732,12)="gads_mariage","Google Search – Mariage et privé",IF(LEFT(Z732,10)="gads_corpo","Google Search – Corporatif",IF(LEFT(Z732,5)="meta_","Meta – Leads",IF(LEFT(Z732,5)="msft_","Microsoft Ads",IF(LEFT(Z732,8)="chatgpt_","ChatGPT Ads – Test",IF(X732="gbp","Fiche Google (organique)","Autre / non payé")))))))))</f>
        <v/>
      </c>
      <c r="AR732" s="7">
        <f>IF(K732="","",IFERROR(VLOOKUP(K732,Listes!$F$3:$H$8,3,FALSE),""))</f>
        <v/>
      </c>
      <c r="AS732" s="7">
        <f>IF(O732="","",IF(AND(M732="Autre (plus de 40 km)",OR(O732="lt600",O732="600_999",O732="1000_2499")),"D",IF(OR(O732="lt600",AND(O732="600_999",K732&lt;&gt;"mariage",K732&lt;&gt;"prive")),"C",IF(OR(O732="2500_4999",O732="5000p",J732="entreprise",J732="organisme",J732="agence"),"A",IF(OR(O732="1000_2499",O732="600_999"),"B",IF(O732="inconnu",IF(OR(N732="75_149",N732="150p"),"A","B"),""))))))</f>
        <v/>
      </c>
      <c r="AT732" s="7">
        <f>IF(A732="","",IF(P732&lt;&gt;"",P732,AS732))</f>
        <v/>
      </c>
      <c r="AU732" s="7">
        <f>IF(A732="","",IF(OR(AT732="A",AT732="B"),1,0))</f>
        <v/>
      </c>
      <c r="AV732" s="7">
        <f>IF(A732="","",IF(OR(R732="Dépôt payé (gagné)",R732="Événement livré",R732="Avis obtenu"),1,0))</f>
        <v/>
      </c>
      <c r="AW732" s="7">
        <f>IF(A732="","",IF(Q732&gt;70,"Immédiat – propriétaire",IF(Q732&gt;=40,"15 min – personne de garde","Selon la route")))</f>
        <v/>
      </c>
      <c r="AX732" s="11">
        <f>IF(A732="","",IF(AT732="A",400,IF(AT732="B",150,0)))</f>
        <v/>
      </c>
      <c r="AY732" s="11">
        <f>IF(A732="","",IF(AV732=1,N(V732),IF(N(U732)&gt;0,ROUND(N(U732)*IFERROR(VLOOKUP(R732,Listes!$AE$3:$AG$12,2,FALSE),0),0),0)))</f>
        <v/>
      </c>
      <c r="AZ732" s="7">
        <f>IF(LEFT(A732,7)="EXEMPLE",1,0)</f>
        <v/>
      </c>
      <c r="BA732" s="7">
        <f>IF(AND(AV732=1,AZ732=0,AC732&lt;&gt;"",W732&lt;&gt;"",N(V732)&gt;0),COUNTIFS($AV$3:AV732,1,$AZ$3:AZ732,0,$AC$3:AC732,"&lt;&gt;",$W$3:W732,"&lt;&gt;",$V$3:V732,"&gt;0"),"")</f>
        <v/>
      </c>
    </row>
    <row r="733">
      <c r="A733" s="12" t="n"/>
      <c r="B733" s="13" t="n"/>
      <c r="C733" s="13" t="n"/>
      <c r="D733" s="7">
        <f>IF(OR(B733="",C733=""),"",ROUND((C733-B733)*1440,0))</f>
        <v/>
      </c>
      <c r="E733" s="12" t="n"/>
      <c r="F733" s="12" t="n"/>
      <c r="G733" s="12" t="n"/>
      <c r="H733" s="12" t="n"/>
      <c r="I733" s="12" t="n"/>
      <c r="J733" s="12" t="n"/>
      <c r="K733" s="12" t="n"/>
      <c r="L733" s="14" t="n"/>
      <c r="M733" s="12" t="n"/>
      <c r="N733" s="12" t="n"/>
      <c r="O733" s="12" t="n"/>
      <c r="P733" s="12" t="n"/>
      <c r="Q733" s="7">
        <f>IF(A733="","",IFERROR(VLOOKUP(O733,Listes!$R$3:$T$8,2,FALSE),0)+IFERROR(VLOOKUP(J733,Listes!$J$3:$L$6,2,FALSE),0)+IFERROR(VLOOKUP(N733,Listes!$N$3:$P$6,2,FALSE),0)+IF(OR(L733="",B733=""),0,IF(L733-INT(B733)&lt;10,8,IF(L733-INT(B733)&lt;=90,10,5)))+IFERROR(VLOOKUP(AN733,Listes!$V$3:$W$5,2,FALSE),0)+IFERROR(VLOOKUP(AO733,Listes!$Y$3:$Z$5,2,FALSE),0))</f>
        <v/>
      </c>
      <c r="R733" s="12" t="n"/>
      <c r="S733" s="12" t="n"/>
      <c r="T733" s="12" t="n"/>
      <c r="U733" s="15" t="n"/>
      <c r="V733" s="15" t="n"/>
      <c r="W733" s="13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3" t="n"/>
      <c r="AK733" s="12" t="n"/>
      <c r="AL733" s="12" t="n"/>
      <c r="AM733" s="12" t="n"/>
      <c r="AN733" s="12" t="n"/>
      <c r="AO733" s="12" t="n"/>
      <c r="AP733" s="12" t="n"/>
      <c r="AQ733" s="7">
        <f>IF(A733="","",IF(AP733&lt;&gt;"",AP733,IF(LEFT(Z733,11)="gads_marque","Google Search – Marque",IF(LEFT(Z733,12)="gads_mariage","Google Search – Mariage et privé",IF(LEFT(Z733,10)="gads_corpo","Google Search – Corporatif",IF(LEFT(Z733,5)="meta_","Meta – Leads",IF(LEFT(Z733,5)="msft_","Microsoft Ads",IF(LEFT(Z733,8)="chatgpt_","ChatGPT Ads – Test",IF(X733="gbp","Fiche Google (organique)","Autre / non payé")))))))))</f>
        <v/>
      </c>
      <c r="AR733" s="7">
        <f>IF(K733="","",IFERROR(VLOOKUP(K733,Listes!$F$3:$H$8,3,FALSE),""))</f>
        <v/>
      </c>
      <c r="AS733" s="7">
        <f>IF(O733="","",IF(AND(M733="Autre (plus de 40 km)",OR(O733="lt600",O733="600_999",O733="1000_2499")),"D",IF(OR(O733="lt600",AND(O733="600_999",K733&lt;&gt;"mariage",K733&lt;&gt;"prive")),"C",IF(OR(O733="2500_4999",O733="5000p",J733="entreprise",J733="organisme",J733="agence"),"A",IF(OR(O733="1000_2499",O733="600_999"),"B",IF(O733="inconnu",IF(OR(N733="75_149",N733="150p"),"A","B"),""))))))</f>
        <v/>
      </c>
      <c r="AT733" s="7">
        <f>IF(A733="","",IF(P733&lt;&gt;"",P733,AS733))</f>
        <v/>
      </c>
      <c r="AU733" s="7">
        <f>IF(A733="","",IF(OR(AT733="A",AT733="B"),1,0))</f>
        <v/>
      </c>
      <c r="AV733" s="7">
        <f>IF(A733="","",IF(OR(R733="Dépôt payé (gagné)",R733="Événement livré",R733="Avis obtenu"),1,0))</f>
        <v/>
      </c>
      <c r="AW733" s="7">
        <f>IF(A733="","",IF(Q733&gt;70,"Immédiat – propriétaire",IF(Q733&gt;=40,"15 min – personne de garde","Selon la route")))</f>
        <v/>
      </c>
      <c r="AX733" s="11">
        <f>IF(A733="","",IF(AT733="A",400,IF(AT733="B",150,0)))</f>
        <v/>
      </c>
      <c r="AY733" s="11">
        <f>IF(A733="","",IF(AV733=1,N(V733),IF(N(U733)&gt;0,ROUND(N(U733)*IFERROR(VLOOKUP(R733,Listes!$AE$3:$AG$12,2,FALSE),0),0),0)))</f>
        <v/>
      </c>
      <c r="AZ733" s="7">
        <f>IF(LEFT(A733,7)="EXEMPLE",1,0)</f>
        <v/>
      </c>
      <c r="BA733" s="7">
        <f>IF(AND(AV733=1,AZ733=0,AC733&lt;&gt;"",W733&lt;&gt;"",N(V733)&gt;0),COUNTIFS($AV$3:AV733,1,$AZ$3:AZ733,0,$AC$3:AC733,"&lt;&gt;",$W$3:W733,"&lt;&gt;",$V$3:V733,"&gt;0"),"")</f>
        <v/>
      </c>
    </row>
    <row r="734">
      <c r="A734" s="12" t="n"/>
      <c r="B734" s="13" t="n"/>
      <c r="C734" s="13" t="n"/>
      <c r="D734" s="7">
        <f>IF(OR(B734="",C734=""),"",ROUND((C734-B734)*1440,0))</f>
        <v/>
      </c>
      <c r="E734" s="12" t="n"/>
      <c r="F734" s="12" t="n"/>
      <c r="G734" s="12" t="n"/>
      <c r="H734" s="12" t="n"/>
      <c r="I734" s="12" t="n"/>
      <c r="J734" s="12" t="n"/>
      <c r="K734" s="12" t="n"/>
      <c r="L734" s="14" t="n"/>
      <c r="M734" s="12" t="n"/>
      <c r="N734" s="12" t="n"/>
      <c r="O734" s="12" t="n"/>
      <c r="P734" s="12" t="n"/>
      <c r="Q734" s="7">
        <f>IF(A734="","",IFERROR(VLOOKUP(O734,Listes!$R$3:$T$8,2,FALSE),0)+IFERROR(VLOOKUP(J734,Listes!$J$3:$L$6,2,FALSE),0)+IFERROR(VLOOKUP(N734,Listes!$N$3:$P$6,2,FALSE),0)+IF(OR(L734="",B734=""),0,IF(L734-INT(B734)&lt;10,8,IF(L734-INT(B734)&lt;=90,10,5)))+IFERROR(VLOOKUP(AN734,Listes!$V$3:$W$5,2,FALSE),0)+IFERROR(VLOOKUP(AO734,Listes!$Y$3:$Z$5,2,FALSE),0))</f>
        <v/>
      </c>
      <c r="R734" s="12" t="n"/>
      <c r="S734" s="12" t="n"/>
      <c r="T734" s="12" t="n"/>
      <c r="U734" s="15" t="n"/>
      <c r="V734" s="15" t="n"/>
      <c r="W734" s="13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3" t="n"/>
      <c r="AK734" s="12" t="n"/>
      <c r="AL734" s="12" t="n"/>
      <c r="AM734" s="12" t="n"/>
      <c r="AN734" s="12" t="n"/>
      <c r="AO734" s="12" t="n"/>
      <c r="AP734" s="12" t="n"/>
      <c r="AQ734" s="7">
        <f>IF(A734="","",IF(AP734&lt;&gt;"",AP734,IF(LEFT(Z734,11)="gads_marque","Google Search – Marque",IF(LEFT(Z734,12)="gads_mariage","Google Search – Mariage et privé",IF(LEFT(Z734,10)="gads_corpo","Google Search – Corporatif",IF(LEFT(Z734,5)="meta_","Meta – Leads",IF(LEFT(Z734,5)="msft_","Microsoft Ads",IF(LEFT(Z734,8)="chatgpt_","ChatGPT Ads – Test",IF(X734="gbp","Fiche Google (organique)","Autre / non payé")))))))))</f>
        <v/>
      </c>
      <c r="AR734" s="7">
        <f>IF(K734="","",IFERROR(VLOOKUP(K734,Listes!$F$3:$H$8,3,FALSE),""))</f>
        <v/>
      </c>
      <c r="AS734" s="7">
        <f>IF(O734="","",IF(AND(M734="Autre (plus de 40 km)",OR(O734="lt600",O734="600_999",O734="1000_2499")),"D",IF(OR(O734="lt600",AND(O734="600_999",K734&lt;&gt;"mariage",K734&lt;&gt;"prive")),"C",IF(OR(O734="2500_4999",O734="5000p",J734="entreprise",J734="organisme",J734="agence"),"A",IF(OR(O734="1000_2499",O734="600_999"),"B",IF(O734="inconnu",IF(OR(N734="75_149",N734="150p"),"A","B"),""))))))</f>
        <v/>
      </c>
      <c r="AT734" s="7">
        <f>IF(A734="","",IF(P734&lt;&gt;"",P734,AS734))</f>
        <v/>
      </c>
      <c r="AU734" s="7">
        <f>IF(A734="","",IF(OR(AT734="A",AT734="B"),1,0))</f>
        <v/>
      </c>
      <c r="AV734" s="7">
        <f>IF(A734="","",IF(OR(R734="Dépôt payé (gagné)",R734="Événement livré",R734="Avis obtenu"),1,0))</f>
        <v/>
      </c>
      <c r="AW734" s="7">
        <f>IF(A734="","",IF(Q734&gt;70,"Immédiat – propriétaire",IF(Q734&gt;=40,"15 min – personne de garde","Selon la route")))</f>
        <v/>
      </c>
      <c r="AX734" s="11">
        <f>IF(A734="","",IF(AT734="A",400,IF(AT734="B",150,0)))</f>
        <v/>
      </c>
      <c r="AY734" s="11">
        <f>IF(A734="","",IF(AV734=1,N(V734),IF(N(U734)&gt;0,ROUND(N(U734)*IFERROR(VLOOKUP(R734,Listes!$AE$3:$AG$12,2,FALSE),0),0),0)))</f>
        <v/>
      </c>
      <c r="AZ734" s="7">
        <f>IF(LEFT(A734,7)="EXEMPLE",1,0)</f>
        <v/>
      </c>
      <c r="BA734" s="7">
        <f>IF(AND(AV734=1,AZ734=0,AC734&lt;&gt;"",W734&lt;&gt;"",N(V734)&gt;0),COUNTIFS($AV$3:AV734,1,$AZ$3:AZ734,0,$AC$3:AC734,"&lt;&gt;",$W$3:W734,"&lt;&gt;",$V$3:V734,"&gt;0"),"")</f>
        <v/>
      </c>
    </row>
    <row r="735">
      <c r="A735" s="12" t="n"/>
      <c r="B735" s="13" t="n"/>
      <c r="C735" s="13" t="n"/>
      <c r="D735" s="7">
        <f>IF(OR(B735="",C735=""),"",ROUND((C735-B735)*1440,0))</f>
        <v/>
      </c>
      <c r="E735" s="12" t="n"/>
      <c r="F735" s="12" t="n"/>
      <c r="G735" s="12" t="n"/>
      <c r="H735" s="12" t="n"/>
      <c r="I735" s="12" t="n"/>
      <c r="J735" s="12" t="n"/>
      <c r="K735" s="12" t="n"/>
      <c r="L735" s="14" t="n"/>
      <c r="M735" s="12" t="n"/>
      <c r="N735" s="12" t="n"/>
      <c r="O735" s="12" t="n"/>
      <c r="P735" s="12" t="n"/>
      <c r="Q735" s="7">
        <f>IF(A735="","",IFERROR(VLOOKUP(O735,Listes!$R$3:$T$8,2,FALSE),0)+IFERROR(VLOOKUP(J735,Listes!$J$3:$L$6,2,FALSE),0)+IFERROR(VLOOKUP(N735,Listes!$N$3:$P$6,2,FALSE),0)+IF(OR(L735="",B735=""),0,IF(L735-INT(B735)&lt;10,8,IF(L735-INT(B735)&lt;=90,10,5)))+IFERROR(VLOOKUP(AN735,Listes!$V$3:$W$5,2,FALSE),0)+IFERROR(VLOOKUP(AO735,Listes!$Y$3:$Z$5,2,FALSE),0))</f>
        <v/>
      </c>
      <c r="R735" s="12" t="n"/>
      <c r="S735" s="12" t="n"/>
      <c r="T735" s="12" t="n"/>
      <c r="U735" s="15" t="n"/>
      <c r="V735" s="15" t="n"/>
      <c r="W735" s="13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3" t="n"/>
      <c r="AK735" s="12" t="n"/>
      <c r="AL735" s="12" t="n"/>
      <c r="AM735" s="12" t="n"/>
      <c r="AN735" s="12" t="n"/>
      <c r="AO735" s="12" t="n"/>
      <c r="AP735" s="12" t="n"/>
      <c r="AQ735" s="7">
        <f>IF(A735="","",IF(AP735&lt;&gt;"",AP735,IF(LEFT(Z735,11)="gads_marque","Google Search – Marque",IF(LEFT(Z735,12)="gads_mariage","Google Search – Mariage et privé",IF(LEFT(Z735,10)="gads_corpo","Google Search – Corporatif",IF(LEFT(Z735,5)="meta_","Meta – Leads",IF(LEFT(Z735,5)="msft_","Microsoft Ads",IF(LEFT(Z735,8)="chatgpt_","ChatGPT Ads – Test",IF(X735="gbp","Fiche Google (organique)","Autre / non payé")))))))))</f>
        <v/>
      </c>
      <c r="AR735" s="7">
        <f>IF(K735="","",IFERROR(VLOOKUP(K735,Listes!$F$3:$H$8,3,FALSE),""))</f>
        <v/>
      </c>
      <c r="AS735" s="7">
        <f>IF(O735="","",IF(AND(M735="Autre (plus de 40 km)",OR(O735="lt600",O735="600_999",O735="1000_2499")),"D",IF(OR(O735="lt600",AND(O735="600_999",K735&lt;&gt;"mariage",K735&lt;&gt;"prive")),"C",IF(OR(O735="2500_4999",O735="5000p",J735="entreprise",J735="organisme",J735="agence"),"A",IF(OR(O735="1000_2499",O735="600_999"),"B",IF(O735="inconnu",IF(OR(N735="75_149",N735="150p"),"A","B"),""))))))</f>
        <v/>
      </c>
      <c r="AT735" s="7">
        <f>IF(A735="","",IF(P735&lt;&gt;"",P735,AS735))</f>
        <v/>
      </c>
      <c r="AU735" s="7">
        <f>IF(A735="","",IF(OR(AT735="A",AT735="B"),1,0))</f>
        <v/>
      </c>
      <c r="AV735" s="7">
        <f>IF(A735="","",IF(OR(R735="Dépôt payé (gagné)",R735="Événement livré",R735="Avis obtenu"),1,0))</f>
        <v/>
      </c>
      <c r="AW735" s="7">
        <f>IF(A735="","",IF(Q735&gt;70,"Immédiat – propriétaire",IF(Q735&gt;=40,"15 min – personne de garde","Selon la route")))</f>
        <v/>
      </c>
      <c r="AX735" s="11">
        <f>IF(A735="","",IF(AT735="A",400,IF(AT735="B",150,0)))</f>
        <v/>
      </c>
      <c r="AY735" s="11">
        <f>IF(A735="","",IF(AV735=1,N(V735),IF(N(U735)&gt;0,ROUND(N(U735)*IFERROR(VLOOKUP(R735,Listes!$AE$3:$AG$12,2,FALSE),0),0),0)))</f>
        <v/>
      </c>
      <c r="AZ735" s="7">
        <f>IF(LEFT(A735,7)="EXEMPLE",1,0)</f>
        <v/>
      </c>
      <c r="BA735" s="7">
        <f>IF(AND(AV735=1,AZ735=0,AC735&lt;&gt;"",W735&lt;&gt;"",N(V735)&gt;0),COUNTIFS($AV$3:AV735,1,$AZ$3:AZ735,0,$AC$3:AC735,"&lt;&gt;",$W$3:W735,"&lt;&gt;",$V$3:V735,"&gt;0"),"")</f>
        <v/>
      </c>
    </row>
    <row r="736">
      <c r="A736" s="12" t="n"/>
      <c r="B736" s="13" t="n"/>
      <c r="C736" s="13" t="n"/>
      <c r="D736" s="7">
        <f>IF(OR(B736="",C736=""),"",ROUND((C736-B736)*1440,0))</f>
        <v/>
      </c>
      <c r="E736" s="12" t="n"/>
      <c r="F736" s="12" t="n"/>
      <c r="G736" s="12" t="n"/>
      <c r="H736" s="12" t="n"/>
      <c r="I736" s="12" t="n"/>
      <c r="J736" s="12" t="n"/>
      <c r="K736" s="12" t="n"/>
      <c r="L736" s="14" t="n"/>
      <c r="M736" s="12" t="n"/>
      <c r="N736" s="12" t="n"/>
      <c r="O736" s="12" t="n"/>
      <c r="P736" s="12" t="n"/>
      <c r="Q736" s="7">
        <f>IF(A736="","",IFERROR(VLOOKUP(O736,Listes!$R$3:$T$8,2,FALSE),0)+IFERROR(VLOOKUP(J736,Listes!$J$3:$L$6,2,FALSE),0)+IFERROR(VLOOKUP(N736,Listes!$N$3:$P$6,2,FALSE),0)+IF(OR(L736="",B736=""),0,IF(L736-INT(B736)&lt;10,8,IF(L736-INT(B736)&lt;=90,10,5)))+IFERROR(VLOOKUP(AN736,Listes!$V$3:$W$5,2,FALSE),0)+IFERROR(VLOOKUP(AO736,Listes!$Y$3:$Z$5,2,FALSE),0))</f>
        <v/>
      </c>
      <c r="R736" s="12" t="n"/>
      <c r="S736" s="12" t="n"/>
      <c r="T736" s="12" t="n"/>
      <c r="U736" s="15" t="n"/>
      <c r="V736" s="15" t="n"/>
      <c r="W736" s="13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3" t="n"/>
      <c r="AK736" s="12" t="n"/>
      <c r="AL736" s="12" t="n"/>
      <c r="AM736" s="12" t="n"/>
      <c r="AN736" s="12" t="n"/>
      <c r="AO736" s="12" t="n"/>
      <c r="AP736" s="12" t="n"/>
      <c r="AQ736" s="7">
        <f>IF(A736="","",IF(AP736&lt;&gt;"",AP736,IF(LEFT(Z736,11)="gads_marque","Google Search – Marque",IF(LEFT(Z736,12)="gads_mariage","Google Search – Mariage et privé",IF(LEFT(Z736,10)="gads_corpo","Google Search – Corporatif",IF(LEFT(Z736,5)="meta_","Meta – Leads",IF(LEFT(Z736,5)="msft_","Microsoft Ads",IF(LEFT(Z736,8)="chatgpt_","ChatGPT Ads – Test",IF(X736="gbp","Fiche Google (organique)","Autre / non payé")))))))))</f>
        <v/>
      </c>
      <c r="AR736" s="7">
        <f>IF(K736="","",IFERROR(VLOOKUP(K736,Listes!$F$3:$H$8,3,FALSE),""))</f>
        <v/>
      </c>
      <c r="AS736" s="7">
        <f>IF(O736="","",IF(AND(M736="Autre (plus de 40 km)",OR(O736="lt600",O736="600_999",O736="1000_2499")),"D",IF(OR(O736="lt600",AND(O736="600_999",K736&lt;&gt;"mariage",K736&lt;&gt;"prive")),"C",IF(OR(O736="2500_4999",O736="5000p",J736="entreprise",J736="organisme",J736="agence"),"A",IF(OR(O736="1000_2499",O736="600_999"),"B",IF(O736="inconnu",IF(OR(N736="75_149",N736="150p"),"A","B"),""))))))</f>
        <v/>
      </c>
      <c r="AT736" s="7">
        <f>IF(A736="","",IF(P736&lt;&gt;"",P736,AS736))</f>
        <v/>
      </c>
      <c r="AU736" s="7">
        <f>IF(A736="","",IF(OR(AT736="A",AT736="B"),1,0))</f>
        <v/>
      </c>
      <c r="AV736" s="7">
        <f>IF(A736="","",IF(OR(R736="Dépôt payé (gagné)",R736="Événement livré",R736="Avis obtenu"),1,0))</f>
        <v/>
      </c>
      <c r="AW736" s="7">
        <f>IF(A736="","",IF(Q736&gt;70,"Immédiat – propriétaire",IF(Q736&gt;=40,"15 min – personne de garde","Selon la route")))</f>
        <v/>
      </c>
      <c r="AX736" s="11">
        <f>IF(A736="","",IF(AT736="A",400,IF(AT736="B",150,0)))</f>
        <v/>
      </c>
      <c r="AY736" s="11">
        <f>IF(A736="","",IF(AV736=1,N(V736),IF(N(U736)&gt;0,ROUND(N(U736)*IFERROR(VLOOKUP(R736,Listes!$AE$3:$AG$12,2,FALSE),0),0),0)))</f>
        <v/>
      </c>
      <c r="AZ736" s="7">
        <f>IF(LEFT(A736,7)="EXEMPLE",1,0)</f>
        <v/>
      </c>
      <c r="BA736" s="7">
        <f>IF(AND(AV736=1,AZ736=0,AC736&lt;&gt;"",W736&lt;&gt;"",N(V736)&gt;0),COUNTIFS($AV$3:AV736,1,$AZ$3:AZ736,0,$AC$3:AC736,"&lt;&gt;",$W$3:W736,"&lt;&gt;",$V$3:V736,"&gt;0"),"")</f>
        <v/>
      </c>
    </row>
    <row r="737">
      <c r="A737" s="12" t="n"/>
      <c r="B737" s="13" t="n"/>
      <c r="C737" s="13" t="n"/>
      <c r="D737" s="7">
        <f>IF(OR(B737="",C737=""),"",ROUND((C737-B737)*1440,0))</f>
        <v/>
      </c>
      <c r="E737" s="12" t="n"/>
      <c r="F737" s="12" t="n"/>
      <c r="G737" s="12" t="n"/>
      <c r="H737" s="12" t="n"/>
      <c r="I737" s="12" t="n"/>
      <c r="J737" s="12" t="n"/>
      <c r="K737" s="12" t="n"/>
      <c r="L737" s="14" t="n"/>
      <c r="M737" s="12" t="n"/>
      <c r="N737" s="12" t="n"/>
      <c r="O737" s="12" t="n"/>
      <c r="P737" s="12" t="n"/>
      <c r="Q737" s="7">
        <f>IF(A737="","",IFERROR(VLOOKUP(O737,Listes!$R$3:$T$8,2,FALSE),0)+IFERROR(VLOOKUP(J737,Listes!$J$3:$L$6,2,FALSE),0)+IFERROR(VLOOKUP(N737,Listes!$N$3:$P$6,2,FALSE),0)+IF(OR(L737="",B737=""),0,IF(L737-INT(B737)&lt;10,8,IF(L737-INT(B737)&lt;=90,10,5)))+IFERROR(VLOOKUP(AN737,Listes!$V$3:$W$5,2,FALSE),0)+IFERROR(VLOOKUP(AO737,Listes!$Y$3:$Z$5,2,FALSE),0))</f>
        <v/>
      </c>
      <c r="R737" s="12" t="n"/>
      <c r="S737" s="12" t="n"/>
      <c r="T737" s="12" t="n"/>
      <c r="U737" s="15" t="n"/>
      <c r="V737" s="15" t="n"/>
      <c r="W737" s="13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3" t="n"/>
      <c r="AK737" s="12" t="n"/>
      <c r="AL737" s="12" t="n"/>
      <c r="AM737" s="12" t="n"/>
      <c r="AN737" s="12" t="n"/>
      <c r="AO737" s="12" t="n"/>
      <c r="AP737" s="12" t="n"/>
      <c r="AQ737" s="7">
        <f>IF(A737="","",IF(AP737&lt;&gt;"",AP737,IF(LEFT(Z737,11)="gads_marque","Google Search – Marque",IF(LEFT(Z737,12)="gads_mariage","Google Search – Mariage et privé",IF(LEFT(Z737,10)="gads_corpo","Google Search – Corporatif",IF(LEFT(Z737,5)="meta_","Meta – Leads",IF(LEFT(Z737,5)="msft_","Microsoft Ads",IF(LEFT(Z737,8)="chatgpt_","ChatGPT Ads – Test",IF(X737="gbp","Fiche Google (organique)","Autre / non payé")))))))))</f>
        <v/>
      </c>
      <c r="AR737" s="7">
        <f>IF(K737="","",IFERROR(VLOOKUP(K737,Listes!$F$3:$H$8,3,FALSE),""))</f>
        <v/>
      </c>
      <c r="AS737" s="7">
        <f>IF(O737="","",IF(AND(M737="Autre (plus de 40 km)",OR(O737="lt600",O737="600_999",O737="1000_2499")),"D",IF(OR(O737="lt600",AND(O737="600_999",K737&lt;&gt;"mariage",K737&lt;&gt;"prive")),"C",IF(OR(O737="2500_4999",O737="5000p",J737="entreprise",J737="organisme",J737="agence"),"A",IF(OR(O737="1000_2499",O737="600_999"),"B",IF(O737="inconnu",IF(OR(N737="75_149",N737="150p"),"A","B"),""))))))</f>
        <v/>
      </c>
      <c r="AT737" s="7">
        <f>IF(A737="","",IF(P737&lt;&gt;"",P737,AS737))</f>
        <v/>
      </c>
      <c r="AU737" s="7">
        <f>IF(A737="","",IF(OR(AT737="A",AT737="B"),1,0))</f>
        <v/>
      </c>
      <c r="AV737" s="7">
        <f>IF(A737="","",IF(OR(R737="Dépôt payé (gagné)",R737="Événement livré",R737="Avis obtenu"),1,0))</f>
        <v/>
      </c>
      <c r="AW737" s="7">
        <f>IF(A737="","",IF(Q737&gt;70,"Immédiat – propriétaire",IF(Q737&gt;=40,"15 min – personne de garde","Selon la route")))</f>
        <v/>
      </c>
      <c r="AX737" s="11">
        <f>IF(A737="","",IF(AT737="A",400,IF(AT737="B",150,0)))</f>
        <v/>
      </c>
      <c r="AY737" s="11">
        <f>IF(A737="","",IF(AV737=1,N(V737),IF(N(U737)&gt;0,ROUND(N(U737)*IFERROR(VLOOKUP(R737,Listes!$AE$3:$AG$12,2,FALSE),0),0),0)))</f>
        <v/>
      </c>
      <c r="AZ737" s="7">
        <f>IF(LEFT(A737,7)="EXEMPLE",1,0)</f>
        <v/>
      </c>
      <c r="BA737" s="7">
        <f>IF(AND(AV737=1,AZ737=0,AC737&lt;&gt;"",W737&lt;&gt;"",N(V737)&gt;0),COUNTIFS($AV$3:AV737,1,$AZ$3:AZ737,0,$AC$3:AC737,"&lt;&gt;",$W$3:W737,"&lt;&gt;",$V$3:V737,"&gt;0"),"")</f>
        <v/>
      </c>
    </row>
    <row r="738">
      <c r="A738" s="12" t="n"/>
      <c r="B738" s="13" t="n"/>
      <c r="C738" s="13" t="n"/>
      <c r="D738" s="7">
        <f>IF(OR(B738="",C738=""),"",ROUND((C738-B738)*1440,0))</f>
        <v/>
      </c>
      <c r="E738" s="12" t="n"/>
      <c r="F738" s="12" t="n"/>
      <c r="G738" s="12" t="n"/>
      <c r="H738" s="12" t="n"/>
      <c r="I738" s="12" t="n"/>
      <c r="J738" s="12" t="n"/>
      <c r="K738" s="12" t="n"/>
      <c r="L738" s="14" t="n"/>
      <c r="M738" s="12" t="n"/>
      <c r="N738" s="12" t="n"/>
      <c r="O738" s="12" t="n"/>
      <c r="P738" s="12" t="n"/>
      <c r="Q738" s="7">
        <f>IF(A738="","",IFERROR(VLOOKUP(O738,Listes!$R$3:$T$8,2,FALSE),0)+IFERROR(VLOOKUP(J738,Listes!$J$3:$L$6,2,FALSE),0)+IFERROR(VLOOKUP(N738,Listes!$N$3:$P$6,2,FALSE),0)+IF(OR(L738="",B738=""),0,IF(L738-INT(B738)&lt;10,8,IF(L738-INT(B738)&lt;=90,10,5)))+IFERROR(VLOOKUP(AN738,Listes!$V$3:$W$5,2,FALSE),0)+IFERROR(VLOOKUP(AO738,Listes!$Y$3:$Z$5,2,FALSE),0))</f>
        <v/>
      </c>
      <c r="R738" s="12" t="n"/>
      <c r="S738" s="12" t="n"/>
      <c r="T738" s="12" t="n"/>
      <c r="U738" s="15" t="n"/>
      <c r="V738" s="15" t="n"/>
      <c r="W738" s="13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3" t="n"/>
      <c r="AK738" s="12" t="n"/>
      <c r="AL738" s="12" t="n"/>
      <c r="AM738" s="12" t="n"/>
      <c r="AN738" s="12" t="n"/>
      <c r="AO738" s="12" t="n"/>
      <c r="AP738" s="12" t="n"/>
      <c r="AQ738" s="7">
        <f>IF(A738="","",IF(AP738&lt;&gt;"",AP738,IF(LEFT(Z738,11)="gads_marque","Google Search – Marque",IF(LEFT(Z738,12)="gads_mariage","Google Search – Mariage et privé",IF(LEFT(Z738,10)="gads_corpo","Google Search – Corporatif",IF(LEFT(Z738,5)="meta_","Meta – Leads",IF(LEFT(Z738,5)="msft_","Microsoft Ads",IF(LEFT(Z738,8)="chatgpt_","ChatGPT Ads – Test",IF(X738="gbp","Fiche Google (organique)","Autre / non payé")))))))))</f>
        <v/>
      </c>
      <c r="AR738" s="7">
        <f>IF(K738="","",IFERROR(VLOOKUP(K738,Listes!$F$3:$H$8,3,FALSE),""))</f>
        <v/>
      </c>
      <c r="AS738" s="7">
        <f>IF(O738="","",IF(AND(M738="Autre (plus de 40 km)",OR(O738="lt600",O738="600_999",O738="1000_2499")),"D",IF(OR(O738="lt600",AND(O738="600_999",K738&lt;&gt;"mariage",K738&lt;&gt;"prive")),"C",IF(OR(O738="2500_4999",O738="5000p",J738="entreprise",J738="organisme",J738="agence"),"A",IF(OR(O738="1000_2499",O738="600_999"),"B",IF(O738="inconnu",IF(OR(N738="75_149",N738="150p"),"A","B"),""))))))</f>
        <v/>
      </c>
      <c r="AT738" s="7">
        <f>IF(A738="","",IF(P738&lt;&gt;"",P738,AS738))</f>
        <v/>
      </c>
      <c r="AU738" s="7">
        <f>IF(A738="","",IF(OR(AT738="A",AT738="B"),1,0))</f>
        <v/>
      </c>
      <c r="AV738" s="7">
        <f>IF(A738="","",IF(OR(R738="Dépôt payé (gagné)",R738="Événement livré",R738="Avis obtenu"),1,0))</f>
        <v/>
      </c>
      <c r="AW738" s="7">
        <f>IF(A738="","",IF(Q738&gt;70,"Immédiat – propriétaire",IF(Q738&gt;=40,"15 min – personne de garde","Selon la route")))</f>
        <v/>
      </c>
      <c r="AX738" s="11">
        <f>IF(A738="","",IF(AT738="A",400,IF(AT738="B",150,0)))</f>
        <v/>
      </c>
      <c r="AY738" s="11">
        <f>IF(A738="","",IF(AV738=1,N(V738),IF(N(U738)&gt;0,ROUND(N(U738)*IFERROR(VLOOKUP(R738,Listes!$AE$3:$AG$12,2,FALSE),0),0),0)))</f>
        <v/>
      </c>
      <c r="AZ738" s="7">
        <f>IF(LEFT(A738,7)="EXEMPLE",1,0)</f>
        <v/>
      </c>
      <c r="BA738" s="7">
        <f>IF(AND(AV738=1,AZ738=0,AC738&lt;&gt;"",W738&lt;&gt;"",N(V738)&gt;0),COUNTIFS($AV$3:AV738,1,$AZ$3:AZ738,0,$AC$3:AC738,"&lt;&gt;",$W$3:W738,"&lt;&gt;",$V$3:V738,"&gt;0"),"")</f>
        <v/>
      </c>
    </row>
    <row r="739">
      <c r="A739" s="12" t="n"/>
      <c r="B739" s="13" t="n"/>
      <c r="C739" s="13" t="n"/>
      <c r="D739" s="7">
        <f>IF(OR(B739="",C739=""),"",ROUND((C739-B739)*1440,0))</f>
        <v/>
      </c>
      <c r="E739" s="12" t="n"/>
      <c r="F739" s="12" t="n"/>
      <c r="G739" s="12" t="n"/>
      <c r="H739" s="12" t="n"/>
      <c r="I739" s="12" t="n"/>
      <c r="J739" s="12" t="n"/>
      <c r="K739" s="12" t="n"/>
      <c r="L739" s="14" t="n"/>
      <c r="M739" s="12" t="n"/>
      <c r="N739" s="12" t="n"/>
      <c r="O739" s="12" t="n"/>
      <c r="P739" s="12" t="n"/>
      <c r="Q739" s="7">
        <f>IF(A739="","",IFERROR(VLOOKUP(O739,Listes!$R$3:$T$8,2,FALSE),0)+IFERROR(VLOOKUP(J739,Listes!$J$3:$L$6,2,FALSE),0)+IFERROR(VLOOKUP(N739,Listes!$N$3:$P$6,2,FALSE),0)+IF(OR(L739="",B739=""),0,IF(L739-INT(B739)&lt;10,8,IF(L739-INT(B739)&lt;=90,10,5)))+IFERROR(VLOOKUP(AN739,Listes!$V$3:$W$5,2,FALSE),0)+IFERROR(VLOOKUP(AO739,Listes!$Y$3:$Z$5,2,FALSE),0))</f>
        <v/>
      </c>
      <c r="R739" s="12" t="n"/>
      <c r="S739" s="12" t="n"/>
      <c r="T739" s="12" t="n"/>
      <c r="U739" s="15" t="n"/>
      <c r="V739" s="15" t="n"/>
      <c r="W739" s="13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3" t="n"/>
      <c r="AK739" s="12" t="n"/>
      <c r="AL739" s="12" t="n"/>
      <c r="AM739" s="12" t="n"/>
      <c r="AN739" s="12" t="n"/>
      <c r="AO739" s="12" t="n"/>
      <c r="AP739" s="12" t="n"/>
      <c r="AQ739" s="7">
        <f>IF(A739="","",IF(AP739&lt;&gt;"",AP739,IF(LEFT(Z739,11)="gads_marque","Google Search – Marque",IF(LEFT(Z739,12)="gads_mariage","Google Search – Mariage et privé",IF(LEFT(Z739,10)="gads_corpo","Google Search – Corporatif",IF(LEFT(Z739,5)="meta_","Meta – Leads",IF(LEFT(Z739,5)="msft_","Microsoft Ads",IF(LEFT(Z739,8)="chatgpt_","ChatGPT Ads – Test",IF(X739="gbp","Fiche Google (organique)","Autre / non payé")))))))))</f>
        <v/>
      </c>
      <c r="AR739" s="7">
        <f>IF(K739="","",IFERROR(VLOOKUP(K739,Listes!$F$3:$H$8,3,FALSE),""))</f>
        <v/>
      </c>
      <c r="AS739" s="7">
        <f>IF(O739="","",IF(AND(M739="Autre (plus de 40 km)",OR(O739="lt600",O739="600_999",O739="1000_2499")),"D",IF(OR(O739="lt600",AND(O739="600_999",K739&lt;&gt;"mariage",K739&lt;&gt;"prive")),"C",IF(OR(O739="2500_4999",O739="5000p",J739="entreprise",J739="organisme",J739="agence"),"A",IF(OR(O739="1000_2499",O739="600_999"),"B",IF(O739="inconnu",IF(OR(N739="75_149",N739="150p"),"A","B"),""))))))</f>
        <v/>
      </c>
      <c r="AT739" s="7">
        <f>IF(A739="","",IF(P739&lt;&gt;"",P739,AS739))</f>
        <v/>
      </c>
      <c r="AU739" s="7">
        <f>IF(A739="","",IF(OR(AT739="A",AT739="B"),1,0))</f>
        <v/>
      </c>
      <c r="AV739" s="7">
        <f>IF(A739="","",IF(OR(R739="Dépôt payé (gagné)",R739="Événement livré",R739="Avis obtenu"),1,0))</f>
        <v/>
      </c>
      <c r="AW739" s="7">
        <f>IF(A739="","",IF(Q739&gt;70,"Immédiat – propriétaire",IF(Q739&gt;=40,"15 min – personne de garde","Selon la route")))</f>
        <v/>
      </c>
      <c r="AX739" s="11">
        <f>IF(A739="","",IF(AT739="A",400,IF(AT739="B",150,0)))</f>
        <v/>
      </c>
      <c r="AY739" s="11">
        <f>IF(A739="","",IF(AV739=1,N(V739),IF(N(U739)&gt;0,ROUND(N(U739)*IFERROR(VLOOKUP(R739,Listes!$AE$3:$AG$12,2,FALSE),0),0),0)))</f>
        <v/>
      </c>
      <c r="AZ739" s="7">
        <f>IF(LEFT(A739,7)="EXEMPLE",1,0)</f>
        <v/>
      </c>
      <c r="BA739" s="7">
        <f>IF(AND(AV739=1,AZ739=0,AC739&lt;&gt;"",W739&lt;&gt;"",N(V739)&gt;0),COUNTIFS($AV$3:AV739,1,$AZ$3:AZ739,0,$AC$3:AC739,"&lt;&gt;",$W$3:W739,"&lt;&gt;",$V$3:V739,"&gt;0"),"")</f>
        <v/>
      </c>
    </row>
    <row r="740">
      <c r="A740" s="12" t="n"/>
      <c r="B740" s="13" t="n"/>
      <c r="C740" s="13" t="n"/>
      <c r="D740" s="7">
        <f>IF(OR(B740="",C740=""),"",ROUND((C740-B740)*1440,0))</f>
        <v/>
      </c>
      <c r="E740" s="12" t="n"/>
      <c r="F740" s="12" t="n"/>
      <c r="G740" s="12" t="n"/>
      <c r="H740" s="12" t="n"/>
      <c r="I740" s="12" t="n"/>
      <c r="J740" s="12" t="n"/>
      <c r="K740" s="12" t="n"/>
      <c r="L740" s="14" t="n"/>
      <c r="M740" s="12" t="n"/>
      <c r="N740" s="12" t="n"/>
      <c r="O740" s="12" t="n"/>
      <c r="P740" s="12" t="n"/>
      <c r="Q740" s="7">
        <f>IF(A740="","",IFERROR(VLOOKUP(O740,Listes!$R$3:$T$8,2,FALSE),0)+IFERROR(VLOOKUP(J740,Listes!$J$3:$L$6,2,FALSE),0)+IFERROR(VLOOKUP(N740,Listes!$N$3:$P$6,2,FALSE),0)+IF(OR(L740="",B740=""),0,IF(L740-INT(B740)&lt;10,8,IF(L740-INT(B740)&lt;=90,10,5)))+IFERROR(VLOOKUP(AN740,Listes!$V$3:$W$5,2,FALSE),0)+IFERROR(VLOOKUP(AO740,Listes!$Y$3:$Z$5,2,FALSE),0))</f>
        <v/>
      </c>
      <c r="R740" s="12" t="n"/>
      <c r="S740" s="12" t="n"/>
      <c r="T740" s="12" t="n"/>
      <c r="U740" s="15" t="n"/>
      <c r="V740" s="15" t="n"/>
      <c r="W740" s="13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3" t="n"/>
      <c r="AK740" s="12" t="n"/>
      <c r="AL740" s="12" t="n"/>
      <c r="AM740" s="12" t="n"/>
      <c r="AN740" s="12" t="n"/>
      <c r="AO740" s="12" t="n"/>
      <c r="AP740" s="12" t="n"/>
      <c r="AQ740" s="7">
        <f>IF(A740="","",IF(AP740&lt;&gt;"",AP740,IF(LEFT(Z740,11)="gads_marque","Google Search – Marque",IF(LEFT(Z740,12)="gads_mariage","Google Search – Mariage et privé",IF(LEFT(Z740,10)="gads_corpo","Google Search – Corporatif",IF(LEFT(Z740,5)="meta_","Meta – Leads",IF(LEFT(Z740,5)="msft_","Microsoft Ads",IF(LEFT(Z740,8)="chatgpt_","ChatGPT Ads – Test",IF(X740="gbp","Fiche Google (organique)","Autre / non payé")))))))))</f>
        <v/>
      </c>
      <c r="AR740" s="7">
        <f>IF(K740="","",IFERROR(VLOOKUP(K740,Listes!$F$3:$H$8,3,FALSE),""))</f>
        <v/>
      </c>
      <c r="AS740" s="7">
        <f>IF(O740="","",IF(AND(M740="Autre (plus de 40 km)",OR(O740="lt600",O740="600_999",O740="1000_2499")),"D",IF(OR(O740="lt600",AND(O740="600_999",K740&lt;&gt;"mariage",K740&lt;&gt;"prive")),"C",IF(OR(O740="2500_4999",O740="5000p",J740="entreprise",J740="organisme",J740="agence"),"A",IF(OR(O740="1000_2499",O740="600_999"),"B",IF(O740="inconnu",IF(OR(N740="75_149",N740="150p"),"A","B"),""))))))</f>
        <v/>
      </c>
      <c r="AT740" s="7">
        <f>IF(A740="","",IF(P740&lt;&gt;"",P740,AS740))</f>
        <v/>
      </c>
      <c r="AU740" s="7">
        <f>IF(A740="","",IF(OR(AT740="A",AT740="B"),1,0))</f>
        <v/>
      </c>
      <c r="AV740" s="7">
        <f>IF(A740="","",IF(OR(R740="Dépôt payé (gagné)",R740="Événement livré",R740="Avis obtenu"),1,0))</f>
        <v/>
      </c>
      <c r="AW740" s="7">
        <f>IF(A740="","",IF(Q740&gt;70,"Immédiat – propriétaire",IF(Q740&gt;=40,"15 min – personne de garde","Selon la route")))</f>
        <v/>
      </c>
      <c r="AX740" s="11">
        <f>IF(A740="","",IF(AT740="A",400,IF(AT740="B",150,0)))</f>
        <v/>
      </c>
      <c r="AY740" s="11">
        <f>IF(A740="","",IF(AV740=1,N(V740),IF(N(U740)&gt;0,ROUND(N(U740)*IFERROR(VLOOKUP(R740,Listes!$AE$3:$AG$12,2,FALSE),0),0),0)))</f>
        <v/>
      </c>
      <c r="AZ740" s="7">
        <f>IF(LEFT(A740,7)="EXEMPLE",1,0)</f>
        <v/>
      </c>
      <c r="BA740" s="7">
        <f>IF(AND(AV740=1,AZ740=0,AC740&lt;&gt;"",W740&lt;&gt;"",N(V740)&gt;0),COUNTIFS($AV$3:AV740,1,$AZ$3:AZ740,0,$AC$3:AC740,"&lt;&gt;",$W$3:W740,"&lt;&gt;",$V$3:V740,"&gt;0"),"")</f>
        <v/>
      </c>
    </row>
    <row r="741">
      <c r="A741" s="12" t="n"/>
      <c r="B741" s="13" t="n"/>
      <c r="C741" s="13" t="n"/>
      <c r="D741" s="7">
        <f>IF(OR(B741="",C741=""),"",ROUND((C741-B741)*1440,0))</f>
        <v/>
      </c>
      <c r="E741" s="12" t="n"/>
      <c r="F741" s="12" t="n"/>
      <c r="G741" s="12" t="n"/>
      <c r="H741" s="12" t="n"/>
      <c r="I741" s="12" t="n"/>
      <c r="J741" s="12" t="n"/>
      <c r="K741" s="12" t="n"/>
      <c r="L741" s="14" t="n"/>
      <c r="M741" s="12" t="n"/>
      <c r="N741" s="12" t="n"/>
      <c r="O741" s="12" t="n"/>
      <c r="P741" s="12" t="n"/>
      <c r="Q741" s="7">
        <f>IF(A741="","",IFERROR(VLOOKUP(O741,Listes!$R$3:$T$8,2,FALSE),0)+IFERROR(VLOOKUP(J741,Listes!$J$3:$L$6,2,FALSE),0)+IFERROR(VLOOKUP(N741,Listes!$N$3:$P$6,2,FALSE),0)+IF(OR(L741="",B741=""),0,IF(L741-INT(B741)&lt;10,8,IF(L741-INT(B741)&lt;=90,10,5)))+IFERROR(VLOOKUP(AN741,Listes!$V$3:$W$5,2,FALSE),0)+IFERROR(VLOOKUP(AO741,Listes!$Y$3:$Z$5,2,FALSE),0))</f>
        <v/>
      </c>
      <c r="R741" s="12" t="n"/>
      <c r="S741" s="12" t="n"/>
      <c r="T741" s="12" t="n"/>
      <c r="U741" s="15" t="n"/>
      <c r="V741" s="15" t="n"/>
      <c r="W741" s="13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3" t="n"/>
      <c r="AK741" s="12" t="n"/>
      <c r="AL741" s="12" t="n"/>
      <c r="AM741" s="12" t="n"/>
      <c r="AN741" s="12" t="n"/>
      <c r="AO741" s="12" t="n"/>
      <c r="AP741" s="12" t="n"/>
      <c r="AQ741" s="7">
        <f>IF(A741="","",IF(AP741&lt;&gt;"",AP741,IF(LEFT(Z741,11)="gads_marque","Google Search – Marque",IF(LEFT(Z741,12)="gads_mariage","Google Search – Mariage et privé",IF(LEFT(Z741,10)="gads_corpo","Google Search – Corporatif",IF(LEFT(Z741,5)="meta_","Meta – Leads",IF(LEFT(Z741,5)="msft_","Microsoft Ads",IF(LEFT(Z741,8)="chatgpt_","ChatGPT Ads – Test",IF(X741="gbp","Fiche Google (organique)","Autre / non payé")))))))))</f>
        <v/>
      </c>
      <c r="AR741" s="7">
        <f>IF(K741="","",IFERROR(VLOOKUP(K741,Listes!$F$3:$H$8,3,FALSE),""))</f>
        <v/>
      </c>
      <c r="AS741" s="7">
        <f>IF(O741="","",IF(AND(M741="Autre (plus de 40 km)",OR(O741="lt600",O741="600_999",O741="1000_2499")),"D",IF(OR(O741="lt600",AND(O741="600_999",K741&lt;&gt;"mariage",K741&lt;&gt;"prive")),"C",IF(OR(O741="2500_4999",O741="5000p",J741="entreprise",J741="organisme",J741="agence"),"A",IF(OR(O741="1000_2499",O741="600_999"),"B",IF(O741="inconnu",IF(OR(N741="75_149",N741="150p"),"A","B"),""))))))</f>
        <v/>
      </c>
      <c r="AT741" s="7">
        <f>IF(A741="","",IF(P741&lt;&gt;"",P741,AS741))</f>
        <v/>
      </c>
      <c r="AU741" s="7">
        <f>IF(A741="","",IF(OR(AT741="A",AT741="B"),1,0))</f>
        <v/>
      </c>
      <c r="AV741" s="7">
        <f>IF(A741="","",IF(OR(R741="Dépôt payé (gagné)",R741="Événement livré",R741="Avis obtenu"),1,0))</f>
        <v/>
      </c>
      <c r="AW741" s="7">
        <f>IF(A741="","",IF(Q741&gt;70,"Immédiat – propriétaire",IF(Q741&gt;=40,"15 min – personne de garde","Selon la route")))</f>
        <v/>
      </c>
      <c r="AX741" s="11">
        <f>IF(A741="","",IF(AT741="A",400,IF(AT741="B",150,0)))</f>
        <v/>
      </c>
      <c r="AY741" s="11">
        <f>IF(A741="","",IF(AV741=1,N(V741),IF(N(U741)&gt;0,ROUND(N(U741)*IFERROR(VLOOKUP(R741,Listes!$AE$3:$AG$12,2,FALSE),0),0),0)))</f>
        <v/>
      </c>
      <c r="AZ741" s="7">
        <f>IF(LEFT(A741,7)="EXEMPLE",1,0)</f>
        <v/>
      </c>
      <c r="BA741" s="7">
        <f>IF(AND(AV741=1,AZ741=0,AC741&lt;&gt;"",W741&lt;&gt;"",N(V741)&gt;0),COUNTIFS($AV$3:AV741,1,$AZ$3:AZ741,0,$AC$3:AC741,"&lt;&gt;",$W$3:W741,"&lt;&gt;",$V$3:V741,"&gt;0"),"")</f>
        <v/>
      </c>
    </row>
    <row r="742">
      <c r="A742" s="12" t="n"/>
      <c r="B742" s="13" t="n"/>
      <c r="C742" s="13" t="n"/>
      <c r="D742" s="7">
        <f>IF(OR(B742="",C742=""),"",ROUND((C742-B742)*1440,0))</f>
        <v/>
      </c>
      <c r="E742" s="12" t="n"/>
      <c r="F742" s="12" t="n"/>
      <c r="G742" s="12" t="n"/>
      <c r="H742" s="12" t="n"/>
      <c r="I742" s="12" t="n"/>
      <c r="J742" s="12" t="n"/>
      <c r="K742" s="12" t="n"/>
      <c r="L742" s="14" t="n"/>
      <c r="M742" s="12" t="n"/>
      <c r="N742" s="12" t="n"/>
      <c r="O742" s="12" t="n"/>
      <c r="P742" s="12" t="n"/>
      <c r="Q742" s="7">
        <f>IF(A742="","",IFERROR(VLOOKUP(O742,Listes!$R$3:$T$8,2,FALSE),0)+IFERROR(VLOOKUP(J742,Listes!$J$3:$L$6,2,FALSE),0)+IFERROR(VLOOKUP(N742,Listes!$N$3:$P$6,2,FALSE),0)+IF(OR(L742="",B742=""),0,IF(L742-INT(B742)&lt;10,8,IF(L742-INT(B742)&lt;=90,10,5)))+IFERROR(VLOOKUP(AN742,Listes!$V$3:$W$5,2,FALSE),0)+IFERROR(VLOOKUP(AO742,Listes!$Y$3:$Z$5,2,FALSE),0))</f>
        <v/>
      </c>
      <c r="R742" s="12" t="n"/>
      <c r="S742" s="12" t="n"/>
      <c r="T742" s="12" t="n"/>
      <c r="U742" s="15" t="n"/>
      <c r="V742" s="15" t="n"/>
      <c r="W742" s="13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3" t="n"/>
      <c r="AK742" s="12" t="n"/>
      <c r="AL742" s="12" t="n"/>
      <c r="AM742" s="12" t="n"/>
      <c r="AN742" s="12" t="n"/>
      <c r="AO742" s="12" t="n"/>
      <c r="AP742" s="12" t="n"/>
      <c r="AQ742" s="7">
        <f>IF(A742="","",IF(AP742&lt;&gt;"",AP742,IF(LEFT(Z742,11)="gads_marque","Google Search – Marque",IF(LEFT(Z742,12)="gads_mariage","Google Search – Mariage et privé",IF(LEFT(Z742,10)="gads_corpo","Google Search – Corporatif",IF(LEFT(Z742,5)="meta_","Meta – Leads",IF(LEFT(Z742,5)="msft_","Microsoft Ads",IF(LEFT(Z742,8)="chatgpt_","ChatGPT Ads – Test",IF(X742="gbp","Fiche Google (organique)","Autre / non payé")))))))))</f>
        <v/>
      </c>
      <c r="AR742" s="7">
        <f>IF(K742="","",IFERROR(VLOOKUP(K742,Listes!$F$3:$H$8,3,FALSE),""))</f>
        <v/>
      </c>
      <c r="AS742" s="7">
        <f>IF(O742="","",IF(AND(M742="Autre (plus de 40 km)",OR(O742="lt600",O742="600_999",O742="1000_2499")),"D",IF(OR(O742="lt600",AND(O742="600_999",K742&lt;&gt;"mariage",K742&lt;&gt;"prive")),"C",IF(OR(O742="2500_4999",O742="5000p",J742="entreprise",J742="organisme",J742="agence"),"A",IF(OR(O742="1000_2499",O742="600_999"),"B",IF(O742="inconnu",IF(OR(N742="75_149",N742="150p"),"A","B"),""))))))</f>
        <v/>
      </c>
      <c r="AT742" s="7">
        <f>IF(A742="","",IF(P742&lt;&gt;"",P742,AS742))</f>
        <v/>
      </c>
      <c r="AU742" s="7">
        <f>IF(A742="","",IF(OR(AT742="A",AT742="B"),1,0))</f>
        <v/>
      </c>
      <c r="AV742" s="7">
        <f>IF(A742="","",IF(OR(R742="Dépôt payé (gagné)",R742="Événement livré",R742="Avis obtenu"),1,0))</f>
        <v/>
      </c>
      <c r="AW742" s="7">
        <f>IF(A742="","",IF(Q742&gt;70,"Immédiat – propriétaire",IF(Q742&gt;=40,"15 min – personne de garde","Selon la route")))</f>
        <v/>
      </c>
      <c r="AX742" s="11">
        <f>IF(A742="","",IF(AT742="A",400,IF(AT742="B",150,0)))</f>
        <v/>
      </c>
      <c r="AY742" s="11">
        <f>IF(A742="","",IF(AV742=1,N(V742),IF(N(U742)&gt;0,ROUND(N(U742)*IFERROR(VLOOKUP(R742,Listes!$AE$3:$AG$12,2,FALSE),0),0),0)))</f>
        <v/>
      </c>
      <c r="AZ742" s="7">
        <f>IF(LEFT(A742,7)="EXEMPLE",1,0)</f>
        <v/>
      </c>
      <c r="BA742" s="7">
        <f>IF(AND(AV742=1,AZ742=0,AC742&lt;&gt;"",W742&lt;&gt;"",N(V742)&gt;0),COUNTIFS($AV$3:AV742,1,$AZ$3:AZ742,0,$AC$3:AC742,"&lt;&gt;",$W$3:W742,"&lt;&gt;",$V$3:V742,"&gt;0"),"")</f>
        <v/>
      </c>
    </row>
    <row r="743">
      <c r="A743" s="12" t="n"/>
      <c r="B743" s="13" t="n"/>
      <c r="C743" s="13" t="n"/>
      <c r="D743" s="7">
        <f>IF(OR(B743="",C743=""),"",ROUND((C743-B743)*1440,0))</f>
        <v/>
      </c>
      <c r="E743" s="12" t="n"/>
      <c r="F743" s="12" t="n"/>
      <c r="G743" s="12" t="n"/>
      <c r="H743" s="12" t="n"/>
      <c r="I743" s="12" t="n"/>
      <c r="J743" s="12" t="n"/>
      <c r="K743" s="12" t="n"/>
      <c r="L743" s="14" t="n"/>
      <c r="M743" s="12" t="n"/>
      <c r="N743" s="12" t="n"/>
      <c r="O743" s="12" t="n"/>
      <c r="P743" s="12" t="n"/>
      <c r="Q743" s="7">
        <f>IF(A743="","",IFERROR(VLOOKUP(O743,Listes!$R$3:$T$8,2,FALSE),0)+IFERROR(VLOOKUP(J743,Listes!$J$3:$L$6,2,FALSE),0)+IFERROR(VLOOKUP(N743,Listes!$N$3:$P$6,2,FALSE),0)+IF(OR(L743="",B743=""),0,IF(L743-INT(B743)&lt;10,8,IF(L743-INT(B743)&lt;=90,10,5)))+IFERROR(VLOOKUP(AN743,Listes!$V$3:$W$5,2,FALSE),0)+IFERROR(VLOOKUP(AO743,Listes!$Y$3:$Z$5,2,FALSE),0))</f>
        <v/>
      </c>
      <c r="R743" s="12" t="n"/>
      <c r="S743" s="12" t="n"/>
      <c r="T743" s="12" t="n"/>
      <c r="U743" s="15" t="n"/>
      <c r="V743" s="15" t="n"/>
      <c r="W743" s="13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3" t="n"/>
      <c r="AK743" s="12" t="n"/>
      <c r="AL743" s="12" t="n"/>
      <c r="AM743" s="12" t="n"/>
      <c r="AN743" s="12" t="n"/>
      <c r="AO743" s="12" t="n"/>
      <c r="AP743" s="12" t="n"/>
      <c r="AQ743" s="7">
        <f>IF(A743="","",IF(AP743&lt;&gt;"",AP743,IF(LEFT(Z743,11)="gads_marque","Google Search – Marque",IF(LEFT(Z743,12)="gads_mariage","Google Search – Mariage et privé",IF(LEFT(Z743,10)="gads_corpo","Google Search – Corporatif",IF(LEFT(Z743,5)="meta_","Meta – Leads",IF(LEFT(Z743,5)="msft_","Microsoft Ads",IF(LEFT(Z743,8)="chatgpt_","ChatGPT Ads – Test",IF(X743="gbp","Fiche Google (organique)","Autre / non payé")))))))))</f>
        <v/>
      </c>
      <c r="AR743" s="7">
        <f>IF(K743="","",IFERROR(VLOOKUP(K743,Listes!$F$3:$H$8,3,FALSE),""))</f>
        <v/>
      </c>
      <c r="AS743" s="7">
        <f>IF(O743="","",IF(AND(M743="Autre (plus de 40 km)",OR(O743="lt600",O743="600_999",O743="1000_2499")),"D",IF(OR(O743="lt600",AND(O743="600_999",K743&lt;&gt;"mariage",K743&lt;&gt;"prive")),"C",IF(OR(O743="2500_4999",O743="5000p",J743="entreprise",J743="organisme",J743="agence"),"A",IF(OR(O743="1000_2499",O743="600_999"),"B",IF(O743="inconnu",IF(OR(N743="75_149",N743="150p"),"A","B"),""))))))</f>
        <v/>
      </c>
      <c r="AT743" s="7">
        <f>IF(A743="","",IF(P743&lt;&gt;"",P743,AS743))</f>
        <v/>
      </c>
      <c r="AU743" s="7">
        <f>IF(A743="","",IF(OR(AT743="A",AT743="B"),1,0))</f>
        <v/>
      </c>
      <c r="AV743" s="7">
        <f>IF(A743="","",IF(OR(R743="Dépôt payé (gagné)",R743="Événement livré",R743="Avis obtenu"),1,0))</f>
        <v/>
      </c>
      <c r="AW743" s="7">
        <f>IF(A743="","",IF(Q743&gt;70,"Immédiat – propriétaire",IF(Q743&gt;=40,"15 min – personne de garde","Selon la route")))</f>
        <v/>
      </c>
      <c r="AX743" s="11">
        <f>IF(A743="","",IF(AT743="A",400,IF(AT743="B",150,0)))</f>
        <v/>
      </c>
      <c r="AY743" s="11">
        <f>IF(A743="","",IF(AV743=1,N(V743),IF(N(U743)&gt;0,ROUND(N(U743)*IFERROR(VLOOKUP(R743,Listes!$AE$3:$AG$12,2,FALSE),0),0),0)))</f>
        <v/>
      </c>
      <c r="AZ743" s="7">
        <f>IF(LEFT(A743,7)="EXEMPLE",1,0)</f>
        <v/>
      </c>
      <c r="BA743" s="7">
        <f>IF(AND(AV743=1,AZ743=0,AC743&lt;&gt;"",W743&lt;&gt;"",N(V743)&gt;0),COUNTIFS($AV$3:AV743,1,$AZ$3:AZ743,0,$AC$3:AC743,"&lt;&gt;",$W$3:W743,"&lt;&gt;",$V$3:V743,"&gt;0"),"")</f>
        <v/>
      </c>
    </row>
    <row r="744">
      <c r="A744" s="12" t="n"/>
      <c r="B744" s="13" t="n"/>
      <c r="C744" s="13" t="n"/>
      <c r="D744" s="7">
        <f>IF(OR(B744="",C744=""),"",ROUND((C744-B744)*1440,0))</f>
        <v/>
      </c>
      <c r="E744" s="12" t="n"/>
      <c r="F744" s="12" t="n"/>
      <c r="G744" s="12" t="n"/>
      <c r="H744" s="12" t="n"/>
      <c r="I744" s="12" t="n"/>
      <c r="J744" s="12" t="n"/>
      <c r="K744" s="12" t="n"/>
      <c r="L744" s="14" t="n"/>
      <c r="M744" s="12" t="n"/>
      <c r="N744" s="12" t="n"/>
      <c r="O744" s="12" t="n"/>
      <c r="P744" s="12" t="n"/>
      <c r="Q744" s="7">
        <f>IF(A744="","",IFERROR(VLOOKUP(O744,Listes!$R$3:$T$8,2,FALSE),0)+IFERROR(VLOOKUP(J744,Listes!$J$3:$L$6,2,FALSE),0)+IFERROR(VLOOKUP(N744,Listes!$N$3:$P$6,2,FALSE),0)+IF(OR(L744="",B744=""),0,IF(L744-INT(B744)&lt;10,8,IF(L744-INT(B744)&lt;=90,10,5)))+IFERROR(VLOOKUP(AN744,Listes!$V$3:$W$5,2,FALSE),0)+IFERROR(VLOOKUP(AO744,Listes!$Y$3:$Z$5,2,FALSE),0))</f>
        <v/>
      </c>
      <c r="R744" s="12" t="n"/>
      <c r="S744" s="12" t="n"/>
      <c r="T744" s="12" t="n"/>
      <c r="U744" s="15" t="n"/>
      <c r="V744" s="15" t="n"/>
      <c r="W744" s="13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3" t="n"/>
      <c r="AK744" s="12" t="n"/>
      <c r="AL744" s="12" t="n"/>
      <c r="AM744" s="12" t="n"/>
      <c r="AN744" s="12" t="n"/>
      <c r="AO744" s="12" t="n"/>
      <c r="AP744" s="12" t="n"/>
      <c r="AQ744" s="7">
        <f>IF(A744="","",IF(AP744&lt;&gt;"",AP744,IF(LEFT(Z744,11)="gads_marque","Google Search – Marque",IF(LEFT(Z744,12)="gads_mariage","Google Search – Mariage et privé",IF(LEFT(Z744,10)="gads_corpo","Google Search – Corporatif",IF(LEFT(Z744,5)="meta_","Meta – Leads",IF(LEFT(Z744,5)="msft_","Microsoft Ads",IF(LEFT(Z744,8)="chatgpt_","ChatGPT Ads – Test",IF(X744="gbp","Fiche Google (organique)","Autre / non payé")))))))))</f>
        <v/>
      </c>
      <c r="AR744" s="7">
        <f>IF(K744="","",IFERROR(VLOOKUP(K744,Listes!$F$3:$H$8,3,FALSE),""))</f>
        <v/>
      </c>
      <c r="AS744" s="7">
        <f>IF(O744="","",IF(AND(M744="Autre (plus de 40 km)",OR(O744="lt600",O744="600_999",O744="1000_2499")),"D",IF(OR(O744="lt600",AND(O744="600_999",K744&lt;&gt;"mariage",K744&lt;&gt;"prive")),"C",IF(OR(O744="2500_4999",O744="5000p",J744="entreprise",J744="organisme",J744="agence"),"A",IF(OR(O744="1000_2499",O744="600_999"),"B",IF(O744="inconnu",IF(OR(N744="75_149",N744="150p"),"A","B"),""))))))</f>
        <v/>
      </c>
      <c r="AT744" s="7">
        <f>IF(A744="","",IF(P744&lt;&gt;"",P744,AS744))</f>
        <v/>
      </c>
      <c r="AU744" s="7">
        <f>IF(A744="","",IF(OR(AT744="A",AT744="B"),1,0))</f>
        <v/>
      </c>
      <c r="AV744" s="7">
        <f>IF(A744="","",IF(OR(R744="Dépôt payé (gagné)",R744="Événement livré",R744="Avis obtenu"),1,0))</f>
        <v/>
      </c>
      <c r="AW744" s="7">
        <f>IF(A744="","",IF(Q744&gt;70,"Immédiat – propriétaire",IF(Q744&gt;=40,"15 min – personne de garde","Selon la route")))</f>
        <v/>
      </c>
      <c r="AX744" s="11">
        <f>IF(A744="","",IF(AT744="A",400,IF(AT744="B",150,0)))</f>
        <v/>
      </c>
      <c r="AY744" s="11">
        <f>IF(A744="","",IF(AV744=1,N(V744),IF(N(U744)&gt;0,ROUND(N(U744)*IFERROR(VLOOKUP(R744,Listes!$AE$3:$AG$12,2,FALSE),0),0),0)))</f>
        <v/>
      </c>
      <c r="AZ744" s="7">
        <f>IF(LEFT(A744,7)="EXEMPLE",1,0)</f>
        <v/>
      </c>
      <c r="BA744" s="7">
        <f>IF(AND(AV744=1,AZ744=0,AC744&lt;&gt;"",W744&lt;&gt;"",N(V744)&gt;0),COUNTIFS($AV$3:AV744,1,$AZ$3:AZ744,0,$AC$3:AC744,"&lt;&gt;",$W$3:W744,"&lt;&gt;",$V$3:V744,"&gt;0"),"")</f>
        <v/>
      </c>
    </row>
    <row r="745">
      <c r="A745" s="12" t="n"/>
      <c r="B745" s="13" t="n"/>
      <c r="C745" s="13" t="n"/>
      <c r="D745" s="7">
        <f>IF(OR(B745="",C745=""),"",ROUND((C745-B745)*1440,0))</f>
        <v/>
      </c>
      <c r="E745" s="12" t="n"/>
      <c r="F745" s="12" t="n"/>
      <c r="G745" s="12" t="n"/>
      <c r="H745" s="12" t="n"/>
      <c r="I745" s="12" t="n"/>
      <c r="J745" s="12" t="n"/>
      <c r="K745" s="12" t="n"/>
      <c r="L745" s="14" t="n"/>
      <c r="M745" s="12" t="n"/>
      <c r="N745" s="12" t="n"/>
      <c r="O745" s="12" t="n"/>
      <c r="P745" s="12" t="n"/>
      <c r="Q745" s="7">
        <f>IF(A745="","",IFERROR(VLOOKUP(O745,Listes!$R$3:$T$8,2,FALSE),0)+IFERROR(VLOOKUP(J745,Listes!$J$3:$L$6,2,FALSE),0)+IFERROR(VLOOKUP(N745,Listes!$N$3:$P$6,2,FALSE),0)+IF(OR(L745="",B745=""),0,IF(L745-INT(B745)&lt;10,8,IF(L745-INT(B745)&lt;=90,10,5)))+IFERROR(VLOOKUP(AN745,Listes!$V$3:$W$5,2,FALSE),0)+IFERROR(VLOOKUP(AO745,Listes!$Y$3:$Z$5,2,FALSE),0))</f>
        <v/>
      </c>
      <c r="R745" s="12" t="n"/>
      <c r="S745" s="12" t="n"/>
      <c r="T745" s="12" t="n"/>
      <c r="U745" s="15" t="n"/>
      <c r="V745" s="15" t="n"/>
      <c r="W745" s="13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3" t="n"/>
      <c r="AK745" s="12" t="n"/>
      <c r="AL745" s="12" t="n"/>
      <c r="AM745" s="12" t="n"/>
      <c r="AN745" s="12" t="n"/>
      <c r="AO745" s="12" t="n"/>
      <c r="AP745" s="12" t="n"/>
      <c r="AQ745" s="7">
        <f>IF(A745="","",IF(AP745&lt;&gt;"",AP745,IF(LEFT(Z745,11)="gads_marque","Google Search – Marque",IF(LEFT(Z745,12)="gads_mariage","Google Search – Mariage et privé",IF(LEFT(Z745,10)="gads_corpo","Google Search – Corporatif",IF(LEFT(Z745,5)="meta_","Meta – Leads",IF(LEFT(Z745,5)="msft_","Microsoft Ads",IF(LEFT(Z745,8)="chatgpt_","ChatGPT Ads – Test",IF(X745="gbp","Fiche Google (organique)","Autre / non payé")))))))))</f>
        <v/>
      </c>
      <c r="AR745" s="7">
        <f>IF(K745="","",IFERROR(VLOOKUP(K745,Listes!$F$3:$H$8,3,FALSE),""))</f>
        <v/>
      </c>
      <c r="AS745" s="7">
        <f>IF(O745="","",IF(AND(M745="Autre (plus de 40 km)",OR(O745="lt600",O745="600_999",O745="1000_2499")),"D",IF(OR(O745="lt600",AND(O745="600_999",K745&lt;&gt;"mariage",K745&lt;&gt;"prive")),"C",IF(OR(O745="2500_4999",O745="5000p",J745="entreprise",J745="organisme",J745="agence"),"A",IF(OR(O745="1000_2499",O745="600_999"),"B",IF(O745="inconnu",IF(OR(N745="75_149",N745="150p"),"A","B"),""))))))</f>
        <v/>
      </c>
      <c r="AT745" s="7">
        <f>IF(A745="","",IF(P745&lt;&gt;"",P745,AS745))</f>
        <v/>
      </c>
      <c r="AU745" s="7">
        <f>IF(A745="","",IF(OR(AT745="A",AT745="B"),1,0))</f>
        <v/>
      </c>
      <c r="AV745" s="7">
        <f>IF(A745="","",IF(OR(R745="Dépôt payé (gagné)",R745="Événement livré",R745="Avis obtenu"),1,0))</f>
        <v/>
      </c>
      <c r="AW745" s="7">
        <f>IF(A745="","",IF(Q745&gt;70,"Immédiat – propriétaire",IF(Q745&gt;=40,"15 min – personne de garde","Selon la route")))</f>
        <v/>
      </c>
      <c r="AX745" s="11">
        <f>IF(A745="","",IF(AT745="A",400,IF(AT745="B",150,0)))</f>
        <v/>
      </c>
      <c r="AY745" s="11">
        <f>IF(A745="","",IF(AV745=1,N(V745),IF(N(U745)&gt;0,ROUND(N(U745)*IFERROR(VLOOKUP(R745,Listes!$AE$3:$AG$12,2,FALSE),0),0),0)))</f>
        <v/>
      </c>
      <c r="AZ745" s="7">
        <f>IF(LEFT(A745,7)="EXEMPLE",1,0)</f>
        <v/>
      </c>
      <c r="BA745" s="7">
        <f>IF(AND(AV745=1,AZ745=0,AC745&lt;&gt;"",W745&lt;&gt;"",N(V745)&gt;0),COUNTIFS($AV$3:AV745,1,$AZ$3:AZ745,0,$AC$3:AC745,"&lt;&gt;",$W$3:W745,"&lt;&gt;",$V$3:V745,"&gt;0"),"")</f>
        <v/>
      </c>
    </row>
    <row r="746">
      <c r="A746" s="12" t="n"/>
      <c r="B746" s="13" t="n"/>
      <c r="C746" s="13" t="n"/>
      <c r="D746" s="7">
        <f>IF(OR(B746="",C746=""),"",ROUND((C746-B746)*1440,0))</f>
        <v/>
      </c>
      <c r="E746" s="12" t="n"/>
      <c r="F746" s="12" t="n"/>
      <c r="G746" s="12" t="n"/>
      <c r="H746" s="12" t="n"/>
      <c r="I746" s="12" t="n"/>
      <c r="J746" s="12" t="n"/>
      <c r="K746" s="12" t="n"/>
      <c r="L746" s="14" t="n"/>
      <c r="M746" s="12" t="n"/>
      <c r="N746" s="12" t="n"/>
      <c r="O746" s="12" t="n"/>
      <c r="P746" s="12" t="n"/>
      <c r="Q746" s="7">
        <f>IF(A746="","",IFERROR(VLOOKUP(O746,Listes!$R$3:$T$8,2,FALSE),0)+IFERROR(VLOOKUP(J746,Listes!$J$3:$L$6,2,FALSE),0)+IFERROR(VLOOKUP(N746,Listes!$N$3:$P$6,2,FALSE),0)+IF(OR(L746="",B746=""),0,IF(L746-INT(B746)&lt;10,8,IF(L746-INT(B746)&lt;=90,10,5)))+IFERROR(VLOOKUP(AN746,Listes!$V$3:$W$5,2,FALSE),0)+IFERROR(VLOOKUP(AO746,Listes!$Y$3:$Z$5,2,FALSE),0))</f>
        <v/>
      </c>
      <c r="R746" s="12" t="n"/>
      <c r="S746" s="12" t="n"/>
      <c r="T746" s="12" t="n"/>
      <c r="U746" s="15" t="n"/>
      <c r="V746" s="15" t="n"/>
      <c r="W746" s="13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3" t="n"/>
      <c r="AK746" s="12" t="n"/>
      <c r="AL746" s="12" t="n"/>
      <c r="AM746" s="12" t="n"/>
      <c r="AN746" s="12" t="n"/>
      <c r="AO746" s="12" t="n"/>
      <c r="AP746" s="12" t="n"/>
      <c r="AQ746" s="7">
        <f>IF(A746="","",IF(AP746&lt;&gt;"",AP746,IF(LEFT(Z746,11)="gads_marque","Google Search – Marque",IF(LEFT(Z746,12)="gads_mariage","Google Search – Mariage et privé",IF(LEFT(Z746,10)="gads_corpo","Google Search – Corporatif",IF(LEFT(Z746,5)="meta_","Meta – Leads",IF(LEFT(Z746,5)="msft_","Microsoft Ads",IF(LEFT(Z746,8)="chatgpt_","ChatGPT Ads – Test",IF(X746="gbp","Fiche Google (organique)","Autre / non payé")))))))))</f>
        <v/>
      </c>
      <c r="AR746" s="7">
        <f>IF(K746="","",IFERROR(VLOOKUP(K746,Listes!$F$3:$H$8,3,FALSE),""))</f>
        <v/>
      </c>
      <c r="AS746" s="7">
        <f>IF(O746="","",IF(AND(M746="Autre (plus de 40 km)",OR(O746="lt600",O746="600_999",O746="1000_2499")),"D",IF(OR(O746="lt600",AND(O746="600_999",K746&lt;&gt;"mariage",K746&lt;&gt;"prive")),"C",IF(OR(O746="2500_4999",O746="5000p",J746="entreprise",J746="organisme",J746="agence"),"A",IF(OR(O746="1000_2499",O746="600_999"),"B",IF(O746="inconnu",IF(OR(N746="75_149",N746="150p"),"A","B"),""))))))</f>
        <v/>
      </c>
      <c r="AT746" s="7">
        <f>IF(A746="","",IF(P746&lt;&gt;"",P746,AS746))</f>
        <v/>
      </c>
      <c r="AU746" s="7">
        <f>IF(A746="","",IF(OR(AT746="A",AT746="B"),1,0))</f>
        <v/>
      </c>
      <c r="AV746" s="7">
        <f>IF(A746="","",IF(OR(R746="Dépôt payé (gagné)",R746="Événement livré",R746="Avis obtenu"),1,0))</f>
        <v/>
      </c>
      <c r="AW746" s="7">
        <f>IF(A746="","",IF(Q746&gt;70,"Immédiat – propriétaire",IF(Q746&gt;=40,"15 min – personne de garde","Selon la route")))</f>
        <v/>
      </c>
      <c r="AX746" s="11">
        <f>IF(A746="","",IF(AT746="A",400,IF(AT746="B",150,0)))</f>
        <v/>
      </c>
      <c r="AY746" s="11">
        <f>IF(A746="","",IF(AV746=1,N(V746),IF(N(U746)&gt;0,ROUND(N(U746)*IFERROR(VLOOKUP(R746,Listes!$AE$3:$AG$12,2,FALSE),0),0),0)))</f>
        <v/>
      </c>
      <c r="AZ746" s="7">
        <f>IF(LEFT(A746,7)="EXEMPLE",1,0)</f>
        <v/>
      </c>
      <c r="BA746" s="7">
        <f>IF(AND(AV746=1,AZ746=0,AC746&lt;&gt;"",W746&lt;&gt;"",N(V746)&gt;0),COUNTIFS($AV$3:AV746,1,$AZ$3:AZ746,0,$AC$3:AC746,"&lt;&gt;",$W$3:W746,"&lt;&gt;",$V$3:V746,"&gt;0"),"")</f>
        <v/>
      </c>
    </row>
    <row r="747">
      <c r="A747" s="12" t="n"/>
      <c r="B747" s="13" t="n"/>
      <c r="C747" s="13" t="n"/>
      <c r="D747" s="7">
        <f>IF(OR(B747="",C747=""),"",ROUND((C747-B747)*1440,0))</f>
        <v/>
      </c>
      <c r="E747" s="12" t="n"/>
      <c r="F747" s="12" t="n"/>
      <c r="G747" s="12" t="n"/>
      <c r="H747" s="12" t="n"/>
      <c r="I747" s="12" t="n"/>
      <c r="J747" s="12" t="n"/>
      <c r="K747" s="12" t="n"/>
      <c r="L747" s="14" t="n"/>
      <c r="M747" s="12" t="n"/>
      <c r="N747" s="12" t="n"/>
      <c r="O747" s="12" t="n"/>
      <c r="P747" s="12" t="n"/>
      <c r="Q747" s="7">
        <f>IF(A747="","",IFERROR(VLOOKUP(O747,Listes!$R$3:$T$8,2,FALSE),0)+IFERROR(VLOOKUP(J747,Listes!$J$3:$L$6,2,FALSE),0)+IFERROR(VLOOKUP(N747,Listes!$N$3:$P$6,2,FALSE),0)+IF(OR(L747="",B747=""),0,IF(L747-INT(B747)&lt;10,8,IF(L747-INT(B747)&lt;=90,10,5)))+IFERROR(VLOOKUP(AN747,Listes!$V$3:$W$5,2,FALSE),0)+IFERROR(VLOOKUP(AO747,Listes!$Y$3:$Z$5,2,FALSE),0))</f>
        <v/>
      </c>
      <c r="R747" s="12" t="n"/>
      <c r="S747" s="12" t="n"/>
      <c r="T747" s="12" t="n"/>
      <c r="U747" s="15" t="n"/>
      <c r="V747" s="15" t="n"/>
      <c r="W747" s="13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3" t="n"/>
      <c r="AK747" s="12" t="n"/>
      <c r="AL747" s="12" t="n"/>
      <c r="AM747" s="12" t="n"/>
      <c r="AN747" s="12" t="n"/>
      <c r="AO747" s="12" t="n"/>
      <c r="AP747" s="12" t="n"/>
      <c r="AQ747" s="7">
        <f>IF(A747="","",IF(AP747&lt;&gt;"",AP747,IF(LEFT(Z747,11)="gads_marque","Google Search – Marque",IF(LEFT(Z747,12)="gads_mariage","Google Search – Mariage et privé",IF(LEFT(Z747,10)="gads_corpo","Google Search – Corporatif",IF(LEFT(Z747,5)="meta_","Meta – Leads",IF(LEFT(Z747,5)="msft_","Microsoft Ads",IF(LEFT(Z747,8)="chatgpt_","ChatGPT Ads – Test",IF(X747="gbp","Fiche Google (organique)","Autre / non payé")))))))))</f>
        <v/>
      </c>
      <c r="AR747" s="7">
        <f>IF(K747="","",IFERROR(VLOOKUP(K747,Listes!$F$3:$H$8,3,FALSE),""))</f>
        <v/>
      </c>
      <c r="AS747" s="7">
        <f>IF(O747="","",IF(AND(M747="Autre (plus de 40 km)",OR(O747="lt600",O747="600_999",O747="1000_2499")),"D",IF(OR(O747="lt600",AND(O747="600_999",K747&lt;&gt;"mariage",K747&lt;&gt;"prive")),"C",IF(OR(O747="2500_4999",O747="5000p",J747="entreprise",J747="organisme",J747="agence"),"A",IF(OR(O747="1000_2499",O747="600_999"),"B",IF(O747="inconnu",IF(OR(N747="75_149",N747="150p"),"A","B"),""))))))</f>
        <v/>
      </c>
      <c r="AT747" s="7">
        <f>IF(A747="","",IF(P747&lt;&gt;"",P747,AS747))</f>
        <v/>
      </c>
      <c r="AU747" s="7">
        <f>IF(A747="","",IF(OR(AT747="A",AT747="B"),1,0))</f>
        <v/>
      </c>
      <c r="AV747" s="7">
        <f>IF(A747="","",IF(OR(R747="Dépôt payé (gagné)",R747="Événement livré",R747="Avis obtenu"),1,0))</f>
        <v/>
      </c>
      <c r="AW747" s="7">
        <f>IF(A747="","",IF(Q747&gt;70,"Immédiat – propriétaire",IF(Q747&gt;=40,"15 min – personne de garde","Selon la route")))</f>
        <v/>
      </c>
      <c r="AX747" s="11">
        <f>IF(A747="","",IF(AT747="A",400,IF(AT747="B",150,0)))</f>
        <v/>
      </c>
      <c r="AY747" s="11">
        <f>IF(A747="","",IF(AV747=1,N(V747),IF(N(U747)&gt;0,ROUND(N(U747)*IFERROR(VLOOKUP(R747,Listes!$AE$3:$AG$12,2,FALSE),0),0),0)))</f>
        <v/>
      </c>
      <c r="AZ747" s="7">
        <f>IF(LEFT(A747,7)="EXEMPLE",1,0)</f>
        <v/>
      </c>
      <c r="BA747" s="7">
        <f>IF(AND(AV747=1,AZ747=0,AC747&lt;&gt;"",W747&lt;&gt;"",N(V747)&gt;0),COUNTIFS($AV$3:AV747,1,$AZ$3:AZ747,0,$AC$3:AC747,"&lt;&gt;",$W$3:W747,"&lt;&gt;",$V$3:V747,"&gt;0"),"")</f>
        <v/>
      </c>
    </row>
    <row r="748">
      <c r="A748" s="12" t="n"/>
      <c r="B748" s="13" t="n"/>
      <c r="C748" s="13" t="n"/>
      <c r="D748" s="7">
        <f>IF(OR(B748="",C748=""),"",ROUND((C748-B748)*1440,0))</f>
        <v/>
      </c>
      <c r="E748" s="12" t="n"/>
      <c r="F748" s="12" t="n"/>
      <c r="G748" s="12" t="n"/>
      <c r="H748" s="12" t="n"/>
      <c r="I748" s="12" t="n"/>
      <c r="J748" s="12" t="n"/>
      <c r="K748" s="12" t="n"/>
      <c r="L748" s="14" t="n"/>
      <c r="M748" s="12" t="n"/>
      <c r="N748" s="12" t="n"/>
      <c r="O748" s="12" t="n"/>
      <c r="P748" s="12" t="n"/>
      <c r="Q748" s="7">
        <f>IF(A748="","",IFERROR(VLOOKUP(O748,Listes!$R$3:$T$8,2,FALSE),0)+IFERROR(VLOOKUP(J748,Listes!$J$3:$L$6,2,FALSE),0)+IFERROR(VLOOKUP(N748,Listes!$N$3:$P$6,2,FALSE),0)+IF(OR(L748="",B748=""),0,IF(L748-INT(B748)&lt;10,8,IF(L748-INT(B748)&lt;=90,10,5)))+IFERROR(VLOOKUP(AN748,Listes!$V$3:$W$5,2,FALSE),0)+IFERROR(VLOOKUP(AO748,Listes!$Y$3:$Z$5,2,FALSE),0))</f>
        <v/>
      </c>
      <c r="R748" s="12" t="n"/>
      <c r="S748" s="12" t="n"/>
      <c r="T748" s="12" t="n"/>
      <c r="U748" s="15" t="n"/>
      <c r="V748" s="15" t="n"/>
      <c r="W748" s="13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3" t="n"/>
      <c r="AK748" s="12" t="n"/>
      <c r="AL748" s="12" t="n"/>
      <c r="AM748" s="12" t="n"/>
      <c r="AN748" s="12" t="n"/>
      <c r="AO748" s="12" t="n"/>
      <c r="AP748" s="12" t="n"/>
      <c r="AQ748" s="7">
        <f>IF(A748="","",IF(AP748&lt;&gt;"",AP748,IF(LEFT(Z748,11)="gads_marque","Google Search – Marque",IF(LEFT(Z748,12)="gads_mariage","Google Search – Mariage et privé",IF(LEFT(Z748,10)="gads_corpo","Google Search – Corporatif",IF(LEFT(Z748,5)="meta_","Meta – Leads",IF(LEFT(Z748,5)="msft_","Microsoft Ads",IF(LEFT(Z748,8)="chatgpt_","ChatGPT Ads – Test",IF(X748="gbp","Fiche Google (organique)","Autre / non payé")))))))))</f>
        <v/>
      </c>
      <c r="AR748" s="7">
        <f>IF(K748="","",IFERROR(VLOOKUP(K748,Listes!$F$3:$H$8,3,FALSE),""))</f>
        <v/>
      </c>
      <c r="AS748" s="7">
        <f>IF(O748="","",IF(AND(M748="Autre (plus de 40 km)",OR(O748="lt600",O748="600_999",O748="1000_2499")),"D",IF(OR(O748="lt600",AND(O748="600_999",K748&lt;&gt;"mariage",K748&lt;&gt;"prive")),"C",IF(OR(O748="2500_4999",O748="5000p",J748="entreprise",J748="organisme",J748="agence"),"A",IF(OR(O748="1000_2499",O748="600_999"),"B",IF(O748="inconnu",IF(OR(N748="75_149",N748="150p"),"A","B"),""))))))</f>
        <v/>
      </c>
      <c r="AT748" s="7">
        <f>IF(A748="","",IF(P748&lt;&gt;"",P748,AS748))</f>
        <v/>
      </c>
      <c r="AU748" s="7">
        <f>IF(A748="","",IF(OR(AT748="A",AT748="B"),1,0))</f>
        <v/>
      </c>
      <c r="AV748" s="7">
        <f>IF(A748="","",IF(OR(R748="Dépôt payé (gagné)",R748="Événement livré",R748="Avis obtenu"),1,0))</f>
        <v/>
      </c>
      <c r="AW748" s="7">
        <f>IF(A748="","",IF(Q748&gt;70,"Immédiat – propriétaire",IF(Q748&gt;=40,"15 min – personne de garde","Selon la route")))</f>
        <v/>
      </c>
      <c r="AX748" s="11">
        <f>IF(A748="","",IF(AT748="A",400,IF(AT748="B",150,0)))</f>
        <v/>
      </c>
      <c r="AY748" s="11">
        <f>IF(A748="","",IF(AV748=1,N(V748),IF(N(U748)&gt;0,ROUND(N(U748)*IFERROR(VLOOKUP(R748,Listes!$AE$3:$AG$12,2,FALSE),0),0),0)))</f>
        <v/>
      </c>
      <c r="AZ748" s="7">
        <f>IF(LEFT(A748,7)="EXEMPLE",1,0)</f>
        <v/>
      </c>
      <c r="BA748" s="7">
        <f>IF(AND(AV748=1,AZ748=0,AC748&lt;&gt;"",W748&lt;&gt;"",N(V748)&gt;0),COUNTIFS($AV$3:AV748,1,$AZ$3:AZ748,0,$AC$3:AC748,"&lt;&gt;",$W$3:W748,"&lt;&gt;",$V$3:V748,"&gt;0"),"")</f>
        <v/>
      </c>
    </row>
    <row r="749">
      <c r="A749" s="12" t="n"/>
      <c r="B749" s="13" t="n"/>
      <c r="C749" s="13" t="n"/>
      <c r="D749" s="7">
        <f>IF(OR(B749="",C749=""),"",ROUND((C749-B749)*1440,0))</f>
        <v/>
      </c>
      <c r="E749" s="12" t="n"/>
      <c r="F749" s="12" t="n"/>
      <c r="G749" s="12" t="n"/>
      <c r="H749" s="12" t="n"/>
      <c r="I749" s="12" t="n"/>
      <c r="J749" s="12" t="n"/>
      <c r="K749" s="12" t="n"/>
      <c r="L749" s="14" t="n"/>
      <c r="M749" s="12" t="n"/>
      <c r="N749" s="12" t="n"/>
      <c r="O749" s="12" t="n"/>
      <c r="P749" s="12" t="n"/>
      <c r="Q749" s="7">
        <f>IF(A749="","",IFERROR(VLOOKUP(O749,Listes!$R$3:$T$8,2,FALSE),0)+IFERROR(VLOOKUP(J749,Listes!$J$3:$L$6,2,FALSE),0)+IFERROR(VLOOKUP(N749,Listes!$N$3:$P$6,2,FALSE),0)+IF(OR(L749="",B749=""),0,IF(L749-INT(B749)&lt;10,8,IF(L749-INT(B749)&lt;=90,10,5)))+IFERROR(VLOOKUP(AN749,Listes!$V$3:$W$5,2,FALSE),0)+IFERROR(VLOOKUP(AO749,Listes!$Y$3:$Z$5,2,FALSE),0))</f>
        <v/>
      </c>
      <c r="R749" s="12" t="n"/>
      <c r="S749" s="12" t="n"/>
      <c r="T749" s="12" t="n"/>
      <c r="U749" s="15" t="n"/>
      <c r="V749" s="15" t="n"/>
      <c r="W749" s="13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3" t="n"/>
      <c r="AK749" s="12" t="n"/>
      <c r="AL749" s="12" t="n"/>
      <c r="AM749" s="12" t="n"/>
      <c r="AN749" s="12" t="n"/>
      <c r="AO749" s="12" t="n"/>
      <c r="AP749" s="12" t="n"/>
      <c r="AQ749" s="7">
        <f>IF(A749="","",IF(AP749&lt;&gt;"",AP749,IF(LEFT(Z749,11)="gads_marque","Google Search – Marque",IF(LEFT(Z749,12)="gads_mariage","Google Search – Mariage et privé",IF(LEFT(Z749,10)="gads_corpo","Google Search – Corporatif",IF(LEFT(Z749,5)="meta_","Meta – Leads",IF(LEFT(Z749,5)="msft_","Microsoft Ads",IF(LEFT(Z749,8)="chatgpt_","ChatGPT Ads – Test",IF(X749="gbp","Fiche Google (organique)","Autre / non payé")))))))))</f>
        <v/>
      </c>
      <c r="AR749" s="7">
        <f>IF(K749="","",IFERROR(VLOOKUP(K749,Listes!$F$3:$H$8,3,FALSE),""))</f>
        <v/>
      </c>
      <c r="AS749" s="7">
        <f>IF(O749="","",IF(AND(M749="Autre (plus de 40 km)",OR(O749="lt600",O749="600_999",O749="1000_2499")),"D",IF(OR(O749="lt600",AND(O749="600_999",K749&lt;&gt;"mariage",K749&lt;&gt;"prive")),"C",IF(OR(O749="2500_4999",O749="5000p",J749="entreprise",J749="organisme",J749="agence"),"A",IF(OR(O749="1000_2499",O749="600_999"),"B",IF(O749="inconnu",IF(OR(N749="75_149",N749="150p"),"A","B"),""))))))</f>
        <v/>
      </c>
      <c r="AT749" s="7">
        <f>IF(A749="","",IF(P749&lt;&gt;"",P749,AS749))</f>
        <v/>
      </c>
      <c r="AU749" s="7">
        <f>IF(A749="","",IF(OR(AT749="A",AT749="B"),1,0))</f>
        <v/>
      </c>
      <c r="AV749" s="7">
        <f>IF(A749="","",IF(OR(R749="Dépôt payé (gagné)",R749="Événement livré",R749="Avis obtenu"),1,0))</f>
        <v/>
      </c>
      <c r="AW749" s="7">
        <f>IF(A749="","",IF(Q749&gt;70,"Immédiat – propriétaire",IF(Q749&gt;=40,"15 min – personne de garde","Selon la route")))</f>
        <v/>
      </c>
      <c r="AX749" s="11">
        <f>IF(A749="","",IF(AT749="A",400,IF(AT749="B",150,0)))</f>
        <v/>
      </c>
      <c r="AY749" s="11">
        <f>IF(A749="","",IF(AV749=1,N(V749),IF(N(U749)&gt;0,ROUND(N(U749)*IFERROR(VLOOKUP(R749,Listes!$AE$3:$AG$12,2,FALSE),0),0),0)))</f>
        <v/>
      </c>
      <c r="AZ749" s="7">
        <f>IF(LEFT(A749,7)="EXEMPLE",1,0)</f>
        <v/>
      </c>
      <c r="BA749" s="7">
        <f>IF(AND(AV749=1,AZ749=0,AC749&lt;&gt;"",W749&lt;&gt;"",N(V749)&gt;0),COUNTIFS($AV$3:AV749,1,$AZ$3:AZ749,0,$AC$3:AC749,"&lt;&gt;",$W$3:W749,"&lt;&gt;",$V$3:V749,"&gt;0"),"")</f>
        <v/>
      </c>
    </row>
    <row r="750">
      <c r="A750" s="12" t="n"/>
      <c r="B750" s="13" t="n"/>
      <c r="C750" s="13" t="n"/>
      <c r="D750" s="7">
        <f>IF(OR(B750="",C750=""),"",ROUND((C750-B750)*1440,0))</f>
        <v/>
      </c>
      <c r="E750" s="12" t="n"/>
      <c r="F750" s="12" t="n"/>
      <c r="G750" s="12" t="n"/>
      <c r="H750" s="12" t="n"/>
      <c r="I750" s="12" t="n"/>
      <c r="J750" s="12" t="n"/>
      <c r="K750" s="12" t="n"/>
      <c r="L750" s="14" t="n"/>
      <c r="M750" s="12" t="n"/>
      <c r="N750" s="12" t="n"/>
      <c r="O750" s="12" t="n"/>
      <c r="P750" s="12" t="n"/>
      <c r="Q750" s="7">
        <f>IF(A750="","",IFERROR(VLOOKUP(O750,Listes!$R$3:$T$8,2,FALSE),0)+IFERROR(VLOOKUP(J750,Listes!$J$3:$L$6,2,FALSE),0)+IFERROR(VLOOKUP(N750,Listes!$N$3:$P$6,2,FALSE),0)+IF(OR(L750="",B750=""),0,IF(L750-INT(B750)&lt;10,8,IF(L750-INT(B750)&lt;=90,10,5)))+IFERROR(VLOOKUP(AN750,Listes!$V$3:$W$5,2,FALSE),0)+IFERROR(VLOOKUP(AO750,Listes!$Y$3:$Z$5,2,FALSE),0))</f>
        <v/>
      </c>
      <c r="R750" s="12" t="n"/>
      <c r="S750" s="12" t="n"/>
      <c r="T750" s="12" t="n"/>
      <c r="U750" s="15" t="n"/>
      <c r="V750" s="15" t="n"/>
      <c r="W750" s="13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3" t="n"/>
      <c r="AK750" s="12" t="n"/>
      <c r="AL750" s="12" t="n"/>
      <c r="AM750" s="12" t="n"/>
      <c r="AN750" s="12" t="n"/>
      <c r="AO750" s="12" t="n"/>
      <c r="AP750" s="12" t="n"/>
      <c r="AQ750" s="7">
        <f>IF(A750="","",IF(AP750&lt;&gt;"",AP750,IF(LEFT(Z750,11)="gads_marque","Google Search – Marque",IF(LEFT(Z750,12)="gads_mariage","Google Search – Mariage et privé",IF(LEFT(Z750,10)="gads_corpo","Google Search – Corporatif",IF(LEFT(Z750,5)="meta_","Meta – Leads",IF(LEFT(Z750,5)="msft_","Microsoft Ads",IF(LEFT(Z750,8)="chatgpt_","ChatGPT Ads – Test",IF(X750="gbp","Fiche Google (organique)","Autre / non payé")))))))))</f>
        <v/>
      </c>
      <c r="AR750" s="7">
        <f>IF(K750="","",IFERROR(VLOOKUP(K750,Listes!$F$3:$H$8,3,FALSE),""))</f>
        <v/>
      </c>
      <c r="AS750" s="7">
        <f>IF(O750="","",IF(AND(M750="Autre (plus de 40 km)",OR(O750="lt600",O750="600_999",O750="1000_2499")),"D",IF(OR(O750="lt600",AND(O750="600_999",K750&lt;&gt;"mariage",K750&lt;&gt;"prive")),"C",IF(OR(O750="2500_4999",O750="5000p",J750="entreprise",J750="organisme",J750="agence"),"A",IF(OR(O750="1000_2499",O750="600_999"),"B",IF(O750="inconnu",IF(OR(N750="75_149",N750="150p"),"A","B"),""))))))</f>
        <v/>
      </c>
      <c r="AT750" s="7">
        <f>IF(A750="","",IF(P750&lt;&gt;"",P750,AS750))</f>
        <v/>
      </c>
      <c r="AU750" s="7">
        <f>IF(A750="","",IF(OR(AT750="A",AT750="B"),1,0))</f>
        <v/>
      </c>
      <c r="AV750" s="7">
        <f>IF(A750="","",IF(OR(R750="Dépôt payé (gagné)",R750="Événement livré",R750="Avis obtenu"),1,0))</f>
        <v/>
      </c>
      <c r="AW750" s="7">
        <f>IF(A750="","",IF(Q750&gt;70,"Immédiat – propriétaire",IF(Q750&gt;=40,"15 min – personne de garde","Selon la route")))</f>
        <v/>
      </c>
      <c r="AX750" s="11">
        <f>IF(A750="","",IF(AT750="A",400,IF(AT750="B",150,0)))</f>
        <v/>
      </c>
      <c r="AY750" s="11">
        <f>IF(A750="","",IF(AV750=1,N(V750),IF(N(U750)&gt;0,ROUND(N(U750)*IFERROR(VLOOKUP(R750,Listes!$AE$3:$AG$12,2,FALSE),0),0),0)))</f>
        <v/>
      </c>
      <c r="AZ750" s="7">
        <f>IF(LEFT(A750,7)="EXEMPLE",1,0)</f>
        <v/>
      </c>
      <c r="BA750" s="7">
        <f>IF(AND(AV750=1,AZ750=0,AC750&lt;&gt;"",W750&lt;&gt;"",N(V750)&gt;0),COUNTIFS($AV$3:AV750,1,$AZ$3:AZ750,0,$AC$3:AC750,"&lt;&gt;",$W$3:W750,"&lt;&gt;",$V$3:V750,"&gt;0"),"")</f>
        <v/>
      </c>
    </row>
    <row r="751">
      <c r="A751" s="12" t="n"/>
      <c r="B751" s="13" t="n"/>
      <c r="C751" s="13" t="n"/>
      <c r="D751" s="7">
        <f>IF(OR(B751="",C751=""),"",ROUND((C751-B751)*1440,0))</f>
        <v/>
      </c>
      <c r="E751" s="12" t="n"/>
      <c r="F751" s="12" t="n"/>
      <c r="G751" s="12" t="n"/>
      <c r="H751" s="12" t="n"/>
      <c r="I751" s="12" t="n"/>
      <c r="J751" s="12" t="n"/>
      <c r="K751" s="12" t="n"/>
      <c r="L751" s="14" t="n"/>
      <c r="M751" s="12" t="n"/>
      <c r="N751" s="12" t="n"/>
      <c r="O751" s="12" t="n"/>
      <c r="P751" s="12" t="n"/>
      <c r="Q751" s="7">
        <f>IF(A751="","",IFERROR(VLOOKUP(O751,Listes!$R$3:$T$8,2,FALSE),0)+IFERROR(VLOOKUP(J751,Listes!$J$3:$L$6,2,FALSE),0)+IFERROR(VLOOKUP(N751,Listes!$N$3:$P$6,2,FALSE),0)+IF(OR(L751="",B751=""),0,IF(L751-INT(B751)&lt;10,8,IF(L751-INT(B751)&lt;=90,10,5)))+IFERROR(VLOOKUP(AN751,Listes!$V$3:$W$5,2,FALSE),0)+IFERROR(VLOOKUP(AO751,Listes!$Y$3:$Z$5,2,FALSE),0))</f>
        <v/>
      </c>
      <c r="R751" s="12" t="n"/>
      <c r="S751" s="12" t="n"/>
      <c r="T751" s="12" t="n"/>
      <c r="U751" s="15" t="n"/>
      <c r="V751" s="15" t="n"/>
      <c r="W751" s="13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3" t="n"/>
      <c r="AK751" s="12" t="n"/>
      <c r="AL751" s="12" t="n"/>
      <c r="AM751" s="12" t="n"/>
      <c r="AN751" s="12" t="n"/>
      <c r="AO751" s="12" t="n"/>
      <c r="AP751" s="12" t="n"/>
      <c r="AQ751" s="7">
        <f>IF(A751="","",IF(AP751&lt;&gt;"",AP751,IF(LEFT(Z751,11)="gads_marque","Google Search – Marque",IF(LEFT(Z751,12)="gads_mariage","Google Search – Mariage et privé",IF(LEFT(Z751,10)="gads_corpo","Google Search – Corporatif",IF(LEFT(Z751,5)="meta_","Meta – Leads",IF(LEFT(Z751,5)="msft_","Microsoft Ads",IF(LEFT(Z751,8)="chatgpt_","ChatGPT Ads – Test",IF(X751="gbp","Fiche Google (organique)","Autre / non payé")))))))))</f>
        <v/>
      </c>
      <c r="AR751" s="7">
        <f>IF(K751="","",IFERROR(VLOOKUP(K751,Listes!$F$3:$H$8,3,FALSE),""))</f>
        <v/>
      </c>
      <c r="AS751" s="7">
        <f>IF(O751="","",IF(AND(M751="Autre (plus de 40 km)",OR(O751="lt600",O751="600_999",O751="1000_2499")),"D",IF(OR(O751="lt600",AND(O751="600_999",K751&lt;&gt;"mariage",K751&lt;&gt;"prive")),"C",IF(OR(O751="2500_4999",O751="5000p",J751="entreprise",J751="organisme",J751="agence"),"A",IF(OR(O751="1000_2499",O751="600_999"),"B",IF(O751="inconnu",IF(OR(N751="75_149",N751="150p"),"A","B"),""))))))</f>
        <v/>
      </c>
      <c r="AT751" s="7">
        <f>IF(A751="","",IF(P751&lt;&gt;"",P751,AS751))</f>
        <v/>
      </c>
      <c r="AU751" s="7">
        <f>IF(A751="","",IF(OR(AT751="A",AT751="B"),1,0))</f>
        <v/>
      </c>
      <c r="AV751" s="7">
        <f>IF(A751="","",IF(OR(R751="Dépôt payé (gagné)",R751="Événement livré",R751="Avis obtenu"),1,0))</f>
        <v/>
      </c>
      <c r="AW751" s="7">
        <f>IF(A751="","",IF(Q751&gt;70,"Immédiat – propriétaire",IF(Q751&gt;=40,"15 min – personne de garde","Selon la route")))</f>
        <v/>
      </c>
      <c r="AX751" s="11">
        <f>IF(A751="","",IF(AT751="A",400,IF(AT751="B",150,0)))</f>
        <v/>
      </c>
      <c r="AY751" s="11">
        <f>IF(A751="","",IF(AV751=1,N(V751),IF(N(U751)&gt;0,ROUND(N(U751)*IFERROR(VLOOKUP(R751,Listes!$AE$3:$AG$12,2,FALSE),0),0),0)))</f>
        <v/>
      </c>
      <c r="AZ751" s="7">
        <f>IF(LEFT(A751,7)="EXEMPLE",1,0)</f>
        <v/>
      </c>
      <c r="BA751" s="7">
        <f>IF(AND(AV751=1,AZ751=0,AC751&lt;&gt;"",W751&lt;&gt;"",N(V751)&gt;0),COUNTIFS($AV$3:AV751,1,$AZ$3:AZ751,0,$AC$3:AC751,"&lt;&gt;",$W$3:W751,"&lt;&gt;",$V$3:V751,"&gt;0"),"")</f>
        <v/>
      </c>
    </row>
    <row r="752">
      <c r="A752" s="12" t="n"/>
      <c r="B752" s="13" t="n"/>
      <c r="C752" s="13" t="n"/>
      <c r="D752" s="7">
        <f>IF(OR(B752="",C752=""),"",ROUND((C752-B752)*1440,0))</f>
        <v/>
      </c>
      <c r="E752" s="12" t="n"/>
      <c r="F752" s="12" t="n"/>
      <c r="G752" s="12" t="n"/>
      <c r="H752" s="12" t="n"/>
      <c r="I752" s="12" t="n"/>
      <c r="J752" s="12" t="n"/>
      <c r="K752" s="12" t="n"/>
      <c r="L752" s="14" t="n"/>
      <c r="M752" s="12" t="n"/>
      <c r="N752" s="12" t="n"/>
      <c r="O752" s="12" t="n"/>
      <c r="P752" s="12" t="n"/>
      <c r="Q752" s="7">
        <f>IF(A752="","",IFERROR(VLOOKUP(O752,Listes!$R$3:$T$8,2,FALSE),0)+IFERROR(VLOOKUP(J752,Listes!$J$3:$L$6,2,FALSE),0)+IFERROR(VLOOKUP(N752,Listes!$N$3:$P$6,2,FALSE),0)+IF(OR(L752="",B752=""),0,IF(L752-INT(B752)&lt;10,8,IF(L752-INT(B752)&lt;=90,10,5)))+IFERROR(VLOOKUP(AN752,Listes!$V$3:$W$5,2,FALSE),0)+IFERROR(VLOOKUP(AO752,Listes!$Y$3:$Z$5,2,FALSE),0))</f>
        <v/>
      </c>
      <c r="R752" s="12" t="n"/>
      <c r="S752" s="12" t="n"/>
      <c r="T752" s="12" t="n"/>
      <c r="U752" s="15" t="n"/>
      <c r="V752" s="15" t="n"/>
      <c r="W752" s="13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3" t="n"/>
      <c r="AK752" s="12" t="n"/>
      <c r="AL752" s="12" t="n"/>
      <c r="AM752" s="12" t="n"/>
      <c r="AN752" s="12" t="n"/>
      <c r="AO752" s="12" t="n"/>
      <c r="AP752" s="12" t="n"/>
      <c r="AQ752" s="7">
        <f>IF(A752="","",IF(AP752&lt;&gt;"",AP752,IF(LEFT(Z752,11)="gads_marque","Google Search – Marque",IF(LEFT(Z752,12)="gads_mariage","Google Search – Mariage et privé",IF(LEFT(Z752,10)="gads_corpo","Google Search – Corporatif",IF(LEFT(Z752,5)="meta_","Meta – Leads",IF(LEFT(Z752,5)="msft_","Microsoft Ads",IF(LEFT(Z752,8)="chatgpt_","ChatGPT Ads – Test",IF(X752="gbp","Fiche Google (organique)","Autre / non payé")))))))))</f>
        <v/>
      </c>
      <c r="AR752" s="7">
        <f>IF(K752="","",IFERROR(VLOOKUP(K752,Listes!$F$3:$H$8,3,FALSE),""))</f>
        <v/>
      </c>
      <c r="AS752" s="7">
        <f>IF(O752="","",IF(AND(M752="Autre (plus de 40 km)",OR(O752="lt600",O752="600_999",O752="1000_2499")),"D",IF(OR(O752="lt600",AND(O752="600_999",K752&lt;&gt;"mariage",K752&lt;&gt;"prive")),"C",IF(OR(O752="2500_4999",O752="5000p",J752="entreprise",J752="organisme",J752="agence"),"A",IF(OR(O752="1000_2499",O752="600_999"),"B",IF(O752="inconnu",IF(OR(N752="75_149",N752="150p"),"A","B"),""))))))</f>
        <v/>
      </c>
      <c r="AT752" s="7">
        <f>IF(A752="","",IF(P752&lt;&gt;"",P752,AS752))</f>
        <v/>
      </c>
      <c r="AU752" s="7">
        <f>IF(A752="","",IF(OR(AT752="A",AT752="B"),1,0))</f>
        <v/>
      </c>
      <c r="AV752" s="7">
        <f>IF(A752="","",IF(OR(R752="Dépôt payé (gagné)",R752="Événement livré",R752="Avis obtenu"),1,0))</f>
        <v/>
      </c>
      <c r="AW752" s="7">
        <f>IF(A752="","",IF(Q752&gt;70,"Immédiat – propriétaire",IF(Q752&gt;=40,"15 min – personne de garde","Selon la route")))</f>
        <v/>
      </c>
      <c r="AX752" s="11">
        <f>IF(A752="","",IF(AT752="A",400,IF(AT752="B",150,0)))</f>
        <v/>
      </c>
      <c r="AY752" s="11">
        <f>IF(A752="","",IF(AV752=1,N(V752),IF(N(U752)&gt;0,ROUND(N(U752)*IFERROR(VLOOKUP(R752,Listes!$AE$3:$AG$12,2,FALSE),0),0),0)))</f>
        <v/>
      </c>
      <c r="AZ752" s="7">
        <f>IF(LEFT(A752,7)="EXEMPLE",1,0)</f>
        <v/>
      </c>
      <c r="BA752" s="7">
        <f>IF(AND(AV752=1,AZ752=0,AC752&lt;&gt;"",W752&lt;&gt;"",N(V752)&gt;0),COUNTIFS($AV$3:AV752,1,$AZ$3:AZ752,0,$AC$3:AC752,"&lt;&gt;",$W$3:W752,"&lt;&gt;",$V$3:V752,"&gt;0"),"")</f>
        <v/>
      </c>
    </row>
    <row r="753">
      <c r="A753" s="12" t="n"/>
      <c r="B753" s="13" t="n"/>
      <c r="C753" s="13" t="n"/>
      <c r="D753" s="7">
        <f>IF(OR(B753="",C753=""),"",ROUND((C753-B753)*1440,0))</f>
        <v/>
      </c>
      <c r="E753" s="12" t="n"/>
      <c r="F753" s="12" t="n"/>
      <c r="G753" s="12" t="n"/>
      <c r="H753" s="12" t="n"/>
      <c r="I753" s="12" t="n"/>
      <c r="J753" s="12" t="n"/>
      <c r="K753" s="12" t="n"/>
      <c r="L753" s="14" t="n"/>
      <c r="M753" s="12" t="n"/>
      <c r="N753" s="12" t="n"/>
      <c r="O753" s="12" t="n"/>
      <c r="P753" s="12" t="n"/>
      <c r="Q753" s="7">
        <f>IF(A753="","",IFERROR(VLOOKUP(O753,Listes!$R$3:$T$8,2,FALSE),0)+IFERROR(VLOOKUP(J753,Listes!$J$3:$L$6,2,FALSE),0)+IFERROR(VLOOKUP(N753,Listes!$N$3:$P$6,2,FALSE),0)+IF(OR(L753="",B753=""),0,IF(L753-INT(B753)&lt;10,8,IF(L753-INT(B753)&lt;=90,10,5)))+IFERROR(VLOOKUP(AN753,Listes!$V$3:$W$5,2,FALSE),0)+IFERROR(VLOOKUP(AO753,Listes!$Y$3:$Z$5,2,FALSE),0))</f>
        <v/>
      </c>
      <c r="R753" s="12" t="n"/>
      <c r="S753" s="12" t="n"/>
      <c r="T753" s="12" t="n"/>
      <c r="U753" s="15" t="n"/>
      <c r="V753" s="15" t="n"/>
      <c r="W753" s="13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3" t="n"/>
      <c r="AK753" s="12" t="n"/>
      <c r="AL753" s="12" t="n"/>
      <c r="AM753" s="12" t="n"/>
      <c r="AN753" s="12" t="n"/>
      <c r="AO753" s="12" t="n"/>
      <c r="AP753" s="12" t="n"/>
      <c r="AQ753" s="7">
        <f>IF(A753="","",IF(AP753&lt;&gt;"",AP753,IF(LEFT(Z753,11)="gads_marque","Google Search – Marque",IF(LEFT(Z753,12)="gads_mariage","Google Search – Mariage et privé",IF(LEFT(Z753,10)="gads_corpo","Google Search – Corporatif",IF(LEFT(Z753,5)="meta_","Meta – Leads",IF(LEFT(Z753,5)="msft_","Microsoft Ads",IF(LEFT(Z753,8)="chatgpt_","ChatGPT Ads – Test",IF(X753="gbp","Fiche Google (organique)","Autre / non payé")))))))))</f>
        <v/>
      </c>
      <c r="AR753" s="7">
        <f>IF(K753="","",IFERROR(VLOOKUP(K753,Listes!$F$3:$H$8,3,FALSE),""))</f>
        <v/>
      </c>
      <c r="AS753" s="7">
        <f>IF(O753="","",IF(AND(M753="Autre (plus de 40 km)",OR(O753="lt600",O753="600_999",O753="1000_2499")),"D",IF(OR(O753="lt600",AND(O753="600_999",K753&lt;&gt;"mariage",K753&lt;&gt;"prive")),"C",IF(OR(O753="2500_4999",O753="5000p",J753="entreprise",J753="organisme",J753="agence"),"A",IF(OR(O753="1000_2499",O753="600_999"),"B",IF(O753="inconnu",IF(OR(N753="75_149",N753="150p"),"A","B"),""))))))</f>
        <v/>
      </c>
      <c r="AT753" s="7">
        <f>IF(A753="","",IF(P753&lt;&gt;"",P753,AS753))</f>
        <v/>
      </c>
      <c r="AU753" s="7">
        <f>IF(A753="","",IF(OR(AT753="A",AT753="B"),1,0))</f>
        <v/>
      </c>
      <c r="AV753" s="7">
        <f>IF(A753="","",IF(OR(R753="Dépôt payé (gagné)",R753="Événement livré",R753="Avis obtenu"),1,0))</f>
        <v/>
      </c>
      <c r="AW753" s="7">
        <f>IF(A753="","",IF(Q753&gt;70,"Immédiat – propriétaire",IF(Q753&gt;=40,"15 min – personne de garde","Selon la route")))</f>
        <v/>
      </c>
      <c r="AX753" s="11">
        <f>IF(A753="","",IF(AT753="A",400,IF(AT753="B",150,0)))</f>
        <v/>
      </c>
      <c r="AY753" s="11">
        <f>IF(A753="","",IF(AV753=1,N(V753),IF(N(U753)&gt;0,ROUND(N(U753)*IFERROR(VLOOKUP(R753,Listes!$AE$3:$AG$12,2,FALSE),0),0),0)))</f>
        <v/>
      </c>
      <c r="AZ753" s="7">
        <f>IF(LEFT(A753,7)="EXEMPLE",1,0)</f>
        <v/>
      </c>
      <c r="BA753" s="7">
        <f>IF(AND(AV753=1,AZ753=0,AC753&lt;&gt;"",W753&lt;&gt;"",N(V753)&gt;0),COUNTIFS($AV$3:AV753,1,$AZ$3:AZ753,0,$AC$3:AC753,"&lt;&gt;",$W$3:W753,"&lt;&gt;",$V$3:V753,"&gt;0"),"")</f>
        <v/>
      </c>
    </row>
    <row r="754">
      <c r="A754" s="12" t="n"/>
      <c r="B754" s="13" t="n"/>
      <c r="C754" s="13" t="n"/>
      <c r="D754" s="7">
        <f>IF(OR(B754="",C754=""),"",ROUND((C754-B754)*1440,0))</f>
        <v/>
      </c>
      <c r="E754" s="12" t="n"/>
      <c r="F754" s="12" t="n"/>
      <c r="G754" s="12" t="n"/>
      <c r="H754" s="12" t="n"/>
      <c r="I754" s="12" t="n"/>
      <c r="J754" s="12" t="n"/>
      <c r="K754" s="12" t="n"/>
      <c r="L754" s="14" t="n"/>
      <c r="M754" s="12" t="n"/>
      <c r="N754" s="12" t="n"/>
      <c r="O754" s="12" t="n"/>
      <c r="P754" s="12" t="n"/>
      <c r="Q754" s="7">
        <f>IF(A754="","",IFERROR(VLOOKUP(O754,Listes!$R$3:$T$8,2,FALSE),0)+IFERROR(VLOOKUP(J754,Listes!$J$3:$L$6,2,FALSE),0)+IFERROR(VLOOKUP(N754,Listes!$N$3:$P$6,2,FALSE),0)+IF(OR(L754="",B754=""),0,IF(L754-INT(B754)&lt;10,8,IF(L754-INT(B754)&lt;=90,10,5)))+IFERROR(VLOOKUP(AN754,Listes!$V$3:$W$5,2,FALSE),0)+IFERROR(VLOOKUP(AO754,Listes!$Y$3:$Z$5,2,FALSE),0))</f>
        <v/>
      </c>
      <c r="R754" s="12" t="n"/>
      <c r="S754" s="12" t="n"/>
      <c r="T754" s="12" t="n"/>
      <c r="U754" s="15" t="n"/>
      <c r="V754" s="15" t="n"/>
      <c r="W754" s="13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3" t="n"/>
      <c r="AK754" s="12" t="n"/>
      <c r="AL754" s="12" t="n"/>
      <c r="AM754" s="12" t="n"/>
      <c r="AN754" s="12" t="n"/>
      <c r="AO754" s="12" t="n"/>
      <c r="AP754" s="12" t="n"/>
      <c r="AQ754" s="7">
        <f>IF(A754="","",IF(AP754&lt;&gt;"",AP754,IF(LEFT(Z754,11)="gads_marque","Google Search – Marque",IF(LEFT(Z754,12)="gads_mariage","Google Search – Mariage et privé",IF(LEFT(Z754,10)="gads_corpo","Google Search – Corporatif",IF(LEFT(Z754,5)="meta_","Meta – Leads",IF(LEFT(Z754,5)="msft_","Microsoft Ads",IF(LEFT(Z754,8)="chatgpt_","ChatGPT Ads – Test",IF(X754="gbp","Fiche Google (organique)","Autre / non payé")))))))))</f>
        <v/>
      </c>
      <c r="AR754" s="7">
        <f>IF(K754="","",IFERROR(VLOOKUP(K754,Listes!$F$3:$H$8,3,FALSE),""))</f>
        <v/>
      </c>
      <c r="AS754" s="7">
        <f>IF(O754="","",IF(AND(M754="Autre (plus de 40 km)",OR(O754="lt600",O754="600_999",O754="1000_2499")),"D",IF(OR(O754="lt600",AND(O754="600_999",K754&lt;&gt;"mariage",K754&lt;&gt;"prive")),"C",IF(OR(O754="2500_4999",O754="5000p",J754="entreprise",J754="organisme",J754="agence"),"A",IF(OR(O754="1000_2499",O754="600_999"),"B",IF(O754="inconnu",IF(OR(N754="75_149",N754="150p"),"A","B"),""))))))</f>
        <v/>
      </c>
      <c r="AT754" s="7">
        <f>IF(A754="","",IF(P754&lt;&gt;"",P754,AS754))</f>
        <v/>
      </c>
      <c r="AU754" s="7">
        <f>IF(A754="","",IF(OR(AT754="A",AT754="B"),1,0))</f>
        <v/>
      </c>
      <c r="AV754" s="7">
        <f>IF(A754="","",IF(OR(R754="Dépôt payé (gagné)",R754="Événement livré",R754="Avis obtenu"),1,0))</f>
        <v/>
      </c>
      <c r="AW754" s="7">
        <f>IF(A754="","",IF(Q754&gt;70,"Immédiat – propriétaire",IF(Q754&gt;=40,"15 min – personne de garde","Selon la route")))</f>
        <v/>
      </c>
      <c r="AX754" s="11">
        <f>IF(A754="","",IF(AT754="A",400,IF(AT754="B",150,0)))</f>
        <v/>
      </c>
      <c r="AY754" s="11">
        <f>IF(A754="","",IF(AV754=1,N(V754),IF(N(U754)&gt;0,ROUND(N(U754)*IFERROR(VLOOKUP(R754,Listes!$AE$3:$AG$12,2,FALSE),0),0),0)))</f>
        <v/>
      </c>
      <c r="AZ754" s="7">
        <f>IF(LEFT(A754,7)="EXEMPLE",1,0)</f>
        <v/>
      </c>
      <c r="BA754" s="7">
        <f>IF(AND(AV754=1,AZ754=0,AC754&lt;&gt;"",W754&lt;&gt;"",N(V754)&gt;0),COUNTIFS($AV$3:AV754,1,$AZ$3:AZ754,0,$AC$3:AC754,"&lt;&gt;",$W$3:W754,"&lt;&gt;",$V$3:V754,"&gt;0"),"")</f>
        <v/>
      </c>
    </row>
    <row r="755">
      <c r="A755" s="12" t="n"/>
      <c r="B755" s="13" t="n"/>
      <c r="C755" s="13" t="n"/>
      <c r="D755" s="7">
        <f>IF(OR(B755="",C755=""),"",ROUND((C755-B755)*1440,0))</f>
        <v/>
      </c>
      <c r="E755" s="12" t="n"/>
      <c r="F755" s="12" t="n"/>
      <c r="G755" s="12" t="n"/>
      <c r="H755" s="12" t="n"/>
      <c r="I755" s="12" t="n"/>
      <c r="J755" s="12" t="n"/>
      <c r="K755" s="12" t="n"/>
      <c r="L755" s="14" t="n"/>
      <c r="M755" s="12" t="n"/>
      <c r="N755" s="12" t="n"/>
      <c r="O755" s="12" t="n"/>
      <c r="P755" s="12" t="n"/>
      <c r="Q755" s="7">
        <f>IF(A755="","",IFERROR(VLOOKUP(O755,Listes!$R$3:$T$8,2,FALSE),0)+IFERROR(VLOOKUP(J755,Listes!$J$3:$L$6,2,FALSE),0)+IFERROR(VLOOKUP(N755,Listes!$N$3:$P$6,2,FALSE),0)+IF(OR(L755="",B755=""),0,IF(L755-INT(B755)&lt;10,8,IF(L755-INT(B755)&lt;=90,10,5)))+IFERROR(VLOOKUP(AN755,Listes!$V$3:$W$5,2,FALSE),0)+IFERROR(VLOOKUP(AO755,Listes!$Y$3:$Z$5,2,FALSE),0))</f>
        <v/>
      </c>
      <c r="R755" s="12" t="n"/>
      <c r="S755" s="12" t="n"/>
      <c r="T755" s="12" t="n"/>
      <c r="U755" s="15" t="n"/>
      <c r="V755" s="15" t="n"/>
      <c r="W755" s="13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3" t="n"/>
      <c r="AK755" s="12" t="n"/>
      <c r="AL755" s="12" t="n"/>
      <c r="AM755" s="12" t="n"/>
      <c r="AN755" s="12" t="n"/>
      <c r="AO755" s="12" t="n"/>
      <c r="AP755" s="12" t="n"/>
      <c r="AQ755" s="7">
        <f>IF(A755="","",IF(AP755&lt;&gt;"",AP755,IF(LEFT(Z755,11)="gads_marque","Google Search – Marque",IF(LEFT(Z755,12)="gads_mariage","Google Search – Mariage et privé",IF(LEFT(Z755,10)="gads_corpo","Google Search – Corporatif",IF(LEFT(Z755,5)="meta_","Meta – Leads",IF(LEFT(Z755,5)="msft_","Microsoft Ads",IF(LEFT(Z755,8)="chatgpt_","ChatGPT Ads – Test",IF(X755="gbp","Fiche Google (organique)","Autre / non payé")))))))))</f>
        <v/>
      </c>
      <c r="AR755" s="7">
        <f>IF(K755="","",IFERROR(VLOOKUP(K755,Listes!$F$3:$H$8,3,FALSE),""))</f>
        <v/>
      </c>
      <c r="AS755" s="7">
        <f>IF(O755="","",IF(AND(M755="Autre (plus de 40 km)",OR(O755="lt600",O755="600_999",O755="1000_2499")),"D",IF(OR(O755="lt600",AND(O755="600_999",K755&lt;&gt;"mariage",K755&lt;&gt;"prive")),"C",IF(OR(O755="2500_4999",O755="5000p",J755="entreprise",J755="organisme",J755="agence"),"A",IF(OR(O755="1000_2499",O755="600_999"),"B",IF(O755="inconnu",IF(OR(N755="75_149",N755="150p"),"A","B"),""))))))</f>
        <v/>
      </c>
      <c r="AT755" s="7">
        <f>IF(A755="","",IF(P755&lt;&gt;"",P755,AS755))</f>
        <v/>
      </c>
      <c r="AU755" s="7">
        <f>IF(A755="","",IF(OR(AT755="A",AT755="B"),1,0))</f>
        <v/>
      </c>
      <c r="AV755" s="7">
        <f>IF(A755="","",IF(OR(R755="Dépôt payé (gagné)",R755="Événement livré",R755="Avis obtenu"),1,0))</f>
        <v/>
      </c>
      <c r="AW755" s="7">
        <f>IF(A755="","",IF(Q755&gt;70,"Immédiat – propriétaire",IF(Q755&gt;=40,"15 min – personne de garde","Selon la route")))</f>
        <v/>
      </c>
      <c r="AX755" s="11">
        <f>IF(A755="","",IF(AT755="A",400,IF(AT755="B",150,0)))</f>
        <v/>
      </c>
      <c r="AY755" s="11">
        <f>IF(A755="","",IF(AV755=1,N(V755),IF(N(U755)&gt;0,ROUND(N(U755)*IFERROR(VLOOKUP(R755,Listes!$AE$3:$AG$12,2,FALSE),0),0),0)))</f>
        <v/>
      </c>
      <c r="AZ755" s="7">
        <f>IF(LEFT(A755,7)="EXEMPLE",1,0)</f>
        <v/>
      </c>
      <c r="BA755" s="7">
        <f>IF(AND(AV755=1,AZ755=0,AC755&lt;&gt;"",W755&lt;&gt;"",N(V755)&gt;0),COUNTIFS($AV$3:AV755,1,$AZ$3:AZ755,0,$AC$3:AC755,"&lt;&gt;",$W$3:W755,"&lt;&gt;",$V$3:V755,"&gt;0"),"")</f>
        <v/>
      </c>
    </row>
    <row r="756">
      <c r="A756" s="12" t="n"/>
      <c r="B756" s="13" t="n"/>
      <c r="C756" s="13" t="n"/>
      <c r="D756" s="7">
        <f>IF(OR(B756="",C756=""),"",ROUND((C756-B756)*1440,0))</f>
        <v/>
      </c>
      <c r="E756" s="12" t="n"/>
      <c r="F756" s="12" t="n"/>
      <c r="G756" s="12" t="n"/>
      <c r="H756" s="12" t="n"/>
      <c r="I756" s="12" t="n"/>
      <c r="J756" s="12" t="n"/>
      <c r="K756" s="12" t="n"/>
      <c r="L756" s="14" t="n"/>
      <c r="M756" s="12" t="n"/>
      <c r="N756" s="12" t="n"/>
      <c r="O756" s="12" t="n"/>
      <c r="P756" s="12" t="n"/>
      <c r="Q756" s="7">
        <f>IF(A756="","",IFERROR(VLOOKUP(O756,Listes!$R$3:$T$8,2,FALSE),0)+IFERROR(VLOOKUP(J756,Listes!$J$3:$L$6,2,FALSE),0)+IFERROR(VLOOKUP(N756,Listes!$N$3:$P$6,2,FALSE),0)+IF(OR(L756="",B756=""),0,IF(L756-INT(B756)&lt;10,8,IF(L756-INT(B756)&lt;=90,10,5)))+IFERROR(VLOOKUP(AN756,Listes!$V$3:$W$5,2,FALSE),0)+IFERROR(VLOOKUP(AO756,Listes!$Y$3:$Z$5,2,FALSE),0))</f>
        <v/>
      </c>
      <c r="R756" s="12" t="n"/>
      <c r="S756" s="12" t="n"/>
      <c r="T756" s="12" t="n"/>
      <c r="U756" s="15" t="n"/>
      <c r="V756" s="15" t="n"/>
      <c r="W756" s="13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3" t="n"/>
      <c r="AK756" s="12" t="n"/>
      <c r="AL756" s="12" t="n"/>
      <c r="AM756" s="12" t="n"/>
      <c r="AN756" s="12" t="n"/>
      <c r="AO756" s="12" t="n"/>
      <c r="AP756" s="12" t="n"/>
      <c r="AQ756" s="7">
        <f>IF(A756="","",IF(AP756&lt;&gt;"",AP756,IF(LEFT(Z756,11)="gads_marque","Google Search – Marque",IF(LEFT(Z756,12)="gads_mariage","Google Search – Mariage et privé",IF(LEFT(Z756,10)="gads_corpo","Google Search – Corporatif",IF(LEFT(Z756,5)="meta_","Meta – Leads",IF(LEFT(Z756,5)="msft_","Microsoft Ads",IF(LEFT(Z756,8)="chatgpt_","ChatGPT Ads – Test",IF(X756="gbp","Fiche Google (organique)","Autre / non payé")))))))))</f>
        <v/>
      </c>
      <c r="AR756" s="7">
        <f>IF(K756="","",IFERROR(VLOOKUP(K756,Listes!$F$3:$H$8,3,FALSE),""))</f>
        <v/>
      </c>
      <c r="AS756" s="7">
        <f>IF(O756="","",IF(AND(M756="Autre (plus de 40 km)",OR(O756="lt600",O756="600_999",O756="1000_2499")),"D",IF(OR(O756="lt600",AND(O756="600_999",K756&lt;&gt;"mariage",K756&lt;&gt;"prive")),"C",IF(OR(O756="2500_4999",O756="5000p",J756="entreprise",J756="organisme",J756="agence"),"A",IF(OR(O756="1000_2499",O756="600_999"),"B",IF(O756="inconnu",IF(OR(N756="75_149",N756="150p"),"A","B"),""))))))</f>
        <v/>
      </c>
      <c r="AT756" s="7">
        <f>IF(A756="","",IF(P756&lt;&gt;"",P756,AS756))</f>
        <v/>
      </c>
      <c r="AU756" s="7">
        <f>IF(A756="","",IF(OR(AT756="A",AT756="B"),1,0))</f>
        <v/>
      </c>
      <c r="AV756" s="7">
        <f>IF(A756="","",IF(OR(R756="Dépôt payé (gagné)",R756="Événement livré",R756="Avis obtenu"),1,0))</f>
        <v/>
      </c>
      <c r="AW756" s="7">
        <f>IF(A756="","",IF(Q756&gt;70,"Immédiat – propriétaire",IF(Q756&gt;=40,"15 min – personne de garde","Selon la route")))</f>
        <v/>
      </c>
      <c r="AX756" s="11">
        <f>IF(A756="","",IF(AT756="A",400,IF(AT756="B",150,0)))</f>
        <v/>
      </c>
      <c r="AY756" s="11">
        <f>IF(A756="","",IF(AV756=1,N(V756),IF(N(U756)&gt;0,ROUND(N(U756)*IFERROR(VLOOKUP(R756,Listes!$AE$3:$AG$12,2,FALSE),0),0),0)))</f>
        <v/>
      </c>
      <c r="AZ756" s="7">
        <f>IF(LEFT(A756,7)="EXEMPLE",1,0)</f>
        <v/>
      </c>
      <c r="BA756" s="7">
        <f>IF(AND(AV756=1,AZ756=0,AC756&lt;&gt;"",W756&lt;&gt;"",N(V756)&gt;0),COUNTIFS($AV$3:AV756,1,$AZ$3:AZ756,0,$AC$3:AC756,"&lt;&gt;",$W$3:W756,"&lt;&gt;",$V$3:V756,"&gt;0"),"")</f>
        <v/>
      </c>
    </row>
    <row r="757">
      <c r="A757" s="12" t="n"/>
      <c r="B757" s="13" t="n"/>
      <c r="C757" s="13" t="n"/>
      <c r="D757" s="7">
        <f>IF(OR(B757="",C757=""),"",ROUND((C757-B757)*1440,0))</f>
        <v/>
      </c>
      <c r="E757" s="12" t="n"/>
      <c r="F757" s="12" t="n"/>
      <c r="G757" s="12" t="n"/>
      <c r="H757" s="12" t="n"/>
      <c r="I757" s="12" t="n"/>
      <c r="J757" s="12" t="n"/>
      <c r="K757" s="12" t="n"/>
      <c r="L757" s="14" t="n"/>
      <c r="M757" s="12" t="n"/>
      <c r="N757" s="12" t="n"/>
      <c r="O757" s="12" t="n"/>
      <c r="P757" s="12" t="n"/>
      <c r="Q757" s="7">
        <f>IF(A757="","",IFERROR(VLOOKUP(O757,Listes!$R$3:$T$8,2,FALSE),0)+IFERROR(VLOOKUP(J757,Listes!$J$3:$L$6,2,FALSE),0)+IFERROR(VLOOKUP(N757,Listes!$N$3:$P$6,2,FALSE),0)+IF(OR(L757="",B757=""),0,IF(L757-INT(B757)&lt;10,8,IF(L757-INT(B757)&lt;=90,10,5)))+IFERROR(VLOOKUP(AN757,Listes!$V$3:$W$5,2,FALSE),0)+IFERROR(VLOOKUP(AO757,Listes!$Y$3:$Z$5,2,FALSE),0))</f>
        <v/>
      </c>
      <c r="R757" s="12" t="n"/>
      <c r="S757" s="12" t="n"/>
      <c r="T757" s="12" t="n"/>
      <c r="U757" s="15" t="n"/>
      <c r="V757" s="15" t="n"/>
      <c r="W757" s="13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3" t="n"/>
      <c r="AK757" s="12" t="n"/>
      <c r="AL757" s="12" t="n"/>
      <c r="AM757" s="12" t="n"/>
      <c r="AN757" s="12" t="n"/>
      <c r="AO757" s="12" t="n"/>
      <c r="AP757" s="12" t="n"/>
      <c r="AQ757" s="7">
        <f>IF(A757="","",IF(AP757&lt;&gt;"",AP757,IF(LEFT(Z757,11)="gads_marque","Google Search – Marque",IF(LEFT(Z757,12)="gads_mariage","Google Search – Mariage et privé",IF(LEFT(Z757,10)="gads_corpo","Google Search – Corporatif",IF(LEFT(Z757,5)="meta_","Meta – Leads",IF(LEFT(Z757,5)="msft_","Microsoft Ads",IF(LEFT(Z757,8)="chatgpt_","ChatGPT Ads – Test",IF(X757="gbp","Fiche Google (organique)","Autre / non payé")))))))))</f>
        <v/>
      </c>
      <c r="AR757" s="7">
        <f>IF(K757="","",IFERROR(VLOOKUP(K757,Listes!$F$3:$H$8,3,FALSE),""))</f>
        <v/>
      </c>
      <c r="AS757" s="7">
        <f>IF(O757="","",IF(AND(M757="Autre (plus de 40 km)",OR(O757="lt600",O757="600_999",O757="1000_2499")),"D",IF(OR(O757="lt600",AND(O757="600_999",K757&lt;&gt;"mariage",K757&lt;&gt;"prive")),"C",IF(OR(O757="2500_4999",O757="5000p",J757="entreprise",J757="organisme",J757="agence"),"A",IF(OR(O757="1000_2499",O757="600_999"),"B",IF(O757="inconnu",IF(OR(N757="75_149",N757="150p"),"A","B"),""))))))</f>
        <v/>
      </c>
      <c r="AT757" s="7">
        <f>IF(A757="","",IF(P757&lt;&gt;"",P757,AS757))</f>
        <v/>
      </c>
      <c r="AU757" s="7">
        <f>IF(A757="","",IF(OR(AT757="A",AT757="B"),1,0))</f>
        <v/>
      </c>
      <c r="AV757" s="7">
        <f>IF(A757="","",IF(OR(R757="Dépôt payé (gagné)",R757="Événement livré",R757="Avis obtenu"),1,0))</f>
        <v/>
      </c>
      <c r="AW757" s="7">
        <f>IF(A757="","",IF(Q757&gt;70,"Immédiat – propriétaire",IF(Q757&gt;=40,"15 min – personne de garde","Selon la route")))</f>
        <v/>
      </c>
      <c r="AX757" s="11">
        <f>IF(A757="","",IF(AT757="A",400,IF(AT757="B",150,0)))</f>
        <v/>
      </c>
      <c r="AY757" s="11">
        <f>IF(A757="","",IF(AV757=1,N(V757),IF(N(U757)&gt;0,ROUND(N(U757)*IFERROR(VLOOKUP(R757,Listes!$AE$3:$AG$12,2,FALSE),0),0),0)))</f>
        <v/>
      </c>
      <c r="AZ757" s="7">
        <f>IF(LEFT(A757,7)="EXEMPLE",1,0)</f>
        <v/>
      </c>
      <c r="BA757" s="7">
        <f>IF(AND(AV757=1,AZ757=0,AC757&lt;&gt;"",W757&lt;&gt;"",N(V757)&gt;0),COUNTIFS($AV$3:AV757,1,$AZ$3:AZ757,0,$AC$3:AC757,"&lt;&gt;",$W$3:W757,"&lt;&gt;",$V$3:V757,"&gt;0"),"")</f>
        <v/>
      </c>
    </row>
    <row r="758">
      <c r="A758" s="12" t="n"/>
      <c r="B758" s="13" t="n"/>
      <c r="C758" s="13" t="n"/>
      <c r="D758" s="7">
        <f>IF(OR(B758="",C758=""),"",ROUND((C758-B758)*1440,0))</f>
        <v/>
      </c>
      <c r="E758" s="12" t="n"/>
      <c r="F758" s="12" t="n"/>
      <c r="G758" s="12" t="n"/>
      <c r="H758" s="12" t="n"/>
      <c r="I758" s="12" t="n"/>
      <c r="J758" s="12" t="n"/>
      <c r="K758" s="12" t="n"/>
      <c r="L758" s="14" t="n"/>
      <c r="M758" s="12" t="n"/>
      <c r="N758" s="12" t="n"/>
      <c r="O758" s="12" t="n"/>
      <c r="P758" s="12" t="n"/>
      <c r="Q758" s="7">
        <f>IF(A758="","",IFERROR(VLOOKUP(O758,Listes!$R$3:$T$8,2,FALSE),0)+IFERROR(VLOOKUP(J758,Listes!$J$3:$L$6,2,FALSE),0)+IFERROR(VLOOKUP(N758,Listes!$N$3:$P$6,2,FALSE),0)+IF(OR(L758="",B758=""),0,IF(L758-INT(B758)&lt;10,8,IF(L758-INT(B758)&lt;=90,10,5)))+IFERROR(VLOOKUP(AN758,Listes!$V$3:$W$5,2,FALSE),0)+IFERROR(VLOOKUP(AO758,Listes!$Y$3:$Z$5,2,FALSE),0))</f>
        <v/>
      </c>
      <c r="R758" s="12" t="n"/>
      <c r="S758" s="12" t="n"/>
      <c r="T758" s="12" t="n"/>
      <c r="U758" s="15" t="n"/>
      <c r="V758" s="15" t="n"/>
      <c r="W758" s="13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3" t="n"/>
      <c r="AK758" s="12" t="n"/>
      <c r="AL758" s="12" t="n"/>
      <c r="AM758" s="12" t="n"/>
      <c r="AN758" s="12" t="n"/>
      <c r="AO758" s="12" t="n"/>
      <c r="AP758" s="12" t="n"/>
      <c r="AQ758" s="7">
        <f>IF(A758="","",IF(AP758&lt;&gt;"",AP758,IF(LEFT(Z758,11)="gads_marque","Google Search – Marque",IF(LEFT(Z758,12)="gads_mariage","Google Search – Mariage et privé",IF(LEFT(Z758,10)="gads_corpo","Google Search – Corporatif",IF(LEFT(Z758,5)="meta_","Meta – Leads",IF(LEFT(Z758,5)="msft_","Microsoft Ads",IF(LEFT(Z758,8)="chatgpt_","ChatGPT Ads – Test",IF(X758="gbp","Fiche Google (organique)","Autre / non payé")))))))))</f>
        <v/>
      </c>
      <c r="AR758" s="7">
        <f>IF(K758="","",IFERROR(VLOOKUP(K758,Listes!$F$3:$H$8,3,FALSE),""))</f>
        <v/>
      </c>
      <c r="AS758" s="7">
        <f>IF(O758="","",IF(AND(M758="Autre (plus de 40 km)",OR(O758="lt600",O758="600_999",O758="1000_2499")),"D",IF(OR(O758="lt600",AND(O758="600_999",K758&lt;&gt;"mariage",K758&lt;&gt;"prive")),"C",IF(OR(O758="2500_4999",O758="5000p",J758="entreprise",J758="organisme",J758="agence"),"A",IF(OR(O758="1000_2499",O758="600_999"),"B",IF(O758="inconnu",IF(OR(N758="75_149",N758="150p"),"A","B"),""))))))</f>
        <v/>
      </c>
      <c r="AT758" s="7">
        <f>IF(A758="","",IF(P758&lt;&gt;"",P758,AS758))</f>
        <v/>
      </c>
      <c r="AU758" s="7">
        <f>IF(A758="","",IF(OR(AT758="A",AT758="B"),1,0))</f>
        <v/>
      </c>
      <c r="AV758" s="7">
        <f>IF(A758="","",IF(OR(R758="Dépôt payé (gagné)",R758="Événement livré",R758="Avis obtenu"),1,0))</f>
        <v/>
      </c>
      <c r="AW758" s="7">
        <f>IF(A758="","",IF(Q758&gt;70,"Immédiat – propriétaire",IF(Q758&gt;=40,"15 min – personne de garde","Selon la route")))</f>
        <v/>
      </c>
      <c r="AX758" s="11">
        <f>IF(A758="","",IF(AT758="A",400,IF(AT758="B",150,0)))</f>
        <v/>
      </c>
      <c r="AY758" s="11">
        <f>IF(A758="","",IF(AV758=1,N(V758),IF(N(U758)&gt;0,ROUND(N(U758)*IFERROR(VLOOKUP(R758,Listes!$AE$3:$AG$12,2,FALSE),0),0),0)))</f>
        <v/>
      </c>
      <c r="AZ758" s="7">
        <f>IF(LEFT(A758,7)="EXEMPLE",1,0)</f>
        <v/>
      </c>
      <c r="BA758" s="7">
        <f>IF(AND(AV758=1,AZ758=0,AC758&lt;&gt;"",W758&lt;&gt;"",N(V758)&gt;0),COUNTIFS($AV$3:AV758,1,$AZ$3:AZ758,0,$AC$3:AC758,"&lt;&gt;",$W$3:W758,"&lt;&gt;",$V$3:V758,"&gt;0"),"")</f>
        <v/>
      </c>
    </row>
    <row r="759">
      <c r="A759" s="12" t="n"/>
      <c r="B759" s="13" t="n"/>
      <c r="C759" s="13" t="n"/>
      <c r="D759" s="7">
        <f>IF(OR(B759="",C759=""),"",ROUND((C759-B759)*1440,0))</f>
        <v/>
      </c>
      <c r="E759" s="12" t="n"/>
      <c r="F759" s="12" t="n"/>
      <c r="G759" s="12" t="n"/>
      <c r="H759" s="12" t="n"/>
      <c r="I759" s="12" t="n"/>
      <c r="J759" s="12" t="n"/>
      <c r="K759" s="12" t="n"/>
      <c r="L759" s="14" t="n"/>
      <c r="M759" s="12" t="n"/>
      <c r="N759" s="12" t="n"/>
      <c r="O759" s="12" t="n"/>
      <c r="P759" s="12" t="n"/>
      <c r="Q759" s="7">
        <f>IF(A759="","",IFERROR(VLOOKUP(O759,Listes!$R$3:$T$8,2,FALSE),0)+IFERROR(VLOOKUP(J759,Listes!$J$3:$L$6,2,FALSE),0)+IFERROR(VLOOKUP(N759,Listes!$N$3:$P$6,2,FALSE),0)+IF(OR(L759="",B759=""),0,IF(L759-INT(B759)&lt;10,8,IF(L759-INT(B759)&lt;=90,10,5)))+IFERROR(VLOOKUP(AN759,Listes!$V$3:$W$5,2,FALSE),0)+IFERROR(VLOOKUP(AO759,Listes!$Y$3:$Z$5,2,FALSE),0))</f>
        <v/>
      </c>
      <c r="R759" s="12" t="n"/>
      <c r="S759" s="12" t="n"/>
      <c r="T759" s="12" t="n"/>
      <c r="U759" s="15" t="n"/>
      <c r="V759" s="15" t="n"/>
      <c r="W759" s="13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3" t="n"/>
      <c r="AK759" s="12" t="n"/>
      <c r="AL759" s="12" t="n"/>
      <c r="AM759" s="12" t="n"/>
      <c r="AN759" s="12" t="n"/>
      <c r="AO759" s="12" t="n"/>
      <c r="AP759" s="12" t="n"/>
      <c r="AQ759" s="7">
        <f>IF(A759="","",IF(AP759&lt;&gt;"",AP759,IF(LEFT(Z759,11)="gads_marque","Google Search – Marque",IF(LEFT(Z759,12)="gads_mariage","Google Search – Mariage et privé",IF(LEFT(Z759,10)="gads_corpo","Google Search – Corporatif",IF(LEFT(Z759,5)="meta_","Meta – Leads",IF(LEFT(Z759,5)="msft_","Microsoft Ads",IF(LEFT(Z759,8)="chatgpt_","ChatGPT Ads – Test",IF(X759="gbp","Fiche Google (organique)","Autre / non payé")))))))))</f>
        <v/>
      </c>
      <c r="AR759" s="7">
        <f>IF(K759="","",IFERROR(VLOOKUP(K759,Listes!$F$3:$H$8,3,FALSE),""))</f>
        <v/>
      </c>
      <c r="AS759" s="7">
        <f>IF(O759="","",IF(AND(M759="Autre (plus de 40 km)",OR(O759="lt600",O759="600_999",O759="1000_2499")),"D",IF(OR(O759="lt600",AND(O759="600_999",K759&lt;&gt;"mariage",K759&lt;&gt;"prive")),"C",IF(OR(O759="2500_4999",O759="5000p",J759="entreprise",J759="organisme",J759="agence"),"A",IF(OR(O759="1000_2499",O759="600_999"),"B",IF(O759="inconnu",IF(OR(N759="75_149",N759="150p"),"A","B"),""))))))</f>
        <v/>
      </c>
      <c r="AT759" s="7">
        <f>IF(A759="","",IF(P759&lt;&gt;"",P759,AS759))</f>
        <v/>
      </c>
      <c r="AU759" s="7">
        <f>IF(A759="","",IF(OR(AT759="A",AT759="B"),1,0))</f>
        <v/>
      </c>
      <c r="AV759" s="7">
        <f>IF(A759="","",IF(OR(R759="Dépôt payé (gagné)",R759="Événement livré",R759="Avis obtenu"),1,0))</f>
        <v/>
      </c>
      <c r="AW759" s="7">
        <f>IF(A759="","",IF(Q759&gt;70,"Immédiat – propriétaire",IF(Q759&gt;=40,"15 min – personne de garde","Selon la route")))</f>
        <v/>
      </c>
      <c r="AX759" s="11">
        <f>IF(A759="","",IF(AT759="A",400,IF(AT759="B",150,0)))</f>
        <v/>
      </c>
      <c r="AY759" s="11">
        <f>IF(A759="","",IF(AV759=1,N(V759),IF(N(U759)&gt;0,ROUND(N(U759)*IFERROR(VLOOKUP(R759,Listes!$AE$3:$AG$12,2,FALSE),0),0),0)))</f>
        <v/>
      </c>
      <c r="AZ759" s="7">
        <f>IF(LEFT(A759,7)="EXEMPLE",1,0)</f>
        <v/>
      </c>
      <c r="BA759" s="7">
        <f>IF(AND(AV759=1,AZ759=0,AC759&lt;&gt;"",W759&lt;&gt;"",N(V759)&gt;0),COUNTIFS($AV$3:AV759,1,$AZ$3:AZ759,0,$AC$3:AC759,"&lt;&gt;",$W$3:W759,"&lt;&gt;",$V$3:V759,"&gt;0"),"")</f>
        <v/>
      </c>
    </row>
    <row r="760">
      <c r="A760" s="12" t="n"/>
      <c r="B760" s="13" t="n"/>
      <c r="C760" s="13" t="n"/>
      <c r="D760" s="7">
        <f>IF(OR(B760="",C760=""),"",ROUND((C760-B760)*1440,0))</f>
        <v/>
      </c>
      <c r="E760" s="12" t="n"/>
      <c r="F760" s="12" t="n"/>
      <c r="G760" s="12" t="n"/>
      <c r="H760" s="12" t="n"/>
      <c r="I760" s="12" t="n"/>
      <c r="J760" s="12" t="n"/>
      <c r="K760" s="12" t="n"/>
      <c r="L760" s="14" t="n"/>
      <c r="M760" s="12" t="n"/>
      <c r="N760" s="12" t="n"/>
      <c r="O760" s="12" t="n"/>
      <c r="P760" s="12" t="n"/>
      <c r="Q760" s="7">
        <f>IF(A760="","",IFERROR(VLOOKUP(O760,Listes!$R$3:$T$8,2,FALSE),0)+IFERROR(VLOOKUP(J760,Listes!$J$3:$L$6,2,FALSE),0)+IFERROR(VLOOKUP(N760,Listes!$N$3:$P$6,2,FALSE),0)+IF(OR(L760="",B760=""),0,IF(L760-INT(B760)&lt;10,8,IF(L760-INT(B760)&lt;=90,10,5)))+IFERROR(VLOOKUP(AN760,Listes!$V$3:$W$5,2,FALSE),0)+IFERROR(VLOOKUP(AO760,Listes!$Y$3:$Z$5,2,FALSE),0))</f>
        <v/>
      </c>
      <c r="R760" s="12" t="n"/>
      <c r="S760" s="12" t="n"/>
      <c r="T760" s="12" t="n"/>
      <c r="U760" s="15" t="n"/>
      <c r="V760" s="15" t="n"/>
      <c r="W760" s="13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3" t="n"/>
      <c r="AK760" s="12" t="n"/>
      <c r="AL760" s="12" t="n"/>
      <c r="AM760" s="12" t="n"/>
      <c r="AN760" s="12" t="n"/>
      <c r="AO760" s="12" t="n"/>
      <c r="AP760" s="12" t="n"/>
      <c r="AQ760" s="7">
        <f>IF(A760="","",IF(AP760&lt;&gt;"",AP760,IF(LEFT(Z760,11)="gads_marque","Google Search – Marque",IF(LEFT(Z760,12)="gads_mariage","Google Search – Mariage et privé",IF(LEFT(Z760,10)="gads_corpo","Google Search – Corporatif",IF(LEFT(Z760,5)="meta_","Meta – Leads",IF(LEFT(Z760,5)="msft_","Microsoft Ads",IF(LEFT(Z760,8)="chatgpt_","ChatGPT Ads – Test",IF(X760="gbp","Fiche Google (organique)","Autre / non payé")))))))))</f>
        <v/>
      </c>
      <c r="AR760" s="7">
        <f>IF(K760="","",IFERROR(VLOOKUP(K760,Listes!$F$3:$H$8,3,FALSE),""))</f>
        <v/>
      </c>
      <c r="AS760" s="7">
        <f>IF(O760="","",IF(AND(M760="Autre (plus de 40 km)",OR(O760="lt600",O760="600_999",O760="1000_2499")),"D",IF(OR(O760="lt600",AND(O760="600_999",K760&lt;&gt;"mariage",K760&lt;&gt;"prive")),"C",IF(OR(O760="2500_4999",O760="5000p",J760="entreprise",J760="organisme",J760="agence"),"A",IF(OR(O760="1000_2499",O760="600_999"),"B",IF(O760="inconnu",IF(OR(N760="75_149",N760="150p"),"A","B"),""))))))</f>
        <v/>
      </c>
      <c r="AT760" s="7">
        <f>IF(A760="","",IF(P760&lt;&gt;"",P760,AS760))</f>
        <v/>
      </c>
      <c r="AU760" s="7">
        <f>IF(A760="","",IF(OR(AT760="A",AT760="B"),1,0))</f>
        <v/>
      </c>
      <c r="AV760" s="7">
        <f>IF(A760="","",IF(OR(R760="Dépôt payé (gagné)",R760="Événement livré",R760="Avis obtenu"),1,0))</f>
        <v/>
      </c>
      <c r="AW760" s="7">
        <f>IF(A760="","",IF(Q760&gt;70,"Immédiat – propriétaire",IF(Q760&gt;=40,"15 min – personne de garde","Selon la route")))</f>
        <v/>
      </c>
      <c r="AX760" s="11">
        <f>IF(A760="","",IF(AT760="A",400,IF(AT760="B",150,0)))</f>
        <v/>
      </c>
      <c r="AY760" s="11">
        <f>IF(A760="","",IF(AV760=1,N(V760),IF(N(U760)&gt;0,ROUND(N(U760)*IFERROR(VLOOKUP(R760,Listes!$AE$3:$AG$12,2,FALSE),0),0),0)))</f>
        <v/>
      </c>
      <c r="AZ760" s="7">
        <f>IF(LEFT(A760,7)="EXEMPLE",1,0)</f>
        <v/>
      </c>
      <c r="BA760" s="7">
        <f>IF(AND(AV760=1,AZ760=0,AC760&lt;&gt;"",W760&lt;&gt;"",N(V760)&gt;0),COUNTIFS($AV$3:AV760,1,$AZ$3:AZ760,0,$AC$3:AC760,"&lt;&gt;",$W$3:W760,"&lt;&gt;",$V$3:V760,"&gt;0"),"")</f>
        <v/>
      </c>
    </row>
    <row r="761">
      <c r="A761" s="12" t="n"/>
      <c r="B761" s="13" t="n"/>
      <c r="C761" s="13" t="n"/>
      <c r="D761" s="7">
        <f>IF(OR(B761="",C761=""),"",ROUND((C761-B761)*1440,0))</f>
        <v/>
      </c>
      <c r="E761" s="12" t="n"/>
      <c r="F761" s="12" t="n"/>
      <c r="G761" s="12" t="n"/>
      <c r="H761" s="12" t="n"/>
      <c r="I761" s="12" t="n"/>
      <c r="J761" s="12" t="n"/>
      <c r="K761" s="12" t="n"/>
      <c r="L761" s="14" t="n"/>
      <c r="M761" s="12" t="n"/>
      <c r="N761" s="12" t="n"/>
      <c r="O761" s="12" t="n"/>
      <c r="P761" s="12" t="n"/>
      <c r="Q761" s="7">
        <f>IF(A761="","",IFERROR(VLOOKUP(O761,Listes!$R$3:$T$8,2,FALSE),0)+IFERROR(VLOOKUP(J761,Listes!$J$3:$L$6,2,FALSE),0)+IFERROR(VLOOKUP(N761,Listes!$N$3:$P$6,2,FALSE),0)+IF(OR(L761="",B761=""),0,IF(L761-INT(B761)&lt;10,8,IF(L761-INT(B761)&lt;=90,10,5)))+IFERROR(VLOOKUP(AN761,Listes!$V$3:$W$5,2,FALSE),0)+IFERROR(VLOOKUP(AO761,Listes!$Y$3:$Z$5,2,FALSE),0))</f>
        <v/>
      </c>
      <c r="R761" s="12" t="n"/>
      <c r="S761" s="12" t="n"/>
      <c r="T761" s="12" t="n"/>
      <c r="U761" s="15" t="n"/>
      <c r="V761" s="15" t="n"/>
      <c r="W761" s="13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3" t="n"/>
      <c r="AK761" s="12" t="n"/>
      <c r="AL761" s="12" t="n"/>
      <c r="AM761" s="12" t="n"/>
      <c r="AN761" s="12" t="n"/>
      <c r="AO761" s="12" t="n"/>
      <c r="AP761" s="12" t="n"/>
      <c r="AQ761" s="7">
        <f>IF(A761="","",IF(AP761&lt;&gt;"",AP761,IF(LEFT(Z761,11)="gads_marque","Google Search – Marque",IF(LEFT(Z761,12)="gads_mariage","Google Search – Mariage et privé",IF(LEFT(Z761,10)="gads_corpo","Google Search – Corporatif",IF(LEFT(Z761,5)="meta_","Meta – Leads",IF(LEFT(Z761,5)="msft_","Microsoft Ads",IF(LEFT(Z761,8)="chatgpt_","ChatGPT Ads – Test",IF(X761="gbp","Fiche Google (organique)","Autre / non payé")))))))))</f>
        <v/>
      </c>
      <c r="AR761" s="7">
        <f>IF(K761="","",IFERROR(VLOOKUP(K761,Listes!$F$3:$H$8,3,FALSE),""))</f>
        <v/>
      </c>
      <c r="AS761" s="7">
        <f>IF(O761="","",IF(AND(M761="Autre (plus de 40 km)",OR(O761="lt600",O761="600_999",O761="1000_2499")),"D",IF(OR(O761="lt600",AND(O761="600_999",K761&lt;&gt;"mariage",K761&lt;&gt;"prive")),"C",IF(OR(O761="2500_4999",O761="5000p",J761="entreprise",J761="organisme",J761="agence"),"A",IF(OR(O761="1000_2499",O761="600_999"),"B",IF(O761="inconnu",IF(OR(N761="75_149",N761="150p"),"A","B"),""))))))</f>
        <v/>
      </c>
      <c r="AT761" s="7">
        <f>IF(A761="","",IF(P761&lt;&gt;"",P761,AS761))</f>
        <v/>
      </c>
      <c r="AU761" s="7">
        <f>IF(A761="","",IF(OR(AT761="A",AT761="B"),1,0))</f>
        <v/>
      </c>
      <c r="AV761" s="7">
        <f>IF(A761="","",IF(OR(R761="Dépôt payé (gagné)",R761="Événement livré",R761="Avis obtenu"),1,0))</f>
        <v/>
      </c>
      <c r="AW761" s="7">
        <f>IF(A761="","",IF(Q761&gt;70,"Immédiat – propriétaire",IF(Q761&gt;=40,"15 min – personne de garde","Selon la route")))</f>
        <v/>
      </c>
      <c r="AX761" s="11">
        <f>IF(A761="","",IF(AT761="A",400,IF(AT761="B",150,0)))</f>
        <v/>
      </c>
      <c r="AY761" s="11">
        <f>IF(A761="","",IF(AV761=1,N(V761),IF(N(U761)&gt;0,ROUND(N(U761)*IFERROR(VLOOKUP(R761,Listes!$AE$3:$AG$12,2,FALSE),0),0),0)))</f>
        <v/>
      </c>
      <c r="AZ761" s="7">
        <f>IF(LEFT(A761,7)="EXEMPLE",1,0)</f>
        <v/>
      </c>
      <c r="BA761" s="7">
        <f>IF(AND(AV761=1,AZ761=0,AC761&lt;&gt;"",W761&lt;&gt;"",N(V761)&gt;0),COUNTIFS($AV$3:AV761,1,$AZ$3:AZ761,0,$AC$3:AC761,"&lt;&gt;",$W$3:W761,"&lt;&gt;",$V$3:V761,"&gt;0"),"")</f>
        <v/>
      </c>
    </row>
    <row r="762">
      <c r="A762" s="12" t="n"/>
      <c r="B762" s="13" t="n"/>
      <c r="C762" s="13" t="n"/>
      <c r="D762" s="7">
        <f>IF(OR(B762="",C762=""),"",ROUND((C762-B762)*1440,0))</f>
        <v/>
      </c>
      <c r="E762" s="12" t="n"/>
      <c r="F762" s="12" t="n"/>
      <c r="G762" s="12" t="n"/>
      <c r="H762" s="12" t="n"/>
      <c r="I762" s="12" t="n"/>
      <c r="J762" s="12" t="n"/>
      <c r="K762" s="12" t="n"/>
      <c r="L762" s="14" t="n"/>
      <c r="M762" s="12" t="n"/>
      <c r="N762" s="12" t="n"/>
      <c r="O762" s="12" t="n"/>
      <c r="P762" s="12" t="n"/>
      <c r="Q762" s="7">
        <f>IF(A762="","",IFERROR(VLOOKUP(O762,Listes!$R$3:$T$8,2,FALSE),0)+IFERROR(VLOOKUP(J762,Listes!$J$3:$L$6,2,FALSE),0)+IFERROR(VLOOKUP(N762,Listes!$N$3:$P$6,2,FALSE),0)+IF(OR(L762="",B762=""),0,IF(L762-INT(B762)&lt;10,8,IF(L762-INT(B762)&lt;=90,10,5)))+IFERROR(VLOOKUP(AN762,Listes!$V$3:$W$5,2,FALSE),0)+IFERROR(VLOOKUP(AO762,Listes!$Y$3:$Z$5,2,FALSE),0))</f>
        <v/>
      </c>
      <c r="R762" s="12" t="n"/>
      <c r="S762" s="12" t="n"/>
      <c r="T762" s="12" t="n"/>
      <c r="U762" s="15" t="n"/>
      <c r="V762" s="15" t="n"/>
      <c r="W762" s="13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3" t="n"/>
      <c r="AK762" s="12" t="n"/>
      <c r="AL762" s="12" t="n"/>
      <c r="AM762" s="12" t="n"/>
      <c r="AN762" s="12" t="n"/>
      <c r="AO762" s="12" t="n"/>
      <c r="AP762" s="12" t="n"/>
      <c r="AQ762" s="7">
        <f>IF(A762="","",IF(AP762&lt;&gt;"",AP762,IF(LEFT(Z762,11)="gads_marque","Google Search – Marque",IF(LEFT(Z762,12)="gads_mariage","Google Search – Mariage et privé",IF(LEFT(Z762,10)="gads_corpo","Google Search – Corporatif",IF(LEFT(Z762,5)="meta_","Meta – Leads",IF(LEFT(Z762,5)="msft_","Microsoft Ads",IF(LEFT(Z762,8)="chatgpt_","ChatGPT Ads – Test",IF(X762="gbp","Fiche Google (organique)","Autre / non payé")))))))))</f>
        <v/>
      </c>
      <c r="AR762" s="7">
        <f>IF(K762="","",IFERROR(VLOOKUP(K762,Listes!$F$3:$H$8,3,FALSE),""))</f>
        <v/>
      </c>
      <c r="AS762" s="7">
        <f>IF(O762="","",IF(AND(M762="Autre (plus de 40 km)",OR(O762="lt600",O762="600_999",O762="1000_2499")),"D",IF(OR(O762="lt600",AND(O762="600_999",K762&lt;&gt;"mariage",K762&lt;&gt;"prive")),"C",IF(OR(O762="2500_4999",O762="5000p",J762="entreprise",J762="organisme",J762="agence"),"A",IF(OR(O762="1000_2499",O762="600_999"),"B",IF(O762="inconnu",IF(OR(N762="75_149",N762="150p"),"A","B"),""))))))</f>
        <v/>
      </c>
      <c r="AT762" s="7">
        <f>IF(A762="","",IF(P762&lt;&gt;"",P762,AS762))</f>
        <v/>
      </c>
      <c r="AU762" s="7">
        <f>IF(A762="","",IF(OR(AT762="A",AT762="B"),1,0))</f>
        <v/>
      </c>
      <c r="AV762" s="7">
        <f>IF(A762="","",IF(OR(R762="Dépôt payé (gagné)",R762="Événement livré",R762="Avis obtenu"),1,0))</f>
        <v/>
      </c>
      <c r="AW762" s="7">
        <f>IF(A762="","",IF(Q762&gt;70,"Immédiat – propriétaire",IF(Q762&gt;=40,"15 min – personne de garde","Selon la route")))</f>
        <v/>
      </c>
      <c r="AX762" s="11">
        <f>IF(A762="","",IF(AT762="A",400,IF(AT762="B",150,0)))</f>
        <v/>
      </c>
      <c r="AY762" s="11">
        <f>IF(A762="","",IF(AV762=1,N(V762),IF(N(U762)&gt;0,ROUND(N(U762)*IFERROR(VLOOKUP(R762,Listes!$AE$3:$AG$12,2,FALSE),0),0),0)))</f>
        <v/>
      </c>
      <c r="AZ762" s="7">
        <f>IF(LEFT(A762,7)="EXEMPLE",1,0)</f>
        <v/>
      </c>
      <c r="BA762" s="7">
        <f>IF(AND(AV762=1,AZ762=0,AC762&lt;&gt;"",W762&lt;&gt;"",N(V762)&gt;0),COUNTIFS($AV$3:AV762,1,$AZ$3:AZ762,0,$AC$3:AC762,"&lt;&gt;",$W$3:W762,"&lt;&gt;",$V$3:V762,"&gt;0"),"")</f>
        <v/>
      </c>
    </row>
    <row r="763">
      <c r="A763" s="12" t="n"/>
      <c r="B763" s="13" t="n"/>
      <c r="C763" s="13" t="n"/>
      <c r="D763" s="7">
        <f>IF(OR(B763="",C763=""),"",ROUND((C763-B763)*1440,0))</f>
        <v/>
      </c>
      <c r="E763" s="12" t="n"/>
      <c r="F763" s="12" t="n"/>
      <c r="G763" s="12" t="n"/>
      <c r="H763" s="12" t="n"/>
      <c r="I763" s="12" t="n"/>
      <c r="J763" s="12" t="n"/>
      <c r="K763" s="12" t="n"/>
      <c r="L763" s="14" t="n"/>
      <c r="M763" s="12" t="n"/>
      <c r="N763" s="12" t="n"/>
      <c r="O763" s="12" t="n"/>
      <c r="P763" s="12" t="n"/>
      <c r="Q763" s="7">
        <f>IF(A763="","",IFERROR(VLOOKUP(O763,Listes!$R$3:$T$8,2,FALSE),0)+IFERROR(VLOOKUP(J763,Listes!$J$3:$L$6,2,FALSE),0)+IFERROR(VLOOKUP(N763,Listes!$N$3:$P$6,2,FALSE),0)+IF(OR(L763="",B763=""),0,IF(L763-INT(B763)&lt;10,8,IF(L763-INT(B763)&lt;=90,10,5)))+IFERROR(VLOOKUP(AN763,Listes!$V$3:$W$5,2,FALSE),0)+IFERROR(VLOOKUP(AO763,Listes!$Y$3:$Z$5,2,FALSE),0))</f>
        <v/>
      </c>
      <c r="R763" s="12" t="n"/>
      <c r="S763" s="12" t="n"/>
      <c r="T763" s="12" t="n"/>
      <c r="U763" s="15" t="n"/>
      <c r="V763" s="15" t="n"/>
      <c r="W763" s="13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3" t="n"/>
      <c r="AK763" s="12" t="n"/>
      <c r="AL763" s="12" t="n"/>
      <c r="AM763" s="12" t="n"/>
      <c r="AN763" s="12" t="n"/>
      <c r="AO763" s="12" t="n"/>
      <c r="AP763" s="12" t="n"/>
      <c r="AQ763" s="7">
        <f>IF(A763="","",IF(AP763&lt;&gt;"",AP763,IF(LEFT(Z763,11)="gads_marque","Google Search – Marque",IF(LEFT(Z763,12)="gads_mariage","Google Search – Mariage et privé",IF(LEFT(Z763,10)="gads_corpo","Google Search – Corporatif",IF(LEFT(Z763,5)="meta_","Meta – Leads",IF(LEFT(Z763,5)="msft_","Microsoft Ads",IF(LEFT(Z763,8)="chatgpt_","ChatGPT Ads – Test",IF(X763="gbp","Fiche Google (organique)","Autre / non payé")))))))))</f>
        <v/>
      </c>
      <c r="AR763" s="7">
        <f>IF(K763="","",IFERROR(VLOOKUP(K763,Listes!$F$3:$H$8,3,FALSE),""))</f>
        <v/>
      </c>
      <c r="AS763" s="7">
        <f>IF(O763="","",IF(AND(M763="Autre (plus de 40 km)",OR(O763="lt600",O763="600_999",O763="1000_2499")),"D",IF(OR(O763="lt600",AND(O763="600_999",K763&lt;&gt;"mariage",K763&lt;&gt;"prive")),"C",IF(OR(O763="2500_4999",O763="5000p",J763="entreprise",J763="organisme",J763="agence"),"A",IF(OR(O763="1000_2499",O763="600_999"),"B",IF(O763="inconnu",IF(OR(N763="75_149",N763="150p"),"A","B"),""))))))</f>
        <v/>
      </c>
      <c r="AT763" s="7">
        <f>IF(A763="","",IF(P763&lt;&gt;"",P763,AS763))</f>
        <v/>
      </c>
      <c r="AU763" s="7">
        <f>IF(A763="","",IF(OR(AT763="A",AT763="B"),1,0))</f>
        <v/>
      </c>
      <c r="AV763" s="7">
        <f>IF(A763="","",IF(OR(R763="Dépôt payé (gagné)",R763="Événement livré",R763="Avis obtenu"),1,0))</f>
        <v/>
      </c>
      <c r="AW763" s="7">
        <f>IF(A763="","",IF(Q763&gt;70,"Immédiat – propriétaire",IF(Q763&gt;=40,"15 min – personne de garde","Selon la route")))</f>
        <v/>
      </c>
      <c r="AX763" s="11">
        <f>IF(A763="","",IF(AT763="A",400,IF(AT763="B",150,0)))</f>
        <v/>
      </c>
      <c r="AY763" s="11">
        <f>IF(A763="","",IF(AV763=1,N(V763),IF(N(U763)&gt;0,ROUND(N(U763)*IFERROR(VLOOKUP(R763,Listes!$AE$3:$AG$12,2,FALSE),0),0),0)))</f>
        <v/>
      </c>
      <c r="AZ763" s="7">
        <f>IF(LEFT(A763,7)="EXEMPLE",1,0)</f>
        <v/>
      </c>
      <c r="BA763" s="7">
        <f>IF(AND(AV763=1,AZ763=0,AC763&lt;&gt;"",W763&lt;&gt;"",N(V763)&gt;0),COUNTIFS($AV$3:AV763,1,$AZ$3:AZ763,0,$AC$3:AC763,"&lt;&gt;",$W$3:W763,"&lt;&gt;",$V$3:V763,"&gt;0"),"")</f>
        <v/>
      </c>
    </row>
    <row r="764">
      <c r="A764" s="12" t="n"/>
      <c r="B764" s="13" t="n"/>
      <c r="C764" s="13" t="n"/>
      <c r="D764" s="7">
        <f>IF(OR(B764="",C764=""),"",ROUND((C764-B764)*1440,0))</f>
        <v/>
      </c>
      <c r="E764" s="12" t="n"/>
      <c r="F764" s="12" t="n"/>
      <c r="G764" s="12" t="n"/>
      <c r="H764" s="12" t="n"/>
      <c r="I764" s="12" t="n"/>
      <c r="J764" s="12" t="n"/>
      <c r="K764" s="12" t="n"/>
      <c r="L764" s="14" t="n"/>
      <c r="M764" s="12" t="n"/>
      <c r="N764" s="12" t="n"/>
      <c r="O764" s="12" t="n"/>
      <c r="P764" s="12" t="n"/>
      <c r="Q764" s="7">
        <f>IF(A764="","",IFERROR(VLOOKUP(O764,Listes!$R$3:$T$8,2,FALSE),0)+IFERROR(VLOOKUP(J764,Listes!$J$3:$L$6,2,FALSE),0)+IFERROR(VLOOKUP(N764,Listes!$N$3:$P$6,2,FALSE),0)+IF(OR(L764="",B764=""),0,IF(L764-INT(B764)&lt;10,8,IF(L764-INT(B764)&lt;=90,10,5)))+IFERROR(VLOOKUP(AN764,Listes!$V$3:$W$5,2,FALSE),0)+IFERROR(VLOOKUP(AO764,Listes!$Y$3:$Z$5,2,FALSE),0))</f>
        <v/>
      </c>
      <c r="R764" s="12" t="n"/>
      <c r="S764" s="12" t="n"/>
      <c r="T764" s="12" t="n"/>
      <c r="U764" s="15" t="n"/>
      <c r="V764" s="15" t="n"/>
      <c r="W764" s="13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3" t="n"/>
      <c r="AK764" s="12" t="n"/>
      <c r="AL764" s="12" t="n"/>
      <c r="AM764" s="12" t="n"/>
      <c r="AN764" s="12" t="n"/>
      <c r="AO764" s="12" t="n"/>
      <c r="AP764" s="12" t="n"/>
      <c r="AQ764" s="7">
        <f>IF(A764="","",IF(AP764&lt;&gt;"",AP764,IF(LEFT(Z764,11)="gads_marque","Google Search – Marque",IF(LEFT(Z764,12)="gads_mariage","Google Search – Mariage et privé",IF(LEFT(Z764,10)="gads_corpo","Google Search – Corporatif",IF(LEFT(Z764,5)="meta_","Meta – Leads",IF(LEFT(Z764,5)="msft_","Microsoft Ads",IF(LEFT(Z764,8)="chatgpt_","ChatGPT Ads – Test",IF(X764="gbp","Fiche Google (organique)","Autre / non payé")))))))))</f>
        <v/>
      </c>
      <c r="AR764" s="7">
        <f>IF(K764="","",IFERROR(VLOOKUP(K764,Listes!$F$3:$H$8,3,FALSE),""))</f>
        <v/>
      </c>
      <c r="AS764" s="7">
        <f>IF(O764="","",IF(AND(M764="Autre (plus de 40 km)",OR(O764="lt600",O764="600_999",O764="1000_2499")),"D",IF(OR(O764="lt600",AND(O764="600_999",K764&lt;&gt;"mariage",K764&lt;&gt;"prive")),"C",IF(OR(O764="2500_4999",O764="5000p",J764="entreprise",J764="organisme",J764="agence"),"A",IF(OR(O764="1000_2499",O764="600_999"),"B",IF(O764="inconnu",IF(OR(N764="75_149",N764="150p"),"A","B"),""))))))</f>
        <v/>
      </c>
      <c r="AT764" s="7">
        <f>IF(A764="","",IF(P764&lt;&gt;"",P764,AS764))</f>
        <v/>
      </c>
      <c r="AU764" s="7">
        <f>IF(A764="","",IF(OR(AT764="A",AT764="B"),1,0))</f>
        <v/>
      </c>
      <c r="AV764" s="7">
        <f>IF(A764="","",IF(OR(R764="Dépôt payé (gagné)",R764="Événement livré",R764="Avis obtenu"),1,0))</f>
        <v/>
      </c>
      <c r="AW764" s="7">
        <f>IF(A764="","",IF(Q764&gt;70,"Immédiat – propriétaire",IF(Q764&gt;=40,"15 min – personne de garde","Selon la route")))</f>
        <v/>
      </c>
      <c r="AX764" s="11">
        <f>IF(A764="","",IF(AT764="A",400,IF(AT764="B",150,0)))</f>
        <v/>
      </c>
      <c r="AY764" s="11">
        <f>IF(A764="","",IF(AV764=1,N(V764),IF(N(U764)&gt;0,ROUND(N(U764)*IFERROR(VLOOKUP(R764,Listes!$AE$3:$AG$12,2,FALSE),0),0),0)))</f>
        <v/>
      </c>
      <c r="AZ764" s="7">
        <f>IF(LEFT(A764,7)="EXEMPLE",1,0)</f>
        <v/>
      </c>
      <c r="BA764" s="7">
        <f>IF(AND(AV764=1,AZ764=0,AC764&lt;&gt;"",W764&lt;&gt;"",N(V764)&gt;0),COUNTIFS($AV$3:AV764,1,$AZ$3:AZ764,0,$AC$3:AC764,"&lt;&gt;",$W$3:W764,"&lt;&gt;",$V$3:V764,"&gt;0"),"")</f>
        <v/>
      </c>
    </row>
    <row r="765">
      <c r="A765" s="12" t="n"/>
      <c r="B765" s="13" t="n"/>
      <c r="C765" s="13" t="n"/>
      <c r="D765" s="7">
        <f>IF(OR(B765="",C765=""),"",ROUND((C765-B765)*1440,0))</f>
        <v/>
      </c>
      <c r="E765" s="12" t="n"/>
      <c r="F765" s="12" t="n"/>
      <c r="G765" s="12" t="n"/>
      <c r="H765" s="12" t="n"/>
      <c r="I765" s="12" t="n"/>
      <c r="J765" s="12" t="n"/>
      <c r="K765" s="12" t="n"/>
      <c r="L765" s="14" t="n"/>
      <c r="M765" s="12" t="n"/>
      <c r="N765" s="12" t="n"/>
      <c r="O765" s="12" t="n"/>
      <c r="P765" s="12" t="n"/>
      <c r="Q765" s="7">
        <f>IF(A765="","",IFERROR(VLOOKUP(O765,Listes!$R$3:$T$8,2,FALSE),0)+IFERROR(VLOOKUP(J765,Listes!$J$3:$L$6,2,FALSE),0)+IFERROR(VLOOKUP(N765,Listes!$N$3:$P$6,2,FALSE),0)+IF(OR(L765="",B765=""),0,IF(L765-INT(B765)&lt;10,8,IF(L765-INT(B765)&lt;=90,10,5)))+IFERROR(VLOOKUP(AN765,Listes!$V$3:$W$5,2,FALSE),0)+IFERROR(VLOOKUP(AO765,Listes!$Y$3:$Z$5,2,FALSE),0))</f>
        <v/>
      </c>
      <c r="R765" s="12" t="n"/>
      <c r="S765" s="12" t="n"/>
      <c r="T765" s="12" t="n"/>
      <c r="U765" s="15" t="n"/>
      <c r="V765" s="15" t="n"/>
      <c r="W765" s="13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3" t="n"/>
      <c r="AK765" s="12" t="n"/>
      <c r="AL765" s="12" t="n"/>
      <c r="AM765" s="12" t="n"/>
      <c r="AN765" s="12" t="n"/>
      <c r="AO765" s="12" t="n"/>
      <c r="AP765" s="12" t="n"/>
      <c r="AQ765" s="7">
        <f>IF(A765="","",IF(AP765&lt;&gt;"",AP765,IF(LEFT(Z765,11)="gads_marque","Google Search – Marque",IF(LEFT(Z765,12)="gads_mariage","Google Search – Mariage et privé",IF(LEFT(Z765,10)="gads_corpo","Google Search – Corporatif",IF(LEFT(Z765,5)="meta_","Meta – Leads",IF(LEFT(Z765,5)="msft_","Microsoft Ads",IF(LEFT(Z765,8)="chatgpt_","ChatGPT Ads – Test",IF(X765="gbp","Fiche Google (organique)","Autre / non payé")))))))))</f>
        <v/>
      </c>
      <c r="AR765" s="7">
        <f>IF(K765="","",IFERROR(VLOOKUP(K765,Listes!$F$3:$H$8,3,FALSE),""))</f>
        <v/>
      </c>
      <c r="AS765" s="7">
        <f>IF(O765="","",IF(AND(M765="Autre (plus de 40 km)",OR(O765="lt600",O765="600_999",O765="1000_2499")),"D",IF(OR(O765="lt600",AND(O765="600_999",K765&lt;&gt;"mariage",K765&lt;&gt;"prive")),"C",IF(OR(O765="2500_4999",O765="5000p",J765="entreprise",J765="organisme",J765="agence"),"A",IF(OR(O765="1000_2499",O765="600_999"),"B",IF(O765="inconnu",IF(OR(N765="75_149",N765="150p"),"A","B"),""))))))</f>
        <v/>
      </c>
      <c r="AT765" s="7">
        <f>IF(A765="","",IF(P765&lt;&gt;"",P765,AS765))</f>
        <v/>
      </c>
      <c r="AU765" s="7">
        <f>IF(A765="","",IF(OR(AT765="A",AT765="B"),1,0))</f>
        <v/>
      </c>
      <c r="AV765" s="7">
        <f>IF(A765="","",IF(OR(R765="Dépôt payé (gagné)",R765="Événement livré",R765="Avis obtenu"),1,0))</f>
        <v/>
      </c>
      <c r="AW765" s="7">
        <f>IF(A765="","",IF(Q765&gt;70,"Immédiat – propriétaire",IF(Q765&gt;=40,"15 min – personne de garde","Selon la route")))</f>
        <v/>
      </c>
      <c r="AX765" s="11">
        <f>IF(A765="","",IF(AT765="A",400,IF(AT765="B",150,0)))</f>
        <v/>
      </c>
      <c r="AY765" s="11">
        <f>IF(A765="","",IF(AV765=1,N(V765),IF(N(U765)&gt;0,ROUND(N(U765)*IFERROR(VLOOKUP(R765,Listes!$AE$3:$AG$12,2,FALSE),0),0),0)))</f>
        <v/>
      </c>
      <c r="AZ765" s="7">
        <f>IF(LEFT(A765,7)="EXEMPLE",1,0)</f>
        <v/>
      </c>
      <c r="BA765" s="7">
        <f>IF(AND(AV765=1,AZ765=0,AC765&lt;&gt;"",W765&lt;&gt;"",N(V765)&gt;0),COUNTIFS($AV$3:AV765,1,$AZ$3:AZ765,0,$AC$3:AC765,"&lt;&gt;",$W$3:W765,"&lt;&gt;",$V$3:V765,"&gt;0"),"")</f>
        <v/>
      </c>
    </row>
    <row r="766">
      <c r="A766" s="12" t="n"/>
      <c r="B766" s="13" t="n"/>
      <c r="C766" s="13" t="n"/>
      <c r="D766" s="7">
        <f>IF(OR(B766="",C766=""),"",ROUND((C766-B766)*1440,0))</f>
        <v/>
      </c>
      <c r="E766" s="12" t="n"/>
      <c r="F766" s="12" t="n"/>
      <c r="G766" s="12" t="n"/>
      <c r="H766" s="12" t="n"/>
      <c r="I766" s="12" t="n"/>
      <c r="J766" s="12" t="n"/>
      <c r="K766" s="12" t="n"/>
      <c r="L766" s="14" t="n"/>
      <c r="M766" s="12" t="n"/>
      <c r="N766" s="12" t="n"/>
      <c r="O766" s="12" t="n"/>
      <c r="P766" s="12" t="n"/>
      <c r="Q766" s="7">
        <f>IF(A766="","",IFERROR(VLOOKUP(O766,Listes!$R$3:$T$8,2,FALSE),0)+IFERROR(VLOOKUP(J766,Listes!$J$3:$L$6,2,FALSE),0)+IFERROR(VLOOKUP(N766,Listes!$N$3:$P$6,2,FALSE),0)+IF(OR(L766="",B766=""),0,IF(L766-INT(B766)&lt;10,8,IF(L766-INT(B766)&lt;=90,10,5)))+IFERROR(VLOOKUP(AN766,Listes!$V$3:$W$5,2,FALSE),0)+IFERROR(VLOOKUP(AO766,Listes!$Y$3:$Z$5,2,FALSE),0))</f>
        <v/>
      </c>
      <c r="R766" s="12" t="n"/>
      <c r="S766" s="12" t="n"/>
      <c r="T766" s="12" t="n"/>
      <c r="U766" s="15" t="n"/>
      <c r="V766" s="15" t="n"/>
      <c r="W766" s="13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3" t="n"/>
      <c r="AK766" s="12" t="n"/>
      <c r="AL766" s="12" t="n"/>
      <c r="AM766" s="12" t="n"/>
      <c r="AN766" s="12" t="n"/>
      <c r="AO766" s="12" t="n"/>
      <c r="AP766" s="12" t="n"/>
      <c r="AQ766" s="7">
        <f>IF(A766="","",IF(AP766&lt;&gt;"",AP766,IF(LEFT(Z766,11)="gads_marque","Google Search – Marque",IF(LEFT(Z766,12)="gads_mariage","Google Search – Mariage et privé",IF(LEFT(Z766,10)="gads_corpo","Google Search – Corporatif",IF(LEFT(Z766,5)="meta_","Meta – Leads",IF(LEFT(Z766,5)="msft_","Microsoft Ads",IF(LEFT(Z766,8)="chatgpt_","ChatGPT Ads – Test",IF(X766="gbp","Fiche Google (organique)","Autre / non payé")))))))))</f>
        <v/>
      </c>
      <c r="AR766" s="7">
        <f>IF(K766="","",IFERROR(VLOOKUP(K766,Listes!$F$3:$H$8,3,FALSE),""))</f>
        <v/>
      </c>
      <c r="AS766" s="7">
        <f>IF(O766="","",IF(AND(M766="Autre (plus de 40 km)",OR(O766="lt600",O766="600_999",O766="1000_2499")),"D",IF(OR(O766="lt600",AND(O766="600_999",K766&lt;&gt;"mariage",K766&lt;&gt;"prive")),"C",IF(OR(O766="2500_4999",O766="5000p",J766="entreprise",J766="organisme",J766="agence"),"A",IF(OR(O766="1000_2499",O766="600_999"),"B",IF(O766="inconnu",IF(OR(N766="75_149",N766="150p"),"A","B"),""))))))</f>
        <v/>
      </c>
      <c r="AT766" s="7">
        <f>IF(A766="","",IF(P766&lt;&gt;"",P766,AS766))</f>
        <v/>
      </c>
      <c r="AU766" s="7">
        <f>IF(A766="","",IF(OR(AT766="A",AT766="B"),1,0))</f>
        <v/>
      </c>
      <c r="AV766" s="7">
        <f>IF(A766="","",IF(OR(R766="Dépôt payé (gagné)",R766="Événement livré",R766="Avis obtenu"),1,0))</f>
        <v/>
      </c>
      <c r="AW766" s="7">
        <f>IF(A766="","",IF(Q766&gt;70,"Immédiat – propriétaire",IF(Q766&gt;=40,"15 min – personne de garde","Selon la route")))</f>
        <v/>
      </c>
      <c r="AX766" s="11">
        <f>IF(A766="","",IF(AT766="A",400,IF(AT766="B",150,0)))</f>
        <v/>
      </c>
      <c r="AY766" s="11">
        <f>IF(A766="","",IF(AV766=1,N(V766),IF(N(U766)&gt;0,ROUND(N(U766)*IFERROR(VLOOKUP(R766,Listes!$AE$3:$AG$12,2,FALSE),0),0),0)))</f>
        <v/>
      </c>
      <c r="AZ766" s="7">
        <f>IF(LEFT(A766,7)="EXEMPLE",1,0)</f>
        <v/>
      </c>
      <c r="BA766" s="7">
        <f>IF(AND(AV766=1,AZ766=0,AC766&lt;&gt;"",W766&lt;&gt;"",N(V766)&gt;0),COUNTIFS($AV$3:AV766,1,$AZ$3:AZ766,0,$AC$3:AC766,"&lt;&gt;",$W$3:W766,"&lt;&gt;",$V$3:V766,"&gt;0"),"")</f>
        <v/>
      </c>
    </row>
    <row r="767">
      <c r="A767" s="12" t="n"/>
      <c r="B767" s="13" t="n"/>
      <c r="C767" s="13" t="n"/>
      <c r="D767" s="7">
        <f>IF(OR(B767="",C767=""),"",ROUND((C767-B767)*1440,0))</f>
        <v/>
      </c>
      <c r="E767" s="12" t="n"/>
      <c r="F767" s="12" t="n"/>
      <c r="G767" s="12" t="n"/>
      <c r="H767" s="12" t="n"/>
      <c r="I767" s="12" t="n"/>
      <c r="J767" s="12" t="n"/>
      <c r="K767" s="12" t="n"/>
      <c r="L767" s="14" t="n"/>
      <c r="M767" s="12" t="n"/>
      <c r="N767" s="12" t="n"/>
      <c r="O767" s="12" t="n"/>
      <c r="P767" s="12" t="n"/>
      <c r="Q767" s="7">
        <f>IF(A767="","",IFERROR(VLOOKUP(O767,Listes!$R$3:$T$8,2,FALSE),0)+IFERROR(VLOOKUP(J767,Listes!$J$3:$L$6,2,FALSE),0)+IFERROR(VLOOKUP(N767,Listes!$N$3:$P$6,2,FALSE),0)+IF(OR(L767="",B767=""),0,IF(L767-INT(B767)&lt;10,8,IF(L767-INT(B767)&lt;=90,10,5)))+IFERROR(VLOOKUP(AN767,Listes!$V$3:$W$5,2,FALSE),0)+IFERROR(VLOOKUP(AO767,Listes!$Y$3:$Z$5,2,FALSE),0))</f>
        <v/>
      </c>
      <c r="R767" s="12" t="n"/>
      <c r="S767" s="12" t="n"/>
      <c r="T767" s="12" t="n"/>
      <c r="U767" s="15" t="n"/>
      <c r="V767" s="15" t="n"/>
      <c r="W767" s="13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3" t="n"/>
      <c r="AK767" s="12" t="n"/>
      <c r="AL767" s="12" t="n"/>
      <c r="AM767" s="12" t="n"/>
      <c r="AN767" s="12" t="n"/>
      <c r="AO767" s="12" t="n"/>
      <c r="AP767" s="12" t="n"/>
      <c r="AQ767" s="7">
        <f>IF(A767="","",IF(AP767&lt;&gt;"",AP767,IF(LEFT(Z767,11)="gads_marque","Google Search – Marque",IF(LEFT(Z767,12)="gads_mariage","Google Search – Mariage et privé",IF(LEFT(Z767,10)="gads_corpo","Google Search – Corporatif",IF(LEFT(Z767,5)="meta_","Meta – Leads",IF(LEFT(Z767,5)="msft_","Microsoft Ads",IF(LEFT(Z767,8)="chatgpt_","ChatGPT Ads – Test",IF(X767="gbp","Fiche Google (organique)","Autre / non payé")))))))))</f>
        <v/>
      </c>
      <c r="AR767" s="7">
        <f>IF(K767="","",IFERROR(VLOOKUP(K767,Listes!$F$3:$H$8,3,FALSE),""))</f>
        <v/>
      </c>
      <c r="AS767" s="7">
        <f>IF(O767="","",IF(AND(M767="Autre (plus de 40 km)",OR(O767="lt600",O767="600_999",O767="1000_2499")),"D",IF(OR(O767="lt600",AND(O767="600_999",K767&lt;&gt;"mariage",K767&lt;&gt;"prive")),"C",IF(OR(O767="2500_4999",O767="5000p",J767="entreprise",J767="organisme",J767="agence"),"A",IF(OR(O767="1000_2499",O767="600_999"),"B",IF(O767="inconnu",IF(OR(N767="75_149",N767="150p"),"A","B"),""))))))</f>
        <v/>
      </c>
      <c r="AT767" s="7">
        <f>IF(A767="","",IF(P767&lt;&gt;"",P767,AS767))</f>
        <v/>
      </c>
      <c r="AU767" s="7">
        <f>IF(A767="","",IF(OR(AT767="A",AT767="B"),1,0))</f>
        <v/>
      </c>
      <c r="AV767" s="7">
        <f>IF(A767="","",IF(OR(R767="Dépôt payé (gagné)",R767="Événement livré",R767="Avis obtenu"),1,0))</f>
        <v/>
      </c>
      <c r="AW767" s="7">
        <f>IF(A767="","",IF(Q767&gt;70,"Immédiat – propriétaire",IF(Q767&gt;=40,"15 min – personne de garde","Selon la route")))</f>
        <v/>
      </c>
      <c r="AX767" s="11">
        <f>IF(A767="","",IF(AT767="A",400,IF(AT767="B",150,0)))</f>
        <v/>
      </c>
      <c r="AY767" s="11">
        <f>IF(A767="","",IF(AV767=1,N(V767),IF(N(U767)&gt;0,ROUND(N(U767)*IFERROR(VLOOKUP(R767,Listes!$AE$3:$AG$12,2,FALSE),0),0),0)))</f>
        <v/>
      </c>
      <c r="AZ767" s="7">
        <f>IF(LEFT(A767,7)="EXEMPLE",1,0)</f>
        <v/>
      </c>
      <c r="BA767" s="7">
        <f>IF(AND(AV767=1,AZ767=0,AC767&lt;&gt;"",W767&lt;&gt;"",N(V767)&gt;0),COUNTIFS($AV$3:AV767,1,$AZ$3:AZ767,0,$AC$3:AC767,"&lt;&gt;",$W$3:W767,"&lt;&gt;",$V$3:V767,"&gt;0"),"")</f>
        <v/>
      </c>
    </row>
    <row r="768">
      <c r="A768" s="12" t="n"/>
      <c r="B768" s="13" t="n"/>
      <c r="C768" s="13" t="n"/>
      <c r="D768" s="7">
        <f>IF(OR(B768="",C768=""),"",ROUND((C768-B768)*1440,0))</f>
        <v/>
      </c>
      <c r="E768" s="12" t="n"/>
      <c r="F768" s="12" t="n"/>
      <c r="G768" s="12" t="n"/>
      <c r="H768" s="12" t="n"/>
      <c r="I768" s="12" t="n"/>
      <c r="J768" s="12" t="n"/>
      <c r="K768" s="12" t="n"/>
      <c r="L768" s="14" t="n"/>
      <c r="M768" s="12" t="n"/>
      <c r="N768" s="12" t="n"/>
      <c r="O768" s="12" t="n"/>
      <c r="P768" s="12" t="n"/>
      <c r="Q768" s="7">
        <f>IF(A768="","",IFERROR(VLOOKUP(O768,Listes!$R$3:$T$8,2,FALSE),0)+IFERROR(VLOOKUP(J768,Listes!$J$3:$L$6,2,FALSE),0)+IFERROR(VLOOKUP(N768,Listes!$N$3:$P$6,2,FALSE),0)+IF(OR(L768="",B768=""),0,IF(L768-INT(B768)&lt;10,8,IF(L768-INT(B768)&lt;=90,10,5)))+IFERROR(VLOOKUP(AN768,Listes!$V$3:$W$5,2,FALSE),0)+IFERROR(VLOOKUP(AO768,Listes!$Y$3:$Z$5,2,FALSE),0))</f>
        <v/>
      </c>
      <c r="R768" s="12" t="n"/>
      <c r="S768" s="12" t="n"/>
      <c r="T768" s="12" t="n"/>
      <c r="U768" s="15" t="n"/>
      <c r="V768" s="15" t="n"/>
      <c r="W768" s="13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3" t="n"/>
      <c r="AK768" s="12" t="n"/>
      <c r="AL768" s="12" t="n"/>
      <c r="AM768" s="12" t="n"/>
      <c r="AN768" s="12" t="n"/>
      <c r="AO768" s="12" t="n"/>
      <c r="AP768" s="12" t="n"/>
      <c r="AQ768" s="7">
        <f>IF(A768="","",IF(AP768&lt;&gt;"",AP768,IF(LEFT(Z768,11)="gads_marque","Google Search – Marque",IF(LEFT(Z768,12)="gads_mariage","Google Search – Mariage et privé",IF(LEFT(Z768,10)="gads_corpo","Google Search – Corporatif",IF(LEFT(Z768,5)="meta_","Meta – Leads",IF(LEFT(Z768,5)="msft_","Microsoft Ads",IF(LEFT(Z768,8)="chatgpt_","ChatGPT Ads – Test",IF(X768="gbp","Fiche Google (organique)","Autre / non payé")))))))))</f>
        <v/>
      </c>
      <c r="AR768" s="7">
        <f>IF(K768="","",IFERROR(VLOOKUP(K768,Listes!$F$3:$H$8,3,FALSE),""))</f>
        <v/>
      </c>
      <c r="AS768" s="7">
        <f>IF(O768="","",IF(AND(M768="Autre (plus de 40 km)",OR(O768="lt600",O768="600_999",O768="1000_2499")),"D",IF(OR(O768="lt600",AND(O768="600_999",K768&lt;&gt;"mariage",K768&lt;&gt;"prive")),"C",IF(OR(O768="2500_4999",O768="5000p",J768="entreprise",J768="organisme",J768="agence"),"A",IF(OR(O768="1000_2499",O768="600_999"),"B",IF(O768="inconnu",IF(OR(N768="75_149",N768="150p"),"A","B"),""))))))</f>
        <v/>
      </c>
      <c r="AT768" s="7">
        <f>IF(A768="","",IF(P768&lt;&gt;"",P768,AS768))</f>
        <v/>
      </c>
      <c r="AU768" s="7">
        <f>IF(A768="","",IF(OR(AT768="A",AT768="B"),1,0))</f>
        <v/>
      </c>
      <c r="AV768" s="7">
        <f>IF(A768="","",IF(OR(R768="Dépôt payé (gagné)",R768="Événement livré",R768="Avis obtenu"),1,0))</f>
        <v/>
      </c>
      <c r="AW768" s="7">
        <f>IF(A768="","",IF(Q768&gt;70,"Immédiat – propriétaire",IF(Q768&gt;=40,"15 min – personne de garde","Selon la route")))</f>
        <v/>
      </c>
      <c r="AX768" s="11">
        <f>IF(A768="","",IF(AT768="A",400,IF(AT768="B",150,0)))</f>
        <v/>
      </c>
      <c r="AY768" s="11">
        <f>IF(A768="","",IF(AV768=1,N(V768),IF(N(U768)&gt;0,ROUND(N(U768)*IFERROR(VLOOKUP(R768,Listes!$AE$3:$AG$12,2,FALSE),0),0),0)))</f>
        <v/>
      </c>
      <c r="AZ768" s="7">
        <f>IF(LEFT(A768,7)="EXEMPLE",1,0)</f>
        <v/>
      </c>
      <c r="BA768" s="7">
        <f>IF(AND(AV768=1,AZ768=0,AC768&lt;&gt;"",W768&lt;&gt;"",N(V768)&gt;0),COUNTIFS($AV$3:AV768,1,$AZ$3:AZ768,0,$AC$3:AC768,"&lt;&gt;",$W$3:W768,"&lt;&gt;",$V$3:V768,"&gt;0"),"")</f>
        <v/>
      </c>
    </row>
    <row r="769">
      <c r="A769" s="12" t="n"/>
      <c r="B769" s="13" t="n"/>
      <c r="C769" s="13" t="n"/>
      <c r="D769" s="7">
        <f>IF(OR(B769="",C769=""),"",ROUND((C769-B769)*1440,0))</f>
        <v/>
      </c>
      <c r="E769" s="12" t="n"/>
      <c r="F769" s="12" t="n"/>
      <c r="G769" s="12" t="n"/>
      <c r="H769" s="12" t="n"/>
      <c r="I769" s="12" t="n"/>
      <c r="J769" s="12" t="n"/>
      <c r="K769" s="12" t="n"/>
      <c r="L769" s="14" t="n"/>
      <c r="M769" s="12" t="n"/>
      <c r="N769" s="12" t="n"/>
      <c r="O769" s="12" t="n"/>
      <c r="P769" s="12" t="n"/>
      <c r="Q769" s="7">
        <f>IF(A769="","",IFERROR(VLOOKUP(O769,Listes!$R$3:$T$8,2,FALSE),0)+IFERROR(VLOOKUP(J769,Listes!$J$3:$L$6,2,FALSE),0)+IFERROR(VLOOKUP(N769,Listes!$N$3:$P$6,2,FALSE),0)+IF(OR(L769="",B769=""),0,IF(L769-INT(B769)&lt;10,8,IF(L769-INT(B769)&lt;=90,10,5)))+IFERROR(VLOOKUP(AN769,Listes!$V$3:$W$5,2,FALSE),0)+IFERROR(VLOOKUP(AO769,Listes!$Y$3:$Z$5,2,FALSE),0))</f>
        <v/>
      </c>
      <c r="R769" s="12" t="n"/>
      <c r="S769" s="12" t="n"/>
      <c r="T769" s="12" t="n"/>
      <c r="U769" s="15" t="n"/>
      <c r="V769" s="15" t="n"/>
      <c r="W769" s="13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3" t="n"/>
      <c r="AK769" s="12" t="n"/>
      <c r="AL769" s="12" t="n"/>
      <c r="AM769" s="12" t="n"/>
      <c r="AN769" s="12" t="n"/>
      <c r="AO769" s="12" t="n"/>
      <c r="AP769" s="12" t="n"/>
      <c r="AQ769" s="7">
        <f>IF(A769="","",IF(AP769&lt;&gt;"",AP769,IF(LEFT(Z769,11)="gads_marque","Google Search – Marque",IF(LEFT(Z769,12)="gads_mariage","Google Search – Mariage et privé",IF(LEFT(Z769,10)="gads_corpo","Google Search – Corporatif",IF(LEFT(Z769,5)="meta_","Meta – Leads",IF(LEFT(Z769,5)="msft_","Microsoft Ads",IF(LEFT(Z769,8)="chatgpt_","ChatGPT Ads – Test",IF(X769="gbp","Fiche Google (organique)","Autre / non payé")))))))))</f>
        <v/>
      </c>
      <c r="AR769" s="7">
        <f>IF(K769="","",IFERROR(VLOOKUP(K769,Listes!$F$3:$H$8,3,FALSE),""))</f>
        <v/>
      </c>
      <c r="AS769" s="7">
        <f>IF(O769="","",IF(AND(M769="Autre (plus de 40 km)",OR(O769="lt600",O769="600_999",O769="1000_2499")),"D",IF(OR(O769="lt600",AND(O769="600_999",K769&lt;&gt;"mariage",K769&lt;&gt;"prive")),"C",IF(OR(O769="2500_4999",O769="5000p",J769="entreprise",J769="organisme",J769="agence"),"A",IF(OR(O769="1000_2499",O769="600_999"),"B",IF(O769="inconnu",IF(OR(N769="75_149",N769="150p"),"A","B"),""))))))</f>
        <v/>
      </c>
      <c r="AT769" s="7">
        <f>IF(A769="","",IF(P769&lt;&gt;"",P769,AS769))</f>
        <v/>
      </c>
      <c r="AU769" s="7">
        <f>IF(A769="","",IF(OR(AT769="A",AT769="B"),1,0))</f>
        <v/>
      </c>
      <c r="AV769" s="7">
        <f>IF(A769="","",IF(OR(R769="Dépôt payé (gagné)",R769="Événement livré",R769="Avis obtenu"),1,0))</f>
        <v/>
      </c>
      <c r="AW769" s="7">
        <f>IF(A769="","",IF(Q769&gt;70,"Immédiat – propriétaire",IF(Q769&gt;=40,"15 min – personne de garde","Selon la route")))</f>
        <v/>
      </c>
      <c r="AX769" s="11">
        <f>IF(A769="","",IF(AT769="A",400,IF(AT769="B",150,0)))</f>
        <v/>
      </c>
      <c r="AY769" s="11">
        <f>IF(A769="","",IF(AV769=1,N(V769),IF(N(U769)&gt;0,ROUND(N(U769)*IFERROR(VLOOKUP(R769,Listes!$AE$3:$AG$12,2,FALSE),0),0),0)))</f>
        <v/>
      </c>
      <c r="AZ769" s="7">
        <f>IF(LEFT(A769,7)="EXEMPLE",1,0)</f>
        <v/>
      </c>
      <c r="BA769" s="7">
        <f>IF(AND(AV769=1,AZ769=0,AC769&lt;&gt;"",W769&lt;&gt;"",N(V769)&gt;0),COUNTIFS($AV$3:AV769,1,$AZ$3:AZ769,0,$AC$3:AC769,"&lt;&gt;",$W$3:W769,"&lt;&gt;",$V$3:V769,"&gt;0"),"")</f>
        <v/>
      </c>
    </row>
    <row r="770">
      <c r="A770" s="12" t="n"/>
      <c r="B770" s="13" t="n"/>
      <c r="C770" s="13" t="n"/>
      <c r="D770" s="7">
        <f>IF(OR(B770="",C770=""),"",ROUND((C770-B770)*1440,0))</f>
        <v/>
      </c>
      <c r="E770" s="12" t="n"/>
      <c r="F770" s="12" t="n"/>
      <c r="G770" s="12" t="n"/>
      <c r="H770" s="12" t="n"/>
      <c r="I770" s="12" t="n"/>
      <c r="J770" s="12" t="n"/>
      <c r="K770" s="12" t="n"/>
      <c r="L770" s="14" t="n"/>
      <c r="M770" s="12" t="n"/>
      <c r="N770" s="12" t="n"/>
      <c r="O770" s="12" t="n"/>
      <c r="P770" s="12" t="n"/>
      <c r="Q770" s="7">
        <f>IF(A770="","",IFERROR(VLOOKUP(O770,Listes!$R$3:$T$8,2,FALSE),0)+IFERROR(VLOOKUP(J770,Listes!$J$3:$L$6,2,FALSE),0)+IFERROR(VLOOKUP(N770,Listes!$N$3:$P$6,2,FALSE),0)+IF(OR(L770="",B770=""),0,IF(L770-INT(B770)&lt;10,8,IF(L770-INT(B770)&lt;=90,10,5)))+IFERROR(VLOOKUP(AN770,Listes!$V$3:$W$5,2,FALSE),0)+IFERROR(VLOOKUP(AO770,Listes!$Y$3:$Z$5,2,FALSE),0))</f>
        <v/>
      </c>
      <c r="R770" s="12" t="n"/>
      <c r="S770" s="12" t="n"/>
      <c r="T770" s="12" t="n"/>
      <c r="U770" s="15" t="n"/>
      <c r="V770" s="15" t="n"/>
      <c r="W770" s="13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3" t="n"/>
      <c r="AK770" s="12" t="n"/>
      <c r="AL770" s="12" t="n"/>
      <c r="AM770" s="12" t="n"/>
      <c r="AN770" s="12" t="n"/>
      <c r="AO770" s="12" t="n"/>
      <c r="AP770" s="12" t="n"/>
      <c r="AQ770" s="7">
        <f>IF(A770="","",IF(AP770&lt;&gt;"",AP770,IF(LEFT(Z770,11)="gads_marque","Google Search – Marque",IF(LEFT(Z770,12)="gads_mariage","Google Search – Mariage et privé",IF(LEFT(Z770,10)="gads_corpo","Google Search – Corporatif",IF(LEFT(Z770,5)="meta_","Meta – Leads",IF(LEFT(Z770,5)="msft_","Microsoft Ads",IF(LEFT(Z770,8)="chatgpt_","ChatGPT Ads – Test",IF(X770="gbp","Fiche Google (organique)","Autre / non payé")))))))))</f>
        <v/>
      </c>
      <c r="AR770" s="7">
        <f>IF(K770="","",IFERROR(VLOOKUP(K770,Listes!$F$3:$H$8,3,FALSE),""))</f>
        <v/>
      </c>
      <c r="AS770" s="7">
        <f>IF(O770="","",IF(AND(M770="Autre (plus de 40 km)",OR(O770="lt600",O770="600_999",O770="1000_2499")),"D",IF(OR(O770="lt600",AND(O770="600_999",K770&lt;&gt;"mariage",K770&lt;&gt;"prive")),"C",IF(OR(O770="2500_4999",O770="5000p",J770="entreprise",J770="organisme",J770="agence"),"A",IF(OR(O770="1000_2499",O770="600_999"),"B",IF(O770="inconnu",IF(OR(N770="75_149",N770="150p"),"A","B"),""))))))</f>
        <v/>
      </c>
      <c r="AT770" s="7">
        <f>IF(A770="","",IF(P770&lt;&gt;"",P770,AS770))</f>
        <v/>
      </c>
      <c r="AU770" s="7">
        <f>IF(A770="","",IF(OR(AT770="A",AT770="B"),1,0))</f>
        <v/>
      </c>
      <c r="AV770" s="7">
        <f>IF(A770="","",IF(OR(R770="Dépôt payé (gagné)",R770="Événement livré",R770="Avis obtenu"),1,0))</f>
        <v/>
      </c>
      <c r="AW770" s="7">
        <f>IF(A770="","",IF(Q770&gt;70,"Immédiat – propriétaire",IF(Q770&gt;=40,"15 min – personne de garde","Selon la route")))</f>
        <v/>
      </c>
      <c r="AX770" s="11">
        <f>IF(A770="","",IF(AT770="A",400,IF(AT770="B",150,0)))</f>
        <v/>
      </c>
      <c r="AY770" s="11">
        <f>IF(A770="","",IF(AV770=1,N(V770),IF(N(U770)&gt;0,ROUND(N(U770)*IFERROR(VLOOKUP(R770,Listes!$AE$3:$AG$12,2,FALSE),0),0),0)))</f>
        <v/>
      </c>
      <c r="AZ770" s="7">
        <f>IF(LEFT(A770,7)="EXEMPLE",1,0)</f>
        <v/>
      </c>
      <c r="BA770" s="7">
        <f>IF(AND(AV770=1,AZ770=0,AC770&lt;&gt;"",W770&lt;&gt;"",N(V770)&gt;0),COUNTIFS($AV$3:AV770,1,$AZ$3:AZ770,0,$AC$3:AC770,"&lt;&gt;",$W$3:W770,"&lt;&gt;",$V$3:V770,"&gt;0"),"")</f>
        <v/>
      </c>
    </row>
    <row r="771">
      <c r="A771" s="12" t="n"/>
      <c r="B771" s="13" t="n"/>
      <c r="C771" s="13" t="n"/>
      <c r="D771" s="7">
        <f>IF(OR(B771="",C771=""),"",ROUND((C771-B771)*1440,0))</f>
        <v/>
      </c>
      <c r="E771" s="12" t="n"/>
      <c r="F771" s="12" t="n"/>
      <c r="G771" s="12" t="n"/>
      <c r="H771" s="12" t="n"/>
      <c r="I771" s="12" t="n"/>
      <c r="J771" s="12" t="n"/>
      <c r="K771" s="12" t="n"/>
      <c r="L771" s="14" t="n"/>
      <c r="M771" s="12" t="n"/>
      <c r="N771" s="12" t="n"/>
      <c r="O771" s="12" t="n"/>
      <c r="P771" s="12" t="n"/>
      <c r="Q771" s="7">
        <f>IF(A771="","",IFERROR(VLOOKUP(O771,Listes!$R$3:$T$8,2,FALSE),0)+IFERROR(VLOOKUP(J771,Listes!$J$3:$L$6,2,FALSE),0)+IFERROR(VLOOKUP(N771,Listes!$N$3:$P$6,2,FALSE),0)+IF(OR(L771="",B771=""),0,IF(L771-INT(B771)&lt;10,8,IF(L771-INT(B771)&lt;=90,10,5)))+IFERROR(VLOOKUP(AN771,Listes!$V$3:$W$5,2,FALSE),0)+IFERROR(VLOOKUP(AO771,Listes!$Y$3:$Z$5,2,FALSE),0))</f>
        <v/>
      </c>
      <c r="R771" s="12" t="n"/>
      <c r="S771" s="12" t="n"/>
      <c r="T771" s="12" t="n"/>
      <c r="U771" s="15" t="n"/>
      <c r="V771" s="15" t="n"/>
      <c r="W771" s="13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3" t="n"/>
      <c r="AK771" s="12" t="n"/>
      <c r="AL771" s="12" t="n"/>
      <c r="AM771" s="12" t="n"/>
      <c r="AN771" s="12" t="n"/>
      <c r="AO771" s="12" t="n"/>
      <c r="AP771" s="12" t="n"/>
      <c r="AQ771" s="7">
        <f>IF(A771="","",IF(AP771&lt;&gt;"",AP771,IF(LEFT(Z771,11)="gads_marque","Google Search – Marque",IF(LEFT(Z771,12)="gads_mariage","Google Search – Mariage et privé",IF(LEFT(Z771,10)="gads_corpo","Google Search – Corporatif",IF(LEFT(Z771,5)="meta_","Meta – Leads",IF(LEFT(Z771,5)="msft_","Microsoft Ads",IF(LEFT(Z771,8)="chatgpt_","ChatGPT Ads – Test",IF(X771="gbp","Fiche Google (organique)","Autre / non payé")))))))))</f>
        <v/>
      </c>
      <c r="AR771" s="7">
        <f>IF(K771="","",IFERROR(VLOOKUP(K771,Listes!$F$3:$H$8,3,FALSE),""))</f>
        <v/>
      </c>
      <c r="AS771" s="7">
        <f>IF(O771="","",IF(AND(M771="Autre (plus de 40 km)",OR(O771="lt600",O771="600_999",O771="1000_2499")),"D",IF(OR(O771="lt600",AND(O771="600_999",K771&lt;&gt;"mariage",K771&lt;&gt;"prive")),"C",IF(OR(O771="2500_4999",O771="5000p",J771="entreprise",J771="organisme",J771="agence"),"A",IF(OR(O771="1000_2499",O771="600_999"),"B",IF(O771="inconnu",IF(OR(N771="75_149",N771="150p"),"A","B"),""))))))</f>
        <v/>
      </c>
      <c r="AT771" s="7">
        <f>IF(A771="","",IF(P771&lt;&gt;"",P771,AS771))</f>
        <v/>
      </c>
      <c r="AU771" s="7">
        <f>IF(A771="","",IF(OR(AT771="A",AT771="B"),1,0))</f>
        <v/>
      </c>
      <c r="AV771" s="7">
        <f>IF(A771="","",IF(OR(R771="Dépôt payé (gagné)",R771="Événement livré",R771="Avis obtenu"),1,0))</f>
        <v/>
      </c>
      <c r="AW771" s="7">
        <f>IF(A771="","",IF(Q771&gt;70,"Immédiat – propriétaire",IF(Q771&gt;=40,"15 min – personne de garde","Selon la route")))</f>
        <v/>
      </c>
      <c r="AX771" s="11">
        <f>IF(A771="","",IF(AT771="A",400,IF(AT771="B",150,0)))</f>
        <v/>
      </c>
      <c r="AY771" s="11">
        <f>IF(A771="","",IF(AV771=1,N(V771),IF(N(U771)&gt;0,ROUND(N(U771)*IFERROR(VLOOKUP(R771,Listes!$AE$3:$AG$12,2,FALSE),0),0),0)))</f>
        <v/>
      </c>
      <c r="AZ771" s="7">
        <f>IF(LEFT(A771,7)="EXEMPLE",1,0)</f>
        <v/>
      </c>
      <c r="BA771" s="7">
        <f>IF(AND(AV771=1,AZ771=0,AC771&lt;&gt;"",W771&lt;&gt;"",N(V771)&gt;0),COUNTIFS($AV$3:AV771,1,$AZ$3:AZ771,0,$AC$3:AC771,"&lt;&gt;",$W$3:W771,"&lt;&gt;",$V$3:V771,"&gt;0"),"")</f>
        <v/>
      </c>
    </row>
    <row r="772">
      <c r="A772" s="12" t="n"/>
      <c r="B772" s="13" t="n"/>
      <c r="C772" s="13" t="n"/>
      <c r="D772" s="7">
        <f>IF(OR(B772="",C772=""),"",ROUND((C772-B772)*1440,0))</f>
        <v/>
      </c>
      <c r="E772" s="12" t="n"/>
      <c r="F772" s="12" t="n"/>
      <c r="G772" s="12" t="n"/>
      <c r="H772" s="12" t="n"/>
      <c r="I772" s="12" t="n"/>
      <c r="J772" s="12" t="n"/>
      <c r="K772" s="12" t="n"/>
      <c r="L772" s="14" t="n"/>
      <c r="M772" s="12" t="n"/>
      <c r="N772" s="12" t="n"/>
      <c r="O772" s="12" t="n"/>
      <c r="P772" s="12" t="n"/>
      <c r="Q772" s="7">
        <f>IF(A772="","",IFERROR(VLOOKUP(O772,Listes!$R$3:$T$8,2,FALSE),0)+IFERROR(VLOOKUP(J772,Listes!$J$3:$L$6,2,FALSE),0)+IFERROR(VLOOKUP(N772,Listes!$N$3:$P$6,2,FALSE),0)+IF(OR(L772="",B772=""),0,IF(L772-INT(B772)&lt;10,8,IF(L772-INT(B772)&lt;=90,10,5)))+IFERROR(VLOOKUP(AN772,Listes!$V$3:$W$5,2,FALSE),0)+IFERROR(VLOOKUP(AO772,Listes!$Y$3:$Z$5,2,FALSE),0))</f>
        <v/>
      </c>
      <c r="R772" s="12" t="n"/>
      <c r="S772" s="12" t="n"/>
      <c r="T772" s="12" t="n"/>
      <c r="U772" s="15" t="n"/>
      <c r="V772" s="15" t="n"/>
      <c r="W772" s="13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3" t="n"/>
      <c r="AK772" s="12" t="n"/>
      <c r="AL772" s="12" t="n"/>
      <c r="AM772" s="12" t="n"/>
      <c r="AN772" s="12" t="n"/>
      <c r="AO772" s="12" t="n"/>
      <c r="AP772" s="12" t="n"/>
      <c r="AQ772" s="7">
        <f>IF(A772="","",IF(AP772&lt;&gt;"",AP772,IF(LEFT(Z772,11)="gads_marque","Google Search – Marque",IF(LEFT(Z772,12)="gads_mariage","Google Search – Mariage et privé",IF(LEFT(Z772,10)="gads_corpo","Google Search – Corporatif",IF(LEFT(Z772,5)="meta_","Meta – Leads",IF(LEFT(Z772,5)="msft_","Microsoft Ads",IF(LEFT(Z772,8)="chatgpt_","ChatGPT Ads – Test",IF(X772="gbp","Fiche Google (organique)","Autre / non payé")))))))))</f>
        <v/>
      </c>
      <c r="AR772" s="7">
        <f>IF(K772="","",IFERROR(VLOOKUP(K772,Listes!$F$3:$H$8,3,FALSE),""))</f>
        <v/>
      </c>
      <c r="AS772" s="7">
        <f>IF(O772="","",IF(AND(M772="Autre (plus de 40 km)",OR(O772="lt600",O772="600_999",O772="1000_2499")),"D",IF(OR(O772="lt600",AND(O772="600_999",K772&lt;&gt;"mariage",K772&lt;&gt;"prive")),"C",IF(OR(O772="2500_4999",O772="5000p",J772="entreprise",J772="organisme",J772="agence"),"A",IF(OR(O772="1000_2499",O772="600_999"),"B",IF(O772="inconnu",IF(OR(N772="75_149",N772="150p"),"A","B"),""))))))</f>
        <v/>
      </c>
      <c r="AT772" s="7">
        <f>IF(A772="","",IF(P772&lt;&gt;"",P772,AS772))</f>
        <v/>
      </c>
      <c r="AU772" s="7">
        <f>IF(A772="","",IF(OR(AT772="A",AT772="B"),1,0))</f>
        <v/>
      </c>
      <c r="AV772" s="7">
        <f>IF(A772="","",IF(OR(R772="Dépôt payé (gagné)",R772="Événement livré",R772="Avis obtenu"),1,0))</f>
        <v/>
      </c>
      <c r="AW772" s="7">
        <f>IF(A772="","",IF(Q772&gt;70,"Immédiat – propriétaire",IF(Q772&gt;=40,"15 min – personne de garde","Selon la route")))</f>
        <v/>
      </c>
      <c r="AX772" s="11">
        <f>IF(A772="","",IF(AT772="A",400,IF(AT772="B",150,0)))</f>
        <v/>
      </c>
      <c r="AY772" s="11">
        <f>IF(A772="","",IF(AV772=1,N(V772),IF(N(U772)&gt;0,ROUND(N(U772)*IFERROR(VLOOKUP(R772,Listes!$AE$3:$AG$12,2,FALSE),0),0),0)))</f>
        <v/>
      </c>
      <c r="AZ772" s="7">
        <f>IF(LEFT(A772,7)="EXEMPLE",1,0)</f>
        <v/>
      </c>
      <c r="BA772" s="7">
        <f>IF(AND(AV772=1,AZ772=0,AC772&lt;&gt;"",W772&lt;&gt;"",N(V772)&gt;0),COUNTIFS($AV$3:AV772,1,$AZ$3:AZ772,0,$AC$3:AC772,"&lt;&gt;",$W$3:W772,"&lt;&gt;",$V$3:V772,"&gt;0"),"")</f>
        <v/>
      </c>
    </row>
    <row r="773">
      <c r="A773" s="12" t="n"/>
      <c r="B773" s="13" t="n"/>
      <c r="C773" s="13" t="n"/>
      <c r="D773" s="7">
        <f>IF(OR(B773="",C773=""),"",ROUND((C773-B773)*1440,0))</f>
        <v/>
      </c>
      <c r="E773" s="12" t="n"/>
      <c r="F773" s="12" t="n"/>
      <c r="G773" s="12" t="n"/>
      <c r="H773" s="12" t="n"/>
      <c r="I773" s="12" t="n"/>
      <c r="J773" s="12" t="n"/>
      <c r="K773" s="12" t="n"/>
      <c r="L773" s="14" t="n"/>
      <c r="M773" s="12" t="n"/>
      <c r="N773" s="12" t="n"/>
      <c r="O773" s="12" t="n"/>
      <c r="P773" s="12" t="n"/>
      <c r="Q773" s="7">
        <f>IF(A773="","",IFERROR(VLOOKUP(O773,Listes!$R$3:$T$8,2,FALSE),0)+IFERROR(VLOOKUP(J773,Listes!$J$3:$L$6,2,FALSE),0)+IFERROR(VLOOKUP(N773,Listes!$N$3:$P$6,2,FALSE),0)+IF(OR(L773="",B773=""),0,IF(L773-INT(B773)&lt;10,8,IF(L773-INT(B773)&lt;=90,10,5)))+IFERROR(VLOOKUP(AN773,Listes!$V$3:$W$5,2,FALSE),0)+IFERROR(VLOOKUP(AO773,Listes!$Y$3:$Z$5,2,FALSE),0))</f>
        <v/>
      </c>
      <c r="R773" s="12" t="n"/>
      <c r="S773" s="12" t="n"/>
      <c r="T773" s="12" t="n"/>
      <c r="U773" s="15" t="n"/>
      <c r="V773" s="15" t="n"/>
      <c r="W773" s="13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3" t="n"/>
      <c r="AK773" s="12" t="n"/>
      <c r="AL773" s="12" t="n"/>
      <c r="AM773" s="12" t="n"/>
      <c r="AN773" s="12" t="n"/>
      <c r="AO773" s="12" t="n"/>
      <c r="AP773" s="12" t="n"/>
      <c r="AQ773" s="7">
        <f>IF(A773="","",IF(AP773&lt;&gt;"",AP773,IF(LEFT(Z773,11)="gads_marque","Google Search – Marque",IF(LEFT(Z773,12)="gads_mariage","Google Search – Mariage et privé",IF(LEFT(Z773,10)="gads_corpo","Google Search – Corporatif",IF(LEFT(Z773,5)="meta_","Meta – Leads",IF(LEFT(Z773,5)="msft_","Microsoft Ads",IF(LEFT(Z773,8)="chatgpt_","ChatGPT Ads – Test",IF(X773="gbp","Fiche Google (organique)","Autre / non payé")))))))))</f>
        <v/>
      </c>
      <c r="AR773" s="7">
        <f>IF(K773="","",IFERROR(VLOOKUP(K773,Listes!$F$3:$H$8,3,FALSE),""))</f>
        <v/>
      </c>
      <c r="AS773" s="7">
        <f>IF(O773="","",IF(AND(M773="Autre (plus de 40 km)",OR(O773="lt600",O773="600_999",O773="1000_2499")),"D",IF(OR(O773="lt600",AND(O773="600_999",K773&lt;&gt;"mariage",K773&lt;&gt;"prive")),"C",IF(OR(O773="2500_4999",O773="5000p",J773="entreprise",J773="organisme",J773="agence"),"A",IF(OR(O773="1000_2499",O773="600_999"),"B",IF(O773="inconnu",IF(OR(N773="75_149",N773="150p"),"A","B"),""))))))</f>
        <v/>
      </c>
      <c r="AT773" s="7">
        <f>IF(A773="","",IF(P773&lt;&gt;"",P773,AS773))</f>
        <v/>
      </c>
      <c r="AU773" s="7">
        <f>IF(A773="","",IF(OR(AT773="A",AT773="B"),1,0))</f>
        <v/>
      </c>
      <c r="AV773" s="7">
        <f>IF(A773="","",IF(OR(R773="Dépôt payé (gagné)",R773="Événement livré",R773="Avis obtenu"),1,0))</f>
        <v/>
      </c>
      <c r="AW773" s="7">
        <f>IF(A773="","",IF(Q773&gt;70,"Immédiat – propriétaire",IF(Q773&gt;=40,"15 min – personne de garde","Selon la route")))</f>
        <v/>
      </c>
      <c r="AX773" s="11">
        <f>IF(A773="","",IF(AT773="A",400,IF(AT773="B",150,0)))</f>
        <v/>
      </c>
      <c r="AY773" s="11">
        <f>IF(A773="","",IF(AV773=1,N(V773),IF(N(U773)&gt;0,ROUND(N(U773)*IFERROR(VLOOKUP(R773,Listes!$AE$3:$AG$12,2,FALSE),0),0),0)))</f>
        <v/>
      </c>
      <c r="AZ773" s="7">
        <f>IF(LEFT(A773,7)="EXEMPLE",1,0)</f>
        <v/>
      </c>
      <c r="BA773" s="7">
        <f>IF(AND(AV773=1,AZ773=0,AC773&lt;&gt;"",W773&lt;&gt;"",N(V773)&gt;0),COUNTIFS($AV$3:AV773,1,$AZ$3:AZ773,0,$AC$3:AC773,"&lt;&gt;",$W$3:W773,"&lt;&gt;",$V$3:V773,"&gt;0"),"")</f>
        <v/>
      </c>
    </row>
    <row r="774">
      <c r="A774" s="12" t="n"/>
      <c r="B774" s="13" t="n"/>
      <c r="C774" s="13" t="n"/>
      <c r="D774" s="7">
        <f>IF(OR(B774="",C774=""),"",ROUND((C774-B774)*1440,0))</f>
        <v/>
      </c>
      <c r="E774" s="12" t="n"/>
      <c r="F774" s="12" t="n"/>
      <c r="G774" s="12" t="n"/>
      <c r="H774" s="12" t="n"/>
      <c r="I774" s="12" t="n"/>
      <c r="J774" s="12" t="n"/>
      <c r="K774" s="12" t="n"/>
      <c r="L774" s="14" t="n"/>
      <c r="M774" s="12" t="n"/>
      <c r="N774" s="12" t="n"/>
      <c r="O774" s="12" t="n"/>
      <c r="P774" s="12" t="n"/>
      <c r="Q774" s="7">
        <f>IF(A774="","",IFERROR(VLOOKUP(O774,Listes!$R$3:$T$8,2,FALSE),0)+IFERROR(VLOOKUP(J774,Listes!$J$3:$L$6,2,FALSE),0)+IFERROR(VLOOKUP(N774,Listes!$N$3:$P$6,2,FALSE),0)+IF(OR(L774="",B774=""),0,IF(L774-INT(B774)&lt;10,8,IF(L774-INT(B774)&lt;=90,10,5)))+IFERROR(VLOOKUP(AN774,Listes!$V$3:$W$5,2,FALSE),0)+IFERROR(VLOOKUP(AO774,Listes!$Y$3:$Z$5,2,FALSE),0))</f>
        <v/>
      </c>
      <c r="R774" s="12" t="n"/>
      <c r="S774" s="12" t="n"/>
      <c r="T774" s="12" t="n"/>
      <c r="U774" s="15" t="n"/>
      <c r="V774" s="15" t="n"/>
      <c r="W774" s="13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3" t="n"/>
      <c r="AK774" s="12" t="n"/>
      <c r="AL774" s="12" t="n"/>
      <c r="AM774" s="12" t="n"/>
      <c r="AN774" s="12" t="n"/>
      <c r="AO774" s="12" t="n"/>
      <c r="AP774" s="12" t="n"/>
      <c r="AQ774" s="7">
        <f>IF(A774="","",IF(AP774&lt;&gt;"",AP774,IF(LEFT(Z774,11)="gads_marque","Google Search – Marque",IF(LEFT(Z774,12)="gads_mariage","Google Search – Mariage et privé",IF(LEFT(Z774,10)="gads_corpo","Google Search – Corporatif",IF(LEFT(Z774,5)="meta_","Meta – Leads",IF(LEFT(Z774,5)="msft_","Microsoft Ads",IF(LEFT(Z774,8)="chatgpt_","ChatGPT Ads – Test",IF(X774="gbp","Fiche Google (organique)","Autre / non payé")))))))))</f>
        <v/>
      </c>
      <c r="AR774" s="7">
        <f>IF(K774="","",IFERROR(VLOOKUP(K774,Listes!$F$3:$H$8,3,FALSE),""))</f>
        <v/>
      </c>
      <c r="AS774" s="7">
        <f>IF(O774="","",IF(AND(M774="Autre (plus de 40 km)",OR(O774="lt600",O774="600_999",O774="1000_2499")),"D",IF(OR(O774="lt600",AND(O774="600_999",K774&lt;&gt;"mariage",K774&lt;&gt;"prive")),"C",IF(OR(O774="2500_4999",O774="5000p",J774="entreprise",J774="organisme",J774="agence"),"A",IF(OR(O774="1000_2499",O774="600_999"),"B",IF(O774="inconnu",IF(OR(N774="75_149",N774="150p"),"A","B"),""))))))</f>
        <v/>
      </c>
      <c r="AT774" s="7">
        <f>IF(A774="","",IF(P774&lt;&gt;"",P774,AS774))</f>
        <v/>
      </c>
      <c r="AU774" s="7">
        <f>IF(A774="","",IF(OR(AT774="A",AT774="B"),1,0))</f>
        <v/>
      </c>
      <c r="AV774" s="7">
        <f>IF(A774="","",IF(OR(R774="Dépôt payé (gagné)",R774="Événement livré",R774="Avis obtenu"),1,0))</f>
        <v/>
      </c>
      <c r="AW774" s="7">
        <f>IF(A774="","",IF(Q774&gt;70,"Immédiat – propriétaire",IF(Q774&gt;=40,"15 min – personne de garde","Selon la route")))</f>
        <v/>
      </c>
      <c r="AX774" s="11">
        <f>IF(A774="","",IF(AT774="A",400,IF(AT774="B",150,0)))</f>
        <v/>
      </c>
      <c r="AY774" s="11">
        <f>IF(A774="","",IF(AV774=1,N(V774),IF(N(U774)&gt;0,ROUND(N(U774)*IFERROR(VLOOKUP(R774,Listes!$AE$3:$AG$12,2,FALSE),0),0),0)))</f>
        <v/>
      </c>
      <c r="AZ774" s="7">
        <f>IF(LEFT(A774,7)="EXEMPLE",1,0)</f>
        <v/>
      </c>
      <c r="BA774" s="7">
        <f>IF(AND(AV774=1,AZ774=0,AC774&lt;&gt;"",W774&lt;&gt;"",N(V774)&gt;0),COUNTIFS($AV$3:AV774,1,$AZ$3:AZ774,0,$AC$3:AC774,"&lt;&gt;",$W$3:W774,"&lt;&gt;",$V$3:V774,"&gt;0"),"")</f>
        <v/>
      </c>
    </row>
    <row r="775">
      <c r="A775" s="12" t="n"/>
      <c r="B775" s="13" t="n"/>
      <c r="C775" s="13" t="n"/>
      <c r="D775" s="7">
        <f>IF(OR(B775="",C775=""),"",ROUND((C775-B775)*1440,0))</f>
        <v/>
      </c>
      <c r="E775" s="12" t="n"/>
      <c r="F775" s="12" t="n"/>
      <c r="G775" s="12" t="n"/>
      <c r="H775" s="12" t="n"/>
      <c r="I775" s="12" t="n"/>
      <c r="J775" s="12" t="n"/>
      <c r="K775" s="12" t="n"/>
      <c r="L775" s="14" t="n"/>
      <c r="M775" s="12" t="n"/>
      <c r="N775" s="12" t="n"/>
      <c r="O775" s="12" t="n"/>
      <c r="P775" s="12" t="n"/>
      <c r="Q775" s="7">
        <f>IF(A775="","",IFERROR(VLOOKUP(O775,Listes!$R$3:$T$8,2,FALSE),0)+IFERROR(VLOOKUP(J775,Listes!$J$3:$L$6,2,FALSE),0)+IFERROR(VLOOKUP(N775,Listes!$N$3:$P$6,2,FALSE),0)+IF(OR(L775="",B775=""),0,IF(L775-INT(B775)&lt;10,8,IF(L775-INT(B775)&lt;=90,10,5)))+IFERROR(VLOOKUP(AN775,Listes!$V$3:$W$5,2,FALSE),0)+IFERROR(VLOOKUP(AO775,Listes!$Y$3:$Z$5,2,FALSE),0))</f>
        <v/>
      </c>
      <c r="R775" s="12" t="n"/>
      <c r="S775" s="12" t="n"/>
      <c r="T775" s="12" t="n"/>
      <c r="U775" s="15" t="n"/>
      <c r="V775" s="15" t="n"/>
      <c r="W775" s="13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3" t="n"/>
      <c r="AK775" s="12" t="n"/>
      <c r="AL775" s="12" t="n"/>
      <c r="AM775" s="12" t="n"/>
      <c r="AN775" s="12" t="n"/>
      <c r="AO775" s="12" t="n"/>
      <c r="AP775" s="12" t="n"/>
      <c r="AQ775" s="7">
        <f>IF(A775="","",IF(AP775&lt;&gt;"",AP775,IF(LEFT(Z775,11)="gads_marque","Google Search – Marque",IF(LEFT(Z775,12)="gads_mariage","Google Search – Mariage et privé",IF(LEFT(Z775,10)="gads_corpo","Google Search – Corporatif",IF(LEFT(Z775,5)="meta_","Meta – Leads",IF(LEFT(Z775,5)="msft_","Microsoft Ads",IF(LEFT(Z775,8)="chatgpt_","ChatGPT Ads – Test",IF(X775="gbp","Fiche Google (organique)","Autre / non payé")))))))))</f>
        <v/>
      </c>
      <c r="AR775" s="7">
        <f>IF(K775="","",IFERROR(VLOOKUP(K775,Listes!$F$3:$H$8,3,FALSE),""))</f>
        <v/>
      </c>
      <c r="AS775" s="7">
        <f>IF(O775="","",IF(AND(M775="Autre (plus de 40 km)",OR(O775="lt600",O775="600_999",O775="1000_2499")),"D",IF(OR(O775="lt600",AND(O775="600_999",K775&lt;&gt;"mariage",K775&lt;&gt;"prive")),"C",IF(OR(O775="2500_4999",O775="5000p",J775="entreprise",J775="organisme",J775="agence"),"A",IF(OR(O775="1000_2499",O775="600_999"),"B",IF(O775="inconnu",IF(OR(N775="75_149",N775="150p"),"A","B"),""))))))</f>
        <v/>
      </c>
      <c r="AT775" s="7">
        <f>IF(A775="","",IF(P775&lt;&gt;"",P775,AS775))</f>
        <v/>
      </c>
      <c r="AU775" s="7">
        <f>IF(A775="","",IF(OR(AT775="A",AT775="B"),1,0))</f>
        <v/>
      </c>
      <c r="AV775" s="7">
        <f>IF(A775="","",IF(OR(R775="Dépôt payé (gagné)",R775="Événement livré",R775="Avis obtenu"),1,0))</f>
        <v/>
      </c>
      <c r="AW775" s="7">
        <f>IF(A775="","",IF(Q775&gt;70,"Immédiat – propriétaire",IF(Q775&gt;=40,"15 min – personne de garde","Selon la route")))</f>
        <v/>
      </c>
      <c r="AX775" s="11">
        <f>IF(A775="","",IF(AT775="A",400,IF(AT775="B",150,0)))</f>
        <v/>
      </c>
      <c r="AY775" s="11">
        <f>IF(A775="","",IF(AV775=1,N(V775),IF(N(U775)&gt;0,ROUND(N(U775)*IFERROR(VLOOKUP(R775,Listes!$AE$3:$AG$12,2,FALSE),0),0),0)))</f>
        <v/>
      </c>
      <c r="AZ775" s="7">
        <f>IF(LEFT(A775,7)="EXEMPLE",1,0)</f>
        <v/>
      </c>
      <c r="BA775" s="7">
        <f>IF(AND(AV775=1,AZ775=0,AC775&lt;&gt;"",W775&lt;&gt;"",N(V775)&gt;0),COUNTIFS($AV$3:AV775,1,$AZ$3:AZ775,0,$AC$3:AC775,"&lt;&gt;",$W$3:W775,"&lt;&gt;",$V$3:V775,"&gt;0"),"")</f>
        <v/>
      </c>
    </row>
    <row r="776">
      <c r="A776" s="12" t="n"/>
      <c r="B776" s="13" t="n"/>
      <c r="C776" s="13" t="n"/>
      <c r="D776" s="7">
        <f>IF(OR(B776="",C776=""),"",ROUND((C776-B776)*1440,0))</f>
        <v/>
      </c>
      <c r="E776" s="12" t="n"/>
      <c r="F776" s="12" t="n"/>
      <c r="G776" s="12" t="n"/>
      <c r="H776" s="12" t="n"/>
      <c r="I776" s="12" t="n"/>
      <c r="J776" s="12" t="n"/>
      <c r="K776" s="12" t="n"/>
      <c r="L776" s="14" t="n"/>
      <c r="M776" s="12" t="n"/>
      <c r="N776" s="12" t="n"/>
      <c r="O776" s="12" t="n"/>
      <c r="P776" s="12" t="n"/>
      <c r="Q776" s="7">
        <f>IF(A776="","",IFERROR(VLOOKUP(O776,Listes!$R$3:$T$8,2,FALSE),0)+IFERROR(VLOOKUP(J776,Listes!$J$3:$L$6,2,FALSE),0)+IFERROR(VLOOKUP(N776,Listes!$N$3:$P$6,2,FALSE),0)+IF(OR(L776="",B776=""),0,IF(L776-INT(B776)&lt;10,8,IF(L776-INT(B776)&lt;=90,10,5)))+IFERROR(VLOOKUP(AN776,Listes!$V$3:$W$5,2,FALSE),0)+IFERROR(VLOOKUP(AO776,Listes!$Y$3:$Z$5,2,FALSE),0))</f>
        <v/>
      </c>
      <c r="R776" s="12" t="n"/>
      <c r="S776" s="12" t="n"/>
      <c r="T776" s="12" t="n"/>
      <c r="U776" s="15" t="n"/>
      <c r="V776" s="15" t="n"/>
      <c r="W776" s="13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3" t="n"/>
      <c r="AK776" s="12" t="n"/>
      <c r="AL776" s="12" t="n"/>
      <c r="AM776" s="12" t="n"/>
      <c r="AN776" s="12" t="n"/>
      <c r="AO776" s="12" t="n"/>
      <c r="AP776" s="12" t="n"/>
      <c r="AQ776" s="7">
        <f>IF(A776="","",IF(AP776&lt;&gt;"",AP776,IF(LEFT(Z776,11)="gads_marque","Google Search – Marque",IF(LEFT(Z776,12)="gads_mariage","Google Search – Mariage et privé",IF(LEFT(Z776,10)="gads_corpo","Google Search – Corporatif",IF(LEFT(Z776,5)="meta_","Meta – Leads",IF(LEFT(Z776,5)="msft_","Microsoft Ads",IF(LEFT(Z776,8)="chatgpt_","ChatGPT Ads – Test",IF(X776="gbp","Fiche Google (organique)","Autre / non payé")))))))))</f>
        <v/>
      </c>
      <c r="AR776" s="7">
        <f>IF(K776="","",IFERROR(VLOOKUP(K776,Listes!$F$3:$H$8,3,FALSE),""))</f>
        <v/>
      </c>
      <c r="AS776" s="7">
        <f>IF(O776="","",IF(AND(M776="Autre (plus de 40 km)",OR(O776="lt600",O776="600_999",O776="1000_2499")),"D",IF(OR(O776="lt600",AND(O776="600_999",K776&lt;&gt;"mariage",K776&lt;&gt;"prive")),"C",IF(OR(O776="2500_4999",O776="5000p",J776="entreprise",J776="organisme",J776="agence"),"A",IF(OR(O776="1000_2499",O776="600_999"),"B",IF(O776="inconnu",IF(OR(N776="75_149",N776="150p"),"A","B"),""))))))</f>
        <v/>
      </c>
      <c r="AT776" s="7">
        <f>IF(A776="","",IF(P776&lt;&gt;"",P776,AS776))</f>
        <v/>
      </c>
      <c r="AU776" s="7">
        <f>IF(A776="","",IF(OR(AT776="A",AT776="B"),1,0))</f>
        <v/>
      </c>
      <c r="AV776" s="7">
        <f>IF(A776="","",IF(OR(R776="Dépôt payé (gagné)",R776="Événement livré",R776="Avis obtenu"),1,0))</f>
        <v/>
      </c>
      <c r="AW776" s="7">
        <f>IF(A776="","",IF(Q776&gt;70,"Immédiat – propriétaire",IF(Q776&gt;=40,"15 min – personne de garde","Selon la route")))</f>
        <v/>
      </c>
      <c r="AX776" s="11">
        <f>IF(A776="","",IF(AT776="A",400,IF(AT776="B",150,0)))</f>
        <v/>
      </c>
      <c r="AY776" s="11">
        <f>IF(A776="","",IF(AV776=1,N(V776),IF(N(U776)&gt;0,ROUND(N(U776)*IFERROR(VLOOKUP(R776,Listes!$AE$3:$AG$12,2,FALSE),0),0),0)))</f>
        <v/>
      </c>
      <c r="AZ776" s="7">
        <f>IF(LEFT(A776,7)="EXEMPLE",1,0)</f>
        <v/>
      </c>
      <c r="BA776" s="7">
        <f>IF(AND(AV776=1,AZ776=0,AC776&lt;&gt;"",W776&lt;&gt;"",N(V776)&gt;0),COUNTIFS($AV$3:AV776,1,$AZ$3:AZ776,0,$AC$3:AC776,"&lt;&gt;",$W$3:W776,"&lt;&gt;",$V$3:V776,"&gt;0"),"")</f>
        <v/>
      </c>
    </row>
    <row r="777">
      <c r="A777" s="12" t="n"/>
      <c r="B777" s="13" t="n"/>
      <c r="C777" s="13" t="n"/>
      <c r="D777" s="7">
        <f>IF(OR(B777="",C777=""),"",ROUND((C777-B777)*1440,0))</f>
        <v/>
      </c>
      <c r="E777" s="12" t="n"/>
      <c r="F777" s="12" t="n"/>
      <c r="G777" s="12" t="n"/>
      <c r="H777" s="12" t="n"/>
      <c r="I777" s="12" t="n"/>
      <c r="J777" s="12" t="n"/>
      <c r="K777" s="12" t="n"/>
      <c r="L777" s="14" t="n"/>
      <c r="M777" s="12" t="n"/>
      <c r="N777" s="12" t="n"/>
      <c r="O777" s="12" t="n"/>
      <c r="P777" s="12" t="n"/>
      <c r="Q777" s="7">
        <f>IF(A777="","",IFERROR(VLOOKUP(O777,Listes!$R$3:$T$8,2,FALSE),0)+IFERROR(VLOOKUP(J777,Listes!$J$3:$L$6,2,FALSE),0)+IFERROR(VLOOKUP(N777,Listes!$N$3:$P$6,2,FALSE),0)+IF(OR(L777="",B777=""),0,IF(L777-INT(B777)&lt;10,8,IF(L777-INT(B777)&lt;=90,10,5)))+IFERROR(VLOOKUP(AN777,Listes!$V$3:$W$5,2,FALSE),0)+IFERROR(VLOOKUP(AO777,Listes!$Y$3:$Z$5,2,FALSE),0))</f>
        <v/>
      </c>
      <c r="R777" s="12" t="n"/>
      <c r="S777" s="12" t="n"/>
      <c r="T777" s="12" t="n"/>
      <c r="U777" s="15" t="n"/>
      <c r="V777" s="15" t="n"/>
      <c r="W777" s="13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3" t="n"/>
      <c r="AK777" s="12" t="n"/>
      <c r="AL777" s="12" t="n"/>
      <c r="AM777" s="12" t="n"/>
      <c r="AN777" s="12" t="n"/>
      <c r="AO777" s="12" t="n"/>
      <c r="AP777" s="12" t="n"/>
      <c r="AQ777" s="7">
        <f>IF(A777="","",IF(AP777&lt;&gt;"",AP777,IF(LEFT(Z777,11)="gads_marque","Google Search – Marque",IF(LEFT(Z777,12)="gads_mariage","Google Search – Mariage et privé",IF(LEFT(Z777,10)="gads_corpo","Google Search – Corporatif",IF(LEFT(Z777,5)="meta_","Meta – Leads",IF(LEFT(Z777,5)="msft_","Microsoft Ads",IF(LEFT(Z777,8)="chatgpt_","ChatGPT Ads – Test",IF(X777="gbp","Fiche Google (organique)","Autre / non payé")))))))))</f>
        <v/>
      </c>
      <c r="AR777" s="7">
        <f>IF(K777="","",IFERROR(VLOOKUP(K777,Listes!$F$3:$H$8,3,FALSE),""))</f>
        <v/>
      </c>
      <c r="AS777" s="7">
        <f>IF(O777="","",IF(AND(M777="Autre (plus de 40 km)",OR(O777="lt600",O777="600_999",O777="1000_2499")),"D",IF(OR(O777="lt600",AND(O777="600_999",K777&lt;&gt;"mariage",K777&lt;&gt;"prive")),"C",IF(OR(O777="2500_4999",O777="5000p",J777="entreprise",J777="organisme",J777="agence"),"A",IF(OR(O777="1000_2499",O777="600_999"),"B",IF(O777="inconnu",IF(OR(N777="75_149",N777="150p"),"A","B"),""))))))</f>
        <v/>
      </c>
      <c r="AT777" s="7">
        <f>IF(A777="","",IF(P777&lt;&gt;"",P777,AS777))</f>
        <v/>
      </c>
      <c r="AU777" s="7">
        <f>IF(A777="","",IF(OR(AT777="A",AT777="B"),1,0))</f>
        <v/>
      </c>
      <c r="AV777" s="7">
        <f>IF(A777="","",IF(OR(R777="Dépôt payé (gagné)",R777="Événement livré",R777="Avis obtenu"),1,0))</f>
        <v/>
      </c>
      <c r="AW777" s="7">
        <f>IF(A777="","",IF(Q777&gt;70,"Immédiat – propriétaire",IF(Q777&gt;=40,"15 min – personne de garde","Selon la route")))</f>
        <v/>
      </c>
      <c r="AX777" s="11">
        <f>IF(A777="","",IF(AT777="A",400,IF(AT777="B",150,0)))</f>
        <v/>
      </c>
      <c r="AY777" s="11">
        <f>IF(A777="","",IF(AV777=1,N(V777),IF(N(U777)&gt;0,ROUND(N(U777)*IFERROR(VLOOKUP(R777,Listes!$AE$3:$AG$12,2,FALSE),0),0),0)))</f>
        <v/>
      </c>
      <c r="AZ777" s="7">
        <f>IF(LEFT(A777,7)="EXEMPLE",1,0)</f>
        <v/>
      </c>
      <c r="BA777" s="7">
        <f>IF(AND(AV777=1,AZ777=0,AC777&lt;&gt;"",W777&lt;&gt;"",N(V777)&gt;0),COUNTIFS($AV$3:AV777,1,$AZ$3:AZ777,0,$AC$3:AC777,"&lt;&gt;",$W$3:W777,"&lt;&gt;",$V$3:V777,"&gt;0"),"")</f>
        <v/>
      </c>
    </row>
    <row r="778">
      <c r="A778" s="12" t="n"/>
      <c r="B778" s="13" t="n"/>
      <c r="C778" s="13" t="n"/>
      <c r="D778" s="7">
        <f>IF(OR(B778="",C778=""),"",ROUND((C778-B778)*1440,0))</f>
        <v/>
      </c>
      <c r="E778" s="12" t="n"/>
      <c r="F778" s="12" t="n"/>
      <c r="G778" s="12" t="n"/>
      <c r="H778" s="12" t="n"/>
      <c r="I778" s="12" t="n"/>
      <c r="J778" s="12" t="n"/>
      <c r="K778" s="12" t="n"/>
      <c r="L778" s="14" t="n"/>
      <c r="M778" s="12" t="n"/>
      <c r="N778" s="12" t="n"/>
      <c r="O778" s="12" t="n"/>
      <c r="P778" s="12" t="n"/>
      <c r="Q778" s="7">
        <f>IF(A778="","",IFERROR(VLOOKUP(O778,Listes!$R$3:$T$8,2,FALSE),0)+IFERROR(VLOOKUP(J778,Listes!$J$3:$L$6,2,FALSE),0)+IFERROR(VLOOKUP(N778,Listes!$N$3:$P$6,2,FALSE),0)+IF(OR(L778="",B778=""),0,IF(L778-INT(B778)&lt;10,8,IF(L778-INT(B778)&lt;=90,10,5)))+IFERROR(VLOOKUP(AN778,Listes!$V$3:$W$5,2,FALSE),0)+IFERROR(VLOOKUP(AO778,Listes!$Y$3:$Z$5,2,FALSE),0))</f>
        <v/>
      </c>
      <c r="R778" s="12" t="n"/>
      <c r="S778" s="12" t="n"/>
      <c r="T778" s="12" t="n"/>
      <c r="U778" s="15" t="n"/>
      <c r="V778" s="15" t="n"/>
      <c r="W778" s="13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3" t="n"/>
      <c r="AK778" s="12" t="n"/>
      <c r="AL778" s="12" t="n"/>
      <c r="AM778" s="12" t="n"/>
      <c r="AN778" s="12" t="n"/>
      <c r="AO778" s="12" t="n"/>
      <c r="AP778" s="12" t="n"/>
      <c r="AQ778" s="7">
        <f>IF(A778="","",IF(AP778&lt;&gt;"",AP778,IF(LEFT(Z778,11)="gads_marque","Google Search – Marque",IF(LEFT(Z778,12)="gads_mariage","Google Search – Mariage et privé",IF(LEFT(Z778,10)="gads_corpo","Google Search – Corporatif",IF(LEFT(Z778,5)="meta_","Meta – Leads",IF(LEFT(Z778,5)="msft_","Microsoft Ads",IF(LEFT(Z778,8)="chatgpt_","ChatGPT Ads – Test",IF(X778="gbp","Fiche Google (organique)","Autre / non payé")))))))))</f>
        <v/>
      </c>
      <c r="AR778" s="7">
        <f>IF(K778="","",IFERROR(VLOOKUP(K778,Listes!$F$3:$H$8,3,FALSE),""))</f>
        <v/>
      </c>
      <c r="AS778" s="7">
        <f>IF(O778="","",IF(AND(M778="Autre (plus de 40 km)",OR(O778="lt600",O778="600_999",O778="1000_2499")),"D",IF(OR(O778="lt600",AND(O778="600_999",K778&lt;&gt;"mariage",K778&lt;&gt;"prive")),"C",IF(OR(O778="2500_4999",O778="5000p",J778="entreprise",J778="organisme",J778="agence"),"A",IF(OR(O778="1000_2499",O778="600_999"),"B",IF(O778="inconnu",IF(OR(N778="75_149",N778="150p"),"A","B"),""))))))</f>
        <v/>
      </c>
      <c r="AT778" s="7">
        <f>IF(A778="","",IF(P778&lt;&gt;"",P778,AS778))</f>
        <v/>
      </c>
      <c r="AU778" s="7">
        <f>IF(A778="","",IF(OR(AT778="A",AT778="B"),1,0))</f>
        <v/>
      </c>
      <c r="AV778" s="7">
        <f>IF(A778="","",IF(OR(R778="Dépôt payé (gagné)",R778="Événement livré",R778="Avis obtenu"),1,0))</f>
        <v/>
      </c>
      <c r="AW778" s="7">
        <f>IF(A778="","",IF(Q778&gt;70,"Immédiat – propriétaire",IF(Q778&gt;=40,"15 min – personne de garde","Selon la route")))</f>
        <v/>
      </c>
      <c r="AX778" s="11">
        <f>IF(A778="","",IF(AT778="A",400,IF(AT778="B",150,0)))</f>
        <v/>
      </c>
      <c r="AY778" s="11">
        <f>IF(A778="","",IF(AV778=1,N(V778),IF(N(U778)&gt;0,ROUND(N(U778)*IFERROR(VLOOKUP(R778,Listes!$AE$3:$AG$12,2,FALSE),0),0),0)))</f>
        <v/>
      </c>
      <c r="AZ778" s="7">
        <f>IF(LEFT(A778,7)="EXEMPLE",1,0)</f>
        <v/>
      </c>
      <c r="BA778" s="7">
        <f>IF(AND(AV778=1,AZ778=0,AC778&lt;&gt;"",W778&lt;&gt;"",N(V778)&gt;0),COUNTIFS($AV$3:AV778,1,$AZ$3:AZ778,0,$AC$3:AC778,"&lt;&gt;",$W$3:W778,"&lt;&gt;",$V$3:V778,"&gt;0"),"")</f>
        <v/>
      </c>
    </row>
    <row r="779">
      <c r="A779" s="12" t="n"/>
      <c r="B779" s="13" t="n"/>
      <c r="C779" s="13" t="n"/>
      <c r="D779" s="7">
        <f>IF(OR(B779="",C779=""),"",ROUND((C779-B779)*1440,0))</f>
        <v/>
      </c>
      <c r="E779" s="12" t="n"/>
      <c r="F779" s="12" t="n"/>
      <c r="G779" s="12" t="n"/>
      <c r="H779" s="12" t="n"/>
      <c r="I779" s="12" t="n"/>
      <c r="J779" s="12" t="n"/>
      <c r="K779" s="12" t="n"/>
      <c r="L779" s="14" t="n"/>
      <c r="M779" s="12" t="n"/>
      <c r="N779" s="12" t="n"/>
      <c r="O779" s="12" t="n"/>
      <c r="P779" s="12" t="n"/>
      <c r="Q779" s="7">
        <f>IF(A779="","",IFERROR(VLOOKUP(O779,Listes!$R$3:$T$8,2,FALSE),0)+IFERROR(VLOOKUP(J779,Listes!$J$3:$L$6,2,FALSE),0)+IFERROR(VLOOKUP(N779,Listes!$N$3:$P$6,2,FALSE),0)+IF(OR(L779="",B779=""),0,IF(L779-INT(B779)&lt;10,8,IF(L779-INT(B779)&lt;=90,10,5)))+IFERROR(VLOOKUP(AN779,Listes!$V$3:$W$5,2,FALSE),0)+IFERROR(VLOOKUP(AO779,Listes!$Y$3:$Z$5,2,FALSE),0))</f>
        <v/>
      </c>
      <c r="R779" s="12" t="n"/>
      <c r="S779" s="12" t="n"/>
      <c r="T779" s="12" t="n"/>
      <c r="U779" s="15" t="n"/>
      <c r="V779" s="15" t="n"/>
      <c r="W779" s="13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3" t="n"/>
      <c r="AK779" s="12" t="n"/>
      <c r="AL779" s="12" t="n"/>
      <c r="AM779" s="12" t="n"/>
      <c r="AN779" s="12" t="n"/>
      <c r="AO779" s="12" t="n"/>
      <c r="AP779" s="12" t="n"/>
      <c r="AQ779" s="7">
        <f>IF(A779="","",IF(AP779&lt;&gt;"",AP779,IF(LEFT(Z779,11)="gads_marque","Google Search – Marque",IF(LEFT(Z779,12)="gads_mariage","Google Search – Mariage et privé",IF(LEFT(Z779,10)="gads_corpo","Google Search – Corporatif",IF(LEFT(Z779,5)="meta_","Meta – Leads",IF(LEFT(Z779,5)="msft_","Microsoft Ads",IF(LEFT(Z779,8)="chatgpt_","ChatGPT Ads – Test",IF(X779="gbp","Fiche Google (organique)","Autre / non payé")))))))))</f>
        <v/>
      </c>
      <c r="AR779" s="7">
        <f>IF(K779="","",IFERROR(VLOOKUP(K779,Listes!$F$3:$H$8,3,FALSE),""))</f>
        <v/>
      </c>
      <c r="AS779" s="7">
        <f>IF(O779="","",IF(AND(M779="Autre (plus de 40 km)",OR(O779="lt600",O779="600_999",O779="1000_2499")),"D",IF(OR(O779="lt600",AND(O779="600_999",K779&lt;&gt;"mariage",K779&lt;&gt;"prive")),"C",IF(OR(O779="2500_4999",O779="5000p",J779="entreprise",J779="organisme",J779="agence"),"A",IF(OR(O779="1000_2499",O779="600_999"),"B",IF(O779="inconnu",IF(OR(N779="75_149",N779="150p"),"A","B"),""))))))</f>
        <v/>
      </c>
      <c r="AT779" s="7">
        <f>IF(A779="","",IF(P779&lt;&gt;"",P779,AS779))</f>
        <v/>
      </c>
      <c r="AU779" s="7">
        <f>IF(A779="","",IF(OR(AT779="A",AT779="B"),1,0))</f>
        <v/>
      </c>
      <c r="AV779" s="7">
        <f>IF(A779="","",IF(OR(R779="Dépôt payé (gagné)",R779="Événement livré",R779="Avis obtenu"),1,0))</f>
        <v/>
      </c>
      <c r="AW779" s="7">
        <f>IF(A779="","",IF(Q779&gt;70,"Immédiat – propriétaire",IF(Q779&gt;=40,"15 min – personne de garde","Selon la route")))</f>
        <v/>
      </c>
      <c r="AX779" s="11">
        <f>IF(A779="","",IF(AT779="A",400,IF(AT779="B",150,0)))</f>
        <v/>
      </c>
      <c r="AY779" s="11">
        <f>IF(A779="","",IF(AV779=1,N(V779),IF(N(U779)&gt;0,ROUND(N(U779)*IFERROR(VLOOKUP(R779,Listes!$AE$3:$AG$12,2,FALSE),0),0),0)))</f>
        <v/>
      </c>
      <c r="AZ779" s="7">
        <f>IF(LEFT(A779,7)="EXEMPLE",1,0)</f>
        <v/>
      </c>
      <c r="BA779" s="7">
        <f>IF(AND(AV779=1,AZ779=0,AC779&lt;&gt;"",W779&lt;&gt;"",N(V779)&gt;0),COUNTIFS($AV$3:AV779,1,$AZ$3:AZ779,0,$AC$3:AC779,"&lt;&gt;",$W$3:W779,"&lt;&gt;",$V$3:V779,"&gt;0"),"")</f>
        <v/>
      </c>
    </row>
    <row r="780">
      <c r="A780" s="12" t="n"/>
      <c r="B780" s="13" t="n"/>
      <c r="C780" s="13" t="n"/>
      <c r="D780" s="7">
        <f>IF(OR(B780="",C780=""),"",ROUND((C780-B780)*1440,0))</f>
        <v/>
      </c>
      <c r="E780" s="12" t="n"/>
      <c r="F780" s="12" t="n"/>
      <c r="G780" s="12" t="n"/>
      <c r="H780" s="12" t="n"/>
      <c r="I780" s="12" t="n"/>
      <c r="J780" s="12" t="n"/>
      <c r="K780" s="12" t="n"/>
      <c r="L780" s="14" t="n"/>
      <c r="M780" s="12" t="n"/>
      <c r="N780" s="12" t="n"/>
      <c r="O780" s="12" t="n"/>
      <c r="P780" s="12" t="n"/>
      <c r="Q780" s="7">
        <f>IF(A780="","",IFERROR(VLOOKUP(O780,Listes!$R$3:$T$8,2,FALSE),0)+IFERROR(VLOOKUP(J780,Listes!$J$3:$L$6,2,FALSE),0)+IFERROR(VLOOKUP(N780,Listes!$N$3:$P$6,2,FALSE),0)+IF(OR(L780="",B780=""),0,IF(L780-INT(B780)&lt;10,8,IF(L780-INT(B780)&lt;=90,10,5)))+IFERROR(VLOOKUP(AN780,Listes!$V$3:$W$5,2,FALSE),0)+IFERROR(VLOOKUP(AO780,Listes!$Y$3:$Z$5,2,FALSE),0))</f>
        <v/>
      </c>
      <c r="R780" s="12" t="n"/>
      <c r="S780" s="12" t="n"/>
      <c r="T780" s="12" t="n"/>
      <c r="U780" s="15" t="n"/>
      <c r="V780" s="15" t="n"/>
      <c r="W780" s="13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3" t="n"/>
      <c r="AK780" s="12" t="n"/>
      <c r="AL780" s="12" t="n"/>
      <c r="AM780" s="12" t="n"/>
      <c r="AN780" s="12" t="n"/>
      <c r="AO780" s="12" t="n"/>
      <c r="AP780" s="12" t="n"/>
      <c r="AQ780" s="7">
        <f>IF(A780="","",IF(AP780&lt;&gt;"",AP780,IF(LEFT(Z780,11)="gads_marque","Google Search – Marque",IF(LEFT(Z780,12)="gads_mariage","Google Search – Mariage et privé",IF(LEFT(Z780,10)="gads_corpo","Google Search – Corporatif",IF(LEFT(Z780,5)="meta_","Meta – Leads",IF(LEFT(Z780,5)="msft_","Microsoft Ads",IF(LEFT(Z780,8)="chatgpt_","ChatGPT Ads – Test",IF(X780="gbp","Fiche Google (organique)","Autre / non payé")))))))))</f>
        <v/>
      </c>
      <c r="AR780" s="7">
        <f>IF(K780="","",IFERROR(VLOOKUP(K780,Listes!$F$3:$H$8,3,FALSE),""))</f>
        <v/>
      </c>
      <c r="AS780" s="7">
        <f>IF(O780="","",IF(AND(M780="Autre (plus de 40 km)",OR(O780="lt600",O780="600_999",O780="1000_2499")),"D",IF(OR(O780="lt600",AND(O780="600_999",K780&lt;&gt;"mariage",K780&lt;&gt;"prive")),"C",IF(OR(O780="2500_4999",O780="5000p",J780="entreprise",J780="organisme",J780="agence"),"A",IF(OR(O780="1000_2499",O780="600_999"),"B",IF(O780="inconnu",IF(OR(N780="75_149",N780="150p"),"A","B"),""))))))</f>
        <v/>
      </c>
      <c r="AT780" s="7">
        <f>IF(A780="","",IF(P780&lt;&gt;"",P780,AS780))</f>
        <v/>
      </c>
      <c r="AU780" s="7">
        <f>IF(A780="","",IF(OR(AT780="A",AT780="B"),1,0))</f>
        <v/>
      </c>
      <c r="AV780" s="7">
        <f>IF(A780="","",IF(OR(R780="Dépôt payé (gagné)",R780="Événement livré",R780="Avis obtenu"),1,0))</f>
        <v/>
      </c>
      <c r="AW780" s="7">
        <f>IF(A780="","",IF(Q780&gt;70,"Immédiat – propriétaire",IF(Q780&gt;=40,"15 min – personne de garde","Selon la route")))</f>
        <v/>
      </c>
      <c r="AX780" s="11">
        <f>IF(A780="","",IF(AT780="A",400,IF(AT780="B",150,0)))</f>
        <v/>
      </c>
      <c r="AY780" s="11">
        <f>IF(A780="","",IF(AV780=1,N(V780),IF(N(U780)&gt;0,ROUND(N(U780)*IFERROR(VLOOKUP(R780,Listes!$AE$3:$AG$12,2,FALSE),0),0),0)))</f>
        <v/>
      </c>
      <c r="AZ780" s="7">
        <f>IF(LEFT(A780,7)="EXEMPLE",1,0)</f>
        <v/>
      </c>
      <c r="BA780" s="7">
        <f>IF(AND(AV780=1,AZ780=0,AC780&lt;&gt;"",W780&lt;&gt;"",N(V780)&gt;0),COUNTIFS($AV$3:AV780,1,$AZ$3:AZ780,0,$AC$3:AC780,"&lt;&gt;",$W$3:W780,"&lt;&gt;",$V$3:V780,"&gt;0"),"")</f>
        <v/>
      </c>
    </row>
    <row r="781">
      <c r="A781" s="12" t="n"/>
      <c r="B781" s="13" t="n"/>
      <c r="C781" s="13" t="n"/>
      <c r="D781" s="7">
        <f>IF(OR(B781="",C781=""),"",ROUND((C781-B781)*1440,0))</f>
        <v/>
      </c>
      <c r="E781" s="12" t="n"/>
      <c r="F781" s="12" t="n"/>
      <c r="G781" s="12" t="n"/>
      <c r="H781" s="12" t="n"/>
      <c r="I781" s="12" t="n"/>
      <c r="J781" s="12" t="n"/>
      <c r="K781" s="12" t="n"/>
      <c r="L781" s="14" t="n"/>
      <c r="M781" s="12" t="n"/>
      <c r="N781" s="12" t="n"/>
      <c r="O781" s="12" t="n"/>
      <c r="P781" s="12" t="n"/>
      <c r="Q781" s="7">
        <f>IF(A781="","",IFERROR(VLOOKUP(O781,Listes!$R$3:$T$8,2,FALSE),0)+IFERROR(VLOOKUP(J781,Listes!$J$3:$L$6,2,FALSE),0)+IFERROR(VLOOKUP(N781,Listes!$N$3:$P$6,2,FALSE),0)+IF(OR(L781="",B781=""),0,IF(L781-INT(B781)&lt;10,8,IF(L781-INT(B781)&lt;=90,10,5)))+IFERROR(VLOOKUP(AN781,Listes!$V$3:$W$5,2,FALSE),0)+IFERROR(VLOOKUP(AO781,Listes!$Y$3:$Z$5,2,FALSE),0))</f>
        <v/>
      </c>
      <c r="R781" s="12" t="n"/>
      <c r="S781" s="12" t="n"/>
      <c r="T781" s="12" t="n"/>
      <c r="U781" s="15" t="n"/>
      <c r="V781" s="15" t="n"/>
      <c r="W781" s="13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3" t="n"/>
      <c r="AK781" s="12" t="n"/>
      <c r="AL781" s="12" t="n"/>
      <c r="AM781" s="12" t="n"/>
      <c r="AN781" s="12" t="n"/>
      <c r="AO781" s="12" t="n"/>
      <c r="AP781" s="12" t="n"/>
      <c r="AQ781" s="7">
        <f>IF(A781="","",IF(AP781&lt;&gt;"",AP781,IF(LEFT(Z781,11)="gads_marque","Google Search – Marque",IF(LEFT(Z781,12)="gads_mariage","Google Search – Mariage et privé",IF(LEFT(Z781,10)="gads_corpo","Google Search – Corporatif",IF(LEFT(Z781,5)="meta_","Meta – Leads",IF(LEFT(Z781,5)="msft_","Microsoft Ads",IF(LEFT(Z781,8)="chatgpt_","ChatGPT Ads – Test",IF(X781="gbp","Fiche Google (organique)","Autre / non payé")))))))))</f>
        <v/>
      </c>
      <c r="AR781" s="7">
        <f>IF(K781="","",IFERROR(VLOOKUP(K781,Listes!$F$3:$H$8,3,FALSE),""))</f>
        <v/>
      </c>
      <c r="AS781" s="7">
        <f>IF(O781="","",IF(AND(M781="Autre (plus de 40 km)",OR(O781="lt600",O781="600_999",O781="1000_2499")),"D",IF(OR(O781="lt600",AND(O781="600_999",K781&lt;&gt;"mariage",K781&lt;&gt;"prive")),"C",IF(OR(O781="2500_4999",O781="5000p",J781="entreprise",J781="organisme",J781="agence"),"A",IF(OR(O781="1000_2499",O781="600_999"),"B",IF(O781="inconnu",IF(OR(N781="75_149",N781="150p"),"A","B"),""))))))</f>
        <v/>
      </c>
      <c r="AT781" s="7">
        <f>IF(A781="","",IF(P781&lt;&gt;"",P781,AS781))</f>
        <v/>
      </c>
      <c r="AU781" s="7">
        <f>IF(A781="","",IF(OR(AT781="A",AT781="B"),1,0))</f>
        <v/>
      </c>
      <c r="AV781" s="7">
        <f>IF(A781="","",IF(OR(R781="Dépôt payé (gagné)",R781="Événement livré",R781="Avis obtenu"),1,0))</f>
        <v/>
      </c>
      <c r="AW781" s="7">
        <f>IF(A781="","",IF(Q781&gt;70,"Immédiat – propriétaire",IF(Q781&gt;=40,"15 min – personne de garde","Selon la route")))</f>
        <v/>
      </c>
      <c r="AX781" s="11">
        <f>IF(A781="","",IF(AT781="A",400,IF(AT781="B",150,0)))</f>
        <v/>
      </c>
      <c r="AY781" s="11">
        <f>IF(A781="","",IF(AV781=1,N(V781),IF(N(U781)&gt;0,ROUND(N(U781)*IFERROR(VLOOKUP(R781,Listes!$AE$3:$AG$12,2,FALSE),0),0),0)))</f>
        <v/>
      </c>
      <c r="AZ781" s="7">
        <f>IF(LEFT(A781,7)="EXEMPLE",1,0)</f>
        <v/>
      </c>
      <c r="BA781" s="7">
        <f>IF(AND(AV781=1,AZ781=0,AC781&lt;&gt;"",W781&lt;&gt;"",N(V781)&gt;0),COUNTIFS($AV$3:AV781,1,$AZ$3:AZ781,0,$AC$3:AC781,"&lt;&gt;",$W$3:W781,"&lt;&gt;",$V$3:V781,"&gt;0"),"")</f>
        <v/>
      </c>
    </row>
    <row r="782">
      <c r="A782" s="12" t="n"/>
      <c r="B782" s="13" t="n"/>
      <c r="C782" s="13" t="n"/>
      <c r="D782" s="7">
        <f>IF(OR(B782="",C782=""),"",ROUND((C782-B782)*1440,0))</f>
        <v/>
      </c>
      <c r="E782" s="12" t="n"/>
      <c r="F782" s="12" t="n"/>
      <c r="G782" s="12" t="n"/>
      <c r="H782" s="12" t="n"/>
      <c r="I782" s="12" t="n"/>
      <c r="J782" s="12" t="n"/>
      <c r="K782" s="12" t="n"/>
      <c r="L782" s="14" t="n"/>
      <c r="M782" s="12" t="n"/>
      <c r="N782" s="12" t="n"/>
      <c r="O782" s="12" t="n"/>
      <c r="P782" s="12" t="n"/>
      <c r="Q782" s="7">
        <f>IF(A782="","",IFERROR(VLOOKUP(O782,Listes!$R$3:$T$8,2,FALSE),0)+IFERROR(VLOOKUP(J782,Listes!$J$3:$L$6,2,FALSE),0)+IFERROR(VLOOKUP(N782,Listes!$N$3:$P$6,2,FALSE),0)+IF(OR(L782="",B782=""),0,IF(L782-INT(B782)&lt;10,8,IF(L782-INT(B782)&lt;=90,10,5)))+IFERROR(VLOOKUP(AN782,Listes!$V$3:$W$5,2,FALSE),0)+IFERROR(VLOOKUP(AO782,Listes!$Y$3:$Z$5,2,FALSE),0))</f>
        <v/>
      </c>
      <c r="R782" s="12" t="n"/>
      <c r="S782" s="12" t="n"/>
      <c r="T782" s="12" t="n"/>
      <c r="U782" s="15" t="n"/>
      <c r="V782" s="15" t="n"/>
      <c r="W782" s="13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3" t="n"/>
      <c r="AK782" s="12" t="n"/>
      <c r="AL782" s="12" t="n"/>
      <c r="AM782" s="12" t="n"/>
      <c r="AN782" s="12" t="n"/>
      <c r="AO782" s="12" t="n"/>
      <c r="AP782" s="12" t="n"/>
      <c r="AQ782" s="7">
        <f>IF(A782="","",IF(AP782&lt;&gt;"",AP782,IF(LEFT(Z782,11)="gads_marque","Google Search – Marque",IF(LEFT(Z782,12)="gads_mariage","Google Search – Mariage et privé",IF(LEFT(Z782,10)="gads_corpo","Google Search – Corporatif",IF(LEFT(Z782,5)="meta_","Meta – Leads",IF(LEFT(Z782,5)="msft_","Microsoft Ads",IF(LEFT(Z782,8)="chatgpt_","ChatGPT Ads – Test",IF(X782="gbp","Fiche Google (organique)","Autre / non payé")))))))))</f>
        <v/>
      </c>
      <c r="AR782" s="7">
        <f>IF(K782="","",IFERROR(VLOOKUP(K782,Listes!$F$3:$H$8,3,FALSE),""))</f>
        <v/>
      </c>
      <c r="AS782" s="7">
        <f>IF(O782="","",IF(AND(M782="Autre (plus de 40 km)",OR(O782="lt600",O782="600_999",O782="1000_2499")),"D",IF(OR(O782="lt600",AND(O782="600_999",K782&lt;&gt;"mariage",K782&lt;&gt;"prive")),"C",IF(OR(O782="2500_4999",O782="5000p",J782="entreprise",J782="organisme",J782="agence"),"A",IF(OR(O782="1000_2499",O782="600_999"),"B",IF(O782="inconnu",IF(OR(N782="75_149",N782="150p"),"A","B"),""))))))</f>
        <v/>
      </c>
      <c r="AT782" s="7">
        <f>IF(A782="","",IF(P782&lt;&gt;"",P782,AS782))</f>
        <v/>
      </c>
      <c r="AU782" s="7">
        <f>IF(A782="","",IF(OR(AT782="A",AT782="B"),1,0))</f>
        <v/>
      </c>
      <c r="AV782" s="7">
        <f>IF(A782="","",IF(OR(R782="Dépôt payé (gagné)",R782="Événement livré",R782="Avis obtenu"),1,0))</f>
        <v/>
      </c>
      <c r="AW782" s="7">
        <f>IF(A782="","",IF(Q782&gt;70,"Immédiat – propriétaire",IF(Q782&gt;=40,"15 min – personne de garde","Selon la route")))</f>
        <v/>
      </c>
      <c r="AX782" s="11">
        <f>IF(A782="","",IF(AT782="A",400,IF(AT782="B",150,0)))</f>
        <v/>
      </c>
      <c r="AY782" s="11">
        <f>IF(A782="","",IF(AV782=1,N(V782),IF(N(U782)&gt;0,ROUND(N(U782)*IFERROR(VLOOKUP(R782,Listes!$AE$3:$AG$12,2,FALSE),0),0),0)))</f>
        <v/>
      </c>
      <c r="AZ782" s="7">
        <f>IF(LEFT(A782,7)="EXEMPLE",1,0)</f>
        <v/>
      </c>
      <c r="BA782" s="7">
        <f>IF(AND(AV782=1,AZ782=0,AC782&lt;&gt;"",W782&lt;&gt;"",N(V782)&gt;0),COUNTIFS($AV$3:AV782,1,$AZ$3:AZ782,0,$AC$3:AC782,"&lt;&gt;",$W$3:W782,"&lt;&gt;",$V$3:V782,"&gt;0"),"")</f>
        <v/>
      </c>
    </row>
    <row r="783">
      <c r="A783" s="12" t="n"/>
      <c r="B783" s="13" t="n"/>
      <c r="C783" s="13" t="n"/>
      <c r="D783" s="7">
        <f>IF(OR(B783="",C783=""),"",ROUND((C783-B783)*1440,0))</f>
        <v/>
      </c>
      <c r="E783" s="12" t="n"/>
      <c r="F783" s="12" t="n"/>
      <c r="G783" s="12" t="n"/>
      <c r="H783" s="12" t="n"/>
      <c r="I783" s="12" t="n"/>
      <c r="J783" s="12" t="n"/>
      <c r="K783" s="12" t="n"/>
      <c r="L783" s="14" t="n"/>
      <c r="M783" s="12" t="n"/>
      <c r="N783" s="12" t="n"/>
      <c r="O783" s="12" t="n"/>
      <c r="P783" s="12" t="n"/>
      <c r="Q783" s="7">
        <f>IF(A783="","",IFERROR(VLOOKUP(O783,Listes!$R$3:$T$8,2,FALSE),0)+IFERROR(VLOOKUP(J783,Listes!$J$3:$L$6,2,FALSE),0)+IFERROR(VLOOKUP(N783,Listes!$N$3:$P$6,2,FALSE),0)+IF(OR(L783="",B783=""),0,IF(L783-INT(B783)&lt;10,8,IF(L783-INT(B783)&lt;=90,10,5)))+IFERROR(VLOOKUP(AN783,Listes!$V$3:$W$5,2,FALSE),0)+IFERROR(VLOOKUP(AO783,Listes!$Y$3:$Z$5,2,FALSE),0))</f>
        <v/>
      </c>
      <c r="R783" s="12" t="n"/>
      <c r="S783" s="12" t="n"/>
      <c r="T783" s="12" t="n"/>
      <c r="U783" s="15" t="n"/>
      <c r="V783" s="15" t="n"/>
      <c r="W783" s="13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3" t="n"/>
      <c r="AK783" s="12" t="n"/>
      <c r="AL783" s="12" t="n"/>
      <c r="AM783" s="12" t="n"/>
      <c r="AN783" s="12" t="n"/>
      <c r="AO783" s="12" t="n"/>
      <c r="AP783" s="12" t="n"/>
      <c r="AQ783" s="7">
        <f>IF(A783="","",IF(AP783&lt;&gt;"",AP783,IF(LEFT(Z783,11)="gads_marque","Google Search – Marque",IF(LEFT(Z783,12)="gads_mariage","Google Search – Mariage et privé",IF(LEFT(Z783,10)="gads_corpo","Google Search – Corporatif",IF(LEFT(Z783,5)="meta_","Meta – Leads",IF(LEFT(Z783,5)="msft_","Microsoft Ads",IF(LEFT(Z783,8)="chatgpt_","ChatGPT Ads – Test",IF(X783="gbp","Fiche Google (organique)","Autre / non payé")))))))))</f>
        <v/>
      </c>
      <c r="AR783" s="7">
        <f>IF(K783="","",IFERROR(VLOOKUP(K783,Listes!$F$3:$H$8,3,FALSE),""))</f>
        <v/>
      </c>
      <c r="AS783" s="7">
        <f>IF(O783="","",IF(AND(M783="Autre (plus de 40 km)",OR(O783="lt600",O783="600_999",O783="1000_2499")),"D",IF(OR(O783="lt600",AND(O783="600_999",K783&lt;&gt;"mariage",K783&lt;&gt;"prive")),"C",IF(OR(O783="2500_4999",O783="5000p",J783="entreprise",J783="organisme",J783="agence"),"A",IF(OR(O783="1000_2499",O783="600_999"),"B",IF(O783="inconnu",IF(OR(N783="75_149",N783="150p"),"A","B"),""))))))</f>
        <v/>
      </c>
      <c r="AT783" s="7">
        <f>IF(A783="","",IF(P783&lt;&gt;"",P783,AS783))</f>
        <v/>
      </c>
      <c r="AU783" s="7">
        <f>IF(A783="","",IF(OR(AT783="A",AT783="B"),1,0))</f>
        <v/>
      </c>
      <c r="AV783" s="7">
        <f>IF(A783="","",IF(OR(R783="Dépôt payé (gagné)",R783="Événement livré",R783="Avis obtenu"),1,0))</f>
        <v/>
      </c>
      <c r="AW783" s="7">
        <f>IF(A783="","",IF(Q783&gt;70,"Immédiat – propriétaire",IF(Q783&gt;=40,"15 min – personne de garde","Selon la route")))</f>
        <v/>
      </c>
      <c r="AX783" s="11">
        <f>IF(A783="","",IF(AT783="A",400,IF(AT783="B",150,0)))</f>
        <v/>
      </c>
      <c r="AY783" s="11">
        <f>IF(A783="","",IF(AV783=1,N(V783),IF(N(U783)&gt;0,ROUND(N(U783)*IFERROR(VLOOKUP(R783,Listes!$AE$3:$AG$12,2,FALSE),0),0),0)))</f>
        <v/>
      </c>
      <c r="AZ783" s="7">
        <f>IF(LEFT(A783,7)="EXEMPLE",1,0)</f>
        <v/>
      </c>
      <c r="BA783" s="7">
        <f>IF(AND(AV783=1,AZ783=0,AC783&lt;&gt;"",W783&lt;&gt;"",N(V783)&gt;0),COUNTIFS($AV$3:AV783,1,$AZ$3:AZ783,0,$AC$3:AC783,"&lt;&gt;",$W$3:W783,"&lt;&gt;",$V$3:V783,"&gt;0"),"")</f>
        <v/>
      </c>
    </row>
    <row r="784">
      <c r="A784" s="12" t="n"/>
      <c r="B784" s="13" t="n"/>
      <c r="C784" s="13" t="n"/>
      <c r="D784" s="7">
        <f>IF(OR(B784="",C784=""),"",ROUND((C784-B784)*1440,0))</f>
        <v/>
      </c>
      <c r="E784" s="12" t="n"/>
      <c r="F784" s="12" t="n"/>
      <c r="G784" s="12" t="n"/>
      <c r="H784" s="12" t="n"/>
      <c r="I784" s="12" t="n"/>
      <c r="J784" s="12" t="n"/>
      <c r="K784" s="12" t="n"/>
      <c r="L784" s="14" t="n"/>
      <c r="M784" s="12" t="n"/>
      <c r="N784" s="12" t="n"/>
      <c r="O784" s="12" t="n"/>
      <c r="P784" s="12" t="n"/>
      <c r="Q784" s="7">
        <f>IF(A784="","",IFERROR(VLOOKUP(O784,Listes!$R$3:$T$8,2,FALSE),0)+IFERROR(VLOOKUP(J784,Listes!$J$3:$L$6,2,FALSE),0)+IFERROR(VLOOKUP(N784,Listes!$N$3:$P$6,2,FALSE),0)+IF(OR(L784="",B784=""),0,IF(L784-INT(B784)&lt;10,8,IF(L784-INT(B784)&lt;=90,10,5)))+IFERROR(VLOOKUP(AN784,Listes!$V$3:$W$5,2,FALSE),0)+IFERROR(VLOOKUP(AO784,Listes!$Y$3:$Z$5,2,FALSE),0))</f>
        <v/>
      </c>
      <c r="R784" s="12" t="n"/>
      <c r="S784" s="12" t="n"/>
      <c r="T784" s="12" t="n"/>
      <c r="U784" s="15" t="n"/>
      <c r="V784" s="15" t="n"/>
      <c r="W784" s="13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3" t="n"/>
      <c r="AK784" s="12" t="n"/>
      <c r="AL784" s="12" t="n"/>
      <c r="AM784" s="12" t="n"/>
      <c r="AN784" s="12" t="n"/>
      <c r="AO784" s="12" t="n"/>
      <c r="AP784" s="12" t="n"/>
      <c r="AQ784" s="7">
        <f>IF(A784="","",IF(AP784&lt;&gt;"",AP784,IF(LEFT(Z784,11)="gads_marque","Google Search – Marque",IF(LEFT(Z784,12)="gads_mariage","Google Search – Mariage et privé",IF(LEFT(Z784,10)="gads_corpo","Google Search – Corporatif",IF(LEFT(Z784,5)="meta_","Meta – Leads",IF(LEFT(Z784,5)="msft_","Microsoft Ads",IF(LEFT(Z784,8)="chatgpt_","ChatGPT Ads – Test",IF(X784="gbp","Fiche Google (organique)","Autre / non payé")))))))))</f>
        <v/>
      </c>
      <c r="AR784" s="7">
        <f>IF(K784="","",IFERROR(VLOOKUP(K784,Listes!$F$3:$H$8,3,FALSE),""))</f>
        <v/>
      </c>
      <c r="AS784" s="7">
        <f>IF(O784="","",IF(AND(M784="Autre (plus de 40 km)",OR(O784="lt600",O784="600_999",O784="1000_2499")),"D",IF(OR(O784="lt600",AND(O784="600_999",K784&lt;&gt;"mariage",K784&lt;&gt;"prive")),"C",IF(OR(O784="2500_4999",O784="5000p",J784="entreprise",J784="organisme",J784="agence"),"A",IF(OR(O784="1000_2499",O784="600_999"),"B",IF(O784="inconnu",IF(OR(N784="75_149",N784="150p"),"A","B"),""))))))</f>
        <v/>
      </c>
      <c r="AT784" s="7">
        <f>IF(A784="","",IF(P784&lt;&gt;"",P784,AS784))</f>
        <v/>
      </c>
      <c r="AU784" s="7">
        <f>IF(A784="","",IF(OR(AT784="A",AT784="B"),1,0))</f>
        <v/>
      </c>
      <c r="AV784" s="7">
        <f>IF(A784="","",IF(OR(R784="Dépôt payé (gagné)",R784="Événement livré",R784="Avis obtenu"),1,0))</f>
        <v/>
      </c>
      <c r="AW784" s="7">
        <f>IF(A784="","",IF(Q784&gt;70,"Immédiat – propriétaire",IF(Q784&gt;=40,"15 min – personne de garde","Selon la route")))</f>
        <v/>
      </c>
      <c r="AX784" s="11">
        <f>IF(A784="","",IF(AT784="A",400,IF(AT784="B",150,0)))</f>
        <v/>
      </c>
      <c r="AY784" s="11">
        <f>IF(A784="","",IF(AV784=1,N(V784),IF(N(U784)&gt;0,ROUND(N(U784)*IFERROR(VLOOKUP(R784,Listes!$AE$3:$AG$12,2,FALSE),0),0),0)))</f>
        <v/>
      </c>
      <c r="AZ784" s="7">
        <f>IF(LEFT(A784,7)="EXEMPLE",1,0)</f>
        <v/>
      </c>
      <c r="BA784" s="7">
        <f>IF(AND(AV784=1,AZ784=0,AC784&lt;&gt;"",W784&lt;&gt;"",N(V784)&gt;0),COUNTIFS($AV$3:AV784,1,$AZ$3:AZ784,0,$AC$3:AC784,"&lt;&gt;",$W$3:W784,"&lt;&gt;",$V$3:V784,"&gt;0"),"")</f>
        <v/>
      </c>
    </row>
    <row r="785">
      <c r="A785" s="12" t="n"/>
      <c r="B785" s="13" t="n"/>
      <c r="C785" s="13" t="n"/>
      <c r="D785" s="7">
        <f>IF(OR(B785="",C785=""),"",ROUND((C785-B785)*1440,0))</f>
        <v/>
      </c>
      <c r="E785" s="12" t="n"/>
      <c r="F785" s="12" t="n"/>
      <c r="G785" s="12" t="n"/>
      <c r="H785" s="12" t="n"/>
      <c r="I785" s="12" t="n"/>
      <c r="J785" s="12" t="n"/>
      <c r="K785" s="12" t="n"/>
      <c r="L785" s="14" t="n"/>
      <c r="M785" s="12" t="n"/>
      <c r="N785" s="12" t="n"/>
      <c r="O785" s="12" t="n"/>
      <c r="P785" s="12" t="n"/>
      <c r="Q785" s="7">
        <f>IF(A785="","",IFERROR(VLOOKUP(O785,Listes!$R$3:$T$8,2,FALSE),0)+IFERROR(VLOOKUP(J785,Listes!$J$3:$L$6,2,FALSE),0)+IFERROR(VLOOKUP(N785,Listes!$N$3:$P$6,2,FALSE),0)+IF(OR(L785="",B785=""),0,IF(L785-INT(B785)&lt;10,8,IF(L785-INT(B785)&lt;=90,10,5)))+IFERROR(VLOOKUP(AN785,Listes!$V$3:$W$5,2,FALSE),0)+IFERROR(VLOOKUP(AO785,Listes!$Y$3:$Z$5,2,FALSE),0))</f>
        <v/>
      </c>
      <c r="R785" s="12" t="n"/>
      <c r="S785" s="12" t="n"/>
      <c r="T785" s="12" t="n"/>
      <c r="U785" s="15" t="n"/>
      <c r="V785" s="15" t="n"/>
      <c r="W785" s="13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3" t="n"/>
      <c r="AK785" s="12" t="n"/>
      <c r="AL785" s="12" t="n"/>
      <c r="AM785" s="12" t="n"/>
      <c r="AN785" s="12" t="n"/>
      <c r="AO785" s="12" t="n"/>
      <c r="AP785" s="12" t="n"/>
      <c r="AQ785" s="7">
        <f>IF(A785="","",IF(AP785&lt;&gt;"",AP785,IF(LEFT(Z785,11)="gads_marque","Google Search – Marque",IF(LEFT(Z785,12)="gads_mariage","Google Search – Mariage et privé",IF(LEFT(Z785,10)="gads_corpo","Google Search – Corporatif",IF(LEFT(Z785,5)="meta_","Meta – Leads",IF(LEFT(Z785,5)="msft_","Microsoft Ads",IF(LEFT(Z785,8)="chatgpt_","ChatGPT Ads – Test",IF(X785="gbp","Fiche Google (organique)","Autre / non payé")))))))))</f>
        <v/>
      </c>
      <c r="AR785" s="7">
        <f>IF(K785="","",IFERROR(VLOOKUP(K785,Listes!$F$3:$H$8,3,FALSE),""))</f>
        <v/>
      </c>
      <c r="AS785" s="7">
        <f>IF(O785="","",IF(AND(M785="Autre (plus de 40 km)",OR(O785="lt600",O785="600_999",O785="1000_2499")),"D",IF(OR(O785="lt600",AND(O785="600_999",K785&lt;&gt;"mariage",K785&lt;&gt;"prive")),"C",IF(OR(O785="2500_4999",O785="5000p",J785="entreprise",J785="organisme",J785="agence"),"A",IF(OR(O785="1000_2499",O785="600_999"),"B",IF(O785="inconnu",IF(OR(N785="75_149",N785="150p"),"A","B"),""))))))</f>
        <v/>
      </c>
      <c r="AT785" s="7">
        <f>IF(A785="","",IF(P785&lt;&gt;"",P785,AS785))</f>
        <v/>
      </c>
      <c r="AU785" s="7">
        <f>IF(A785="","",IF(OR(AT785="A",AT785="B"),1,0))</f>
        <v/>
      </c>
      <c r="AV785" s="7">
        <f>IF(A785="","",IF(OR(R785="Dépôt payé (gagné)",R785="Événement livré",R785="Avis obtenu"),1,0))</f>
        <v/>
      </c>
      <c r="AW785" s="7">
        <f>IF(A785="","",IF(Q785&gt;70,"Immédiat – propriétaire",IF(Q785&gt;=40,"15 min – personne de garde","Selon la route")))</f>
        <v/>
      </c>
      <c r="AX785" s="11">
        <f>IF(A785="","",IF(AT785="A",400,IF(AT785="B",150,0)))</f>
        <v/>
      </c>
      <c r="AY785" s="11">
        <f>IF(A785="","",IF(AV785=1,N(V785),IF(N(U785)&gt;0,ROUND(N(U785)*IFERROR(VLOOKUP(R785,Listes!$AE$3:$AG$12,2,FALSE),0),0),0)))</f>
        <v/>
      </c>
      <c r="AZ785" s="7">
        <f>IF(LEFT(A785,7)="EXEMPLE",1,0)</f>
        <v/>
      </c>
      <c r="BA785" s="7">
        <f>IF(AND(AV785=1,AZ785=0,AC785&lt;&gt;"",W785&lt;&gt;"",N(V785)&gt;0),COUNTIFS($AV$3:AV785,1,$AZ$3:AZ785,0,$AC$3:AC785,"&lt;&gt;",$W$3:W785,"&lt;&gt;",$V$3:V785,"&gt;0"),"")</f>
        <v/>
      </c>
    </row>
    <row r="786">
      <c r="A786" s="12" t="n"/>
      <c r="B786" s="13" t="n"/>
      <c r="C786" s="13" t="n"/>
      <c r="D786" s="7">
        <f>IF(OR(B786="",C786=""),"",ROUND((C786-B786)*1440,0))</f>
        <v/>
      </c>
      <c r="E786" s="12" t="n"/>
      <c r="F786" s="12" t="n"/>
      <c r="G786" s="12" t="n"/>
      <c r="H786" s="12" t="n"/>
      <c r="I786" s="12" t="n"/>
      <c r="J786" s="12" t="n"/>
      <c r="K786" s="12" t="n"/>
      <c r="L786" s="14" t="n"/>
      <c r="M786" s="12" t="n"/>
      <c r="N786" s="12" t="n"/>
      <c r="O786" s="12" t="n"/>
      <c r="P786" s="12" t="n"/>
      <c r="Q786" s="7">
        <f>IF(A786="","",IFERROR(VLOOKUP(O786,Listes!$R$3:$T$8,2,FALSE),0)+IFERROR(VLOOKUP(J786,Listes!$J$3:$L$6,2,FALSE),0)+IFERROR(VLOOKUP(N786,Listes!$N$3:$P$6,2,FALSE),0)+IF(OR(L786="",B786=""),0,IF(L786-INT(B786)&lt;10,8,IF(L786-INT(B786)&lt;=90,10,5)))+IFERROR(VLOOKUP(AN786,Listes!$V$3:$W$5,2,FALSE),0)+IFERROR(VLOOKUP(AO786,Listes!$Y$3:$Z$5,2,FALSE),0))</f>
        <v/>
      </c>
      <c r="R786" s="12" t="n"/>
      <c r="S786" s="12" t="n"/>
      <c r="T786" s="12" t="n"/>
      <c r="U786" s="15" t="n"/>
      <c r="V786" s="15" t="n"/>
      <c r="W786" s="13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3" t="n"/>
      <c r="AK786" s="12" t="n"/>
      <c r="AL786" s="12" t="n"/>
      <c r="AM786" s="12" t="n"/>
      <c r="AN786" s="12" t="n"/>
      <c r="AO786" s="12" t="n"/>
      <c r="AP786" s="12" t="n"/>
      <c r="AQ786" s="7">
        <f>IF(A786="","",IF(AP786&lt;&gt;"",AP786,IF(LEFT(Z786,11)="gads_marque","Google Search – Marque",IF(LEFT(Z786,12)="gads_mariage","Google Search – Mariage et privé",IF(LEFT(Z786,10)="gads_corpo","Google Search – Corporatif",IF(LEFT(Z786,5)="meta_","Meta – Leads",IF(LEFT(Z786,5)="msft_","Microsoft Ads",IF(LEFT(Z786,8)="chatgpt_","ChatGPT Ads – Test",IF(X786="gbp","Fiche Google (organique)","Autre / non payé")))))))))</f>
        <v/>
      </c>
      <c r="AR786" s="7">
        <f>IF(K786="","",IFERROR(VLOOKUP(K786,Listes!$F$3:$H$8,3,FALSE),""))</f>
        <v/>
      </c>
      <c r="AS786" s="7">
        <f>IF(O786="","",IF(AND(M786="Autre (plus de 40 km)",OR(O786="lt600",O786="600_999",O786="1000_2499")),"D",IF(OR(O786="lt600",AND(O786="600_999",K786&lt;&gt;"mariage",K786&lt;&gt;"prive")),"C",IF(OR(O786="2500_4999",O786="5000p",J786="entreprise",J786="organisme",J786="agence"),"A",IF(OR(O786="1000_2499",O786="600_999"),"B",IF(O786="inconnu",IF(OR(N786="75_149",N786="150p"),"A","B"),""))))))</f>
        <v/>
      </c>
      <c r="AT786" s="7">
        <f>IF(A786="","",IF(P786&lt;&gt;"",P786,AS786))</f>
        <v/>
      </c>
      <c r="AU786" s="7">
        <f>IF(A786="","",IF(OR(AT786="A",AT786="B"),1,0))</f>
        <v/>
      </c>
      <c r="AV786" s="7">
        <f>IF(A786="","",IF(OR(R786="Dépôt payé (gagné)",R786="Événement livré",R786="Avis obtenu"),1,0))</f>
        <v/>
      </c>
      <c r="AW786" s="7">
        <f>IF(A786="","",IF(Q786&gt;70,"Immédiat – propriétaire",IF(Q786&gt;=40,"15 min – personne de garde","Selon la route")))</f>
        <v/>
      </c>
      <c r="AX786" s="11">
        <f>IF(A786="","",IF(AT786="A",400,IF(AT786="B",150,0)))</f>
        <v/>
      </c>
      <c r="AY786" s="11">
        <f>IF(A786="","",IF(AV786=1,N(V786),IF(N(U786)&gt;0,ROUND(N(U786)*IFERROR(VLOOKUP(R786,Listes!$AE$3:$AG$12,2,FALSE),0),0),0)))</f>
        <v/>
      </c>
      <c r="AZ786" s="7">
        <f>IF(LEFT(A786,7)="EXEMPLE",1,0)</f>
        <v/>
      </c>
      <c r="BA786" s="7">
        <f>IF(AND(AV786=1,AZ786=0,AC786&lt;&gt;"",W786&lt;&gt;"",N(V786)&gt;0),COUNTIFS($AV$3:AV786,1,$AZ$3:AZ786,0,$AC$3:AC786,"&lt;&gt;",$W$3:W786,"&lt;&gt;",$V$3:V786,"&gt;0"),"")</f>
        <v/>
      </c>
    </row>
    <row r="787">
      <c r="A787" s="12" t="n"/>
      <c r="B787" s="13" t="n"/>
      <c r="C787" s="13" t="n"/>
      <c r="D787" s="7">
        <f>IF(OR(B787="",C787=""),"",ROUND((C787-B787)*1440,0))</f>
        <v/>
      </c>
      <c r="E787" s="12" t="n"/>
      <c r="F787" s="12" t="n"/>
      <c r="G787" s="12" t="n"/>
      <c r="H787" s="12" t="n"/>
      <c r="I787" s="12" t="n"/>
      <c r="J787" s="12" t="n"/>
      <c r="K787" s="12" t="n"/>
      <c r="L787" s="14" t="n"/>
      <c r="M787" s="12" t="n"/>
      <c r="N787" s="12" t="n"/>
      <c r="O787" s="12" t="n"/>
      <c r="P787" s="12" t="n"/>
      <c r="Q787" s="7">
        <f>IF(A787="","",IFERROR(VLOOKUP(O787,Listes!$R$3:$T$8,2,FALSE),0)+IFERROR(VLOOKUP(J787,Listes!$J$3:$L$6,2,FALSE),0)+IFERROR(VLOOKUP(N787,Listes!$N$3:$P$6,2,FALSE),0)+IF(OR(L787="",B787=""),0,IF(L787-INT(B787)&lt;10,8,IF(L787-INT(B787)&lt;=90,10,5)))+IFERROR(VLOOKUP(AN787,Listes!$V$3:$W$5,2,FALSE),0)+IFERROR(VLOOKUP(AO787,Listes!$Y$3:$Z$5,2,FALSE),0))</f>
        <v/>
      </c>
      <c r="R787" s="12" t="n"/>
      <c r="S787" s="12" t="n"/>
      <c r="T787" s="12" t="n"/>
      <c r="U787" s="15" t="n"/>
      <c r="V787" s="15" t="n"/>
      <c r="W787" s="13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3" t="n"/>
      <c r="AK787" s="12" t="n"/>
      <c r="AL787" s="12" t="n"/>
      <c r="AM787" s="12" t="n"/>
      <c r="AN787" s="12" t="n"/>
      <c r="AO787" s="12" t="n"/>
      <c r="AP787" s="12" t="n"/>
      <c r="AQ787" s="7">
        <f>IF(A787="","",IF(AP787&lt;&gt;"",AP787,IF(LEFT(Z787,11)="gads_marque","Google Search – Marque",IF(LEFT(Z787,12)="gads_mariage","Google Search – Mariage et privé",IF(LEFT(Z787,10)="gads_corpo","Google Search – Corporatif",IF(LEFT(Z787,5)="meta_","Meta – Leads",IF(LEFT(Z787,5)="msft_","Microsoft Ads",IF(LEFT(Z787,8)="chatgpt_","ChatGPT Ads – Test",IF(X787="gbp","Fiche Google (organique)","Autre / non payé")))))))))</f>
        <v/>
      </c>
      <c r="AR787" s="7">
        <f>IF(K787="","",IFERROR(VLOOKUP(K787,Listes!$F$3:$H$8,3,FALSE),""))</f>
        <v/>
      </c>
      <c r="AS787" s="7">
        <f>IF(O787="","",IF(AND(M787="Autre (plus de 40 km)",OR(O787="lt600",O787="600_999",O787="1000_2499")),"D",IF(OR(O787="lt600",AND(O787="600_999",K787&lt;&gt;"mariage",K787&lt;&gt;"prive")),"C",IF(OR(O787="2500_4999",O787="5000p",J787="entreprise",J787="organisme",J787="agence"),"A",IF(OR(O787="1000_2499",O787="600_999"),"B",IF(O787="inconnu",IF(OR(N787="75_149",N787="150p"),"A","B"),""))))))</f>
        <v/>
      </c>
      <c r="AT787" s="7">
        <f>IF(A787="","",IF(P787&lt;&gt;"",P787,AS787))</f>
        <v/>
      </c>
      <c r="AU787" s="7">
        <f>IF(A787="","",IF(OR(AT787="A",AT787="B"),1,0))</f>
        <v/>
      </c>
      <c r="AV787" s="7">
        <f>IF(A787="","",IF(OR(R787="Dépôt payé (gagné)",R787="Événement livré",R787="Avis obtenu"),1,0))</f>
        <v/>
      </c>
      <c r="AW787" s="7">
        <f>IF(A787="","",IF(Q787&gt;70,"Immédiat – propriétaire",IF(Q787&gt;=40,"15 min – personne de garde","Selon la route")))</f>
        <v/>
      </c>
      <c r="AX787" s="11">
        <f>IF(A787="","",IF(AT787="A",400,IF(AT787="B",150,0)))</f>
        <v/>
      </c>
      <c r="AY787" s="11">
        <f>IF(A787="","",IF(AV787=1,N(V787),IF(N(U787)&gt;0,ROUND(N(U787)*IFERROR(VLOOKUP(R787,Listes!$AE$3:$AG$12,2,FALSE),0),0),0)))</f>
        <v/>
      </c>
      <c r="AZ787" s="7">
        <f>IF(LEFT(A787,7)="EXEMPLE",1,0)</f>
        <v/>
      </c>
      <c r="BA787" s="7">
        <f>IF(AND(AV787=1,AZ787=0,AC787&lt;&gt;"",W787&lt;&gt;"",N(V787)&gt;0),COUNTIFS($AV$3:AV787,1,$AZ$3:AZ787,0,$AC$3:AC787,"&lt;&gt;",$W$3:W787,"&lt;&gt;",$V$3:V787,"&gt;0"),"")</f>
        <v/>
      </c>
    </row>
    <row r="788">
      <c r="A788" s="12" t="n"/>
      <c r="B788" s="13" t="n"/>
      <c r="C788" s="13" t="n"/>
      <c r="D788" s="7">
        <f>IF(OR(B788="",C788=""),"",ROUND((C788-B788)*1440,0))</f>
        <v/>
      </c>
      <c r="E788" s="12" t="n"/>
      <c r="F788" s="12" t="n"/>
      <c r="G788" s="12" t="n"/>
      <c r="H788" s="12" t="n"/>
      <c r="I788" s="12" t="n"/>
      <c r="J788" s="12" t="n"/>
      <c r="K788" s="12" t="n"/>
      <c r="L788" s="14" t="n"/>
      <c r="M788" s="12" t="n"/>
      <c r="N788" s="12" t="n"/>
      <c r="O788" s="12" t="n"/>
      <c r="P788" s="12" t="n"/>
      <c r="Q788" s="7">
        <f>IF(A788="","",IFERROR(VLOOKUP(O788,Listes!$R$3:$T$8,2,FALSE),0)+IFERROR(VLOOKUP(J788,Listes!$J$3:$L$6,2,FALSE),0)+IFERROR(VLOOKUP(N788,Listes!$N$3:$P$6,2,FALSE),0)+IF(OR(L788="",B788=""),0,IF(L788-INT(B788)&lt;10,8,IF(L788-INT(B788)&lt;=90,10,5)))+IFERROR(VLOOKUP(AN788,Listes!$V$3:$W$5,2,FALSE),0)+IFERROR(VLOOKUP(AO788,Listes!$Y$3:$Z$5,2,FALSE),0))</f>
        <v/>
      </c>
      <c r="R788" s="12" t="n"/>
      <c r="S788" s="12" t="n"/>
      <c r="T788" s="12" t="n"/>
      <c r="U788" s="15" t="n"/>
      <c r="V788" s="15" t="n"/>
      <c r="W788" s="13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3" t="n"/>
      <c r="AK788" s="12" t="n"/>
      <c r="AL788" s="12" t="n"/>
      <c r="AM788" s="12" t="n"/>
      <c r="AN788" s="12" t="n"/>
      <c r="AO788" s="12" t="n"/>
      <c r="AP788" s="12" t="n"/>
      <c r="AQ788" s="7">
        <f>IF(A788="","",IF(AP788&lt;&gt;"",AP788,IF(LEFT(Z788,11)="gads_marque","Google Search – Marque",IF(LEFT(Z788,12)="gads_mariage","Google Search – Mariage et privé",IF(LEFT(Z788,10)="gads_corpo","Google Search – Corporatif",IF(LEFT(Z788,5)="meta_","Meta – Leads",IF(LEFT(Z788,5)="msft_","Microsoft Ads",IF(LEFT(Z788,8)="chatgpt_","ChatGPT Ads – Test",IF(X788="gbp","Fiche Google (organique)","Autre / non payé")))))))))</f>
        <v/>
      </c>
      <c r="AR788" s="7">
        <f>IF(K788="","",IFERROR(VLOOKUP(K788,Listes!$F$3:$H$8,3,FALSE),""))</f>
        <v/>
      </c>
      <c r="AS788" s="7">
        <f>IF(O788="","",IF(AND(M788="Autre (plus de 40 km)",OR(O788="lt600",O788="600_999",O788="1000_2499")),"D",IF(OR(O788="lt600",AND(O788="600_999",K788&lt;&gt;"mariage",K788&lt;&gt;"prive")),"C",IF(OR(O788="2500_4999",O788="5000p",J788="entreprise",J788="organisme",J788="agence"),"A",IF(OR(O788="1000_2499",O788="600_999"),"B",IF(O788="inconnu",IF(OR(N788="75_149",N788="150p"),"A","B"),""))))))</f>
        <v/>
      </c>
      <c r="AT788" s="7">
        <f>IF(A788="","",IF(P788&lt;&gt;"",P788,AS788))</f>
        <v/>
      </c>
      <c r="AU788" s="7">
        <f>IF(A788="","",IF(OR(AT788="A",AT788="B"),1,0))</f>
        <v/>
      </c>
      <c r="AV788" s="7">
        <f>IF(A788="","",IF(OR(R788="Dépôt payé (gagné)",R788="Événement livré",R788="Avis obtenu"),1,0))</f>
        <v/>
      </c>
      <c r="AW788" s="7">
        <f>IF(A788="","",IF(Q788&gt;70,"Immédiat – propriétaire",IF(Q788&gt;=40,"15 min – personne de garde","Selon la route")))</f>
        <v/>
      </c>
      <c r="AX788" s="11">
        <f>IF(A788="","",IF(AT788="A",400,IF(AT788="B",150,0)))</f>
        <v/>
      </c>
      <c r="AY788" s="11">
        <f>IF(A788="","",IF(AV788=1,N(V788),IF(N(U788)&gt;0,ROUND(N(U788)*IFERROR(VLOOKUP(R788,Listes!$AE$3:$AG$12,2,FALSE),0),0),0)))</f>
        <v/>
      </c>
      <c r="AZ788" s="7">
        <f>IF(LEFT(A788,7)="EXEMPLE",1,0)</f>
        <v/>
      </c>
      <c r="BA788" s="7">
        <f>IF(AND(AV788=1,AZ788=0,AC788&lt;&gt;"",W788&lt;&gt;"",N(V788)&gt;0),COUNTIFS($AV$3:AV788,1,$AZ$3:AZ788,0,$AC$3:AC788,"&lt;&gt;",$W$3:W788,"&lt;&gt;",$V$3:V788,"&gt;0"),"")</f>
        <v/>
      </c>
    </row>
    <row r="789">
      <c r="A789" s="12" t="n"/>
      <c r="B789" s="13" t="n"/>
      <c r="C789" s="13" t="n"/>
      <c r="D789" s="7">
        <f>IF(OR(B789="",C789=""),"",ROUND((C789-B789)*1440,0))</f>
        <v/>
      </c>
      <c r="E789" s="12" t="n"/>
      <c r="F789" s="12" t="n"/>
      <c r="G789" s="12" t="n"/>
      <c r="H789" s="12" t="n"/>
      <c r="I789" s="12" t="n"/>
      <c r="J789" s="12" t="n"/>
      <c r="K789" s="12" t="n"/>
      <c r="L789" s="14" t="n"/>
      <c r="M789" s="12" t="n"/>
      <c r="N789" s="12" t="n"/>
      <c r="O789" s="12" t="n"/>
      <c r="P789" s="12" t="n"/>
      <c r="Q789" s="7">
        <f>IF(A789="","",IFERROR(VLOOKUP(O789,Listes!$R$3:$T$8,2,FALSE),0)+IFERROR(VLOOKUP(J789,Listes!$J$3:$L$6,2,FALSE),0)+IFERROR(VLOOKUP(N789,Listes!$N$3:$P$6,2,FALSE),0)+IF(OR(L789="",B789=""),0,IF(L789-INT(B789)&lt;10,8,IF(L789-INT(B789)&lt;=90,10,5)))+IFERROR(VLOOKUP(AN789,Listes!$V$3:$W$5,2,FALSE),0)+IFERROR(VLOOKUP(AO789,Listes!$Y$3:$Z$5,2,FALSE),0))</f>
        <v/>
      </c>
      <c r="R789" s="12" t="n"/>
      <c r="S789" s="12" t="n"/>
      <c r="T789" s="12" t="n"/>
      <c r="U789" s="15" t="n"/>
      <c r="V789" s="15" t="n"/>
      <c r="W789" s="13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3" t="n"/>
      <c r="AK789" s="12" t="n"/>
      <c r="AL789" s="12" t="n"/>
      <c r="AM789" s="12" t="n"/>
      <c r="AN789" s="12" t="n"/>
      <c r="AO789" s="12" t="n"/>
      <c r="AP789" s="12" t="n"/>
      <c r="AQ789" s="7">
        <f>IF(A789="","",IF(AP789&lt;&gt;"",AP789,IF(LEFT(Z789,11)="gads_marque","Google Search – Marque",IF(LEFT(Z789,12)="gads_mariage","Google Search – Mariage et privé",IF(LEFT(Z789,10)="gads_corpo","Google Search – Corporatif",IF(LEFT(Z789,5)="meta_","Meta – Leads",IF(LEFT(Z789,5)="msft_","Microsoft Ads",IF(LEFT(Z789,8)="chatgpt_","ChatGPT Ads – Test",IF(X789="gbp","Fiche Google (organique)","Autre / non payé")))))))))</f>
        <v/>
      </c>
      <c r="AR789" s="7">
        <f>IF(K789="","",IFERROR(VLOOKUP(K789,Listes!$F$3:$H$8,3,FALSE),""))</f>
        <v/>
      </c>
      <c r="AS789" s="7">
        <f>IF(O789="","",IF(AND(M789="Autre (plus de 40 km)",OR(O789="lt600",O789="600_999",O789="1000_2499")),"D",IF(OR(O789="lt600",AND(O789="600_999",K789&lt;&gt;"mariage",K789&lt;&gt;"prive")),"C",IF(OR(O789="2500_4999",O789="5000p",J789="entreprise",J789="organisme",J789="agence"),"A",IF(OR(O789="1000_2499",O789="600_999"),"B",IF(O789="inconnu",IF(OR(N789="75_149",N789="150p"),"A","B"),""))))))</f>
        <v/>
      </c>
      <c r="AT789" s="7">
        <f>IF(A789="","",IF(P789&lt;&gt;"",P789,AS789))</f>
        <v/>
      </c>
      <c r="AU789" s="7">
        <f>IF(A789="","",IF(OR(AT789="A",AT789="B"),1,0))</f>
        <v/>
      </c>
      <c r="AV789" s="7">
        <f>IF(A789="","",IF(OR(R789="Dépôt payé (gagné)",R789="Événement livré",R789="Avis obtenu"),1,0))</f>
        <v/>
      </c>
      <c r="AW789" s="7">
        <f>IF(A789="","",IF(Q789&gt;70,"Immédiat – propriétaire",IF(Q789&gt;=40,"15 min – personne de garde","Selon la route")))</f>
        <v/>
      </c>
      <c r="AX789" s="11">
        <f>IF(A789="","",IF(AT789="A",400,IF(AT789="B",150,0)))</f>
        <v/>
      </c>
      <c r="AY789" s="11">
        <f>IF(A789="","",IF(AV789=1,N(V789),IF(N(U789)&gt;0,ROUND(N(U789)*IFERROR(VLOOKUP(R789,Listes!$AE$3:$AG$12,2,FALSE),0),0),0)))</f>
        <v/>
      </c>
      <c r="AZ789" s="7">
        <f>IF(LEFT(A789,7)="EXEMPLE",1,0)</f>
        <v/>
      </c>
      <c r="BA789" s="7">
        <f>IF(AND(AV789=1,AZ789=0,AC789&lt;&gt;"",W789&lt;&gt;"",N(V789)&gt;0),COUNTIFS($AV$3:AV789,1,$AZ$3:AZ789,0,$AC$3:AC789,"&lt;&gt;",$W$3:W789,"&lt;&gt;",$V$3:V789,"&gt;0"),"")</f>
        <v/>
      </c>
    </row>
    <row r="790">
      <c r="A790" s="12" t="n"/>
      <c r="B790" s="13" t="n"/>
      <c r="C790" s="13" t="n"/>
      <c r="D790" s="7">
        <f>IF(OR(B790="",C790=""),"",ROUND((C790-B790)*1440,0))</f>
        <v/>
      </c>
      <c r="E790" s="12" t="n"/>
      <c r="F790" s="12" t="n"/>
      <c r="G790" s="12" t="n"/>
      <c r="H790" s="12" t="n"/>
      <c r="I790" s="12" t="n"/>
      <c r="J790" s="12" t="n"/>
      <c r="K790" s="12" t="n"/>
      <c r="L790" s="14" t="n"/>
      <c r="M790" s="12" t="n"/>
      <c r="N790" s="12" t="n"/>
      <c r="O790" s="12" t="n"/>
      <c r="P790" s="12" t="n"/>
      <c r="Q790" s="7">
        <f>IF(A790="","",IFERROR(VLOOKUP(O790,Listes!$R$3:$T$8,2,FALSE),0)+IFERROR(VLOOKUP(J790,Listes!$J$3:$L$6,2,FALSE),0)+IFERROR(VLOOKUP(N790,Listes!$N$3:$P$6,2,FALSE),0)+IF(OR(L790="",B790=""),0,IF(L790-INT(B790)&lt;10,8,IF(L790-INT(B790)&lt;=90,10,5)))+IFERROR(VLOOKUP(AN790,Listes!$V$3:$W$5,2,FALSE),0)+IFERROR(VLOOKUP(AO790,Listes!$Y$3:$Z$5,2,FALSE),0))</f>
        <v/>
      </c>
      <c r="R790" s="12" t="n"/>
      <c r="S790" s="12" t="n"/>
      <c r="T790" s="12" t="n"/>
      <c r="U790" s="15" t="n"/>
      <c r="V790" s="15" t="n"/>
      <c r="W790" s="13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3" t="n"/>
      <c r="AK790" s="12" t="n"/>
      <c r="AL790" s="12" t="n"/>
      <c r="AM790" s="12" t="n"/>
      <c r="AN790" s="12" t="n"/>
      <c r="AO790" s="12" t="n"/>
      <c r="AP790" s="12" t="n"/>
      <c r="AQ790" s="7">
        <f>IF(A790="","",IF(AP790&lt;&gt;"",AP790,IF(LEFT(Z790,11)="gads_marque","Google Search – Marque",IF(LEFT(Z790,12)="gads_mariage","Google Search – Mariage et privé",IF(LEFT(Z790,10)="gads_corpo","Google Search – Corporatif",IF(LEFT(Z790,5)="meta_","Meta – Leads",IF(LEFT(Z790,5)="msft_","Microsoft Ads",IF(LEFT(Z790,8)="chatgpt_","ChatGPT Ads – Test",IF(X790="gbp","Fiche Google (organique)","Autre / non payé")))))))))</f>
        <v/>
      </c>
      <c r="AR790" s="7">
        <f>IF(K790="","",IFERROR(VLOOKUP(K790,Listes!$F$3:$H$8,3,FALSE),""))</f>
        <v/>
      </c>
      <c r="AS790" s="7">
        <f>IF(O790="","",IF(AND(M790="Autre (plus de 40 km)",OR(O790="lt600",O790="600_999",O790="1000_2499")),"D",IF(OR(O790="lt600",AND(O790="600_999",K790&lt;&gt;"mariage",K790&lt;&gt;"prive")),"C",IF(OR(O790="2500_4999",O790="5000p",J790="entreprise",J790="organisme",J790="agence"),"A",IF(OR(O790="1000_2499",O790="600_999"),"B",IF(O790="inconnu",IF(OR(N790="75_149",N790="150p"),"A","B"),""))))))</f>
        <v/>
      </c>
      <c r="AT790" s="7">
        <f>IF(A790="","",IF(P790&lt;&gt;"",P790,AS790))</f>
        <v/>
      </c>
      <c r="AU790" s="7">
        <f>IF(A790="","",IF(OR(AT790="A",AT790="B"),1,0))</f>
        <v/>
      </c>
      <c r="AV790" s="7">
        <f>IF(A790="","",IF(OR(R790="Dépôt payé (gagné)",R790="Événement livré",R790="Avis obtenu"),1,0))</f>
        <v/>
      </c>
      <c r="AW790" s="7">
        <f>IF(A790="","",IF(Q790&gt;70,"Immédiat – propriétaire",IF(Q790&gt;=40,"15 min – personne de garde","Selon la route")))</f>
        <v/>
      </c>
      <c r="AX790" s="11">
        <f>IF(A790="","",IF(AT790="A",400,IF(AT790="B",150,0)))</f>
        <v/>
      </c>
      <c r="AY790" s="11">
        <f>IF(A790="","",IF(AV790=1,N(V790),IF(N(U790)&gt;0,ROUND(N(U790)*IFERROR(VLOOKUP(R790,Listes!$AE$3:$AG$12,2,FALSE),0),0),0)))</f>
        <v/>
      </c>
      <c r="AZ790" s="7">
        <f>IF(LEFT(A790,7)="EXEMPLE",1,0)</f>
        <v/>
      </c>
      <c r="BA790" s="7">
        <f>IF(AND(AV790=1,AZ790=0,AC790&lt;&gt;"",W790&lt;&gt;"",N(V790)&gt;0),COUNTIFS($AV$3:AV790,1,$AZ$3:AZ790,0,$AC$3:AC790,"&lt;&gt;",$W$3:W790,"&lt;&gt;",$V$3:V790,"&gt;0"),"")</f>
        <v/>
      </c>
    </row>
    <row r="791">
      <c r="A791" s="12" t="n"/>
      <c r="B791" s="13" t="n"/>
      <c r="C791" s="13" t="n"/>
      <c r="D791" s="7">
        <f>IF(OR(B791="",C791=""),"",ROUND((C791-B791)*1440,0))</f>
        <v/>
      </c>
      <c r="E791" s="12" t="n"/>
      <c r="F791" s="12" t="n"/>
      <c r="G791" s="12" t="n"/>
      <c r="H791" s="12" t="n"/>
      <c r="I791" s="12" t="n"/>
      <c r="J791" s="12" t="n"/>
      <c r="K791" s="12" t="n"/>
      <c r="L791" s="14" t="n"/>
      <c r="M791" s="12" t="n"/>
      <c r="N791" s="12" t="n"/>
      <c r="O791" s="12" t="n"/>
      <c r="P791" s="12" t="n"/>
      <c r="Q791" s="7">
        <f>IF(A791="","",IFERROR(VLOOKUP(O791,Listes!$R$3:$T$8,2,FALSE),0)+IFERROR(VLOOKUP(J791,Listes!$J$3:$L$6,2,FALSE),0)+IFERROR(VLOOKUP(N791,Listes!$N$3:$P$6,2,FALSE),0)+IF(OR(L791="",B791=""),0,IF(L791-INT(B791)&lt;10,8,IF(L791-INT(B791)&lt;=90,10,5)))+IFERROR(VLOOKUP(AN791,Listes!$V$3:$W$5,2,FALSE),0)+IFERROR(VLOOKUP(AO791,Listes!$Y$3:$Z$5,2,FALSE),0))</f>
        <v/>
      </c>
      <c r="R791" s="12" t="n"/>
      <c r="S791" s="12" t="n"/>
      <c r="T791" s="12" t="n"/>
      <c r="U791" s="15" t="n"/>
      <c r="V791" s="15" t="n"/>
      <c r="W791" s="13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3" t="n"/>
      <c r="AK791" s="12" t="n"/>
      <c r="AL791" s="12" t="n"/>
      <c r="AM791" s="12" t="n"/>
      <c r="AN791" s="12" t="n"/>
      <c r="AO791" s="12" t="n"/>
      <c r="AP791" s="12" t="n"/>
      <c r="AQ791" s="7">
        <f>IF(A791="","",IF(AP791&lt;&gt;"",AP791,IF(LEFT(Z791,11)="gads_marque","Google Search – Marque",IF(LEFT(Z791,12)="gads_mariage","Google Search – Mariage et privé",IF(LEFT(Z791,10)="gads_corpo","Google Search – Corporatif",IF(LEFT(Z791,5)="meta_","Meta – Leads",IF(LEFT(Z791,5)="msft_","Microsoft Ads",IF(LEFT(Z791,8)="chatgpt_","ChatGPT Ads – Test",IF(X791="gbp","Fiche Google (organique)","Autre / non payé")))))))))</f>
        <v/>
      </c>
      <c r="AR791" s="7">
        <f>IF(K791="","",IFERROR(VLOOKUP(K791,Listes!$F$3:$H$8,3,FALSE),""))</f>
        <v/>
      </c>
      <c r="AS791" s="7">
        <f>IF(O791="","",IF(AND(M791="Autre (plus de 40 km)",OR(O791="lt600",O791="600_999",O791="1000_2499")),"D",IF(OR(O791="lt600",AND(O791="600_999",K791&lt;&gt;"mariage",K791&lt;&gt;"prive")),"C",IF(OR(O791="2500_4999",O791="5000p",J791="entreprise",J791="organisme",J791="agence"),"A",IF(OR(O791="1000_2499",O791="600_999"),"B",IF(O791="inconnu",IF(OR(N791="75_149",N791="150p"),"A","B"),""))))))</f>
        <v/>
      </c>
      <c r="AT791" s="7">
        <f>IF(A791="","",IF(P791&lt;&gt;"",P791,AS791))</f>
        <v/>
      </c>
      <c r="AU791" s="7">
        <f>IF(A791="","",IF(OR(AT791="A",AT791="B"),1,0))</f>
        <v/>
      </c>
      <c r="AV791" s="7">
        <f>IF(A791="","",IF(OR(R791="Dépôt payé (gagné)",R791="Événement livré",R791="Avis obtenu"),1,0))</f>
        <v/>
      </c>
      <c r="AW791" s="7">
        <f>IF(A791="","",IF(Q791&gt;70,"Immédiat – propriétaire",IF(Q791&gt;=40,"15 min – personne de garde","Selon la route")))</f>
        <v/>
      </c>
      <c r="AX791" s="11">
        <f>IF(A791="","",IF(AT791="A",400,IF(AT791="B",150,0)))</f>
        <v/>
      </c>
      <c r="AY791" s="11">
        <f>IF(A791="","",IF(AV791=1,N(V791),IF(N(U791)&gt;0,ROUND(N(U791)*IFERROR(VLOOKUP(R791,Listes!$AE$3:$AG$12,2,FALSE),0),0),0)))</f>
        <v/>
      </c>
      <c r="AZ791" s="7">
        <f>IF(LEFT(A791,7)="EXEMPLE",1,0)</f>
        <v/>
      </c>
      <c r="BA791" s="7">
        <f>IF(AND(AV791=1,AZ791=0,AC791&lt;&gt;"",W791&lt;&gt;"",N(V791)&gt;0),COUNTIFS($AV$3:AV791,1,$AZ$3:AZ791,0,$AC$3:AC791,"&lt;&gt;",$W$3:W791,"&lt;&gt;",$V$3:V791,"&gt;0"),"")</f>
        <v/>
      </c>
    </row>
    <row r="792">
      <c r="A792" s="12" t="n"/>
      <c r="B792" s="13" t="n"/>
      <c r="C792" s="13" t="n"/>
      <c r="D792" s="7">
        <f>IF(OR(B792="",C792=""),"",ROUND((C792-B792)*1440,0))</f>
        <v/>
      </c>
      <c r="E792" s="12" t="n"/>
      <c r="F792" s="12" t="n"/>
      <c r="G792" s="12" t="n"/>
      <c r="H792" s="12" t="n"/>
      <c r="I792" s="12" t="n"/>
      <c r="J792" s="12" t="n"/>
      <c r="K792" s="12" t="n"/>
      <c r="L792" s="14" t="n"/>
      <c r="M792" s="12" t="n"/>
      <c r="N792" s="12" t="n"/>
      <c r="O792" s="12" t="n"/>
      <c r="P792" s="12" t="n"/>
      <c r="Q792" s="7">
        <f>IF(A792="","",IFERROR(VLOOKUP(O792,Listes!$R$3:$T$8,2,FALSE),0)+IFERROR(VLOOKUP(J792,Listes!$J$3:$L$6,2,FALSE),0)+IFERROR(VLOOKUP(N792,Listes!$N$3:$P$6,2,FALSE),0)+IF(OR(L792="",B792=""),0,IF(L792-INT(B792)&lt;10,8,IF(L792-INT(B792)&lt;=90,10,5)))+IFERROR(VLOOKUP(AN792,Listes!$V$3:$W$5,2,FALSE),0)+IFERROR(VLOOKUP(AO792,Listes!$Y$3:$Z$5,2,FALSE),0))</f>
        <v/>
      </c>
      <c r="R792" s="12" t="n"/>
      <c r="S792" s="12" t="n"/>
      <c r="T792" s="12" t="n"/>
      <c r="U792" s="15" t="n"/>
      <c r="V792" s="15" t="n"/>
      <c r="W792" s="13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3" t="n"/>
      <c r="AK792" s="12" t="n"/>
      <c r="AL792" s="12" t="n"/>
      <c r="AM792" s="12" t="n"/>
      <c r="AN792" s="12" t="n"/>
      <c r="AO792" s="12" t="n"/>
      <c r="AP792" s="12" t="n"/>
      <c r="AQ792" s="7">
        <f>IF(A792="","",IF(AP792&lt;&gt;"",AP792,IF(LEFT(Z792,11)="gads_marque","Google Search – Marque",IF(LEFT(Z792,12)="gads_mariage","Google Search – Mariage et privé",IF(LEFT(Z792,10)="gads_corpo","Google Search – Corporatif",IF(LEFT(Z792,5)="meta_","Meta – Leads",IF(LEFT(Z792,5)="msft_","Microsoft Ads",IF(LEFT(Z792,8)="chatgpt_","ChatGPT Ads – Test",IF(X792="gbp","Fiche Google (organique)","Autre / non payé")))))))))</f>
        <v/>
      </c>
      <c r="AR792" s="7">
        <f>IF(K792="","",IFERROR(VLOOKUP(K792,Listes!$F$3:$H$8,3,FALSE),""))</f>
        <v/>
      </c>
      <c r="AS792" s="7">
        <f>IF(O792="","",IF(AND(M792="Autre (plus de 40 km)",OR(O792="lt600",O792="600_999",O792="1000_2499")),"D",IF(OR(O792="lt600",AND(O792="600_999",K792&lt;&gt;"mariage",K792&lt;&gt;"prive")),"C",IF(OR(O792="2500_4999",O792="5000p",J792="entreprise",J792="organisme",J792="agence"),"A",IF(OR(O792="1000_2499",O792="600_999"),"B",IF(O792="inconnu",IF(OR(N792="75_149",N792="150p"),"A","B"),""))))))</f>
        <v/>
      </c>
      <c r="AT792" s="7">
        <f>IF(A792="","",IF(P792&lt;&gt;"",P792,AS792))</f>
        <v/>
      </c>
      <c r="AU792" s="7">
        <f>IF(A792="","",IF(OR(AT792="A",AT792="B"),1,0))</f>
        <v/>
      </c>
      <c r="AV792" s="7">
        <f>IF(A792="","",IF(OR(R792="Dépôt payé (gagné)",R792="Événement livré",R792="Avis obtenu"),1,0))</f>
        <v/>
      </c>
      <c r="AW792" s="7">
        <f>IF(A792="","",IF(Q792&gt;70,"Immédiat – propriétaire",IF(Q792&gt;=40,"15 min – personne de garde","Selon la route")))</f>
        <v/>
      </c>
      <c r="AX792" s="11">
        <f>IF(A792="","",IF(AT792="A",400,IF(AT792="B",150,0)))</f>
        <v/>
      </c>
      <c r="AY792" s="11">
        <f>IF(A792="","",IF(AV792=1,N(V792),IF(N(U792)&gt;0,ROUND(N(U792)*IFERROR(VLOOKUP(R792,Listes!$AE$3:$AG$12,2,FALSE),0),0),0)))</f>
        <v/>
      </c>
      <c r="AZ792" s="7">
        <f>IF(LEFT(A792,7)="EXEMPLE",1,0)</f>
        <v/>
      </c>
      <c r="BA792" s="7">
        <f>IF(AND(AV792=1,AZ792=0,AC792&lt;&gt;"",W792&lt;&gt;"",N(V792)&gt;0),COUNTIFS($AV$3:AV792,1,$AZ$3:AZ792,0,$AC$3:AC792,"&lt;&gt;",$W$3:W792,"&lt;&gt;",$V$3:V792,"&gt;0"),"")</f>
        <v/>
      </c>
    </row>
    <row r="793">
      <c r="A793" s="12" t="n"/>
      <c r="B793" s="13" t="n"/>
      <c r="C793" s="13" t="n"/>
      <c r="D793" s="7">
        <f>IF(OR(B793="",C793=""),"",ROUND((C793-B793)*1440,0))</f>
        <v/>
      </c>
      <c r="E793" s="12" t="n"/>
      <c r="F793" s="12" t="n"/>
      <c r="G793" s="12" t="n"/>
      <c r="H793" s="12" t="n"/>
      <c r="I793" s="12" t="n"/>
      <c r="J793" s="12" t="n"/>
      <c r="K793" s="12" t="n"/>
      <c r="L793" s="14" t="n"/>
      <c r="M793" s="12" t="n"/>
      <c r="N793" s="12" t="n"/>
      <c r="O793" s="12" t="n"/>
      <c r="P793" s="12" t="n"/>
      <c r="Q793" s="7">
        <f>IF(A793="","",IFERROR(VLOOKUP(O793,Listes!$R$3:$T$8,2,FALSE),0)+IFERROR(VLOOKUP(J793,Listes!$J$3:$L$6,2,FALSE),0)+IFERROR(VLOOKUP(N793,Listes!$N$3:$P$6,2,FALSE),0)+IF(OR(L793="",B793=""),0,IF(L793-INT(B793)&lt;10,8,IF(L793-INT(B793)&lt;=90,10,5)))+IFERROR(VLOOKUP(AN793,Listes!$V$3:$W$5,2,FALSE),0)+IFERROR(VLOOKUP(AO793,Listes!$Y$3:$Z$5,2,FALSE),0))</f>
        <v/>
      </c>
      <c r="R793" s="12" t="n"/>
      <c r="S793" s="12" t="n"/>
      <c r="T793" s="12" t="n"/>
      <c r="U793" s="15" t="n"/>
      <c r="V793" s="15" t="n"/>
      <c r="W793" s="13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3" t="n"/>
      <c r="AK793" s="12" t="n"/>
      <c r="AL793" s="12" t="n"/>
      <c r="AM793" s="12" t="n"/>
      <c r="AN793" s="12" t="n"/>
      <c r="AO793" s="12" t="n"/>
      <c r="AP793" s="12" t="n"/>
      <c r="AQ793" s="7">
        <f>IF(A793="","",IF(AP793&lt;&gt;"",AP793,IF(LEFT(Z793,11)="gads_marque","Google Search – Marque",IF(LEFT(Z793,12)="gads_mariage","Google Search – Mariage et privé",IF(LEFT(Z793,10)="gads_corpo","Google Search – Corporatif",IF(LEFT(Z793,5)="meta_","Meta – Leads",IF(LEFT(Z793,5)="msft_","Microsoft Ads",IF(LEFT(Z793,8)="chatgpt_","ChatGPT Ads – Test",IF(X793="gbp","Fiche Google (organique)","Autre / non payé")))))))))</f>
        <v/>
      </c>
      <c r="AR793" s="7">
        <f>IF(K793="","",IFERROR(VLOOKUP(K793,Listes!$F$3:$H$8,3,FALSE),""))</f>
        <v/>
      </c>
      <c r="AS793" s="7">
        <f>IF(O793="","",IF(AND(M793="Autre (plus de 40 km)",OR(O793="lt600",O793="600_999",O793="1000_2499")),"D",IF(OR(O793="lt600",AND(O793="600_999",K793&lt;&gt;"mariage",K793&lt;&gt;"prive")),"C",IF(OR(O793="2500_4999",O793="5000p",J793="entreprise",J793="organisme",J793="agence"),"A",IF(OR(O793="1000_2499",O793="600_999"),"B",IF(O793="inconnu",IF(OR(N793="75_149",N793="150p"),"A","B"),""))))))</f>
        <v/>
      </c>
      <c r="AT793" s="7">
        <f>IF(A793="","",IF(P793&lt;&gt;"",P793,AS793))</f>
        <v/>
      </c>
      <c r="AU793" s="7">
        <f>IF(A793="","",IF(OR(AT793="A",AT793="B"),1,0))</f>
        <v/>
      </c>
      <c r="AV793" s="7">
        <f>IF(A793="","",IF(OR(R793="Dépôt payé (gagné)",R793="Événement livré",R793="Avis obtenu"),1,0))</f>
        <v/>
      </c>
      <c r="AW793" s="7">
        <f>IF(A793="","",IF(Q793&gt;70,"Immédiat – propriétaire",IF(Q793&gt;=40,"15 min – personne de garde","Selon la route")))</f>
        <v/>
      </c>
      <c r="AX793" s="11">
        <f>IF(A793="","",IF(AT793="A",400,IF(AT793="B",150,0)))</f>
        <v/>
      </c>
      <c r="AY793" s="11">
        <f>IF(A793="","",IF(AV793=1,N(V793),IF(N(U793)&gt;0,ROUND(N(U793)*IFERROR(VLOOKUP(R793,Listes!$AE$3:$AG$12,2,FALSE),0),0),0)))</f>
        <v/>
      </c>
      <c r="AZ793" s="7">
        <f>IF(LEFT(A793,7)="EXEMPLE",1,0)</f>
        <v/>
      </c>
      <c r="BA793" s="7">
        <f>IF(AND(AV793=1,AZ793=0,AC793&lt;&gt;"",W793&lt;&gt;"",N(V793)&gt;0),COUNTIFS($AV$3:AV793,1,$AZ$3:AZ793,0,$AC$3:AC793,"&lt;&gt;",$W$3:W793,"&lt;&gt;",$V$3:V793,"&gt;0"),"")</f>
        <v/>
      </c>
    </row>
    <row r="794">
      <c r="A794" s="12" t="n"/>
      <c r="B794" s="13" t="n"/>
      <c r="C794" s="13" t="n"/>
      <c r="D794" s="7">
        <f>IF(OR(B794="",C794=""),"",ROUND((C794-B794)*1440,0))</f>
        <v/>
      </c>
      <c r="E794" s="12" t="n"/>
      <c r="F794" s="12" t="n"/>
      <c r="G794" s="12" t="n"/>
      <c r="H794" s="12" t="n"/>
      <c r="I794" s="12" t="n"/>
      <c r="J794" s="12" t="n"/>
      <c r="K794" s="12" t="n"/>
      <c r="L794" s="14" t="n"/>
      <c r="M794" s="12" t="n"/>
      <c r="N794" s="12" t="n"/>
      <c r="O794" s="12" t="n"/>
      <c r="P794" s="12" t="n"/>
      <c r="Q794" s="7">
        <f>IF(A794="","",IFERROR(VLOOKUP(O794,Listes!$R$3:$T$8,2,FALSE),0)+IFERROR(VLOOKUP(J794,Listes!$J$3:$L$6,2,FALSE),0)+IFERROR(VLOOKUP(N794,Listes!$N$3:$P$6,2,FALSE),0)+IF(OR(L794="",B794=""),0,IF(L794-INT(B794)&lt;10,8,IF(L794-INT(B794)&lt;=90,10,5)))+IFERROR(VLOOKUP(AN794,Listes!$V$3:$W$5,2,FALSE),0)+IFERROR(VLOOKUP(AO794,Listes!$Y$3:$Z$5,2,FALSE),0))</f>
        <v/>
      </c>
      <c r="R794" s="12" t="n"/>
      <c r="S794" s="12" t="n"/>
      <c r="T794" s="12" t="n"/>
      <c r="U794" s="15" t="n"/>
      <c r="V794" s="15" t="n"/>
      <c r="W794" s="13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3" t="n"/>
      <c r="AK794" s="12" t="n"/>
      <c r="AL794" s="12" t="n"/>
      <c r="AM794" s="12" t="n"/>
      <c r="AN794" s="12" t="n"/>
      <c r="AO794" s="12" t="n"/>
      <c r="AP794" s="12" t="n"/>
      <c r="AQ794" s="7">
        <f>IF(A794="","",IF(AP794&lt;&gt;"",AP794,IF(LEFT(Z794,11)="gads_marque","Google Search – Marque",IF(LEFT(Z794,12)="gads_mariage","Google Search – Mariage et privé",IF(LEFT(Z794,10)="gads_corpo","Google Search – Corporatif",IF(LEFT(Z794,5)="meta_","Meta – Leads",IF(LEFT(Z794,5)="msft_","Microsoft Ads",IF(LEFT(Z794,8)="chatgpt_","ChatGPT Ads – Test",IF(X794="gbp","Fiche Google (organique)","Autre / non payé")))))))))</f>
        <v/>
      </c>
      <c r="AR794" s="7">
        <f>IF(K794="","",IFERROR(VLOOKUP(K794,Listes!$F$3:$H$8,3,FALSE),""))</f>
        <v/>
      </c>
      <c r="AS794" s="7">
        <f>IF(O794="","",IF(AND(M794="Autre (plus de 40 km)",OR(O794="lt600",O794="600_999",O794="1000_2499")),"D",IF(OR(O794="lt600",AND(O794="600_999",K794&lt;&gt;"mariage",K794&lt;&gt;"prive")),"C",IF(OR(O794="2500_4999",O794="5000p",J794="entreprise",J794="organisme",J794="agence"),"A",IF(OR(O794="1000_2499",O794="600_999"),"B",IF(O794="inconnu",IF(OR(N794="75_149",N794="150p"),"A","B"),""))))))</f>
        <v/>
      </c>
      <c r="AT794" s="7">
        <f>IF(A794="","",IF(P794&lt;&gt;"",P794,AS794))</f>
        <v/>
      </c>
      <c r="AU794" s="7">
        <f>IF(A794="","",IF(OR(AT794="A",AT794="B"),1,0))</f>
        <v/>
      </c>
      <c r="AV794" s="7">
        <f>IF(A794="","",IF(OR(R794="Dépôt payé (gagné)",R794="Événement livré",R794="Avis obtenu"),1,0))</f>
        <v/>
      </c>
      <c r="AW794" s="7">
        <f>IF(A794="","",IF(Q794&gt;70,"Immédiat – propriétaire",IF(Q794&gt;=40,"15 min – personne de garde","Selon la route")))</f>
        <v/>
      </c>
      <c r="AX794" s="11">
        <f>IF(A794="","",IF(AT794="A",400,IF(AT794="B",150,0)))</f>
        <v/>
      </c>
      <c r="AY794" s="11">
        <f>IF(A794="","",IF(AV794=1,N(V794),IF(N(U794)&gt;0,ROUND(N(U794)*IFERROR(VLOOKUP(R794,Listes!$AE$3:$AG$12,2,FALSE),0),0),0)))</f>
        <v/>
      </c>
      <c r="AZ794" s="7">
        <f>IF(LEFT(A794,7)="EXEMPLE",1,0)</f>
        <v/>
      </c>
      <c r="BA794" s="7">
        <f>IF(AND(AV794=1,AZ794=0,AC794&lt;&gt;"",W794&lt;&gt;"",N(V794)&gt;0),COUNTIFS($AV$3:AV794,1,$AZ$3:AZ794,0,$AC$3:AC794,"&lt;&gt;",$W$3:W794,"&lt;&gt;",$V$3:V794,"&gt;0"),"")</f>
        <v/>
      </c>
    </row>
    <row r="795">
      <c r="A795" s="12" t="n"/>
      <c r="B795" s="13" t="n"/>
      <c r="C795" s="13" t="n"/>
      <c r="D795" s="7">
        <f>IF(OR(B795="",C795=""),"",ROUND((C795-B795)*1440,0))</f>
        <v/>
      </c>
      <c r="E795" s="12" t="n"/>
      <c r="F795" s="12" t="n"/>
      <c r="G795" s="12" t="n"/>
      <c r="H795" s="12" t="n"/>
      <c r="I795" s="12" t="n"/>
      <c r="J795" s="12" t="n"/>
      <c r="K795" s="12" t="n"/>
      <c r="L795" s="14" t="n"/>
      <c r="M795" s="12" t="n"/>
      <c r="N795" s="12" t="n"/>
      <c r="O795" s="12" t="n"/>
      <c r="P795" s="12" t="n"/>
      <c r="Q795" s="7">
        <f>IF(A795="","",IFERROR(VLOOKUP(O795,Listes!$R$3:$T$8,2,FALSE),0)+IFERROR(VLOOKUP(J795,Listes!$J$3:$L$6,2,FALSE),0)+IFERROR(VLOOKUP(N795,Listes!$N$3:$P$6,2,FALSE),0)+IF(OR(L795="",B795=""),0,IF(L795-INT(B795)&lt;10,8,IF(L795-INT(B795)&lt;=90,10,5)))+IFERROR(VLOOKUP(AN795,Listes!$V$3:$W$5,2,FALSE),0)+IFERROR(VLOOKUP(AO795,Listes!$Y$3:$Z$5,2,FALSE),0))</f>
        <v/>
      </c>
      <c r="R795" s="12" t="n"/>
      <c r="S795" s="12" t="n"/>
      <c r="T795" s="12" t="n"/>
      <c r="U795" s="15" t="n"/>
      <c r="V795" s="15" t="n"/>
      <c r="W795" s="13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3" t="n"/>
      <c r="AK795" s="12" t="n"/>
      <c r="AL795" s="12" t="n"/>
      <c r="AM795" s="12" t="n"/>
      <c r="AN795" s="12" t="n"/>
      <c r="AO795" s="12" t="n"/>
      <c r="AP795" s="12" t="n"/>
      <c r="AQ795" s="7">
        <f>IF(A795="","",IF(AP795&lt;&gt;"",AP795,IF(LEFT(Z795,11)="gads_marque","Google Search – Marque",IF(LEFT(Z795,12)="gads_mariage","Google Search – Mariage et privé",IF(LEFT(Z795,10)="gads_corpo","Google Search – Corporatif",IF(LEFT(Z795,5)="meta_","Meta – Leads",IF(LEFT(Z795,5)="msft_","Microsoft Ads",IF(LEFT(Z795,8)="chatgpt_","ChatGPT Ads – Test",IF(X795="gbp","Fiche Google (organique)","Autre / non payé")))))))))</f>
        <v/>
      </c>
      <c r="AR795" s="7">
        <f>IF(K795="","",IFERROR(VLOOKUP(K795,Listes!$F$3:$H$8,3,FALSE),""))</f>
        <v/>
      </c>
      <c r="AS795" s="7">
        <f>IF(O795="","",IF(AND(M795="Autre (plus de 40 km)",OR(O795="lt600",O795="600_999",O795="1000_2499")),"D",IF(OR(O795="lt600",AND(O795="600_999",K795&lt;&gt;"mariage",K795&lt;&gt;"prive")),"C",IF(OR(O795="2500_4999",O795="5000p",J795="entreprise",J795="organisme",J795="agence"),"A",IF(OR(O795="1000_2499",O795="600_999"),"B",IF(O795="inconnu",IF(OR(N795="75_149",N795="150p"),"A","B"),""))))))</f>
        <v/>
      </c>
      <c r="AT795" s="7">
        <f>IF(A795="","",IF(P795&lt;&gt;"",P795,AS795))</f>
        <v/>
      </c>
      <c r="AU795" s="7">
        <f>IF(A795="","",IF(OR(AT795="A",AT795="B"),1,0))</f>
        <v/>
      </c>
      <c r="AV795" s="7">
        <f>IF(A795="","",IF(OR(R795="Dépôt payé (gagné)",R795="Événement livré",R795="Avis obtenu"),1,0))</f>
        <v/>
      </c>
      <c r="AW795" s="7">
        <f>IF(A795="","",IF(Q795&gt;70,"Immédiat – propriétaire",IF(Q795&gt;=40,"15 min – personne de garde","Selon la route")))</f>
        <v/>
      </c>
      <c r="AX795" s="11">
        <f>IF(A795="","",IF(AT795="A",400,IF(AT795="B",150,0)))</f>
        <v/>
      </c>
      <c r="AY795" s="11">
        <f>IF(A795="","",IF(AV795=1,N(V795),IF(N(U795)&gt;0,ROUND(N(U795)*IFERROR(VLOOKUP(R795,Listes!$AE$3:$AG$12,2,FALSE),0),0),0)))</f>
        <v/>
      </c>
      <c r="AZ795" s="7">
        <f>IF(LEFT(A795,7)="EXEMPLE",1,0)</f>
        <v/>
      </c>
      <c r="BA795" s="7">
        <f>IF(AND(AV795=1,AZ795=0,AC795&lt;&gt;"",W795&lt;&gt;"",N(V795)&gt;0),COUNTIFS($AV$3:AV795,1,$AZ$3:AZ795,0,$AC$3:AC795,"&lt;&gt;",$W$3:W795,"&lt;&gt;",$V$3:V795,"&gt;0"),"")</f>
        <v/>
      </c>
    </row>
    <row r="796">
      <c r="A796" s="12" t="n"/>
      <c r="B796" s="13" t="n"/>
      <c r="C796" s="13" t="n"/>
      <c r="D796" s="7">
        <f>IF(OR(B796="",C796=""),"",ROUND((C796-B796)*1440,0))</f>
        <v/>
      </c>
      <c r="E796" s="12" t="n"/>
      <c r="F796" s="12" t="n"/>
      <c r="G796" s="12" t="n"/>
      <c r="H796" s="12" t="n"/>
      <c r="I796" s="12" t="n"/>
      <c r="J796" s="12" t="n"/>
      <c r="K796" s="12" t="n"/>
      <c r="L796" s="14" t="n"/>
      <c r="M796" s="12" t="n"/>
      <c r="N796" s="12" t="n"/>
      <c r="O796" s="12" t="n"/>
      <c r="P796" s="12" t="n"/>
      <c r="Q796" s="7">
        <f>IF(A796="","",IFERROR(VLOOKUP(O796,Listes!$R$3:$T$8,2,FALSE),0)+IFERROR(VLOOKUP(J796,Listes!$J$3:$L$6,2,FALSE),0)+IFERROR(VLOOKUP(N796,Listes!$N$3:$P$6,2,FALSE),0)+IF(OR(L796="",B796=""),0,IF(L796-INT(B796)&lt;10,8,IF(L796-INT(B796)&lt;=90,10,5)))+IFERROR(VLOOKUP(AN796,Listes!$V$3:$W$5,2,FALSE),0)+IFERROR(VLOOKUP(AO796,Listes!$Y$3:$Z$5,2,FALSE),0))</f>
        <v/>
      </c>
      <c r="R796" s="12" t="n"/>
      <c r="S796" s="12" t="n"/>
      <c r="T796" s="12" t="n"/>
      <c r="U796" s="15" t="n"/>
      <c r="V796" s="15" t="n"/>
      <c r="W796" s="13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3" t="n"/>
      <c r="AK796" s="12" t="n"/>
      <c r="AL796" s="12" t="n"/>
      <c r="AM796" s="12" t="n"/>
      <c r="AN796" s="12" t="n"/>
      <c r="AO796" s="12" t="n"/>
      <c r="AP796" s="12" t="n"/>
      <c r="AQ796" s="7">
        <f>IF(A796="","",IF(AP796&lt;&gt;"",AP796,IF(LEFT(Z796,11)="gads_marque","Google Search – Marque",IF(LEFT(Z796,12)="gads_mariage","Google Search – Mariage et privé",IF(LEFT(Z796,10)="gads_corpo","Google Search – Corporatif",IF(LEFT(Z796,5)="meta_","Meta – Leads",IF(LEFT(Z796,5)="msft_","Microsoft Ads",IF(LEFT(Z796,8)="chatgpt_","ChatGPT Ads – Test",IF(X796="gbp","Fiche Google (organique)","Autre / non payé")))))))))</f>
        <v/>
      </c>
      <c r="AR796" s="7">
        <f>IF(K796="","",IFERROR(VLOOKUP(K796,Listes!$F$3:$H$8,3,FALSE),""))</f>
        <v/>
      </c>
      <c r="AS796" s="7">
        <f>IF(O796="","",IF(AND(M796="Autre (plus de 40 km)",OR(O796="lt600",O796="600_999",O796="1000_2499")),"D",IF(OR(O796="lt600",AND(O796="600_999",K796&lt;&gt;"mariage",K796&lt;&gt;"prive")),"C",IF(OR(O796="2500_4999",O796="5000p",J796="entreprise",J796="organisme",J796="agence"),"A",IF(OR(O796="1000_2499",O796="600_999"),"B",IF(O796="inconnu",IF(OR(N796="75_149",N796="150p"),"A","B"),""))))))</f>
        <v/>
      </c>
      <c r="AT796" s="7">
        <f>IF(A796="","",IF(P796&lt;&gt;"",P796,AS796))</f>
        <v/>
      </c>
      <c r="AU796" s="7">
        <f>IF(A796="","",IF(OR(AT796="A",AT796="B"),1,0))</f>
        <v/>
      </c>
      <c r="AV796" s="7">
        <f>IF(A796="","",IF(OR(R796="Dépôt payé (gagné)",R796="Événement livré",R796="Avis obtenu"),1,0))</f>
        <v/>
      </c>
      <c r="AW796" s="7">
        <f>IF(A796="","",IF(Q796&gt;70,"Immédiat – propriétaire",IF(Q796&gt;=40,"15 min – personne de garde","Selon la route")))</f>
        <v/>
      </c>
      <c r="AX796" s="11">
        <f>IF(A796="","",IF(AT796="A",400,IF(AT796="B",150,0)))</f>
        <v/>
      </c>
      <c r="AY796" s="11">
        <f>IF(A796="","",IF(AV796=1,N(V796),IF(N(U796)&gt;0,ROUND(N(U796)*IFERROR(VLOOKUP(R796,Listes!$AE$3:$AG$12,2,FALSE),0),0),0)))</f>
        <v/>
      </c>
      <c r="AZ796" s="7">
        <f>IF(LEFT(A796,7)="EXEMPLE",1,0)</f>
        <v/>
      </c>
      <c r="BA796" s="7">
        <f>IF(AND(AV796=1,AZ796=0,AC796&lt;&gt;"",W796&lt;&gt;"",N(V796)&gt;0),COUNTIFS($AV$3:AV796,1,$AZ$3:AZ796,0,$AC$3:AC796,"&lt;&gt;",$W$3:W796,"&lt;&gt;",$V$3:V796,"&gt;0"),"")</f>
        <v/>
      </c>
    </row>
    <row r="797">
      <c r="A797" s="12" t="n"/>
      <c r="B797" s="13" t="n"/>
      <c r="C797" s="13" t="n"/>
      <c r="D797" s="7">
        <f>IF(OR(B797="",C797=""),"",ROUND((C797-B797)*1440,0))</f>
        <v/>
      </c>
      <c r="E797" s="12" t="n"/>
      <c r="F797" s="12" t="n"/>
      <c r="G797" s="12" t="n"/>
      <c r="H797" s="12" t="n"/>
      <c r="I797" s="12" t="n"/>
      <c r="J797" s="12" t="n"/>
      <c r="K797" s="12" t="n"/>
      <c r="L797" s="14" t="n"/>
      <c r="M797" s="12" t="n"/>
      <c r="N797" s="12" t="n"/>
      <c r="O797" s="12" t="n"/>
      <c r="P797" s="12" t="n"/>
      <c r="Q797" s="7">
        <f>IF(A797="","",IFERROR(VLOOKUP(O797,Listes!$R$3:$T$8,2,FALSE),0)+IFERROR(VLOOKUP(J797,Listes!$J$3:$L$6,2,FALSE),0)+IFERROR(VLOOKUP(N797,Listes!$N$3:$P$6,2,FALSE),0)+IF(OR(L797="",B797=""),0,IF(L797-INT(B797)&lt;10,8,IF(L797-INT(B797)&lt;=90,10,5)))+IFERROR(VLOOKUP(AN797,Listes!$V$3:$W$5,2,FALSE),0)+IFERROR(VLOOKUP(AO797,Listes!$Y$3:$Z$5,2,FALSE),0))</f>
        <v/>
      </c>
      <c r="R797" s="12" t="n"/>
      <c r="S797" s="12" t="n"/>
      <c r="T797" s="12" t="n"/>
      <c r="U797" s="15" t="n"/>
      <c r="V797" s="15" t="n"/>
      <c r="W797" s="13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3" t="n"/>
      <c r="AK797" s="12" t="n"/>
      <c r="AL797" s="12" t="n"/>
      <c r="AM797" s="12" t="n"/>
      <c r="AN797" s="12" t="n"/>
      <c r="AO797" s="12" t="n"/>
      <c r="AP797" s="12" t="n"/>
      <c r="AQ797" s="7">
        <f>IF(A797="","",IF(AP797&lt;&gt;"",AP797,IF(LEFT(Z797,11)="gads_marque","Google Search – Marque",IF(LEFT(Z797,12)="gads_mariage","Google Search – Mariage et privé",IF(LEFT(Z797,10)="gads_corpo","Google Search – Corporatif",IF(LEFT(Z797,5)="meta_","Meta – Leads",IF(LEFT(Z797,5)="msft_","Microsoft Ads",IF(LEFT(Z797,8)="chatgpt_","ChatGPT Ads – Test",IF(X797="gbp","Fiche Google (organique)","Autre / non payé")))))))))</f>
        <v/>
      </c>
      <c r="AR797" s="7">
        <f>IF(K797="","",IFERROR(VLOOKUP(K797,Listes!$F$3:$H$8,3,FALSE),""))</f>
        <v/>
      </c>
      <c r="AS797" s="7">
        <f>IF(O797="","",IF(AND(M797="Autre (plus de 40 km)",OR(O797="lt600",O797="600_999",O797="1000_2499")),"D",IF(OR(O797="lt600",AND(O797="600_999",K797&lt;&gt;"mariage",K797&lt;&gt;"prive")),"C",IF(OR(O797="2500_4999",O797="5000p",J797="entreprise",J797="organisme",J797="agence"),"A",IF(OR(O797="1000_2499",O797="600_999"),"B",IF(O797="inconnu",IF(OR(N797="75_149",N797="150p"),"A","B"),""))))))</f>
        <v/>
      </c>
      <c r="AT797" s="7">
        <f>IF(A797="","",IF(P797&lt;&gt;"",P797,AS797))</f>
        <v/>
      </c>
      <c r="AU797" s="7">
        <f>IF(A797="","",IF(OR(AT797="A",AT797="B"),1,0))</f>
        <v/>
      </c>
      <c r="AV797" s="7">
        <f>IF(A797="","",IF(OR(R797="Dépôt payé (gagné)",R797="Événement livré",R797="Avis obtenu"),1,0))</f>
        <v/>
      </c>
      <c r="AW797" s="7">
        <f>IF(A797="","",IF(Q797&gt;70,"Immédiat – propriétaire",IF(Q797&gt;=40,"15 min – personne de garde","Selon la route")))</f>
        <v/>
      </c>
      <c r="AX797" s="11">
        <f>IF(A797="","",IF(AT797="A",400,IF(AT797="B",150,0)))</f>
        <v/>
      </c>
      <c r="AY797" s="11">
        <f>IF(A797="","",IF(AV797=1,N(V797),IF(N(U797)&gt;0,ROUND(N(U797)*IFERROR(VLOOKUP(R797,Listes!$AE$3:$AG$12,2,FALSE),0),0),0)))</f>
        <v/>
      </c>
      <c r="AZ797" s="7">
        <f>IF(LEFT(A797,7)="EXEMPLE",1,0)</f>
        <v/>
      </c>
      <c r="BA797" s="7">
        <f>IF(AND(AV797=1,AZ797=0,AC797&lt;&gt;"",W797&lt;&gt;"",N(V797)&gt;0),COUNTIFS($AV$3:AV797,1,$AZ$3:AZ797,0,$AC$3:AC797,"&lt;&gt;",$W$3:W797,"&lt;&gt;",$V$3:V797,"&gt;0"),"")</f>
        <v/>
      </c>
    </row>
    <row r="798">
      <c r="A798" s="12" t="n"/>
      <c r="B798" s="13" t="n"/>
      <c r="C798" s="13" t="n"/>
      <c r="D798" s="7">
        <f>IF(OR(B798="",C798=""),"",ROUND((C798-B798)*1440,0))</f>
        <v/>
      </c>
      <c r="E798" s="12" t="n"/>
      <c r="F798" s="12" t="n"/>
      <c r="G798" s="12" t="n"/>
      <c r="H798" s="12" t="n"/>
      <c r="I798" s="12" t="n"/>
      <c r="J798" s="12" t="n"/>
      <c r="K798" s="12" t="n"/>
      <c r="L798" s="14" t="n"/>
      <c r="M798" s="12" t="n"/>
      <c r="N798" s="12" t="n"/>
      <c r="O798" s="12" t="n"/>
      <c r="P798" s="12" t="n"/>
      <c r="Q798" s="7">
        <f>IF(A798="","",IFERROR(VLOOKUP(O798,Listes!$R$3:$T$8,2,FALSE),0)+IFERROR(VLOOKUP(J798,Listes!$J$3:$L$6,2,FALSE),0)+IFERROR(VLOOKUP(N798,Listes!$N$3:$P$6,2,FALSE),0)+IF(OR(L798="",B798=""),0,IF(L798-INT(B798)&lt;10,8,IF(L798-INT(B798)&lt;=90,10,5)))+IFERROR(VLOOKUP(AN798,Listes!$V$3:$W$5,2,FALSE),0)+IFERROR(VLOOKUP(AO798,Listes!$Y$3:$Z$5,2,FALSE),0))</f>
        <v/>
      </c>
      <c r="R798" s="12" t="n"/>
      <c r="S798" s="12" t="n"/>
      <c r="T798" s="12" t="n"/>
      <c r="U798" s="15" t="n"/>
      <c r="V798" s="15" t="n"/>
      <c r="W798" s="13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3" t="n"/>
      <c r="AK798" s="12" t="n"/>
      <c r="AL798" s="12" t="n"/>
      <c r="AM798" s="12" t="n"/>
      <c r="AN798" s="12" t="n"/>
      <c r="AO798" s="12" t="n"/>
      <c r="AP798" s="12" t="n"/>
      <c r="AQ798" s="7">
        <f>IF(A798="","",IF(AP798&lt;&gt;"",AP798,IF(LEFT(Z798,11)="gads_marque","Google Search – Marque",IF(LEFT(Z798,12)="gads_mariage","Google Search – Mariage et privé",IF(LEFT(Z798,10)="gads_corpo","Google Search – Corporatif",IF(LEFT(Z798,5)="meta_","Meta – Leads",IF(LEFT(Z798,5)="msft_","Microsoft Ads",IF(LEFT(Z798,8)="chatgpt_","ChatGPT Ads – Test",IF(X798="gbp","Fiche Google (organique)","Autre / non payé")))))))))</f>
        <v/>
      </c>
      <c r="AR798" s="7">
        <f>IF(K798="","",IFERROR(VLOOKUP(K798,Listes!$F$3:$H$8,3,FALSE),""))</f>
        <v/>
      </c>
      <c r="AS798" s="7">
        <f>IF(O798="","",IF(AND(M798="Autre (plus de 40 km)",OR(O798="lt600",O798="600_999",O798="1000_2499")),"D",IF(OR(O798="lt600",AND(O798="600_999",K798&lt;&gt;"mariage",K798&lt;&gt;"prive")),"C",IF(OR(O798="2500_4999",O798="5000p",J798="entreprise",J798="organisme",J798="agence"),"A",IF(OR(O798="1000_2499",O798="600_999"),"B",IF(O798="inconnu",IF(OR(N798="75_149",N798="150p"),"A","B"),""))))))</f>
        <v/>
      </c>
      <c r="AT798" s="7">
        <f>IF(A798="","",IF(P798&lt;&gt;"",P798,AS798))</f>
        <v/>
      </c>
      <c r="AU798" s="7">
        <f>IF(A798="","",IF(OR(AT798="A",AT798="B"),1,0))</f>
        <v/>
      </c>
      <c r="AV798" s="7">
        <f>IF(A798="","",IF(OR(R798="Dépôt payé (gagné)",R798="Événement livré",R798="Avis obtenu"),1,0))</f>
        <v/>
      </c>
      <c r="AW798" s="7">
        <f>IF(A798="","",IF(Q798&gt;70,"Immédiat – propriétaire",IF(Q798&gt;=40,"15 min – personne de garde","Selon la route")))</f>
        <v/>
      </c>
      <c r="AX798" s="11">
        <f>IF(A798="","",IF(AT798="A",400,IF(AT798="B",150,0)))</f>
        <v/>
      </c>
      <c r="AY798" s="11">
        <f>IF(A798="","",IF(AV798=1,N(V798),IF(N(U798)&gt;0,ROUND(N(U798)*IFERROR(VLOOKUP(R798,Listes!$AE$3:$AG$12,2,FALSE),0),0),0)))</f>
        <v/>
      </c>
      <c r="AZ798" s="7">
        <f>IF(LEFT(A798,7)="EXEMPLE",1,0)</f>
        <v/>
      </c>
      <c r="BA798" s="7">
        <f>IF(AND(AV798=1,AZ798=0,AC798&lt;&gt;"",W798&lt;&gt;"",N(V798)&gt;0),COUNTIFS($AV$3:AV798,1,$AZ$3:AZ798,0,$AC$3:AC798,"&lt;&gt;",$W$3:W798,"&lt;&gt;",$V$3:V798,"&gt;0"),"")</f>
        <v/>
      </c>
    </row>
    <row r="799">
      <c r="A799" s="12" t="n"/>
      <c r="B799" s="13" t="n"/>
      <c r="C799" s="13" t="n"/>
      <c r="D799" s="7">
        <f>IF(OR(B799="",C799=""),"",ROUND((C799-B799)*1440,0))</f>
        <v/>
      </c>
      <c r="E799" s="12" t="n"/>
      <c r="F799" s="12" t="n"/>
      <c r="G799" s="12" t="n"/>
      <c r="H799" s="12" t="n"/>
      <c r="I799" s="12" t="n"/>
      <c r="J799" s="12" t="n"/>
      <c r="K799" s="12" t="n"/>
      <c r="L799" s="14" t="n"/>
      <c r="M799" s="12" t="n"/>
      <c r="N799" s="12" t="n"/>
      <c r="O799" s="12" t="n"/>
      <c r="P799" s="12" t="n"/>
      <c r="Q799" s="7">
        <f>IF(A799="","",IFERROR(VLOOKUP(O799,Listes!$R$3:$T$8,2,FALSE),0)+IFERROR(VLOOKUP(J799,Listes!$J$3:$L$6,2,FALSE),0)+IFERROR(VLOOKUP(N799,Listes!$N$3:$P$6,2,FALSE),0)+IF(OR(L799="",B799=""),0,IF(L799-INT(B799)&lt;10,8,IF(L799-INT(B799)&lt;=90,10,5)))+IFERROR(VLOOKUP(AN799,Listes!$V$3:$W$5,2,FALSE),0)+IFERROR(VLOOKUP(AO799,Listes!$Y$3:$Z$5,2,FALSE),0))</f>
        <v/>
      </c>
      <c r="R799" s="12" t="n"/>
      <c r="S799" s="12" t="n"/>
      <c r="T799" s="12" t="n"/>
      <c r="U799" s="15" t="n"/>
      <c r="V799" s="15" t="n"/>
      <c r="W799" s="13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3" t="n"/>
      <c r="AK799" s="12" t="n"/>
      <c r="AL799" s="12" t="n"/>
      <c r="AM799" s="12" t="n"/>
      <c r="AN799" s="12" t="n"/>
      <c r="AO799" s="12" t="n"/>
      <c r="AP799" s="12" t="n"/>
      <c r="AQ799" s="7">
        <f>IF(A799="","",IF(AP799&lt;&gt;"",AP799,IF(LEFT(Z799,11)="gads_marque","Google Search – Marque",IF(LEFT(Z799,12)="gads_mariage","Google Search – Mariage et privé",IF(LEFT(Z799,10)="gads_corpo","Google Search – Corporatif",IF(LEFT(Z799,5)="meta_","Meta – Leads",IF(LEFT(Z799,5)="msft_","Microsoft Ads",IF(LEFT(Z799,8)="chatgpt_","ChatGPT Ads – Test",IF(X799="gbp","Fiche Google (organique)","Autre / non payé")))))))))</f>
        <v/>
      </c>
      <c r="AR799" s="7">
        <f>IF(K799="","",IFERROR(VLOOKUP(K799,Listes!$F$3:$H$8,3,FALSE),""))</f>
        <v/>
      </c>
      <c r="AS799" s="7">
        <f>IF(O799="","",IF(AND(M799="Autre (plus de 40 km)",OR(O799="lt600",O799="600_999",O799="1000_2499")),"D",IF(OR(O799="lt600",AND(O799="600_999",K799&lt;&gt;"mariage",K799&lt;&gt;"prive")),"C",IF(OR(O799="2500_4999",O799="5000p",J799="entreprise",J799="organisme",J799="agence"),"A",IF(OR(O799="1000_2499",O799="600_999"),"B",IF(O799="inconnu",IF(OR(N799="75_149",N799="150p"),"A","B"),""))))))</f>
        <v/>
      </c>
      <c r="AT799" s="7">
        <f>IF(A799="","",IF(P799&lt;&gt;"",P799,AS799))</f>
        <v/>
      </c>
      <c r="AU799" s="7">
        <f>IF(A799="","",IF(OR(AT799="A",AT799="B"),1,0))</f>
        <v/>
      </c>
      <c r="AV799" s="7">
        <f>IF(A799="","",IF(OR(R799="Dépôt payé (gagné)",R799="Événement livré",R799="Avis obtenu"),1,0))</f>
        <v/>
      </c>
      <c r="AW799" s="7">
        <f>IF(A799="","",IF(Q799&gt;70,"Immédiat – propriétaire",IF(Q799&gt;=40,"15 min – personne de garde","Selon la route")))</f>
        <v/>
      </c>
      <c r="AX799" s="11">
        <f>IF(A799="","",IF(AT799="A",400,IF(AT799="B",150,0)))</f>
        <v/>
      </c>
      <c r="AY799" s="11">
        <f>IF(A799="","",IF(AV799=1,N(V799),IF(N(U799)&gt;0,ROUND(N(U799)*IFERROR(VLOOKUP(R799,Listes!$AE$3:$AG$12,2,FALSE),0),0),0)))</f>
        <v/>
      </c>
      <c r="AZ799" s="7">
        <f>IF(LEFT(A799,7)="EXEMPLE",1,0)</f>
        <v/>
      </c>
      <c r="BA799" s="7">
        <f>IF(AND(AV799=1,AZ799=0,AC799&lt;&gt;"",W799&lt;&gt;"",N(V799)&gt;0),COUNTIFS($AV$3:AV799,1,$AZ$3:AZ799,0,$AC$3:AC799,"&lt;&gt;",$W$3:W799,"&lt;&gt;",$V$3:V799,"&gt;0"),"")</f>
        <v/>
      </c>
    </row>
    <row r="800">
      <c r="A800" s="12" t="n"/>
      <c r="B800" s="13" t="n"/>
      <c r="C800" s="13" t="n"/>
      <c r="D800" s="7">
        <f>IF(OR(B800="",C800=""),"",ROUND((C800-B800)*1440,0))</f>
        <v/>
      </c>
      <c r="E800" s="12" t="n"/>
      <c r="F800" s="12" t="n"/>
      <c r="G800" s="12" t="n"/>
      <c r="H800" s="12" t="n"/>
      <c r="I800" s="12" t="n"/>
      <c r="J800" s="12" t="n"/>
      <c r="K800" s="12" t="n"/>
      <c r="L800" s="14" t="n"/>
      <c r="M800" s="12" t="n"/>
      <c r="N800" s="12" t="n"/>
      <c r="O800" s="12" t="n"/>
      <c r="P800" s="12" t="n"/>
      <c r="Q800" s="7">
        <f>IF(A800="","",IFERROR(VLOOKUP(O800,Listes!$R$3:$T$8,2,FALSE),0)+IFERROR(VLOOKUP(J800,Listes!$J$3:$L$6,2,FALSE),0)+IFERROR(VLOOKUP(N800,Listes!$N$3:$P$6,2,FALSE),0)+IF(OR(L800="",B800=""),0,IF(L800-INT(B800)&lt;10,8,IF(L800-INT(B800)&lt;=90,10,5)))+IFERROR(VLOOKUP(AN800,Listes!$V$3:$W$5,2,FALSE),0)+IFERROR(VLOOKUP(AO800,Listes!$Y$3:$Z$5,2,FALSE),0))</f>
        <v/>
      </c>
      <c r="R800" s="12" t="n"/>
      <c r="S800" s="12" t="n"/>
      <c r="T800" s="12" t="n"/>
      <c r="U800" s="15" t="n"/>
      <c r="V800" s="15" t="n"/>
      <c r="W800" s="13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3" t="n"/>
      <c r="AK800" s="12" t="n"/>
      <c r="AL800" s="12" t="n"/>
      <c r="AM800" s="12" t="n"/>
      <c r="AN800" s="12" t="n"/>
      <c r="AO800" s="12" t="n"/>
      <c r="AP800" s="12" t="n"/>
      <c r="AQ800" s="7">
        <f>IF(A800="","",IF(AP800&lt;&gt;"",AP800,IF(LEFT(Z800,11)="gads_marque","Google Search – Marque",IF(LEFT(Z800,12)="gads_mariage","Google Search – Mariage et privé",IF(LEFT(Z800,10)="gads_corpo","Google Search – Corporatif",IF(LEFT(Z800,5)="meta_","Meta – Leads",IF(LEFT(Z800,5)="msft_","Microsoft Ads",IF(LEFT(Z800,8)="chatgpt_","ChatGPT Ads – Test",IF(X800="gbp","Fiche Google (organique)","Autre / non payé")))))))))</f>
        <v/>
      </c>
      <c r="AR800" s="7">
        <f>IF(K800="","",IFERROR(VLOOKUP(K800,Listes!$F$3:$H$8,3,FALSE),""))</f>
        <v/>
      </c>
      <c r="AS800" s="7">
        <f>IF(O800="","",IF(AND(M800="Autre (plus de 40 km)",OR(O800="lt600",O800="600_999",O800="1000_2499")),"D",IF(OR(O800="lt600",AND(O800="600_999",K800&lt;&gt;"mariage",K800&lt;&gt;"prive")),"C",IF(OR(O800="2500_4999",O800="5000p",J800="entreprise",J800="organisme",J800="agence"),"A",IF(OR(O800="1000_2499",O800="600_999"),"B",IF(O800="inconnu",IF(OR(N800="75_149",N800="150p"),"A","B"),""))))))</f>
        <v/>
      </c>
      <c r="AT800" s="7">
        <f>IF(A800="","",IF(P800&lt;&gt;"",P800,AS800))</f>
        <v/>
      </c>
      <c r="AU800" s="7">
        <f>IF(A800="","",IF(OR(AT800="A",AT800="B"),1,0))</f>
        <v/>
      </c>
      <c r="AV800" s="7">
        <f>IF(A800="","",IF(OR(R800="Dépôt payé (gagné)",R800="Événement livré",R800="Avis obtenu"),1,0))</f>
        <v/>
      </c>
      <c r="AW800" s="7">
        <f>IF(A800="","",IF(Q800&gt;70,"Immédiat – propriétaire",IF(Q800&gt;=40,"15 min – personne de garde","Selon la route")))</f>
        <v/>
      </c>
      <c r="AX800" s="11">
        <f>IF(A800="","",IF(AT800="A",400,IF(AT800="B",150,0)))</f>
        <v/>
      </c>
      <c r="AY800" s="11">
        <f>IF(A800="","",IF(AV800=1,N(V800),IF(N(U800)&gt;0,ROUND(N(U800)*IFERROR(VLOOKUP(R800,Listes!$AE$3:$AG$12,2,FALSE),0),0),0)))</f>
        <v/>
      </c>
      <c r="AZ800" s="7">
        <f>IF(LEFT(A800,7)="EXEMPLE",1,0)</f>
        <v/>
      </c>
      <c r="BA800" s="7">
        <f>IF(AND(AV800=1,AZ800=0,AC800&lt;&gt;"",W800&lt;&gt;"",N(V800)&gt;0),COUNTIFS($AV$3:AV800,1,$AZ$3:AZ800,0,$AC$3:AC800,"&lt;&gt;",$W$3:W800,"&lt;&gt;",$V$3:V800,"&gt;0"),"")</f>
        <v/>
      </c>
    </row>
    <row r="801">
      <c r="A801" s="12" t="n"/>
      <c r="B801" s="13" t="n"/>
      <c r="C801" s="13" t="n"/>
      <c r="D801" s="7">
        <f>IF(OR(B801="",C801=""),"",ROUND((C801-B801)*1440,0))</f>
        <v/>
      </c>
      <c r="E801" s="12" t="n"/>
      <c r="F801" s="12" t="n"/>
      <c r="G801" s="12" t="n"/>
      <c r="H801" s="12" t="n"/>
      <c r="I801" s="12" t="n"/>
      <c r="J801" s="12" t="n"/>
      <c r="K801" s="12" t="n"/>
      <c r="L801" s="14" t="n"/>
      <c r="M801" s="12" t="n"/>
      <c r="N801" s="12" t="n"/>
      <c r="O801" s="12" t="n"/>
      <c r="P801" s="12" t="n"/>
      <c r="Q801" s="7">
        <f>IF(A801="","",IFERROR(VLOOKUP(O801,Listes!$R$3:$T$8,2,FALSE),0)+IFERROR(VLOOKUP(J801,Listes!$J$3:$L$6,2,FALSE),0)+IFERROR(VLOOKUP(N801,Listes!$N$3:$P$6,2,FALSE),0)+IF(OR(L801="",B801=""),0,IF(L801-INT(B801)&lt;10,8,IF(L801-INT(B801)&lt;=90,10,5)))+IFERROR(VLOOKUP(AN801,Listes!$V$3:$W$5,2,FALSE),0)+IFERROR(VLOOKUP(AO801,Listes!$Y$3:$Z$5,2,FALSE),0))</f>
        <v/>
      </c>
      <c r="R801" s="12" t="n"/>
      <c r="S801" s="12" t="n"/>
      <c r="T801" s="12" t="n"/>
      <c r="U801" s="15" t="n"/>
      <c r="V801" s="15" t="n"/>
      <c r="W801" s="13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3" t="n"/>
      <c r="AK801" s="12" t="n"/>
      <c r="AL801" s="12" t="n"/>
      <c r="AM801" s="12" t="n"/>
      <c r="AN801" s="12" t="n"/>
      <c r="AO801" s="12" t="n"/>
      <c r="AP801" s="12" t="n"/>
      <c r="AQ801" s="7">
        <f>IF(A801="","",IF(AP801&lt;&gt;"",AP801,IF(LEFT(Z801,11)="gads_marque","Google Search – Marque",IF(LEFT(Z801,12)="gads_mariage","Google Search – Mariage et privé",IF(LEFT(Z801,10)="gads_corpo","Google Search – Corporatif",IF(LEFT(Z801,5)="meta_","Meta – Leads",IF(LEFT(Z801,5)="msft_","Microsoft Ads",IF(LEFT(Z801,8)="chatgpt_","ChatGPT Ads – Test",IF(X801="gbp","Fiche Google (organique)","Autre / non payé")))))))))</f>
        <v/>
      </c>
      <c r="AR801" s="7">
        <f>IF(K801="","",IFERROR(VLOOKUP(K801,Listes!$F$3:$H$8,3,FALSE),""))</f>
        <v/>
      </c>
      <c r="AS801" s="7">
        <f>IF(O801="","",IF(AND(M801="Autre (plus de 40 km)",OR(O801="lt600",O801="600_999",O801="1000_2499")),"D",IF(OR(O801="lt600",AND(O801="600_999",K801&lt;&gt;"mariage",K801&lt;&gt;"prive")),"C",IF(OR(O801="2500_4999",O801="5000p",J801="entreprise",J801="organisme",J801="agence"),"A",IF(OR(O801="1000_2499",O801="600_999"),"B",IF(O801="inconnu",IF(OR(N801="75_149",N801="150p"),"A","B"),""))))))</f>
        <v/>
      </c>
      <c r="AT801" s="7">
        <f>IF(A801="","",IF(P801&lt;&gt;"",P801,AS801))</f>
        <v/>
      </c>
      <c r="AU801" s="7">
        <f>IF(A801="","",IF(OR(AT801="A",AT801="B"),1,0))</f>
        <v/>
      </c>
      <c r="AV801" s="7">
        <f>IF(A801="","",IF(OR(R801="Dépôt payé (gagné)",R801="Événement livré",R801="Avis obtenu"),1,0))</f>
        <v/>
      </c>
      <c r="AW801" s="7">
        <f>IF(A801="","",IF(Q801&gt;70,"Immédiat – propriétaire",IF(Q801&gt;=40,"15 min – personne de garde","Selon la route")))</f>
        <v/>
      </c>
      <c r="AX801" s="11">
        <f>IF(A801="","",IF(AT801="A",400,IF(AT801="B",150,0)))</f>
        <v/>
      </c>
      <c r="AY801" s="11">
        <f>IF(A801="","",IF(AV801=1,N(V801),IF(N(U801)&gt;0,ROUND(N(U801)*IFERROR(VLOOKUP(R801,Listes!$AE$3:$AG$12,2,FALSE),0),0),0)))</f>
        <v/>
      </c>
      <c r="AZ801" s="7">
        <f>IF(LEFT(A801,7)="EXEMPLE",1,0)</f>
        <v/>
      </c>
      <c r="BA801" s="7">
        <f>IF(AND(AV801=1,AZ801=0,AC801&lt;&gt;"",W801&lt;&gt;"",N(V801)&gt;0),COUNTIFS($AV$3:AV801,1,$AZ$3:AZ801,0,$AC$3:AC801,"&lt;&gt;",$W$3:W801,"&lt;&gt;",$V$3:V801,"&gt;0"),"")</f>
        <v/>
      </c>
    </row>
    <row r="802">
      <c r="A802" s="12" t="n"/>
      <c r="B802" s="13" t="n"/>
      <c r="C802" s="13" t="n"/>
      <c r="D802" s="7">
        <f>IF(OR(B802="",C802=""),"",ROUND((C802-B802)*1440,0))</f>
        <v/>
      </c>
      <c r="E802" s="12" t="n"/>
      <c r="F802" s="12" t="n"/>
      <c r="G802" s="12" t="n"/>
      <c r="H802" s="12" t="n"/>
      <c r="I802" s="12" t="n"/>
      <c r="J802" s="12" t="n"/>
      <c r="K802" s="12" t="n"/>
      <c r="L802" s="14" t="n"/>
      <c r="M802" s="12" t="n"/>
      <c r="N802" s="12" t="n"/>
      <c r="O802" s="12" t="n"/>
      <c r="P802" s="12" t="n"/>
      <c r="Q802" s="7">
        <f>IF(A802="","",IFERROR(VLOOKUP(O802,Listes!$R$3:$T$8,2,FALSE),0)+IFERROR(VLOOKUP(J802,Listes!$J$3:$L$6,2,FALSE),0)+IFERROR(VLOOKUP(N802,Listes!$N$3:$P$6,2,FALSE),0)+IF(OR(L802="",B802=""),0,IF(L802-INT(B802)&lt;10,8,IF(L802-INT(B802)&lt;=90,10,5)))+IFERROR(VLOOKUP(AN802,Listes!$V$3:$W$5,2,FALSE),0)+IFERROR(VLOOKUP(AO802,Listes!$Y$3:$Z$5,2,FALSE),0))</f>
        <v/>
      </c>
      <c r="R802" s="12" t="n"/>
      <c r="S802" s="12" t="n"/>
      <c r="T802" s="12" t="n"/>
      <c r="U802" s="15" t="n"/>
      <c r="V802" s="15" t="n"/>
      <c r="W802" s="13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3" t="n"/>
      <c r="AK802" s="12" t="n"/>
      <c r="AL802" s="12" t="n"/>
      <c r="AM802" s="12" t="n"/>
      <c r="AN802" s="12" t="n"/>
      <c r="AO802" s="12" t="n"/>
      <c r="AP802" s="12" t="n"/>
      <c r="AQ802" s="7">
        <f>IF(A802="","",IF(AP802&lt;&gt;"",AP802,IF(LEFT(Z802,11)="gads_marque","Google Search – Marque",IF(LEFT(Z802,12)="gads_mariage","Google Search – Mariage et privé",IF(LEFT(Z802,10)="gads_corpo","Google Search – Corporatif",IF(LEFT(Z802,5)="meta_","Meta – Leads",IF(LEFT(Z802,5)="msft_","Microsoft Ads",IF(LEFT(Z802,8)="chatgpt_","ChatGPT Ads – Test",IF(X802="gbp","Fiche Google (organique)","Autre / non payé")))))))))</f>
        <v/>
      </c>
      <c r="AR802" s="7">
        <f>IF(K802="","",IFERROR(VLOOKUP(K802,Listes!$F$3:$H$8,3,FALSE),""))</f>
        <v/>
      </c>
      <c r="AS802" s="7">
        <f>IF(O802="","",IF(AND(M802="Autre (plus de 40 km)",OR(O802="lt600",O802="600_999",O802="1000_2499")),"D",IF(OR(O802="lt600",AND(O802="600_999",K802&lt;&gt;"mariage",K802&lt;&gt;"prive")),"C",IF(OR(O802="2500_4999",O802="5000p",J802="entreprise",J802="organisme",J802="agence"),"A",IF(OR(O802="1000_2499",O802="600_999"),"B",IF(O802="inconnu",IF(OR(N802="75_149",N802="150p"),"A","B"),""))))))</f>
        <v/>
      </c>
      <c r="AT802" s="7">
        <f>IF(A802="","",IF(P802&lt;&gt;"",P802,AS802))</f>
        <v/>
      </c>
      <c r="AU802" s="7">
        <f>IF(A802="","",IF(OR(AT802="A",AT802="B"),1,0))</f>
        <v/>
      </c>
      <c r="AV802" s="7">
        <f>IF(A802="","",IF(OR(R802="Dépôt payé (gagné)",R802="Événement livré",R802="Avis obtenu"),1,0))</f>
        <v/>
      </c>
      <c r="AW802" s="7">
        <f>IF(A802="","",IF(Q802&gt;70,"Immédiat – propriétaire",IF(Q802&gt;=40,"15 min – personne de garde","Selon la route")))</f>
        <v/>
      </c>
      <c r="AX802" s="11">
        <f>IF(A802="","",IF(AT802="A",400,IF(AT802="B",150,0)))</f>
        <v/>
      </c>
      <c r="AY802" s="11">
        <f>IF(A802="","",IF(AV802=1,N(V802),IF(N(U802)&gt;0,ROUND(N(U802)*IFERROR(VLOOKUP(R802,Listes!$AE$3:$AG$12,2,FALSE),0),0),0)))</f>
        <v/>
      </c>
      <c r="AZ802" s="7">
        <f>IF(LEFT(A802,7)="EXEMPLE",1,0)</f>
        <v/>
      </c>
      <c r="BA802" s="7">
        <f>IF(AND(AV802=1,AZ802=0,AC802&lt;&gt;"",W802&lt;&gt;"",N(V802)&gt;0),COUNTIFS($AV$3:AV802,1,$AZ$3:AZ802,0,$AC$3:AC802,"&lt;&gt;",$W$3:W802,"&lt;&gt;",$V$3:V802,"&gt;0"),"")</f>
        <v/>
      </c>
    </row>
    <row r="803">
      <c r="A803" s="12" t="n"/>
      <c r="B803" s="13" t="n"/>
      <c r="C803" s="13" t="n"/>
      <c r="D803" s="7">
        <f>IF(OR(B803="",C803=""),"",ROUND((C803-B803)*1440,0))</f>
        <v/>
      </c>
      <c r="E803" s="12" t="n"/>
      <c r="F803" s="12" t="n"/>
      <c r="G803" s="12" t="n"/>
      <c r="H803" s="12" t="n"/>
      <c r="I803" s="12" t="n"/>
      <c r="J803" s="12" t="n"/>
      <c r="K803" s="12" t="n"/>
      <c r="L803" s="14" t="n"/>
      <c r="M803" s="12" t="n"/>
      <c r="N803" s="12" t="n"/>
      <c r="O803" s="12" t="n"/>
      <c r="P803" s="12" t="n"/>
      <c r="Q803" s="7">
        <f>IF(A803="","",IFERROR(VLOOKUP(O803,Listes!$R$3:$T$8,2,FALSE),0)+IFERROR(VLOOKUP(J803,Listes!$J$3:$L$6,2,FALSE),0)+IFERROR(VLOOKUP(N803,Listes!$N$3:$P$6,2,FALSE),0)+IF(OR(L803="",B803=""),0,IF(L803-INT(B803)&lt;10,8,IF(L803-INT(B803)&lt;=90,10,5)))+IFERROR(VLOOKUP(AN803,Listes!$V$3:$W$5,2,FALSE),0)+IFERROR(VLOOKUP(AO803,Listes!$Y$3:$Z$5,2,FALSE),0))</f>
        <v/>
      </c>
      <c r="R803" s="12" t="n"/>
      <c r="S803" s="12" t="n"/>
      <c r="T803" s="12" t="n"/>
      <c r="U803" s="15" t="n"/>
      <c r="V803" s="15" t="n"/>
      <c r="W803" s="13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3" t="n"/>
      <c r="AK803" s="12" t="n"/>
      <c r="AL803" s="12" t="n"/>
      <c r="AM803" s="12" t="n"/>
      <c r="AN803" s="12" t="n"/>
      <c r="AO803" s="12" t="n"/>
      <c r="AP803" s="12" t="n"/>
      <c r="AQ803" s="7">
        <f>IF(A803="","",IF(AP803&lt;&gt;"",AP803,IF(LEFT(Z803,11)="gads_marque","Google Search – Marque",IF(LEFT(Z803,12)="gads_mariage","Google Search – Mariage et privé",IF(LEFT(Z803,10)="gads_corpo","Google Search – Corporatif",IF(LEFT(Z803,5)="meta_","Meta – Leads",IF(LEFT(Z803,5)="msft_","Microsoft Ads",IF(LEFT(Z803,8)="chatgpt_","ChatGPT Ads – Test",IF(X803="gbp","Fiche Google (organique)","Autre / non payé")))))))))</f>
        <v/>
      </c>
      <c r="AR803" s="7">
        <f>IF(K803="","",IFERROR(VLOOKUP(K803,Listes!$F$3:$H$8,3,FALSE),""))</f>
        <v/>
      </c>
      <c r="AS803" s="7">
        <f>IF(O803="","",IF(AND(M803="Autre (plus de 40 km)",OR(O803="lt600",O803="600_999",O803="1000_2499")),"D",IF(OR(O803="lt600",AND(O803="600_999",K803&lt;&gt;"mariage",K803&lt;&gt;"prive")),"C",IF(OR(O803="2500_4999",O803="5000p",J803="entreprise",J803="organisme",J803="agence"),"A",IF(OR(O803="1000_2499",O803="600_999"),"B",IF(O803="inconnu",IF(OR(N803="75_149",N803="150p"),"A","B"),""))))))</f>
        <v/>
      </c>
      <c r="AT803" s="7">
        <f>IF(A803="","",IF(P803&lt;&gt;"",P803,AS803))</f>
        <v/>
      </c>
      <c r="AU803" s="7">
        <f>IF(A803="","",IF(OR(AT803="A",AT803="B"),1,0))</f>
        <v/>
      </c>
      <c r="AV803" s="7">
        <f>IF(A803="","",IF(OR(R803="Dépôt payé (gagné)",R803="Événement livré",R803="Avis obtenu"),1,0))</f>
        <v/>
      </c>
      <c r="AW803" s="7">
        <f>IF(A803="","",IF(Q803&gt;70,"Immédiat – propriétaire",IF(Q803&gt;=40,"15 min – personne de garde","Selon la route")))</f>
        <v/>
      </c>
      <c r="AX803" s="11">
        <f>IF(A803="","",IF(AT803="A",400,IF(AT803="B",150,0)))</f>
        <v/>
      </c>
      <c r="AY803" s="11">
        <f>IF(A803="","",IF(AV803=1,N(V803),IF(N(U803)&gt;0,ROUND(N(U803)*IFERROR(VLOOKUP(R803,Listes!$AE$3:$AG$12,2,FALSE),0),0),0)))</f>
        <v/>
      </c>
      <c r="AZ803" s="7">
        <f>IF(LEFT(A803,7)="EXEMPLE",1,0)</f>
        <v/>
      </c>
      <c r="BA803" s="7">
        <f>IF(AND(AV803=1,AZ803=0,AC803&lt;&gt;"",W803&lt;&gt;"",N(V803)&gt;0),COUNTIFS($AV$3:AV803,1,$AZ$3:AZ803,0,$AC$3:AC803,"&lt;&gt;",$W$3:W803,"&lt;&gt;",$V$3:V803,"&gt;0"),"")</f>
        <v/>
      </c>
    </row>
    <row r="804">
      <c r="A804" s="12" t="n"/>
      <c r="B804" s="13" t="n"/>
      <c r="C804" s="13" t="n"/>
      <c r="D804" s="7">
        <f>IF(OR(B804="",C804=""),"",ROUND((C804-B804)*1440,0))</f>
        <v/>
      </c>
      <c r="E804" s="12" t="n"/>
      <c r="F804" s="12" t="n"/>
      <c r="G804" s="12" t="n"/>
      <c r="H804" s="12" t="n"/>
      <c r="I804" s="12" t="n"/>
      <c r="J804" s="12" t="n"/>
      <c r="K804" s="12" t="n"/>
      <c r="L804" s="14" t="n"/>
      <c r="M804" s="12" t="n"/>
      <c r="N804" s="12" t="n"/>
      <c r="O804" s="12" t="n"/>
      <c r="P804" s="12" t="n"/>
      <c r="Q804" s="7">
        <f>IF(A804="","",IFERROR(VLOOKUP(O804,Listes!$R$3:$T$8,2,FALSE),0)+IFERROR(VLOOKUP(J804,Listes!$J$3:$L$6,2,FALSE),0)+IFERROR(VLOOKUP(N804,Listes!$N$3:$P$6,2,FALSE),0)+IF(OR(L804="",B804=""),0,IF(L804-INT(B804)&lt;10,8,IF(L804-INT(B804)&lt;=90,10,5)))+IFERROR(VLOOKUP(AN804,Listes!$V$3:$W$5,2,FALSE),0)+IFERROR(VLOOKUP(AO804,Listes!$Y$3:$Z$5,2,FALSE),0))</f>
        <v/>
      </c>
      <c r="R804" s="12" t="n"/>
      <c r="S804" s="12" t="n"/>
      <c r="T804" s="12" t="n"/>
      <c r="U804" s="15" t="n"/>
      <c r="V804" s="15" t="n"/>
      <c r="W804" s="13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3" t="n"/>
      <c r="AK804" s="12" t="n"/>
      <c r="AL804" s="12" t="n"/>
      <c r="AM804" s="12" t="n"/>
      <c r="AN804" s="12" t="n"/>
      <c r="AO804" s="12" t="n"/>
      <c r="AP804" s="12" t="n"/>
      <c r="AQ804" s="7">
        <f>IF(A804="","",IF(AP804&lt;&gt;"",AP804,IF(LEFT(Z804,11)="gads_marque","Google Search – Marque",IF(LEFT(Z804,12)="gads_mariage","Google Search – Mariage et privé",IF(LEFT(Z804,10)="gads_corpo","Google Search – Corporatif",IF(LEFT(Z804,5)="meta_","Meta – Leads",IF(LEFT(Z804,5)="msft_","Microsoft Ads",IF(LEFT(Z804,8)="chatgpt_","ChatGPT Ads – Test",IF(X804="gbp","Fiche Google (organique)","Autre / non payé")))))))))</f>
        <v/>
      </c>
      <c r="AR804" s="7">
        <f>IF(K804="","",IFERROR(VLOOKUP(K804,Listes!$F$3:$H$8,3,FALSE),""))</f>
        <v/>
      </c>
      <c r="AS804" s="7">
        <f>IF(O804="","",IF(AND(M804="Autre (plus de 40 km)",OR(O804="lt600",O804="600_999",O804="1000_2499")),"D",IF(OR(O804="lt600",AND(O804="600_999",K804&lt;&gt;"mariage",K804&lt;&gt;"prive")),"C",IF(OR(O804="2500_4999",O804="5000p",J804="entreprise",J804="organisme",J804="agence"),"A",IF(OR(O804="1000_2499",O804="600_999"),"B",IF(O804="inconnu",IF(OR(N804="75_149",N804="150p"),"A","B"),""))))))</f>
        <v/>
      </c>
      <c r="AT804" s="7">
        <f>IF(A804="","",IF(P804&lt;&gt;"",P804,AS804))</f>
        <v/>
      </c>
      <c r="AU804" s="7">
        <f>IF(A804="","",IF(OR(AT804="A",AT804="B"),1,0))</f>
        <v/>
      </c>
      <c r="AV804" s="7">
        <f>IF(A804="","",IF(OR(R804="Dépôt payé (gagné)",R804="Événement livré",R804="Avis obtenu"),1,0))</f>
        <v/>
      </c>
      <c r="AW804" s="7">
        <f>IF(A804="","",IF(Q804&gt;70,"Immédiat – propriétaire",IF(Q804&gt;=40,"15 min – personne de garde","Selon la route")))</f>
        <v/>
      </c>
      <c r="AX804" s="11">
        <f>IF(A804="","",IF(AT804="A",400,IF(AT804="B",150,0)))</f>
        <v/>
      </c>
      <c r="AY804" s="11">
        <f>IF(A804="","",IF(AV804=1,N(V804),IF(N(U804)&gt;0,ROUND(N(U804)*IFERROR(VLOOKUP(R804,Listes!$AE$3:$AG$12,2,FALSE),0),0),0)))</f>
        <v/>
      </c>
      <c r="AZ804" s="7">
        <f>IF(LEFT(A804,7)="EXEMPLE",1,0)</f>
        <v/>
      </c>
      <c r="BA804" s="7">
        <f>IF(AND(AV804=1,AZ804=0,AC804&lt;&gt;"",W804&lt;&gt;"",N(V804)&gt;0),COUNTIFS($AV$3:AV804,1,$AZ$3:AZ804,0,$AC$3:AC804,"&lt;&gt;",$W$3:W804,"&lt;&gt;",$V$3:V804,"&gt;0"),"")</f>
        <v/>
      </c>
    </row>
    <row r="805">
      <c r="A805" s="12" t="n"/>
      <c r="B805" s="13" t="n"/>
      <c r="C805" s="13" t="n"/>
      <c r="D805" s="7">
        <f>IF(OR(B805="",C805=""),"",ROUND((C805-B805)*1440,0))</f>
        <v/>
      </c>
      <c r="E805" s="12" t="n"/>
      <c r="F805" s="12" t="n"/>
      <c r="G805" s="12" t="n"/>
      <c r="H805" s="12" t="n"/>
      <c r="I805" s="12" t="n"/>
      <c r="J805" s="12" t="n"/>
      <c r="K805" s="12" t="n"/>
      <c r="L805" s="14" t="n"/>
      <c r="M805" s="12" t="n"/>
      <c r="N805" s="12" t="n"/>
      <c r="O805" s="12" t="n"/>
      <c r="P805" s="12" t="n"/>
      <c r="Q805" s="7">
        <f>IF(A805="","",IFERROR(VLOOKUP(O805,Listes!$R$3:$T$8,2,FALSE),0)+IFERROR(VLOOKUP(J805,Listes!$J$3:$L$6,2,FALSE),0)+IFERROR(VLOOKUP(N805,Listes!$N$3:$P$6,2,FALSE),0)+IF(OR(L805="",B805=""),0,IF(L805-INT(B805)&lt;10,8,IF(L805-INT(B805)&lt;=90,10,5)))+IFERROR(VLOOKUP(AN805,Listes!$V$3:$W$5,2,FALSE),0)+IFERROR(VLOOKUP(AO805,Listes!$Y$3:$Z$5,2,FALSE),0))</f>
        <v/>
      </c>
      <c r="R805" s="12" t="n"/>
      <c r="S805" s="12" t="n"/>
      <c r="T805" s="12" t="n"/>
      <c r="U805" s="15" t="n"/>
      <c r="V805" s="15" t="n"/>
      <c r="W805" s="13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3" t="n"/>
      <c r="AK805" s="12" t="n"/>
      <c r="AL805" s="12" t="n"/>
      <c r="AM805" s="12" t="n"/>
      <c r="AN805" s="12" t="n"/>
      <c r="AO805" s="12" t="n"/>
      <c r="AP805" s="12" t="n"/>
      <c r="AQ805" s="7">
        <f>IF(A805="","",IF(AP805&lt;&gt;"",AP805,IF(LEFT(Z805,11)="gads_marque","Google Search – Marque",IF(LEFT(Z805,12)="gads_mariage","Google Search – Mariage et privé",IF(LEFT(Z805,10)="gads_corpo","Google Search – Corporatif",IF(LEFT(Z805,5)="meta_","Meta – Leads",IF(LEFT(Z805,5)="msft_","Microsoft Ads",IF(LEFT(Z805,8)="chatgpt_","ChatGPT Ads – Test",IF(X805="gbp","Fiche Google (organique)","Autre / non payé")))))))))</f>
        <v/>
      </c>
      <c r="AR805" s="7">
        <f>IF(K805="","",IFERROR(VLOOKUP(K805,Listes!$F$3:$H$8,3,FALSE),""))</f>
        <v/>
      </c>
      <c r="AS805" s="7">
        <f>IF(O805="","",IF(AND(M805="Autre (plus de 40 km)",OR(O805="lt600",O805="600_999",O805="1000_2499")),"D",IF(OR(O805="lt600",AND(O805="600_999",K805&lt;&gt;"mariage",K805&lt;&gt;"prive")),"C",IF(OR(O805="2500_4999",O805="5000p",J805="entreprise",J805="organisme",J805="agence"),"A",IF(OR(O805="1000_2499",O805="600_999"),"B",IF(O805="inconnu",IF(OR(N805="75_149",N805="150p"),"A","B"),""))))))</f>
        <v/>
      </c>
      <c r="AT805" s="7">
        <f>IF(A805="","",IF(P805&lt;&gt;"",P805,AS805))</f>
        <v/>
      </c>
      <c r="AU805" s="7">
        <f>IF(A805="","",IF(OR(AT805="A",AT805="B"),1,0))</f>
        <v/>
      </c>
      <c r="AV805" s="7">
        <f>IF(A805="","",IF(OR(R805="Dépôt payé (gagné)",R805="Événement livré",R805="Avis obtenu"),1,0))</f>
        <v/>
      </c>
      <c r="AW805" s="7">
        <f>IF(A805="","",IF(Q805&gt;70,"Immédiat – propriétaire",IF(Q805&gt;=40,"15 min – personne de garde","Selon la route")))</f>
        <v/>
      </c>
      <c r="AX805" s="11">
        <f>IF(A805="","",IF(AT805="A",400,IF(AT805="B",150,0)))</f>
        <v/>
      </c>
      <c r="AY805" s="11">
        <f>IF(A805="","",IF(AV805=1,N(V805),IF(N(U805)&gt;0,ROUND(N(U805)*IFERROR(VLOOKUP(R805,Listes!$AE$3:$AG$12,2,FALSE),0),0),0)))</f>
        <v/>
      </c>
      <c r="AZ805" s="7">
        <f>IF(LEFT(A805,7)="EXEMPLE",1,0)</f>
        <v/>
      </c>
      <c r="BA805" s="7">
        <f>IF(AND(AV805=1,AZ805=0,AC805&lt;&gt;"",W805&lt;&gt;"",N(V805)&gt;0),COUNTIFS($AV$3:AV805,1,$AZ$3:AZ805,0,$AC$3:AC805,"&lt;&gt;",$W$3:W805,"&lt;&gt;",$V$3:V805,"&gt;0"),"")</f>
        <v/>
      </c>
    </row>
    <row r="806">
      <c r="A806" s="12" t="n"/>
      <c r="B806" s="13" t="n"/>
      <c r="C806" s="13" t="n"/>
      <c r="D806" s="7">
        <f>IF(OR(B806="",C806=""),"",ROUND((C806-B806)*1440,0))</f>
        <v/>
      </c>
      <c r="E806" s="12" t="n"/>
      <c r="F806" s="12" t="n"/>
      <c r="G806" s="12" t="n"/>
      <c r="H806" s="12" t="n"/>
      <c r="I806" s="12" t="n"/>
      <c r="J806" s="12" t="n"/>
      <c r="K806" s="12" t="n"/>
      <c r="L806" s="14" t="n"/>
      <c r="M806" s="12" t="n"/>
      <c r="N806" s="12" t="n"/>
      <c r="O806" s="12" t="n"/>
      <c r="P806" s="12" t="n"/>
      <c r="Q806" s="7">
        <f>IF(A806="","",IFERROR(VLOOKUP(O806,Listes!$R$3:$T$8,2,FALSE),0)+IFERROR(VLOOKUP(J806,Listes!$J$3:$L$6,2,FALSE),0)+IFERROR(VLOOKUP(N806,Listes!$N$3:$P$6,2,FALSE),0)+IF(OR(L806="",B806=""),0,IF(L806-INT(B806)&lt;10,8,IF(L806-INT(B806)&lt;=90,10,5)))+IFERROR(VLOOKUP(AN806,Listes!$V$3:$W$5,2,FALSE),0)+IFERROR(VLOOKUP(AO806,Listes!$Y$3:$Z$5,2,FALSE),0))</f>
        <v/>
      </c>
      <c r="R806" s="12" t="n"/>
      <c r="S806" s="12" t="n"/>
      <c r="T806" s="12" t="n"/>
      <c r="U806" s="15" t="n"/>
      <c r="V806" s="15" t="n"/>
      <c r="W806" s="13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3" t="n"/>
      <c r="AK806" s="12" t="n"/>
      <c r="AL806" s="12" t="n"/>
      <c r="AM806" s="12" t="n"/>
      <c r="AN806" s="12" t="n"/>
      <c r="AO806" s="12" t="n"/>
      <c r="AP806" s="12" t="n"/>
      <c r="AQ806" s="7">
        <f>IF(A806="","",IF(AP806&lt;&gt;"",AP806,IF(LEFT(Z806,11)="gads_marque","Google Search – Marque",IF(LEFT(Z806,12)="gads_mariage","Google Search – Mariage et privé",IF(LEFT(Z806,10)="gads_corpo","Google Search – Corporatif",IF(LEFT(Z806,5)="meta_","Meta – Leads",IF(LEFT(Z806,5)="msft_","Microsoft Ads",IF(LEFT(Z806,8)="chatgpt_","ChatGPT Ads – Test",IF(X806="gbp","Fiche Google (organique)","Autre / non payé")))))))))</f>
        <v/>
      </c>
      <c r="AR806" s="7">
        <f>IF(K806="","",IFERROR(VLOOKUP(K806,Listes!$F$3:$H$8,3,FALSE),""))</f>
        <v/>
      </c>
      <c r="AS806" s="7">
        <f>IF(O806="","",IF(AND(M806="Autre (plus de 40 km)",OR(O806="lt600",O806="600_999",O806="1000_2499")),"D",IF(OR(O806="lt600",AND(O806="600_999",K806&lt;&gt;"mariage",K806&lt;&gt;"prive")),"C",IF(OR(O806="2500_4999",O806="5000p",J806="entreprise",J806="organisme",J806="agence"),"A",IF(OR(O806="1000_2499",O806="600_999"),"B",IF(O806="inconnu",IF(OR(N806="75_149",N806="150p"),"A","B"),""))))))</f>
        <v/>
      </c>
      <c r="AT806" s="7">
        <f>IF(A806="","",IF(P806&lt;&gt;"",P806,AS806))</f>
        <v/>
      </c>
      <c r="AU806" s="7">
        <f>IF(A806="","",IF(OR(AT806="A",AT806="B"),1,0))</f>
        <v/>
      </c>
      <c r="AV806" s="7">
        <f>IF(A806="","",IF(OR(R806="Dépôt payé (gagné)",R806="Événement livré",R806="Avis obtenu"),1,0))</f>
        <v/>
      </c>
      <c r="AW806" s="7">
        <f>IF(A806="","",IF(Q806&gt;70,"Immédiat – propriétaire",IF(Q806&gt;=40,"15 min – personne de garde","Selon la route")))</f>
        <v/>
      </c>
      <c r="AX806" s="11">
        <f>IF(A806="","",IF(AT806="A",400,IF(AT806="B",150,0)))</f>
        <v/>
      </c>
      <c r="AY806" s="11">
        <f>IF(A806="","",IF(AV806=1,N(V806),IF(N(U806)&gt;0,ROUND(N(U806)*IFERROR(VLOOKUP(R806,Listes!$AE$3:$AG$12,2,FALSE),0),0),0)))</f>
        <v/>
      </c>
      <c r="AZ806" s="7">
        <f>IF(LEFT(A806,7)="EXEMPLE",1,0)</f>
        <v/>
      </c>
      <c r="BA806" s="7">
        <f>IF(AND(AV806=1,AZ806=0,AC806&lt;&gt;"",W806&lt;&gt;"",N(V806)&gt;0),COUNTIFS($AV$3:AV806,1,$AZ$3:AZ806,0,$AC$3:AC806,"&lt;&gt;",$W$3:W806,"&lt;&gt;",$V$3:V806,"&gt;0"),"")</f>
        <v/>
      </c>
    </row>
    <row r="807">
      <c r="A807" s="12" t="n"/>
      <c r="B807" s="13" t="n"/>
      <c r="C807" s="13" t="n"/>
      <c r="D807" s="7">
        <f>IF(OR(B807="",C807=""),"",ROUND((C807-B807)*1440,0))</f>
        <v/>
      </c>
      <c r="E807" s="12" t="n"/>
      <c r="F807" s="12" t="n"/>
      <c r="G807" s="12" t="n"/>
      <c r="H807" s="12" t="n"/>
      <c r="I807" s="12" t="n"/>
      <c r="J807" s="12" t="n"/>
      <c r="K807" s="12" t="n"/>
      <c r="L807" s="14" t="n"/>
      <c r="M807" s="12" t="n"/>
      <c r="N807" s="12" t="n"/>
      <c r="O807" s="12" t="n"/>
      <c r="P807" s="12" t="n"/>
      <c r="Q807" s="7">
        <f>IF(A807="","",IFERROR(VLOOKUP(O807,Listes!$R$3:$T$8,2,FALSE),0)+IFERROR(VLOOKUP(J807,Listes!$J$3:$L$6,2,FALSE),0)+IFERROR(VLOOKUP(N807,Listes!$N$3:$P$6,2,FALSE),0)+IF(OR(L807="",B807=""),0,IF(L807-INT(B807)&lt;10,8,IF(L807-INT(B807)&lt;=90,10,5)))+IFERROR(VLOOKUP(AN807,Listes!$V$3:$W$5,2,FALSE),0)+IFERROR(VLOOKUP(AO807,Listes!$Y$3:$Z$5,2,FALSE),0))</f>
        <v/>
      </c>
      <c r="R807" s="12" t="n"/>
      <c r="S807" s="12" t="n"/>
      <c r="T807" s="12" t="n"/>
      <c r="U807" s="15" t="n"/>
      <c r="V807" s="15" t="n"/>
      <c r="W807" s="13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3" t="n"/>
      <c r="AK807" s="12" t="n"/>
      <c r="AL807" s="12" t="n"/>
      <c r="AM807" s="12" t="n"/>
      <c r="AN807" s="12" t="n"/>
      <c r="AO807" s="12" t="n"/>
      <c r="AP807" s="12" t="n"/>
      <c r="AQ807" s="7">
        <f>IF(A807="","",IF(AP807&lt;&gt;"",AP807,IF(LEFT(Z807,11)="gads_marque","Google Search – Marque",IF(LEFT(Z807,12)="gads_mariage","Google Search – Mariage et privé",IF(LEFT(Z807,10)="gads_corpo","Google Search – Corporatif",IF(LEFT(Z807,5)="meta_","Meta – Leads",IF(LEFT(Z807,5)="msft_","Microsoft Ads",IF(LEFT(Z807,8)="chatgpt_","ChatGPT Ads – Test",IF(X807="gbp","Fiche Google (organique)","Autre / non payé")))))))))</f>
        <v/>
      </c>
      <c r="AR807" s="7">
        <f>IF(K807="","",IFERROR(VLOOKUP(K807,Listes!$F$3:$H$8,3,FALSE),""))</f>
        <v/>
      </c>
      <c r="AS807" s="7">
        <f>IF(O807="","",IF(AND(M807="Autre (plus de 40 km)",OR(O807="lt600",O807="600_999",O807="1000_2499")),"D",IF(OR(O807="lt600",AND(O807="600_999",K807&lt;&gt;"mariage",K807&lt;&gt;"prive")),"C",IF(OR(O807="2500_4999",O807="5000p",J807="entreprise",J807="organisme",J807="agence"),"A",IF(OR(O807="1000_2499",O807="600_999"),"B",IF(O807="inconnu",IF(OR(N807="75_149",N807="150p"),"A","B"),""))))))</f>
        <v/>
      </c>
      <c r="AT807" s="7">
        <f>IF(A807="","",IF(P807&lt;&gt;"",P807,AS807))</f>
        <v/>
      </c>
      <c r="AU807" s="7">
        <f>IF(A807="","",IF(OR(AT807="A",AT807="B"),1,0))</f>
        <v/>
      </c>
      <c r="AV807" s="7">
        <f>IF(A807="","",IF(OR(R807="Dépôt payé (gagné)",R807="Événement livré",R807="Avis obtenu"),1,0))</f>
        <v/>
      </c>
      <c r="AW807" s="7">
        <f>IF(A807="","",IF(Q807&gt;70,"Immédiat – propriétaire",IF(Q807&gt;=40,"15 min – personne de garde","Selon la route")))</f>
        <v/>
      </c>
      <c r="AX807" s="11">
        <f>IF(A807="","",IF(AT807="A",400,IF(AT807="B",150,0)))</f>
        <v/>
      </c>
      <c r="AY807" s="11">
        <f>IF(A807="","",IF(AV807=1,N(V807),IF(N(U807)&gt;0,ROUND(N(U807)*IFERROR(VLOOKUP(R807,Listes!$AE$3:$AG$12,2,FALSE),0),0),0)))</f>
        <v/>
      </c>
      <c r="AZ807" s="7">
        <f>IF(LEFT(A807,7)="EXEMPLE",1,0)</f>
        <v/>
      </c>
      <c r="BA807" s="7">
        <f>IF(AND(AV807=1,AZ807=0,AC807&lt;&gt;"",W807&lt;&gt;"",N(V807)&gt;0),COUNTIFS($AV$3:AV807,1,$AZ$3:AZ807,0,$AC$3:AC807,"&lt;&gt;",$W$3:W807,"&lt;&gt;",$V$3:V807,"&gt;0"),"")</f>
        <v/>
      </c>
    </row>
    <row r="808">
      <c r="A808" s="12" t="n"/>
      <c r="B808" s="13" t="n"/>
      <c r="C808" s="13" t="n"/>
      <c r="D808" s="7">
        <f>IF(OR(B808="",C808=""),"",ROUND((C808-B808)*1440,0))</f>
        <v/>
      </c>
      <c r="E808" s="12" t="n"/>
      <c r="F808" s="12" t="n"/>
      <c r="G808" s="12" t="n"/>
      <c r="H808" s="12" t="n"/>
      <c r="I808" s="12" t="n"/>
      <c r="J808" s="12" t="n"/>
      <c r="K808" s="12" t="n"/>
      <c r="L808" s="14" t="n"/>
      <c r="M808" s="12" t="n"/>
      <c r="N808" s="12" t="n"/>
      <c r="O808" s="12" t="n"/>
      <c r="P808" s="12" t="n"/>
      <c r="Q808" s="7">
        <f>IF(A808="","",IFERROR(VLOOKUP(O808,Listes!$R$3:$T$8,2,FALSE),0)+IFERROR(VLOOKUP(J808,Listes!$J$3:$L$6,2,FALSE),0)+IFERROR(VLOOKUP(N808,Listes!$N$3:$P$6,2,FALSE),0)+IF(OR(L808="",B808=""),0,IF(L808-INT(B808)&lt;10,8,IF(L808-INT(B808)&lt;=90,10,5)))+IFERROR(VLOOKUP(AN808,Listes!$V$3:$W$5,2,FALSE),0)+IFERROR(VLOOKUP(AO808,Listes!$Y$3:$Z$5,2,FALSE),0))</f>
        <v/>
      </c>
      <c r="R808" s="12" t="n"/>
      <c r="S808" s="12" t="n"/>
      <c r="T808" s="12" t="n"/>
      <c r="U808" s="15" t="n"/>
      <c r="V808" s="15" t="n"/>
      <c r="W808" s="13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3" t="n"/>
      <c r="AK808" s="12" t="n"/>
      <c r="AL808" s="12" t="n"/>
      <c r="AM808" s="12" t="n"/>
      <c r="AN808" s="12" t="n"/>
      <c r="AO808" s="12" t="n"/>
      <c r="AP808" s="12" t="n"/>
      <c r="AQ808" s="7">
        <f>IF(A808="","",IF(AP808&lt;&gt;"",AP808,IF(LEFT(Z808,11)="gads_marque","Google Search – Marque",IF(LEFT(Z808,12)="gads_mariage","Google Search – Mariage et privé",IF(LEFT(Z808,10)="gads_corpo","Google Search – Corporatif",IF(LEFT(Z808,5)="meta_","Meta – Leads",IF(LEFT(Z808,5)="msft_","Microsoft Ads",IF(LEFT(Z808,8)="chatgpt_","ChatGPT Ads – Test",IF(X808="gbp","Fiche Google (organique)","Autre / non payé")))))))))</f>
        <v/>
      </c>
      <c r="AR808" s="7">
        <f>IF(K808="","",IFERROR(VLOOKUP(K808,Listes!$F$3:$H$8,3,FALSE),""))</f>
        <v/>
      </c>
      <c r="AS808" s="7">
        <f>IF(O808="","",IF(AND(M808="Autre (plus de 40 km)",OR(O808="lt600",O808="600_999",O808="1000_2499")),"D",IF(OR(O808="lt600",AND(O808="600_999",K808&lt;&gt;"mariage",K808&lt;&gt;"prive")),"C",IF(OR(O808="2500_4999",O808="5000p",J808="entreprise",J808="organisme",J808="agence"),"A",IF(OR(O808="1000_2499",O808="600_999"),"B",IF(O808="inconnu",IF(OR(N808="75_149",N808="150p"),"A","B"),""))))))</f>
        <v/>
      </c>
      <c r="AT808" s="7">
        <f>IF(A808="","",IF(P808&lt;&gt;"",P808,AS808))</f>
        <v/>
      </c>
      <c r="AU808" s="7">
        <f>IF(A808="","",IF(OR(AT808="A",AT808="B"),1,0))</f>
        <v/>
      </c>
      <c r="AV808" s="7">
        <f>IF(A808="","",IF(OR(R808="Dépôt payé (gagné)",R808="Événement livré",R808="Avis obtenu"),1,0))</f>
        <v/>
      </c>
      <c r="AW808" s="7">
        <f>IF(A808="","",IF(Q808&gt;70,"Immédiat – propriétaire",IF(Q808&gt;=40,"15 min – personne de garde","Selon la route")))</f>
        <v/>
      </c>
      <c r="AX808" s="11">
        <f>IF(A808="","",IF(AT808="A",400,IF(AT808="B",150,0)))</f>
        <v/>
      </c>
      <c r="AY808" s="11">
        <f>IF(A808="","",IF(AV808=1,N(V808),IF(N(U808)&gt;0,ROUND(N(U808)*IFERROR(VLOOKUP(R808,Listes!$AE$3:$AG$12,2,FALSE),0),0),0)))</f>
        <v/>
      </c>
      <c r="AZ808" s="7">
        <f>IF(LEFT(A808,7)="EXEMPLE",1,0)</f>
        <v/>
      </c>
      <c r="BA808" s="7">
        <f>IF(AND(AV808=1,AZ808=0,AC808&lt;&gt;"",W808&lt;&gt;"",N(V808)&gt;0),COUNTIFS($AV$3:AV808,1,$AZ$3:AZ808,0,$AC$3:AC808,"&lt;&gt;",$W$3:W808,"&lt;&gt;",$V$3:V808,"&gt;0"),"")</f>
        <v/>
      </c>
    </row>
    <row r="809">
      <c r="A809" s="12" t="n"/>
      <c r="B809" s="13" t="n"/>
      <c r="C809" s="13" t="n"/>
      <c r="D809" s="7">
        <f>IF(OR(B809="",C809=""),"",ROUND((C809-B809)*1440,0))</f>
        <v/>
      </c>
      <c r="E809" s="12" t="n"/>
      <c r="F809" s="12" t="n"/>
      <c r="G809" s="12" t="n"/>
      <c r="H809" s="12" t="n"/>
      <c r="I809" s="12" t="n"/>
      <c r="J809" s="12" t="n"/>
      <c r="K809" s="12" t="n"/>
      <c r="L809" s="14" t="n"/>
      <c r="M809" s="12" t="n"/>
      <c r="N809" s="12" t="n"/>
      <c r="O809" s="12" t="n"/>
      <c r="P809" s="12" t="n"/>
      <c r="Q809" s="7">
        <f>IF(A809="","",IFERROR(VLOOKUP(O809,Listes!$R$3:$T$8,2,FALSE),0)+IFERROR(VLOOKUP(J809,Listes!$J$3:$L$6,2,FALSE),0)+IFERROR(VLOOKUP(N809,Listes!$N$3:$P$6,2,FALSE),0)+IF(OR(L809="",B809=""),0,IF(L809-INT(B809)&lt;10,8,IF(L809-INT(B809)&lt;=90,10,5)))+IFERROR(VLOOKUP(AN809,Listes!$V$3:$W$5,2,FALSE),0)+IFERROR(VLOOKUP(AO809,Listes!$Y$3:$Z$5,2,FALSE),0))</f>
        <v/>
      </c>
      <c r="R809" s="12" t="n"/>
      <c r="S809" s="12" t="n"/>
      <c r="T809" s="12" t="n"/>
      <c r="U809" s="15" t="n"/>
      <c r="V809" s="15" t="n"/>
      <c r="W809" s="13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3" t="n"/>
      <c r="AK809" s="12" t="n"/>
      <c r="AL809" s="12" t="n"/>
      <c r="AM809" s="12" t="n"/>
      <c r="AN809" s="12" t="n"/>
      <c r="AO809" s="12" t="n"/>
      <c r="AP809" s="12" t="n"/>
      <c r="AQ809" s="7">
        <f>IF(A809="","",IF(AP809&lt;&gt;"",AP809,IF(LEFT(Z809,11)="gads_marque","Google Search – Marque",IF(LEFT(Z809,12)="gads_mariage","Google Search – Mariage et privé",IF(LEFT(Z809,10)="gads_corpo","Google Search – Corporatif",IF(LEFT(Z809,5)="meta_","Meta – Leads",IF(LEFT(Z809,5)="msft_","Microsoft Ads",IF(LEFT(Z809,8)="chatgpt_","ChatGPT Ads – Test",IF(X809="gbp","Fiche Google (organique)","Autre / non payé")))))))))</f>
        <v/>
      </c>
      <c r="AR809" s="7">
        <f>IF(K809="","",IFERROR(VLOOKUP(K809,Listes!$F$3:$H$8,3,FALSE),""))</f>
        <v/>
      </c>
      <c r="AS809" s="7">
        <f>IF(O809="","",IF(AND(M809="Autre (plus de 40 km)",OR(O809="lt600",O809="600_999",O809="1000_2499")),"D",IF(OR(O809="lt600",AND(O809="600_999",K809&lt;&gt;"mariage",K809&lt;&gt;"prive")),"C",IF(OR(O809="2500_4999",O809="5000p",J809="entreprise",J809="organisme",J809="agence"),"A",IF(OR(O809="1000_2499",O809="600_999"),"B",IF(O809="inconnu",IF(OR(N809="75_149",N809="150p"),"A","B"),""))))))</f>
        <v/>
      </c>
      <c r="AT809" s="7">
        <f>IF(A809="","",IF(P809&lt;&gt;"",P809,AS809))</f>
        <v/>
      </c>
      <c r="AU809" s="7">
        <f>IF(A809="","",IF(OR(AT809="A",AT809="B"),1,0))</f>
        <v/>
      </c>
      <c r="AV809" s="7">
        <f>IF(A809="","",IF(OR(R809="Dépôt payé (gagné)",R809="Événement livré",R809="Avis obtenu"),1,0))</f>
        <v/>
      </c>
      <c r="AW809" s="7">
        <f>IF(A809="","",IF(Q809&gt;70,"Immédiat – propriétaire",IF(Q809&gt;=40,"15 min – personne de garde","Selon la route")))</f>
        <v/>
      </c>
      <c r="AX809" s="11">
        <f>IF(A809="","",IF(AT809="A",400,IF(AT809="B",150,0)))</f>
        <v/>
      </c>
      <c r="AY809" s="11">
        <f>IF(A809="","",IF(AV809=1,N(V809),IF(N(U809)&gt;0,ROUND(N(U809)*IFERROR(VLOOKUP(R809,Listes!$AE$3:$AG$12,2,FALSE),0),0),0)))</f>
        <v/>
      </c>
      <c r="AZ809" s="7">
        <f>IF(LEFT(A809,7)="EXEMPLE",1,0)</f>
        <v/>
      </c>
      <c r="BA809" s="7">
        <f>IF(AND(AV809=1,AZ809=0,AC809&lt;&gt;"",W809&lt;&gt;"",N(V809)&gt;0),COUNTIFS($AV$3:AV809,1,$AZ$3:AZ809,0,$AC$3:AC809,"&lt;&gt;",$W$3:W809,"&lt;&gt;",$V$3:V809,"&gt;0"),"")</f>
        <v/>
      </c>
    </row>
    <row r="810">
      <c r="A810" s="12" t="n"/>
      <c r="B810" s="13" t="n"/>
      <c r="C810" s="13" t="n"/>
      <c r="D810" s="7">
        <f>IF(OR(B810="",C810=""),"",ROUND((C810-B810)*1440,0))</f>
        <v/>
      </c>
      <c r="E810" s="12" t="n"/>
      <c r="F810" s="12" t="n"/>
      <c r="G810" s="12" t="n"/>
      <c r="H810" s="12" t="n"/>
      <c r="I810" s="12" t="n"/>
      <c r="J810" s="12" t="n"/>
      <c r="K810" s="12" t="n"/>
      <c r="L810" s="14" t="n"/>
      <c r="M810" s="12" t="n"/>
      <c r="N810" s="12" t="n"/>
      <c r="O810" s="12" t="n"/>
      <c r="P810" s="12" t="n"/>
      <c r="Q810" s="7">
        <f>IF(A810="","",IFERROR(VLOOKUP(O810,Listes!$R$3:$T$8,2,FALSE),0)+IFERROR(VLOOKUP(J810,Listes!$J$3:$L$6,2,FALSE),0)+IFERROR(VLOOKUP(N810,Listes!$N$3:$P$6,2,FALSE),0)+IF(OR(L810="",B810=""),0,IF(L810-INT(B810)&lt;10,8,IF(L810-INT(B810)&lt;=90,10,5)))+IFERROR(VLOOKUP(AN810,Listes!$V$3:$W$5,2,FALSE),0)+IFERROR(VLOOKUP(AO810,Listes!$Y$3:$Z$5,2,FALSE),0))</f>
        <v/>
      </c>
      <c r="R810" s="12" t="n"/>
      <c r="S810" s="12" t="n"/>
      <c r="T810" s="12" t="n"/>
      <c r="U810" s="15" t="n"/>
      <c r="V810" s="15" t="n"/>
      <c r="W810" s="13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3" t="n"/>
      <c r="AK810" s="12" t="n"/>
      <c r="AL810" s="12" t="n"/>
      <c r="AM810" s="12" t="n"/>
      <c r="AN810" s="12" t="n"/>
      <c r="AO810" s="12" t="n"/>
      <c r="AP810" s="12" t="n"/>
      <c r="AQ810" s="7">
        <f>IF(A810="","",IF(AP810&lt;&gt;"",AP810,IF(LEFT(Z810,11)="gads_marque","Google Search – Marque",IF(LEFT(Z810,12)="gads_mariage","Google Search – Mariage et privé",IF(LEFT(Z810,10)="gads_corpo","Google Search – Corporatif",IF(LEFT(Z810,5)="meta_","Meta – Leads",IF(LEFT(Z810,5)="msft_","Microsoft Ads",IF(LEFT(Z810,8)="chatgpt_","ChatGPT Ads – Test",IF(X810="gbp","Fiche Google (organique)","Autre / non payé")))))))))</f>
        <v/>
      </c>
      <c r="AR810" s="7">
        <f>IF(K810="","",IFERROR(VLOOKUP(K810,Listes!$F$3:$H$8,3,FALSE),""))</f>
        <v/>
      </c>
      <c r="AS810" s="7">
        <f>IF(O810="","",IF(AND(M810="Autre (plus de 40 km)",OR(O810="lt600",O810="600_999",O810="1000_2499")),"D",IF(OR(O810="lt600",AND(O810="600_999",K810&lt;&gt;"mariage",K810&lt;&gt;"prive")),"C",IF(OR(O810="2500_4999",O810="5000p",J810="entreprise",J810="organisme",J810="agence"),"A",IF(OR(O810="1000_2499",O810="600_999"),"B",IF(O810="inconnu",IF(OR(N810="75_149",N810="150p"),"A","B"),""))))))</f>
        <v/>
      </c>
      <c r="AT810" s="7">
        <f>IF(A810="","",IF(P810&lt;&gt;"",P810,AS810))</f>
        <v/>
      </c>
      <c r="AU810" s="7">
        <f>IF(A810="","",IF(OR(AT810="A",AT810="B"),1,0))</f>
        <v/>
      </c>
      <c r="AV810" s="7">
        <f>IF(A810="","",IF(OR(R810="Dépôt payé (gagné)",R810="Événement livré",R810="Avis obtenu"),1,0))</f>
        <v/>
      </c>
      <c r="AW810" s="7">
        <f>IF(A810="","",IF(Q810&gt;70,"Immédiat – propriétaire",IF(Q810&gt;=40,"15 min – personne de garde","Selon la route")))</f>
        <v/>
      </c>
      <c r="AX810" s="11">
        <f>IF(A810="","",IF(AT810="A",400,IF(AT810="B",150,0)))</f>
        <v/>
      </c>
      <c r="AY810" s="11">
        <f>IF(A810="","",IF(AV810=1,N(V810),IF(N(U810)&gt;0,ROUND(N(U810)*IFERROR(VLOOKUP(R810,Listes!$AE$3:$AG$12,2,FALSE),0),0),0)))</f>
        <v/>
      </c>
      <c r="AZ810" s="7">
        <f>IF(LEFT(A810,7)="EXEMPLE",1,0)</f>
        <v/>
      </c>
      <c r="BA810" s="7">
        <f>IF(AND(AV810=1,AZ810=0,AC810&lt;&gt;"",W810&lt;&gt;"",N(V810)&gt;0),COUNTIFS($AV$3:AV810,1,$AZ$3:AZ810,0,$AC$3:AC810,"&lt;&gt;",$W$3:W810,"&lt;&gt;",$V$3:V810,"&gt;0"),"")</f>
        <v/>
      </c>
    </row>
    <row r="811">
      <c r="A811" s="12" t="n"/>
      <c r="B811" s="13" t="n"/>
      <c r="C811" s="13" t="n"/>
      <c r="D811" s="7">
        <f>IF(OR(B811="",C811=""),"",ROUND((C811-B811)*1440,0))</f>
        <v/>
      </c>
      <c r="E811" s="12" t="n"/>
      <c r="F811" s="12" t="n"/>
      <c r="G811" s="12" t="n"/>
      <c r="H811" s="12" t="n"/>
      <c r="I811" s="12" t="n"/>
      <c r="J811" s="12" t="n"/>
      <c r="K811" s="12" t="n"/>
      <c r="L811" s="14" t="n"/>
      <c r="M811" s="12" t="n"/>
      <c r="N811" s="12" t="n"/>
      <c r="O811" s="12" t="n"/>
      <c r="P811" s="12" t="n"/>
      <c r="Q811" s="7">
        <f>IF(A811="","",IFERROR(VLOOKUP(O811,Listes!$R$3:$T$8,2,FALSE),0)+IFERROR(VLOOKUP(J811,Listes!$J$3:$L$6,2,FALSE),0)+IFERROR(VLOOKUP(N811,Listes!$N$3:$P$6,2,FALSE),0)+IF(OR(L811="",B811=""),0,IF(L811-INT(B811)&lt;10,8,IF(L811-INT(B811)&lt;=90,10,5)))+IFERROR(VLOOKUP(AN811,Listes!$V$3:$W$5,2,FALSE),0)+IFERROR(VLOOKUP(AO811,Listes!$Y$3:$Z$5,2,FALSE),0))</f>
        <v/>
      </c>
      <c r="R811" s="12" t="n"/>
      <c r="S811" s="12" t="n"/>
      <c r="T811" s="12" t="n"/>
      <c r="U811" s="15" t="n"/>
      <c r="V811" s="15" t="n"/>
      <c r="W811" s="13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3" t="n"/>
      <c r="AK811" s="12" t="n"/>
      <c r="AL811" s="12" t="n"/>
      <c r="AM811" s="12" t="n"/>
      <c r="AN811" s="12" t="n"/>
      <c r="AO811" s="12" t="n"/>
      <c r="AP811" s="12" t="n"/>
      <c r="AQ811" s="7">
        <f>IF(A811="","",IF(AP811&lt;&gt;"",AP811,IF(LEFT(Z811,11)="gads_marque","Google Search – Marque",IF(LEFT(Z811,12)="gads_mariage","Google Search – Mariage et privé",IF(LEFT(Z811,10)="gads_corpo","Google Search – Corporatif",IF(LEFT(Z811,5)="meta_","Meta – Leads",IF(LEFT(Z811,5)="msft_","Microsoft Ads",IF(LEFT(Z811,8)="chatgpt_","ChatGPT Ads – Test",IF(X811="gbp","Fiche Google (organique)","Autre / non payé")))))))))</f>
        <v/>
      </c>
      <c r="AR811" s="7">
        <f>IF(K811="","",IFERROR(VLOOKUP(K811,Listes!$F$3:$H$8,3,FALSE),""))</f>
        <v/>
      </c>
      <c r="AS811" s="7">
        <f>IF(O811="","",IF(AND(M811="Autre (plus de 40 km)",OR(O811="lt600",O811="600_999",O811="1000_2499")),"D",IF(OR(O811="lt600",AND(O811="600_999",K811&lt;&gt;"mariage",K811&lt;&gt;"prive")),"C",IF(OR(O811="2500_4999",O811="5000p",J811="entreprise",J811="organisme",J811="agence"),"A",IF(OR(O811="1000_2499",O811="600_999"),"B",IF(O811="inconnu",IF(OR(N811="75_149",N811="150p"),"A","B"),""))))))</f>
        <v/>
      </c>
      <c r="AT811" s="7">
        <f>IF(A811="","",IF(P811&lt;&gt;"",P811,AS811))</f>
        <v/>
      </c>
      <c r="AU811" s="7">
        <f>IF(A811="","",IF(OR(AT811="A",AT811="B"),1,0))</f>
        <v/>
      </c>
      <c r="AV811" s="7">
        <f>IF(A811="","",IF(OR(R811="Dépôt payé (gagné)",R811="Événement livré",R811="Avis obtenu"),1,0))</f>
        <v/>
      </c>
      <c r="AW811" s="7">
        <f>IF(A811="","",IF(Q811&gt;70,"Immédiat – propriétaire",IF(Q811&gt;=40,"15 min – personne de garde","Selon la route")))</f>
        <v/>
      </c>
      <c r="AX811" s="11">
        <f>IF(A811="","",IF(AT811="A",400,IF(AT811="B",150,0)))</f>
        <v/>
      </c>
      <c r="AY811" s="11">
        <f>IF(A811="","",IF(AV811=1,N(V811),IF(N(U811)&gt;0,ROUND(N(U811)*IFERROR(VLOOKUP(R811,Listes!$AE$3:$AG$12,2,FALSE),0),0),0)))</f>
        <v/>
      </c>
      <c r="AZ811" s="7">
        <f>IF(LEFT(A811,7)="EXEMPLE",1,0)</f>
        <v/>
      </c>
      <c r="BA811" s="7">
        <f>IF(AND(AV811=1,AZ811=0,AC811&lt;&gt;"",W811&lt;&gt;"",N(V811)&gt;0),COUNTIFS($AV$3:AV811,1,$AZ$3:AZ811,0,$AC$3:AC811,"&lt;&gt;",$W$3:W811,"&lt;&gt;",$V$3:V811,"&gt;0"),"")</f>
        <v/>
      </c>
    </row>
    <row r="812">
      <c r="A812" s="12" t="n"/>
      <c r="B812" s="13" t="n"/>
      <c r="C812" s="13" t="n"/>
      <c r="D812" s="7">
        <f>IF(OR(B812="",C812=""),"",ROUND((C812-B812)*1440,0))</f>
        <v/>
      </c>
      <c r="E812" s="12" t="n"/>
      <c r="F812" s="12" t="n"/>
      <c r="G812" s="12" t="n"/>
      <c r="H812" s="12" t="n"/>
      <c r="I812" s="12" t="n"/>
      <c r="J812" s="12" t="n"/>
      <c r="K812" s="12" t="n"/>
      <c r="L812" s="14" t="n"/>
      <c r="M812" s="12" t="n"/>
      <c r="N812" s="12" t="n"/>
      <c r="O812" s="12" t="n"/>
      <c r="P812" s="12" t="n"/>
      <c r="Q812" s="7">
        <f>IF(A812="","",IFERROR(VLOOKUP(O812,Listes!$R$3:$T$8,2,FALSE),0)+IFERROR(VLOOKUP(J812,Listes!$J$3:$L$6,2,FALSE),0)+IFERROR(VLOOKUP(N812,Listes!$N$3:$P$6,2,FALSE),0)+IF(OR(L812="",B812=""),0,IF(L812-INT(B812)&lt;10,8,IF(L812-INT(B812)&lt;=90,10,5)))+IFERROR(VLOOKUP(AN812,Listes!$V$3:$W$5,2,FALSE),0)+IFERROR(VLOOKUP(AO812,Listes!$Y$3:$Z$5,2,FALSE),0))</f>
        <v/>
      </c>
      <c r="R812" s="12" t="n"/>
      <c r="S812" s="12" t="n"/>
      <c r="T812" s="12" t="n"/>
      <c r="U812" s="15" t="n"/>
      <c r="V812" s="15" t="n"/>
      <c r="W812" s="13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3" t="n"/>
      <c r="AK812" s="12" t="n"/>
      <c r="AL812" s="12" t="n"/>
      <c r="AM812" s="12" t="n"/>
      <c r="AN812" s="12" t="n"/>
      <c r="AO812" s="12" t="n"/>
      <c r="AP812" s="12" t="n"/>
      <c r="AQ812" s="7">
        <f>IF(A812="","",IF(AP812&lt;&gt;"",AP812,IF(LEFT(Z812,11)="gads_marque","Google Search – Marque",IF(LEFT(Z812,12)="gads_mariage","Google Search – Mariage et privé",IF(LEFT(Z812,10)="gads_corpo","Google Search – Corporatif",IF(LEFT(Z812,5)="meta_","Meta – Leads",IF(LEFT(Z812,5)="msft_","Microsoft Ads",IF(LEFT(Z812,8)="chatgpt_","ChatGPT Ads – Test",IF(X812="gbp","Fiche Google (organique)","Autre / non payé")))))))))</f>
        <v/>
      </c>
      <c r="AR812" s="7">
        <f>IF(K812="","",IFERROR(VLOOKUP(K812,Listes!$F$3:$H$8,3,FALSE),""))</f>
        <v/>
      </c>
      <c r="AS812" s="7">
        <f>IF(O812="","",IF(AND(M812="Autre (plus de 40 km)",OR(O812="lt600",O812="600_999",O812="1000_2499")),"D",IF(OR(O812="lt600",AND(O812="600_999",K812&lt;&gt;"mariage",K812&lt;&gt;"prive")),"C",IF(OR(O812="2500_4999",O812="5000p",J812="entreprise",J812="organisme",J812="agence"),"A",IF(OR(O812="1000_2499",O812="600_999"),"B",IF(O812="inconnu",IF(OR(N812="75_149",N812="150p"),"A","B"),""))))))</f>
        <v/>
      </c>
      <c r="AT812" s="7">
        <f>IF(A812="","",IF(P812&lt;&gt;"",P812,AS812))</f>
        <v/>
      </c>
      <c r="AU812" s="7">
        <f>IF(A812="","",IF(OR(AT812="A",AT812="B"),1,0))</f>
        <v/>
      </c>
      <c r="AV812" s="7">
        <f>IF(A812="","",IF(OR(R812="Dépôt payé (gagné)",R812="Événement livré",R812="Avis obtenu"),1,0))</f>
        <v/>
      </c>
      <c r="AW812" s="7">
        <f>IF(A812="","",IF(Q812&gt;70,"Immédiat – propriétaire",IF(Q812&gt;=40,"15 min – personne de garde","Selon la route")))</f>
        <v/>
      </c>
      <c r="AX812" s="11">
        <f>IF(A812="","",IF(AT812="A",400,IF(AT812="B",150,0)))</f>
        <v/>
      </c>
      <c r="AY812" s="11">
        <f>IF(A812="","",IF(AV812=1,N(V812),IF(N(U812)&gt;0,ROUND(N(U812)*IFERROR(VLOOKUP(R812,Listes!$AE$3:$AG$12,2,FALSE),0),0),0)))</f>
        <v/>
      </c>
      <c r="AZ812" s="7">
        <f>IF(LEFT(A812,7)="EXEMPLE",1,0)</f>
        <v/>
      </c>
      <c r="BA812" s="7">
        <f>IF(AND(AV812=1,AZ812=0,AC812&lt;&gt;"",W812&lt;&gt;"",N(V812)&gt;0),COUNTIFS($AV$3:AV812,1,$AZ$3:AZ812,0,$AC$3:AC812,"&lt;&gt;",$W$3:W812,"&lt;&gt;",$V$3:V812,"&gt;0"),"")</f>
        <v/>
      </c>
    </row>
    <row r="813">
      <c r="A813" s="12" t="n"/>
      <c r="B813" s="13" t="n"/>
      <c r="C813" s="13" t="n"/>
      <c r="D813" s="7">
        <f>IF(OR(B813="",C813=""),"",ROUND((C813-B813)*1440,0))</f>
        <v/>
      </c>
      <c r="E813" s="12" t="n"/>
      <c r="F813" s="12" t="n"/>
      <c r="G813" s="12" t="n"/>
      <c r="H813" s="12" t="n"/>
      <c r="I813" s="12" t="n"/>
      <c r="J813" s="12" t="n"/>
      <c r="K813" s="12" t="n"/>
      <c r="L813" s="14" t="n"/>
      <c r="M813" s="12" t="n"/>
      <c r="N813" s="12" t="n"/>
      <c r="O813" s="12" t="n"/>
      <c r="P813" s="12" t="n"/>
      <c r="Q813" s="7">
        <f>IF(A813="","",IFERROR(VLOOKUP(O813,Listes!$R$3:$T$8,2,FALSE),0)+IFERROR(VLOOKUP(J813,Listes!$J$3:$L$6,2,FALSE),0)+IFERROR(VLOOKUP(N813,Listes!$N$3:$P$6,2,FALSE),0)+IF(OR(L813="",B813=""),0,IF(L813-INT(B813)&lt;10,8,IF(L813-INT(B813)&lt;=90,10,5)))+IFERROR(VLOOKUP(AN813,Listes!$V$3:$W$5,2,FALSE),0)+IFERROR(VLOOKUP(AO813,Listes!$Y$3:$Z$5,2,FALSE),0))</f>
        <v/>
      </c>
      <c r="R813" s="12" t="n"/>
      <c r="S813" s="12" t="n"/>
      <c r="T813" s="12" t="n"/>
      <c r="U813" s="15" t="n"/>
      <c r="V813" s="15" t="n"/>
      <c r="W813" s="13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3" t="n"/>
      <c r="AK813" s="12" t="n"/>
      <c r="AL813" s="12" t="n"/>
      <c r="AM813" s="12" t="n"/>
      <c r="AN813" s="12" t="n"/>
      <c r="AO813" s="12" t="n"/>
      <c r="AP813" s="12" t="n"/>
      <c r="AQ813" s="7">
        <f>IF(A813="","",IF(AP813&lt;&gt;"",AP813,IF(LEFT(Z813,11)="gads_marque","Google Search – Marque",IF(LEFT(Z813,12)="gads_mariage","Google Search – Mariage et privé",IF(LEFT(Z813,10)="gads_corpo","Google Search – Corporatif",IF(LEFT(Z813,5)="meta_","Meta – Leads",IF(LEFT(Z813,5)="msft_","Microsoft Ads",IF(LEFT(Z813,8)="chatgpt_","ChatGPT Ads – Test",IF(X813="gbp","Fiche Google (organique)","Autre / non payé")))))))))</f>
        <v/>
      </c>
      <c r="AR813" s="7">
        <f>IF(K813="","",IFERROR(VLOOKUP(K813,Listes!$F$3:$H$8,3,FALSE),""))</f>
        <v/>
      </c>
      <c r="AS813" s="7">
        <f>IF(O813="","",IF(AND(M813="Autre (plus de 40 km)",OR(O813="lt600",O813="600_999",O813="1000_2499")),"D",IF(OR(O813="lt600",AND(O813="600_999",K813&lt;&gt;"mariage",K813&lt;&gt;"prive")),"C",IF(OR(O813="2500_4999",O813="5000p",J813="entreprise",J813="organisme",J813="agence"),"A",IF(OR(O813="1000_2499",O813="600_999"),"B",IF(O813="inconnu",IF(OR(N813="75_149",N813="150p"),"A","B"),""))))))</f>
        <v/>
      </c>
      <c r="AT813" s="7">
        <f>IF(A813="","",IF(P813&lt;&gt;"",P813,AS813))</f>
        <v/>
      </c>
      <c r="AU813" s="7">
        <f>IF(A813="","",IF(OR(AT813="A",AT813="B"),1,0))</f>
        <v/>
      </c>
      <c r="AV813" s="7">
        <f>IF(A813="","",IF(OR(R813="Dépôt payé (gagné)",R813="Événement livré",R813="Avis obtenu"),1,0))</f>
        <v/>
      </c>
      <c r="AW813" s="7">
        <f>IF(A813="","",IF(Q813&gt;70,"Immédiat – propriétaire",IF(Q813&gt;=40,"15 min – personne de garde","Selon la route")))</f>
        <v/>
      </c>
      <c r="AX813" s="11">
        <f>IF(A813="","",IF(AT813="A",400,IF(AT813="B",150,0)))</f>
        <v/>
      </c>
      <c r="AY813" s="11">
        <f>IF(A813="","",IF(AV813=1,N(V813),IF(N(U813)&gt;0,ROUND(N(U813)*IFERROR(VLOOKUP(R813,Listes!$AE$3:$AG$12,2,FALSE),0),0),0)))</f>
        <v/>
      </c>
      <c r="AZ813" s="7">
        <f>IF(LEFT(A813,7)="EXEMPLE",1,0)</f>
        <v/>
      </c>
      <c r="BA813" s="7">
        <f>IF(AND(AV813=1,AZ813=0,AC813&lt;&gt;"",W813&lt;&gt;"",N(V813)&gt;0),COUNTIFS($AV$3:AV813,1,$AZ$3:AZ813,0,$AC$3:AC813,"&lt;&gt;",$W$3:W813,"&lt;&gt;",$V$3:V813,"&gt;0"),"")</f>
        <v/>
      </c>
    </row>
    <row r="814">
      <c r="A814" s="12" t="n"/>
      <c r="B814" s="13" t="n"/>
      <c r="C814" s="13" t="n"/>
      <c r="D814" s="7">
        <f>IF(OR(B814="",C814=""),"",ROUND((C814-B814)*1440,0))</f>
        <v/>
      </c>
      <c r="E814" s="12" t="n"/>
      <c r="F814" s="12" t="n"/>
      <c r="G814" s="12" t="n"/>
      <c r="H814" s="12" t="n"/>
      <c r="I814" s="12" t="n"/>
      <c r="J814" s="12" t="n"/>
      <c r="K814" s="12" t="n"/>
      <c r="L814" s="14" t="n"/>
      <c r="M814" s="12" t="n"/>
      <c r="N814" s="12" t="n"/>
      <c r="O814" s="12" t="n"/>
      <c r="P814" s="12" t="n"/>
      <c r="Q814" s="7">
        <f>IF(A814="","",IFERROR(VLOOKUP(O814,Listes!$R$3:$T$8,2,FALSE),0)+IFERROR(VLOOKUP(J814,Listes!$J$3:$L$6,2,FALSE),0)+IFERROR(VLOOKUP(N814,Listes!$N$3:$P$6,2,FALSE),0)+IF(OR(L814="",B814=""),0,IF(L814-INT(B814)&lt;10,8,IF(L814-INT(B814)&lt;=90,10,5)))+IFERROR(VLOOKUP(AN814,Listes!$V$3:$W$5,2,FALSE),0)+IFERROR(VLOOKUP(AO814,Listes!$Y$3:$Z$5,2,FALSE),0))</f>
        <v/>
      </c>
      <c r="R814" s="12" t="n"/>
      <c r="S814" s="12" t="n"/>
      <c r="T814" s="12" t="n"/>
      <c r="U814" s="15" t="n"/>
      <c r="V814" s="15" t="n"/>
      <c r="W814" s="13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3" t="n"/>
      <c r="AK814" s="12" t="n"/>
      <c r="AL814" s="12" t="n"/>
      <c r="AM814" s="12" t="n"/>
      <c r="AN814" s="12" t="n"/>
      <c r="AO814" s="12" t="n"/>
      <c r="AP814" s="12" t="n"/>
      <c r="AQ814" s="7">
        <f>IF(A814="","",IF(AP814&lt;&gt;"",AP814,IF(LEFT(Z814,11)="gads_marque","Google Search – Marque",IF(LEFT(Z814,12)="gads_mariage","Google Search – Mariage et privé",IF(LEFT(Z814,10)="gads_corpo","Google Search – Corporatif",IF(LEFT(Z814,5)="meta_","Meta – Leads",IF(LEFT(Z814,5)="msft_","Microsoft Ads",IF(LEFT(Z814,8)="chatgpt_","ChatGPT Ads – Test",IF(X814="gbp","Fiche Google (organique)","Autre / non payé")))))))))</f>
        <v/>
      </c>
      <c r="AR814" s="7">
        <f>IF(K814="","",IFERROR(VLOOKUP(K814,Listes!$F$3:$H$8,3,FALSE),""))</f>
        <v/>
      </c>
      <c r="AS814" s="7">
        <f>IF(O814="","",IF(AND(M814="Autre (plus de 40 km)",OR(O814="lt600",O814="600_999",O814="1000_2499")),"D",IF(OR(O814="lt600",AND(O814="600_999",K814&lt;&gt;"mariage",K814&lt;&gt;"prive")),"C",IF(OR(O814="2500_4999",O814="5000p",J814="entreprise",J814="organisme",J814="agence"),"A",IF(OR(O814="1000_2499",O814="600_999"),"B",IF(O814="inconnu",IF(OR(N814="75_149",N814="150p"),"A","B"),""))))))</f>
        <v/>
      </c>
      <c r="AT814" s="7">
        <f>IF(A814="","",IF(P814&lt;&gt;"",P814,AS814))</f>
        <v/>
      </c>
      <c r="AU814" s="7">
        <f>IF(A814="","",IF(OR(AT814="A",AT814="B"),1,0))</f>
        <v/>
      </c>
      <c r="AV814" s="7">
        <f>IF(A814="","",IF(OR(R814="Dépôt payé (gagné)",R814="Événement livré",R814="Avis obtenu"),1,0))</f>
        <v/>
      </c>
      <c r="AW814" s="7">
        <f>IF(A814="","",IF(Q814&gt;70,"Immédiat – propriétaire",IF(Q814&gt;=40,"15 min – personne de garde","Selon la route")))</f>
        <v/>
      </c>
      <c r="AX814" s="11">
        <f>IF(A814="","",IF(AT814="A",400,IF(AT814="B",150,0)))</f>
        <v/>
      </c>
      <c r="AY814" s="11">
        <f>IF(A814="","",IF(AV814=1,N(V814),IF(N(U814)&gt;0,ROUND(N(U814)*IFERROR(VLOOKUP(R814,Listes!$AE$3:$AG$12,2,FALSE),0),0),0)))</f>
        <v/>
      </c>
      <c r="AZ814" s="7">
        <f>IF(LEFT(A814,7)="EXEMPLE",1,0)</f>
        <v/>
      </c>
      <c r="BA814" s="7">
        <f>IF(AND(AV814=1,AZ814=0,AC814&lt;&gt;"",W814&lt;&gt;"",N(V814)&gt;0),COUNTIFS($AV$3:AV814,1,$AZ$3:AZ814,0,$AC$3:AC814,"&lt;&gt;",$W$3:W814,"&lt;&gt;",$V$3:V814,"&gt;0"),"")</f>
        <v/>
      </c>
    </row>
    <row r="815">
      <c r="A815" s="12" t="n"/>
      <c r="B815" s="13" t="n"/>
      <c r="C815" s="13" t="n"/>
      <c r="D815" s="7">
        <f>IF(OR(B815="",C815=""),"",ROUND((C815-B815)*1440,0))</f>
        <v/>
      </c>
      <c r="E815" s="12" t="n"/>
      <c r="F815" s="12" t="n"/>
      <c r="G815" s="12" t="n"/>
      <c r="H815" s="12" t="n"/>
      <c r="I815" s="12" t="n"/>
      <c r="J815" s="12" t="n"/>
      <c r="K815" s="12" t="n"/>
      <c r="L815" s="14" t="n"/>
      <c r="M815" s="12" t="n"/>
      <c r="N815" s="12" t="n"/>
      <c r="O815" s="12" t="n"/>
      <c r="P815" s="12" t="n"/>
      <c r="Q815" s="7">
        <f>IF(A815="","",IFERROR(VLOOKUP(O815,Listes!$R$3:$T$8,2,FALSE),0)+IFERROR(VLOOKUP(J815,Listes!$J$3:$L$6,2,FALSE),0)+IFERROR(VLOOKUP(N815,Listes!$N$3:$P$6,2,FALSE),0)+IF(OR(L815="",B815=""),0,IF(L815-INT(B815)&lt;10,8,IF(L815-INT(B815)&lt;=90,10,5)))+IFERROR(VLOOKUP(AN815,Listes!$V$3:$W$5,2,FALSE),0)+IFERROR(VLOOKUP(AO815,Listes!$Y$3:$Z$5,2,FALSE),0))</f>
        <v/>
      </c>
      <c r="R815" s="12" t="n"/>
      <c r="S815" s="12" t="n"/>
      <c r="T815" s="12" t="n"/>
      <c r="U815" s="15" t="n"/>
      <c r="V815" s="15" t="n"/>
      <c r="W815" s="13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3" t="n"/>
      <c r="AK815" s="12" t="n"/>
      <c r="AL815" s="12" t="n"/>
      <c r="AM815" s="12" t="n"/>
      <c r="AN815" s="12" t="n"/>
      <c r="AO815" s="12" t="n"/>
      <c r="AP815" s="12" t="n"/>
      <c r="AQ815" s="7">
        <f>IF(A815="","",IF(AP815&lt;&gt;"",AP815,IF(LEFT(Z815,11)="gads_marque","Google Search – Marque",IF(LEFT(Z815,12)="gads_mariage","Google Search – Mariage et privé",IF(LEFT(Z815,10)="gads_corpo","Google Search – Corporatif",IF(LEFT(Z815,5)="meta_","Meta – Leads",IF(LEFT(Z815,5)="msft_","Microsoft Ads",IF(LEFT(Z815,8)="chatgpt_","ChatGPT Ads – Test",IF(X815="gbp","Fiche Google (organique)","Autre / non payé")))))))))</f>
        <v/>
      </c>
      <c r="AR815" s="7">
        <f>IF(K815="","",IFERROR(VLOOKUP(K815,Listes!$F$3:$H$8,3,FALSE),""))</f>
        <v/>
      </c>
      <c r="AS815" s="7">
        <f>IF(O815="","",IF(AND(M815="Autre (plus de 40 km)",OR(O815="lt600",O815="600_999",O815="1000_2499")),"D",IF(OR(O815="lt600",AND(O815="600_999",K815&lt;&gt;"mariage",K815&lt;&gt;"prive")),"C",IF(OR(O815="2500_4999",O815="5000p",J815="entreprise",J815="organisme",J815="agence"),"A",IF(OR(O815="1000_2499",O815="600_999"),"B",IF(O815="inconnu",IF(OR(N815="75_149",N815="150p"),"A","B"),""))))))</f>
        <v/>
      </c>
      <c r="AT815" s="7">
        <f>IF(A815="","",IF(P815&lt;&gt;"",P815,AS815))</f>
        <v/>
      </c>
      <c r="AU815" s="7">
        <f>IF(A815="","",IF(OR(AT815="A",AT815="B"),1,0))</f>
        <v/>
      </c>
      <c r="AV815" s="7">
        <f>IF(A815="","",IF(OR(R815="Dépôt payé (gagné)",R815="Événement livré",R815="Avis obtenu"),1,0))</f>
        <v/>
      </c>
      <c r="AW815" s="7">
        <f>IF(A815="","",IF(Q815&gt;70,"Immédiat – propriétaire",IF(Q815&gt;=40,"15 min – personne de garde","Selon la route")))</f>
        <v/>
      </c>
      <c r="AX815" s="11">
        <f>IF(A815="","",IF(AT815="A",400,IF(AT815="B",150,0)))</f>
        <v/>
      </c>
      <c r="AY815" s="11">
        <f>IF(A815="","",IF(AV815=1,N(V815),IF(N(U815)&gt;0,ROUND(N(U815)*IFERROR(VLOOKUP(R815,Listes!$AE$3:$AG$12,2,FALSE),0),0),0)))</f>
        <v/>
      </c>
      <c r="AZ815" s="7">
        <f>IF(LEFT(A815,7)="EXEMPLE",1,0)</f>
        <v/>
      </c>
      <c r="BA815" s="7">
        <f>IF(AND(AV815=1,AZ815=0,AC815&lt;&gt;"",W815&lt;&gt;"",N(V815)&gt;0),COUNTIFS($AV$3:AV815,1,$AZ$3:AZ815,0,$AC$3:AC815,"&lt;&gt;",$W$3:W815,"&lt;&gt;",$V$3:V815,"&gt;0"),"")</f>
        <v/>
      </c>
    </row>
    <row r="816">
      <c r="A816" s="12" t="n"/>
      <c r="B816" s="13" t="n"/>
      <c r="C816" s="13" t="n"/>
      <c r="D816" s="7">
        <f>IF(OR(B816="",C816=""),"",ROUND((C816-B816)*1440,0))</f>
        <v/>
      </c>
      <c r="E816" s="12" t="n"/>
      <c r="F816" s="12" t="n"/>
      <c r="G816" s="12" t="n"/>
      <c r="H816" s="12" t="n"/>
      <c r="I816" s="12" t="n"/>
      <c r="J816" s="12" t="n"/>
      <c r="K816" s="12" t="n"/>
      <c r="L816" s="14" t="n"/>
      <c r="M816" s="12" t="n"/>
      <c r="N816" s="12" t="n"/>
      <c r="O816" s="12" t="n"/>
      <c r="P816" s="12" t="n"/>
      <c r="Q816" s="7">
        <f>IF(A816="","",IFERROR(VLOOKUP(O816,Listes!$R$3:$T$8,2,FALSE),0)+IFERROR(VLOOKUP(J816,Listes!$J$3:$L$6,2,FALSE),0)+IFERROR(VLOOKUP(N816,Listes!$N$3:$P$6,2,FALSE),0)+IF(OR(L816="",B816=""),0,IF(L816-INT(B816)&lt;10,8,IF(L816-INT(B816)&lt;=90,10,5)))+IFERROR(VLOOKUP(AN816,Listes!$V$3:$W$5,2,FALSE),0)+IFERROR(VLOOKUP(AO816,Listes!$Y$3:$Z$5,2,FALSE),0))</f>
        <v/>
      </c>
      <c r="R816" s="12" t="n"/>
      <c r="S816" s="12" t="n"/>
      <c r="T816" s="12" t="n"/>
      <c r="U816" s="15" t="n"/>
      <c r="V816" s="15" t="n"/>
      <c r="W816" s="13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3" t="n"/>
      <c r="AK816" s="12" t="n"/>
      <c r="AL816" s="12" t="n"/>
      <c r="AM816" s="12" t="n"/>
      <c r="AN816" s="12" t="n"/>
      <c r="AO816" s="12" t="n"/>
      <c r="AP816" s="12" t="n"/>
      <c r="AQ816" s="7">
        <f>IF(A816="","",IF(AP816&lt;&gt;"",AP816,IF(LEFT(Z816,11)="gads_marque","Google Search – Marque",IF(LEFT(Z816,12)="gads_mariage","Google Search – Mariage et privé",IF(LEFT(Z816,10)="gads_corpo","Google Search – Corporatif",IF(LEFT(Z816,5)="meta_","Meta – Leads",IF(LEFT(Z816,5)="msft_","Microsoft Ads",IF(LEFT(Z816,8)="chatgpt_","ChatGPT Ads – Test",IF(X816="gbp","Fiche Google (organique)","Autre / non payé")))))))))</f>
        <v/>
      </c>
      <c r="AR816" s="7">
        <f>IF(K816="","",IFERROR(VLOOKUP(K816,Listes!$F$3:$H$8,3,FALSE),""))</f>
        <v/>
      </c>
      <c r="AS816" s="7">
        <f>IF(O816="","",IF(AND(M816="Autre (plus de 40 km)",OR(O816="lt600",O816="600_999",O816="1000_2499")),"D",IF(OR(O816="lt600",AND(O816="600_999",K816&lt;&gt;"mariage",K816&lt;&gt;"prive")),"C",IF(OR(O816="2500_4999",O816="5000p",J816="entreprise",J816="organisme",J816="agence"),"A",IF(OR(O816="1000_2499",O816="600_999"),"B",IF(O816="inconnu",IF(OR(N816="75_149",N816="150p"),"A","B"),""))))))</f>
        <v/>
      </c>
      <c r="AT816" s="7">
        <f>IF(A816="","",IF(P816&lt;&gt;"",P816,AS816))</f>
        <v/>
      </c>
      <c r="AU816" s="7">
        <f>IF(A816="","",IF(OR(AT816="A",AT816="B"),1,0))</f>
        <v/>
      </c>
      <c r="AV816" s="7">
        <f>IF(A816="","",IF(OR(R816="Dépôt payé (gagné)",R816="Événement livré",R816="Avis obtenu"),1,0))</f>
        <v/>
      </c>
      <c r="AW816" s="7">
        <f>IF(A816="","",IF(Q816&gt;70,"Immédiat – propriétaire",IF(Q816&gt;=40,"15 min – personne de garde","Selon la route")))</f>
        <v/>
      </c>
      <c r="AX816" s="11">
        <f>IF(A816="","",IF(AT816="A",400,IF(AT816="B",150,0)))</f>
        <v/>
      </c>
      <c r="AY816" s="11">
        <f>IF(A816="","",IF(AV816=1,N(V816),IF(N(U816)&gt;0,ROUND(N(U816)*IFERROR(VLOOKUP(R816,Listes!$AE$3:$AG$12,2,FALSE),0),0),0)))</f>
        <v/>
      </c>
      <c r="AZ816" s="7">
        <f>IF(LEFT(A816,7)="EXEMPLE",1,0)</f>
        <v/>
      </c>
      <c r="BA816" s="7">
        <f>IF(AND(AV816=1,AZ816=0,AC816&lt;&gt;"",W816&lt;&gt;"",N(V816)&gt;0),COUNTIFS($AV$3:AV816,1,$AZ$3:AZ816,0,$AC$3:AC816,"&lt;&gt;",$W$3:W816,"&lt;&gt;",$V$3:V816,"&gt;0"),"")</f>
        <v/>
      </c>
    </row>
    <row r="817">
      <c r="A817" s="12" t="n"/>
      <c r="B817" s="13" t="n"/>
      <c r="C817" s="13" t="n"/>
      <c r="D817" s="7">
        <f>IF(OR(B817="",C817=""),"",ROUND((C817-B817)*1440,0))</f>
        <v/>
      </c>
      <c r="E817" s="12" t="n"/>
      <c r="F817" s="12" t="n"/>
      <c r="G817" s="12" t="n"/>
      <c r="H817" s="12" t="n"/>
      <c r="I817" s="12" t="n"/>
      <c r="J817" s="12" t="n"/>
      <c r="K817" s="12" t="n"/>
      <c r="L817" s="14" t="n"/>
      <c r="M817" s="12" t="n"/>
      <c r="N817" s="12" t="n"/>
      <c r="O817" s="12" t="n"/>
      <c r="P817" s="12" t="n"/>
      <c r="Q817" s="7">
        <f>IF(A817="","",IFERROR(VLOOKUP(O817,Listes!$R$3:$T$8,2,FALSE),0)+IFERROR(VLOOKUP(J817,Listes!$J$3:$L$6,2,FALSE),0)+IFERROR(VLOOKUP(N817,Listes!$N$3:$P$6,2,FALSE),0)+IF(OR(L817="",B817=""),0,IF(L817-INT(B817)&lt;10,8,IF(L817-INT(B817)&lt;=90,10,5)))+IFERROR(VLOOKUP(AN817,Listes!$V$3:$W$5,2,FALSE),0)+IFERROR(VLOOKUP(AO817,Listes!$Y$3:$Z$5,2,FALSE),0))</f>
        <v/>
      </c>
      <c r="R817" s="12" t="n"/>
      <c r="S817" s="12" t="n"/>
      <c r="T817" s="12" t="n"/>
      <c r="U817" s="15" t="n"/>
      <c r="V817" s="15" t="n"/>
      <c r="W817" s="13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3" t="n"/>
      <c r="AK817" s="12" t="n"/>
      <c r="AL817" s="12" t="n"/>
      <c r="AM817" s="12" t="n"/>
      <c r="AN817" s="12" t="n"/>
      <c r="AO817" s="12" t="n"/>
      <c r="AP817" s="12" t="n"/>
      <c r="AQ817" s="7">
        <f>IF(A817="","",IF(AP817&lt;&gt;"",AP817,IF(LEFT(Z817,11)="gads_marque","Google Search – Marque",IF(LEFT(Z817,12)="gads_mariage","Google Search – Mariage et privé",IF(LEFT(Z817,10)="gads_corpo","Google Search – Corporatif",IF(LEFT(Z817,5)="meta_","Meta – Leads",IF(LEFT(Z817,5)="msft_","Microsoft Ads",IF(LEFT(Z817,8)="chatgpt_","ChatGPT Ads – Test",IF(X817="gbp","Fiche Google (organique)","Autre / non payé")))))))))</f>
        <v/>
      </c>
      <c r="AR817" s="7">
        <f>IF(K817="","",IFERROR(VLOOKUP(K817,Listes!$F$3:$H$8,3,FALSE),""))</f>
        <v/>
      </c>
      <c r="AS817" s="7">
        <f>IF(O817="","",IF(AND(M817="Autre (plus de 40 km)",OR(O817="lt600",O817="600_999",O817="1000_2499")),"D",IF(OR(O817="lt600",AND(O817="600_999",K817&lt;&gt;"mariage",K817&lt;&gt;"prive")),"C",IF(OR(O817="2500_4999",O817="5000p",J817="entreprise",J817="organisme",J817="agence"),"A",IF(OR(O817="1000_2499",O817="600_999"),"B",IF(O817="inconnu",IF(OR(N817="75_149",N817="150p"),"A","B"),""))))))</f>
        <v/>
      </c>
      <c r="AT817" s="7">
        <f>IF(A817="","",IF(P817&lt;&gt;"",P817,AS817))</f>
        <v/>
      </c>
      <c r="AU817" s="7">
        <f>IF(A817="","",IF(OR(AT817="A",AT817="B"),1,0))</f>
        <v/>
      </c>
      <c r="AV817" s="7">
        <f>IF(A817="","",IF(OR(R817="Dépôt payé (gagné)",R817="Événement livré",R817="Avis obtenu"),1,0))</f>
        <v/>
      </c>
      <c r="AW817" s="7">
        <f>IF(A817="","",IF(Q817&gt;70,"Immédiat – propriétaire",IF(Q817&gt;=40,"15 min – personne de garde","Selon la route")))</f>
        <v/>
      </c>
      <c r="AX817" s="11">
        <f>IF(A817="","",IF(AT817="A",400,IF(AT817="B",150,0)))</f>
        <v/>
      </c>
      <c r="AY817" s="11">
        <f>IF(A817="","",IF(AV817=1,N(V817),IF(N(U817)&gt;0,ROUND(N(U817)*IFERROR(VLOOKUP(R817,Listes!$AE$3:$AG$12,2,FALSE),0),0),0)))</f>
        <v/>
      </c>
      <c r="AZ817" s="7">
        <f>IF(LEFT(A817,7)="EXEMPLE",1,0)</f>
        <v/>
      </c>
      <c r="BA817" s="7">
        <f>IF(AND(AV817=1,AZ817=0,AC817&lt;&gt;"",W817&lt;&gt;"",N(V817)&gt;0),COUNTIFS($AV$3:AV817,1,$AZ$3:AZ817,0,$AC$3:AC817,"&lt;&gt;",$W$3:W817,"&lt;&gt;",$V$3:V817,"&gt;0"),"")</f>
        <v/>
      </c>
    </row>
    <row r="818">
      <c r="A818" s="12" t="n"/>
      <c r="B818" s="13" t="n"/>
      <c r="C818" s="13" t="n"/>
      <c r="D818" s="7">
        <f>IF(OR(B818="",C818=""),"",ROUND((C818-B818)*1440,0))</f>
        <v/>
      </c>
      <c r="E818" s="12" t="n"/>
      <c r="F818" s="12" t="n"/>
      <c r="G818" s="12" t="n"/>
      <c r="H818" s="12" t="n"/>
      <c r="I818" s="12" t="n"/>
      <c r="J818" s="12" t="n"/>
      <c r="K818" s="12" t="n"/>
      <c r="L818" s="14" t="n"/>
      <c r="M818" s="12" t="n"/>
      <c r="N818" s="12" t="n"/>
      <c r="O818" s="12" t="n"/>
      <c r="P818" s="12" t="n"/>
      <c r="Q818" s="7">
        <f>IF(A818="","",IFERROR(VLOOKUP(O818,Listes!$R$3:$T$8,2,FALSE),0)+IFERROR(VLOOKUP(J818,Listes!$J$3:$L$6,2,FALSE),0)+IFERROR(VLOOKUP(N818,Listes!$N$3:$P$6,2,FALSE),0)+IF(OR(L818="",B818=""),0,IF(L818-INT(B818)&lt;10,8,IF(L818-INT(B818)&lt;=90,10,5)))+IFERROR(VLOOKUP(AN818,Listes!$V$3:$W$5,2,FALSE),0)+IFERROR(VLOOKUP(AO818,Listes!$Y$3:$Z$5,2,FALSE),0))</f>
        <v/>
      </c>
      <c r="R818" s="12" t="n"/>
      <c r="S818" s="12" t="n"/>
      <c r="T818" s="12" t="n"/>
      <c r="U818" s="15" t="n"/>
      <c r="V818" s="15" t="n"/>
      <c r="W818" s="13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3" t="n"/>
      <c r="AK818" s="12" t="n"/>
      <c r="AL818" s="12" t="n"/>
      <c r="AM818" s="12" t="n"/>
      <c r="AN818" s="12" t="n"/>
      <c r="AO818" s="12" t="n"/>
      <c r="AP818" s="12" t="n"/>
      <c r="AQ818" s="7">
        <f>IF(A818="","",IF(AP818&lt;&gt;"",AP818,IF(LEFT(Z818,11)="gads_marque","Google Search – Marque",IF(LEFT(Z818,12)="gads_mariage","Google Search – Mariage et privé",IF(LEFT(Z818,10)="gads_corpo","Google Search – Corporatif",IF(LEFT(Z818,5)="meta_","Meta – Leads",IF(LEFT(Z818,5)="msft_","Microsoft Ads",IF(LEFT(Z818,8)="chatgpt_","ChatGPT Ads – Test",IF(X818="gbp","Fiche Google (organique)","Autre / non payé")))))))))</f>
        <v/>
      </c>
      <c r="AR818" s="7">
        <f>IF(K818="","",IFERROR(VLOOKUP(K818,Listes!$F$3:$H$8,3,FALSE),""))</f>
        <v/>
      </c>
      <c r="AS818" s="7">
        <f>IF(O818="","",IF(AND(M818="Autre (plus de 40 km)",OR(O818="lt600",O818="600_999",O818="1000_2499")),"D",IF(OR(O818="lt600",AND(O818="600_999",K818&lt;&gt;"mariage",K818&lt;&gt;"prive")),"C",IF(OR(O818="2500_4999",O818="5000p",J818="entreprise",J818="organisme",J818="agence"),"A",IF(OR(O818="1000_2499",O818="600_999"),"B",IF(O818="inconnu",IF(OR(N818="75_149",N818="150p"),"A","B"),""))))))</f>
        <v/>
      </c>
      <c r="AT818" s="7">
        <f>IF(A818="","",IF(P818&lt;&gt;"",P818,AS818))</f>
        <v/>
      </c>
      <c r="AU818" s="7">
        <f>IF(A818="","",IF(OR(AT818="A",AT818="B"),1,0))</f>
        <v/>
      </c>
      <c r="AV818" s="7">
        <f>IF(A818="","",IF(OR(R818="Dépôt payé (gagné)",R818="Événement livré",R818="Avis obtenu"),1,0))</f>
        <v/>
      </c>
      <c r="AW818" s="7">
        <f>IF(A818="","",IF(Q818&gt;70,"Immédiat – propriétaire",IF(Q818&gt;=40,"15 min – personne de garde","Selon la route")))</f>
        <v/>
      </c>
      <c r="AX818" s="11">
        <f>IF(A818="","",IF(AT818="A",400,IF(AT818="B",150,0)))</f>
        <v/>
      </c>
      <c r="AY818" s="11">
        <f>IF(A818="","",IF(AV818=1,N(V818),IF(N(U818)&gt;0,ROUND(N(U818)*IFERROR(VLOOKUP(R818,Listes!$AE$3:$AG$12,2,FALSE),0),0),0)))</f>
        <v/>
      </c>
      <c r="AZ818" s="7">
        <f>IF(LEFT(A818,7)="EXEMPLE",1,0)</f>
        <v/>
      </c>
      <c r="BA818" s="7">
        <f>IF(AND(AV818=1,AZ818=0,AC818&lt;&gt;"",W818&lt;&gt;"",N(V818)&gt;0),COUNTIFS($AV$3:AV818,1,$AZ$3:AZ818,0,$AC$3:AC818,"&lt;&gt;",$W$3:W818,"&lt;&gt;",$V$3:V818,"&gt;0"),"")</f>
        <v/>
      </c>
    </row>
    <row r="819">
      <c r="A819" s="12" t="n"/>
      <c r="B819" s="13" t="n"/>
      <c r="C819" s="13" t="n"/>
      <c r="D819" s="7">
        <f>IF(OR(B819="",C819=""),"",ROUND((C819-B819)*1440,0))</f>
        <v/>
      </c>
      <c r="E819" s="12" t="n"/>
      <c r="F819" s="12" t="n"/>
      <c r="G819" s="12" t="n"/>
      <c r="H819" s="12" t="n"/>
      <c r="I819" s="12" t="n"/>
      <c r="J819" s="12" t="n"/>
      <c r="K819" s="12" t="n"/>
      <c r="L819" s="14" t="n"/>
      <c r="M819" s="12" t="n"/>
      <c r="N819" s="12" t="n"/>
      <c r="O819" s="12" t="n"/>
      <c r="P819" s="12" t="n"/>
      <c r="Q819" s="7">
        <f>IF(A819="","",IFERROR(VLOOKUP(O819,Listes!$R$3:$T$8,2,FALSE),0)+IFERROR(VLOOKUP(J819,Listes!$J$3:$L$6,2,FALSE),0)+IFERROR(VLOOKUP(N819,Listes!$N$3:$P$6,2,FALSE),0)+IF(OR(L819="",B819=""),0,IF(L819-INT(B819)&lt;10,8,IF(L819-INT(B819)&lt;=90,10,5)))+IFERROR(VLOOKUP(AN819,Listes!$V$3:$W$5,2,FALSE),0)+IFERROR(VLOOKUP(AO819,Listes!$Y$3:$Z$5,2,FALSE),0))</f>
        <v/>
      </c>
      <c r="R819" s="12" t="n"/>
      <c r="S819" s="12" t="n"/>
      <c r="T819" s="12" t="n"/>
      <c r="U819" s="15" t="n"/>
      <c r="V819" s="15" t="n"/>
      <c r="W819" s="13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3" t="n"/>
      <c r="AK819" s="12" t="n"/>
      <c r="AL819" s="12" t="n"/>
      <c r="AM819" s="12" t="n"/>
      <c r="AN819" s="12" t="n"/>
      <c r="AO819" s="12" t="n"/>
      <c r="AP819" s="12" t="n"/>
      <c r="AQ819" s="7">
        <f>IF(A819="","",IF(AP819&lt;&gt;"",AP819,IF(LEFT(Z819,11)="gads_marque","Google Search – Marque",IF(LEFT(Z819,12)="gads_mariage","Google Search – Mariage et privé",IF(LEFT(Z819,10)="gads_corpo","Google Search – Corporatif",IF(LEFT(Z819,5)="meta_","Meta – Leads",IF(LEFT(Z819,5)="msft_","Microsoft Ads",IF(LEFT(Z819,8)="chatgpt_","ChatGPT Ads – Test",IF(X819="gbp","Fiche Google (organique)","Autre / non payé")))))))))</f>
        <v/>
      </c>
      <c r="AR819" s="7">
        <f>IF(K819="","",IFERROR(VLOOKUP(K819,Listes!$F$3:$H$8,3,FALSE),""))</f>
        <v/>
      </c>
      <c r="AS819" s="7">
        <f>IF(O819="","",IF(AND(M819="Autre (plus de 40 km)",OR(O819="lt600",O819="600_999",O819="1000_2499")),"D",IF(OR(O819="lt600",AND(O819="600_999",K819&lt;&gt;"mariage",K819&lt;&gt;"prive")),"C",IF(OR(O819="2500_4999",O819="5000p",J819="entreprise",J819="organisme",J819="agence"),"A",IF(OR(O819="1000_2499",O819="600_999"),"B",IF(O819="inconnu",IF(OR(N819="75_149",N819="150p"),"A","B"),""))))))</f>
        <v/>
      </c>
      <c r="AT819" s="7">
        <f>IF(A819="","",IF(P819&lt;&gt;"",P819,AS819))</f>
        <v/>
      </c>
      <c r="AU819" s="7">
        <f>IF(A819="","",IF(OR(AT819="A",AT819="B"),1,0))</f>
        <v/>
      </c>
      <c r="AV819" s="7">
        <f>IF(A819="","",IF(OR(R819="Dépôt payé (gagné)",R819="Événement livré",R819="Avis obtenu"),1,0))</f>
        <v/>
      </c>
      <c r="AW819" s="7">
        <f>IF(A819="","",IF(Q819&gt;70,"Immédiat – propriétaire",IF(Q819&gt;=40,"15 min – personne de garde","Selon la route")))</f>
        <v/>
      </c>
      <c r="AX819" s="11">
        <f>IF(A819="","",IF(AT819="A",400,IF(AT819="B",150,0)))</f>
        <v/>
      </c>
      <c r="AY819" s="11">
        <f>IF(A819="","",IF(AV819=1,N(V819),IF(N(U819)&gt;0,ROUND(N(U819)*IFERROR(VLOOKUP(R819,Listes!$AE$3:$AG$12,2,FALSE),0),0),0)))</f>
        <v/>
      </c>
      <c r="AZ819" s="7">
        <f>IF(LEFT(A819,7)="EXEMPLE",1,0)</f>
        <v/>
      </c>
      <c r="BA819" s="7">
        <f>IF(AND(AV819=1,AZ819=0,AC819&lt;&gt;"",W819&lt;&gt;"",N(V819)&gt;0),COUNTIFS($AV$3:AV819,1,$AZ$3:AZ819,0,$AC$3:AC819,"&lt;&gt;",$W$3:W819,"&lt;&gt;",$V$3:V819,"&gt;0"),"")</f>
        <v/>
      </c>
    </row>
    <row r="820">
      <c r="A820" s="12" t="n"/>
      <c r="B820" s="13" t="n"/>
      <c r="C820" s="13" t="n"/>
      <c r="D820" s="7">
        <f>IF(OR(B820="",C820=""),"",ROUND((C820-B820)*1440,0))</f>
        <v/>
      </c>
      <c r="E820" s="12" t="n"/>
      <c r="F820" s="12" t="n"/>
      <c r="G820" s="12" t="n"/>
      <c r="H820" s="12" t="n"/>
      <c r="I820" s="12" t="n"/>
      <c r="J820" s="12" t="n"/>
      <c r="K820" s="12" t="n"/>
      <c r="L820" s="14" t="n"/>
      <c r="M820" s="12" t="n"/>
      <c r="N820" s="12" t="n"/>
      <c r="O820" s="12" t="n"/>
      <c r="P820" s="12" t="n"/>
      <c r="Q820" s="7">
        <f>IF(A820="","",IFERROR(VLOOKUP(O820,Listes!$R$3:$T$8,2,FALSE),0)+IFERROR(VLOOKUP(J820,Listes!$J$3:$L$6,2,FALSE),0)+IFERROR(VLOOKUP(N820,Listes!$N$3:$P$6,2,FALSE),0)+IF(OR(L820="",B820=""),0,IF(L820-INT(B820)&lt;10,8,IF(L820-INT(B820)&lt;=90,10,5)))+IFERROR(VLOOKUP(AN820,Listes!$V$3:$W$5,2,FALSE),0)+IFERROR(VLOOKUP(AO820,Listes!$Y$3:$Z$5,2,FALSE),0))</f>
        <v/>
      </c>
      <c r="R820" s="12" t="n"/>
      <c r="S820" s="12" t="n"/>
      <c r="T820" s="12" t="n"/>
      <c r="U820" s="15" t="n"/>
      <c r="V820" s="15" t="n"/>
      <c r="W820" s="13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3" t="n"/>
      <c r="AK820" s="12" t="n"/>
      <c r="AL820" s="12" t="n"/>
      <c r="AM820" s="12" t="n"/>
      <c r="AN820" s="12" t="n"/>
      <c r="AO820" s="12" t="n"/>
      <c r="AP820" s="12" t="n"/>
      <c r="AQ820" s="7">
        <f>IF(A820="","",IF(AP820&lt;&gt;"",AP820,IF(LEFT(Z820,11)="gads_marque","Google Search – Marque",IF(LEFT(Z820,12)="gads_mariage","Google Search – Mariage et privé",IF(LEFT(Z820,10)="gads_corpo","Google Search – Corporatif",IF(LEFT(Z820,5)="meta_","Meta – Leads",IF(LEFT(Z820,5)="msft_","Microsoft Ads",IF(LEFT(Z820,8)="chatgpt_","ChatGPT Ads – Test",IF(X820="gbp","Fiche Google (organique)","Autre / non payé")))))))))</f>
        <v/>
      </c>
      <c r="AR820" s="7">
        <f>IF(K820="","",IFERROR(VLOOKUP(K820,Listes!$F$3:$H$8,3,FALSE),""))</f>
        <v/>
      </c>
      <c r="AS820" s="7">
        <f>IF(O820="","",IF(AND(M820="Autre (plus de 40 km)",OR(O820="lt600",O820="600_999",O820="1000_2499")),"D",IF(OR(O820="lt600",AND(O820="600_999",K820&lt;&gt;"mariage",K820&lt;&gt;"prive")),"C",IF(OR(O820="2500_4999",O820="5000p",J820="entreprise",J820="organisme",J820="agence"),"A",IF(OR(O820="1000_2499",O820="600_999"),"B",IF(O820="inconnu",IF(OR(N820="75_149",N820="150p"),"A","B"),""))))))</f>
        <v/>
      </c>
      <c r="AT820" s="7">
        <f>IF(A820="","",IF(P820&lt;&gt;"",P820,AS820))</f>
        <v/>
      </c>
      <c r="AU820" s="7">
        <f>IF(A820="","",IF(OR(AT820="A",AT820="B"),1,0))</f>
        <v/>
      </c>
      <c r="AV820" s="7">
        <f>IF(A820="","",IF(OR(R820="Dépôt payé (gagné)",R820="Événement livré",R820="Avis obtenu"),1,0))</f>
        <v/>
      </c>
      <c r="AW820" s="7">
        <f>IF(A820="","",IF(Q820&gt;70,"Immédiat – propriétaire",IF(Q820&gt;=40,"15 min – personne de garde","Selon la route")))</f>
        <v/>
      </c>
      <c r="AX820" s="11">
        <f>IF(A820="","",IF(AT820="A",400,IF(AT820="B",150,0)))</f>
        <v/>
      </c>
      <c r="AY820" s="11">
        <f>IF(A820="","",IF(AV820=1,N(V820),IF(N(U820)&gt;0,ROUND(N(U820)*IFERROR(VLOOKUP(R820,Listes!$AE$3:$AG$12,2,FALSE),0),0),0)))</f>
        <v/>
      </c>
      <c r="AZ820" s="7">
        <f>IF(LEFT(A820,7)="EXEMPLE",1,0)</f>
        <v/>
      </c>
      <c r="BA820" s="7">
        <f>IF(AND(AV820=1,AZ820=0,AC820&lt;&gt;"",W820&lt;&gt;"",N(V820)&gt;0),COUNTIFS($AV$3:AV820,1,$AZ$3:AZ820,0,$AC$3:AC820,"&lt;&gt;",$W$3:W820,"&lt;&gt;",$V$3:V820,"&gt;0"),"")</f>
        <v/>
      </c>
    </row>
    <row r="821">
      <c r="A821" s="12" t="n"/>
      <c r="B821" s="13" t="n"/>
      <c r="C821" s="13" t="n"/>
      <c r="D821" s="7">
        <f>IF(OR(B821="",C821=""),"",ROUND((C821-B821)*1440,0))</f>
        <v/>
      </c>
      <c r="E821" s="12" t="n"/>
      <c r="F821" s="12" t="n"/>
      <c r="G821" s="12" t="n"/>
      <c r="H821" s="12" t="n"/>
      <c r="I821" s="12" t="n"/>
      <c r="J821" s="12" t="n"/>
      <c r="K821" s="12" t="n"/>
      <c r="L821" s="14" t="n"/>
      <c r="M821" s="12" t="n"/>
      <c r="N821" s="12" t="n"/>
      <c r="O821" s="12" t="n"/>
      <c r="P821" s="12" t="n"/>
      <c r="Q821" s="7">
        <f>IF(A821="","",IFERROR(VLOOKUP(O821,Listes!$R$3:$T$8,2,FALSE),0)+IFERROR(VLOOKUP(J821,Listes!$J$3:$L$6,2,FALSE),0)+IFERROR(VLOOKUP(N821,Listes!$N$3:$P$6,2,FALSE),0)+IF(OR(L821="",B821=""),0,IF(L821-INT(B821)&lt;10,8,IF(L821-INT(B821)&lt;=90,10,5)))+IFERROR(VLOOKUP(AN821,Listes!$V$3:$W$5,2,FALSE),0)+IFERROR(VLOOKUP(AO821,Listes!$Y$3:$Z$5,2,FALSE),0))</f>
        <v/>
      </c>
      <c r="R821" s="12" t="n"/>
      <c r="S821" s="12" t="n"/>
      <c r="T821" s="12" t="n"/>
      <c r="U821" s="15" t="n"/>
      <c r="V821" s="15" t="n"/>
      <c r="W821" s="13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3" t="n"/>
      <c r="AK821" s="12" t="n"/>
      <c r="AL821" s="12" t="n"/>
      <c r="AM821" s="12" t="n"/>
      <c r="AN821" s="12" t="n"/>
      <c r="AO821" s="12" t="n"/>
      <c r="AP821" s="12" t="n"/>
      <c r="AQ821" s="7">
        <f>IF(A821="","",IF(AP821&lt;&gt;"",AP821,IF(LEFT(Z821,11)="gads_marque","Google Search – Marque",IF(LEFT(Z821,12)="gads_mariage","Google Search – Mariage et privé",IF(LEFT(Z821,10)="gads_corpo","Google Search – Corporatif",IF(LEFT(Z821,5)="meta_","Meta – Leads",IF(LEFT(Z821,5)="msft_","Microsoft Ads",IF(LEFT(Z821,8)="chatgpt_","ChatGPT Ads – Test",IF(X821="gbp","Fiche Google (organique)","Autre / non payé")))))))))</f>
        <v/>
      </c>
      <c r="AR821" s="7">
        <f>IF(K821="","",IFERROR(VLOOKUP(K821,Listes!$F$3:$H$8,3,FALSE),""))</f>
        <v/>
      </c>
      <c r="AS821" s="7">
        <f>IF(O821="","",IF(AND(M821="Autre (plus de 40 km)",OR(O821="lt600",O821="600_999",O821="1000_2499")),"D",IF(OR(O821="lt600",AND(O821="600_999",K821&lt;&gt;"mariage",K821&lt;&gt;"prive")),"C",IF(OR(O821="2500_4999",O821="5000p",J821="entreprise",J821="organisme",J821="agence"),"A",IF(OR(O821="1000_2499",O821="600_999"),"B",IF(O821="inconnu",IF(OR(N821="75_149",N821="150p"),"A","B"),""))))))</f>
        <v/>
      </c>
      <c r="AT821" s="7">
        <f>IF(A821="","",IF(P821&lt;&gt;"",P821,AS821))</f>
        <v/>
      </c>
      <c r="AU821" s="7">
        <f>IF(A821="","",IF(OR(AT821="A",AT821="B"),1,0))</f>
        <v/>
      </c>
      <c r="AV821" s="7">
        <f>IF(A821="","",IF(OR(R821="Dépôt payé (gagné)",R821="Événement livré",R821="Avis obtenu"),1,0))</f>
        <v/>
      </c>
      <c r="AW821" s="7">
        <f>IF(A821="","",IF(Q821&gt;70,"Immédiat – propriétaire",IF(Q821&gt;=40,"15 min – personne de garde","Selon la route")))</f>
        <v/>
      </c>
      <c r="AX821" s="11">
        <f>IF(A821="","",IF(AT821="A",400,IF(AT821="B",150,0)))</f>
        <v/>
      </c>
      <c r="AY821" s="11">
        <f>IF(A821="","",IF(AV821=1,N(V821),IF(N(U821)&gt;0,ROUND(N(U821)*IFERROR(VLOOKUP(R821,Listes!$AE$3:$AG$12,2,FALSE),0),0),0)))</f>
        <v/>
      </c>
      <c r="AZ821" s="7">
        <f>IF(LEFT(A821,7)="EXEMPLE",1,0)</f>
        <v/>
      </c>
      <c r="BA821" s="7">
        <f>IF(AND(AV821=1,AZ821=0,AC821&lt;&gt;"",W821&lt;&gt;"",N(V821)&gt;0),COUNTIFS($AV$3:AV821,1,$AZ$3:AZ821,0,$AC$3:AC821,"&lt;&gt;",$W$3:W821,"&lt;&gt;",$V$3:V821,"&gt;0"),"")</f>
        <v/>
      </c>
    </row>
    <row r="822">
      <c r="A822" s="12" t="n"/>
      <c r="B822" s="13" t="n"/>
      <c r="C822" s="13" t="n"/>
      <c r="D822" s="7">
        <f>IF(OR(B822="",C822=""),"",ROUND((C822-B822)*1440,0))</f>
        <v/>
      </c>
      <c r="E822" s="12" t="n"/>
      <c r="F822" s="12" t="n"/>
      <c r="G822" s="12" t="n"/>
      <c r="H822" s="12" t="n"/>
      <c r="I822" s="12" t="n"/>
      <c r="J822" s="12" t="n"/>
      <c r="K822" s="12" t="n"/>
      <c r="L822" s="14" t="n"/>
      <c r="M822" s="12" t="n"/>
      <c r="N822" s="12" t="n"/>
      <c r="O822" s="12" t="n"/>
      <c r="P822" s="12" t="n"/>
      <c r="Q822" s="7">
        <f>IF(A822="","",IFERROR(VLOOKUP(O822,Listes!$R$3:$T$8,2,FALSE),0)+IFERROR(VLOOKUP(J822,Listes!$J$3:$L$6,2,FALSE),0)+IFERROR(VLOOKUP(N822,Listes!$N$3:$P$6,2,FALSE),0)+IF(OR(L822="",B822=""),0,IF(L822-INT(B822)&lt;10,8,IF(L822-INT(B822)&lt;=90,10,5)))+IFERROR(VLOOKUP(AN822,Listes!$V$3:$W$5,2,FALSE),0)+IFERROR(VLOOKUP(AO822,Listes!$Y$3:$Z$5,2,FALSE),0))</f>
        <v/>
      </c>
      <c r="R822" s="12" t="n"/>
      <c r="S822" s="12" t="n"/>
      <c r="T822" s="12" t="n"/>
      <c r="U822" s="15" t="n"/>
      <c r="V822" s="15" t="n"/>
      <c r="W822" s="13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3" t="n"/>
      <c r="AK822" s="12" t="n"/>
      <c r="AL822" s="12" t="n"/>
      <c r="AM822" s="12" t="n"/>
      <c r="AN822" s="12" t="n"/>
      <c r="AO822" s="12" t="n"/>
      <c r="AP822" s="12" t="n"/>
      <c r="AQ822" s="7">
        <f>IF(A822="","",IF(AP822&lt;&gt;"",AP822,IF(LEFT(Z822,11)="gads_marque","Google Search – Marque",IF(LEFT(Z822,12)="gads_mariage","Google Search – Mariage et privé",IF(LEFT(Z822,10)="gads_corpo","Google Search – Corporatif",IF(LEFT(Z822,5)="meta_","Meta – Leads",IF(LEFT(Z822,5)="msft_","Microsoft Ads",IF(LEFT(Z822,8)="chatgpt_","ChatGPT Ads – Test",IF(X822="gbp","Fiche Google (organique)","Autre / non payé")))))))))</f>
        <v/>
      </c>
      <c r="AR822" s="7">
        <f>IF(K822="","",IFERROR(VLOOKUP(K822,Listes!$F$3:$H$8,3,FALSE),""))</f>
        <v/>
      </c>
      <c r="AS822" s="7">
        <f>IF(O822="","",IF(AND(M822="Autre (plus de 40 km)",OR(O822="lt600",O822="600_999",O822="1000_2499")),"D",IF(OR(O822="lt600",AND(O822="600_999",K822&lt;&gt;"mariage",K822&lt;&gt;"prive")),"C",IF(OR(O822="2500_4999",O822="5000p",J822="entreprise",J822="organisme",J822="agence"),"A",IF(OR(O822="1000_2499",O822="600_999"),"B",IF(O822="inconnu",IF(OR(N822="75_149",N822="150p"),"A","B"),""))))))</f>
        <v/>
      </c>
      <c r="AT822" s="7">
        <f>IF(A822="","",IF(P822&lt;&gt;"",P822,AS822))</f>
        <v/>
      </c>
      <c r="AU822" s="7">
        <f>IF(A822="","",IF(OR(AT822="A",AT822="B"),1,0))</f>
        <v/>
      </c>
      <c r="AV822" s="7">
        <f>IF(A822="","",IF(OR(R822="Dépôt payé (gagné)",R822="Événement livré",R822="Avis obtenu"),1,0))</f>
        <v/>
      </c>
      <c r="AW822" s="7">
        <f>IF(A822="","",IF(Q822&gt;70,"Immédiat – propriétaire",IF(Q822&gt;=40,"15 min – personne de garde","Selon la route")))</f>
        <v/>
      </c>
      <c r="AX822" s="11">
        <f>IF(A822="","",IF(AT822="A",400,IF(AT822="B",150,0)))</f>
        <v/>
      </c>
      <c r="AY822" s="11">
        <f>IF(A822="","",IF(AV822=1,N(V822),IF(N(U822)&gt;0,ROUND(N(U822)*IFERROR(VLOOKUP(R822,Listes!$AE$3:$AG$12,2,FALSE),0),0),0)))</f>
        <v/>
      </c>
      <c r="AZ822" s="7">
        <f>IF(LEFT(A822,7)="EXEMPLE",1,0)</f>
        <v/>
      </c>
      <c r="BA822" s="7">
        <f>IF(AND(AV822=1,AZ822=0,AC822&lt;&gt;"",W822&lt;&gt;"",N(V822)&gt;0),COUNTIFS($AV$3:AV822,1,$AZ$3:AZ822,0,$AC$3:AC822,"&lt;&gt;",$W$3:W822,"&lt;&gt;",$V$3:V822,"&gt;0"),"")</f>
        <v/>
      </c>
    </row>
    <row r="823">
      <c r="A823" s="12" t="n"/>
      <c r="B823" s="13" t="n"/>
      <c r="C823" s="13" t="n"/>
      <c r="D823" s="7">
        <f>IF(OR(B823="",C823=""),"",ROUND((C823-B823)*1440,0))</f>
        <v/>
      </c>
      <c r="E823" s="12" t="n"/>
      <c r="F823" s="12" t="n"/>
      <c r="G823" s="12" t="n"/>
      <c r="H823" s="12" t="n"/>
      <c r="I823" s="12" t="n"/>
      <c r="J823" s="12" t="n"/>
      <c r="K823" s="12" t="n"/>
      <c r="L823" s="14" t="n"/>
      <c r="M823" s="12" t="n"/>
      <c r="N823" s="12" t="n"/>
      <c r="O823" s="12" t="n"/>
      <c r="P823" s="12" t="n"/>
      <c r="Q823" s="7">
        <f>IF(A823="","",IFERROR(VLOOKUP(O823,Listes!$R$3:$T$8,2,FALSE),0)+IFERROR(VLOOKUP(J823,Listes!$J$3:$L$6,2,FALSE),0)+IFERROR(VLOOKUP(N823,Listes!$N$3:$P$6,2,FALSE),0)+IF(OR(L823="",B823=""),0,IF(L823-INT(B823)&lt;10,8,IF(L823-INT(B823)&lt;=90,10,5)))+IFERROR(VLOOKUP(AN823,Listes!$V$3:$W$5,2,FALSE),0)+IFERROR(VLOOKUP(AO823,Listes!$Y$3:$Z$5,2,FALSE),0))</f>
        <v/>
      </c>
      <c r="R823" s="12" t="n"/>
      <c r="S823" s="12" t="n"/>
      <c r="T823" s="12" t="n"/>
      <c r="U823" s="15" t="n"/>
      <c r="V823" s="15" t="n"/>
      <c r="W823" s="13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3" t="n"/>
      <c r="AK823" s="12" t="n"/>
      <c r="AL823" s="12" t="n"/>
      <c r="AM823" s="12" t="n"/>
      <c r="AN823" s="12" t="n"/>
      <c r="AO823" s="12" t="n"/>
      <c r="AP823" s="12" t="n"/>
      <c r="AQ823" s="7">
        <f>IF(A823="","",IF(AP823&lt;&gt;"",AP823,IF(LEFT(Z823,11)="gads_marque","Google Search – Marque",IF(LEFT(Z823,12)="gads_mariage","Google Search – Mariage et privé",IF(LEFT(Z823,10)="gads_corpo","Google Search – Corporatif",IF(LEFT(Z823,5)="meta_","Meta – Leads",IF(LEFT(Z823,5)="msft_","Microsoft Ads",IF(LEFT(Z823,8)="chatgpt_","ChatGPT Ads – Test",IF(X823="gbp","Fiche Google (organique)","Autre / non payé")))))))))</f>
        <v/>
      </c>
      <c r="AR823" s="7">
        <f>IF(K823="","",IFERROR(VLOOKUP(K823,Listes!$F$3:$H$8,3,FALSE),""))</f>
        <v/>
      </c>
      <c r="AS823" s="7">
        <f>IF(O823="","",IF(AND(M823="Autre (plus de 40 km)",OR(O823="lt600",O823="600_999",O823="1000_2499")),"D",IF(OR(O823="lt600",AND(O823="600_999",K823&lt;&gt;"mariage",K823&lt;&gt;"prive")),"C",IF(OR(O823="2500_4999",O823="5000p",J823="entreprise",J823="organisme",J823="agence"),"A",IF(OR(O823="1000_2499",O823="600_999"),"B",IF(O823="inconnu",IF(OR(N823="75_149",N823="150p"),"A","B"),""))))))</f>
        <v/>
      </c>
      <c r="AT823" s="7">
        <f>IF(A823="","",IF(P823&lt;&gt;"",P823,AS823))</f>
        <v/>
      </c>
      <c r="AU823" s="7">
        <f>IF(A823="","",IF(OR(AT823="A",AT823="B"),1,0))</f>
        <v/>
      </c>
      <c r="AV823" s="7">
        <f>IF(A823="","",IF(OR(R823="Dépôt payé (gagné)",R823="Événement livré",R823="Avis obtenu"),1,0))</f>
        <v/>
      </c>
      <c r="AW823" s="7">
        <f>IF(A823="","",IF(Q823&gt;70,"Immédiat – propriétaire",IF(Q823&gt;=40,"15 min – personne de garde","Selon la route")))</f>
        <v/>
      </c>
      <c r="AX823" s="11">
        <f>IF(A823="","",IF(AT823="A",400,IF(AT823="B",150,0)))</f>
        <v/>
      </c>
      <c r="AY823" s="11">
        <f>IF(A823="","",IF(AV823=1,N(V823),IF(N(U823)&gt;0,ROUND(N(U823)*IFERROR(VLOOKUP(R823,Listes!$AE$3:$AG$12,2,FALSE),0),0),0)))</f>
        <v/>
      </c>
      <c r="AZ823" s="7">
        <f>IF(LEFT(A823,7)="EXEMPLE",1,0)</f>
        <v/>
      </c>
      <c r="BA823" s="7">
        <f>IF(AND(AV823=1,AZ823=0,AC823&lt;&gt;"",W823&lt;&gt;"",N(V823)&gt;0),COUNTIFS($AV$3:AV823,1,$AZ$3:AZ823,0,$AC$3:AC823,"&lt;&gt;",$W$3:W823,"&lt;&gt;",$V$3:V823,"&gt;0"),"")</f>
        <v/>
      </c>
    </row>
    <row r="824">
      <c r="A824" s="12" t="n"/>
      <c r="B824" s="13" t="n"/>
      <c r="C824" s="13" t="n"/>
      <c r="D824" s="7">
        <f>IF(OR(B824="",C824=""),"",ROUND((C824-B824)*1440,0))</f>
        <v/>
      </c>
      <c r="E824" s="12" t="n"/>
      <c r="F824" s="12" t="n"/>
      <c r="G824" s="12" t="n"/>
      <c r="H824" s="12" t="n"/>
      <c r="I824" s="12" t="n"/>
      <c r="J824" s="12" t="n"/>
      <c r="K824" s="12" t="n"/>
      <c r="L824" s="14" t="n"/>
      <c r="M824" s="12" t="n"/>
      <c r="N824" s="12" t="n"/>
      <c r="O824" s="12" t="n"/>
      <c r="P824" s="12" t="n"/>
      <c r="Q824" s="7">
        <f>IF(A824="","",IFERROR(VLOOKUP(O824,Listes!$R$3:$T$8,2,FALSE),0)+IFERROR(VLOOKUP(J824,Listes!$J$3:$L$6,2,FALSE),0)+IFERROR(VLOOKUP(N824,Listes!$N$3:$P$6,2,FALSE),0)+IF(OR(L824="",B824=""),0,IF(L824-INT(B824)&lt;10,8,IF(L824-INT(B824)&lt;=90,10,5)))+IFERROR(VLOOKUP(AN824,Listes!$V$3:$W$5,2,FALSE),0)+IFERROR(VLOOKUP(AO824,Listes!$Y$3:$Z$5,2,FALSE),0))</f>
        <v/>
      </c>
      <c r="R824" s="12" t="n"/>
      <c r="S824" s="12" t="n"/>
      <c r="T824" s="12" t="n"/>
      <c r="U824" s="15" t="n"/>
      <c r="V824" s="15" t="n"/>
      <c r="W824" s="13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3" t="n"/>
      <c r="AK824" s="12" t="n"/>
      <c r="AL824" s="12" t="n"/>
      <c r="AM824" s="12" t="n"/>
      <c r="AN824" s="12" t="n"/>
      <c r="AO824" s="12" t="n"/>
      <c r="AP824" s="12" t="n"/>
      <c r="AQ824" s="7">
        <f>IF(A824="","",IF(AP824&lt;&gt;"",AP824,IF(LEFT(Z824,11)="gads_marque","Google Search – Marque",IF(LEFT(Z824,12)="gads_mariage","Google Search – Mariage et privé",IF(LEFT(Z824,10)="gads_corpo","Google Search – Corporatif",IF(LEFT(Z824,5)="meta_","Meta – Leads",IF(LEFT(Z824,5)="msft_","Microsoft Ads",IF(LEFT(Z824,8)="chatgpt_","ChatGPT Ads – Test",IF(X824="gbp","Fiche Google (organique)","Autre / non payé")))))))))</f>
        <v/>
      </c>
      <c r="AR824" s="7">
        <f>IF(K824="","",IFERROR(VLOOKUP(K824,Listes!$F$3:$H$8,3,FALSE),""))</f>
        <v/>
      </c>
      <c r="AS824" s="7">
        <f>IF(O824="","",IF(AND(M824="Autre (plus de 40 km)",OR(O824="lt600",O824="600_999",O824="1000_2499")),"D",IF(OR(O824="lt600",AND(O824="600_999",K824&lt;&gt;"mariage",K824&lt;&gt;"prive")),"C",IF(OR(O824="2500_4999",O824="5000p",J824="entreprise",J824="organisme",J824="agence"),"A",IF(OR(O824="1000_2499",O824="600_999"),"B",IF(O824="inconnu",IF(OR(N824="75_149",N824="150p"),"A","B"),""))))))</f>
        <v/>
      </c>
      <c r="AT824" s="7">
        <f>IF(A824="","",IF(P824&lt;&gt;"",P824,AS824))</f>
        <v/>
      </c>
      <c r="AU824" s="7">
        <f>IF(A824="","",IF(OR(AT824="A",AT824="B"),1,0))</f>
        <v/>
      </c>
      <c r="AV824" s="7">
        <f>IF(A824="","",IF(OR(R824="Dépôt payé (gagné)",R824="Événement livré",R824="Avis obtenu"),1,0))</f>
        <v/>
      </c>
      <c r="AW824" s="7">
        <f>IF(A824="","",IF(Q824&gt;70,"Immédiat – propriétaire",IF(Q824&gt;=40,"15 min – personne de garde","Selon la route")))</f>
        <v/>
      </c>
      <c r="AX824" s="11">
        <f>IF(A824="","",IF(AT824="A",400,IF(AT824="B",150,0)))</f>
        <v/>
      </c>
      <c r="AY824" s="11">
        <f>IF(A824="","",IF(AV824=1,N(V824),IF(N(U824)&gt;0,ROUND(N(U824)*IFERROR(VLOOKUP(R824,Listes!$AE$3:$AG$12,2,FALSE),0),0),0)))</f>
        <v/>
      </c>
      <c r="AZ824" s="7">
        <f>IF(LEFT(A824,7)="EXEMPLE",1,0)</f>
        <v/>
      </c>
      <c r="BA824" s="7">
        <f>IF(AND(AV824=1,AZ824=0,AC824&lt;&gt;"",W824&lt;&gt;"",N(V824)&gt;0),COUNTIFS($AV$3:AV824,1,$AZ$3:AZ824,0,$AC$3:AC824,"&lt;&gt;",$W$3:W824,"&lt;&gt;",$V$3:V824,"&gt;0"),"")</f>
        <v/>
      </c>
    </row>
    <row r="825">
      <c r="A825" s="12" t="n"/>
      <c r="B825" s="13" t="n"/>
      <c r="C825" s="13" t="n"/>
      <c r="D825" s="7">
        <f>IF(OR(B825="",C825=""),"",ROUND((C825-B825)*1440,0))</f>
        <v/>
      </c>
      <c r="E825" s="12" t="n"/>
      <c r="F825" s="12" t="n"/>
      <c r="G825" s="12" t="n"/>
      <c r="H825" s="12" t="n"/>
      <c r="I825" s="12" t="n"/>
      <c r="J825" s="12" t="n"/>
      <c r="K825" s="12" t="n"/>
      <c r="L825" s="14" t="n"/>
      <c r="M825" s="12" t="n"/>
      <c r="N825" s="12" t="n"/>
      <c r="O825" s="12" t="n"/>
      <c r="P825" s="12" t="n"/>
      <c r="Q825" s="7">
        <f>IF(A825="","",IFERROR(VLOOKUP(O825,Listes!$R$3:$T$8,2,FALSE),0)+IFERROR(VLOOKUP(J825,Listes!$J$3:$L$6,2,FALSE),0)+IFERROR(VLOOKUP(N825,Listes!$N$3:$P$6,2,FALSE),0)+IF(OR(L825="",B825=""),0,IF(L825-INT(B825)&lt;10,8,IF(L825-INT(B825)&lt;=90,10,5)))+IFERROR(VLOOKUP(AN825,Listes!$V$3:$W$5,2,FALSE),0)+IFERROR(VLOOKUP(AO825,Listes!$Y$3:$Z$5,2,FALSE),0))</f>
        <v/>
      </c>
      <c r="R825" s="12" t="n"/>
      <c r="S825" s="12" t="n"/>
      <c r="T825" s="12" t="n"/>
      <c r="U825" s="15" t="n"/>
      <c r="V825" s="15" t="n"/>
      <c r="W825" s="13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3" t="n"/>
      <c r="AK825" s="12" t="n"/>
      <c r="AL825" s="12" t="n"/>
      <c r="AM825" s="12" t="n"/>
      <c r="AN825" s="12" t="n"/>
      <c r="AO825" s="12" t="n"/>
      <c r="AP825" s="12" t="n"/>
      <c r="AQ825" s="7">
        <f>IF(A825="","",IF(AP825&lt;&gt;"",AP825,IF(LEFT(Z825,11)="gads_marque","Google Search – Marque",IF(LEFT(Z825,12)="gads_mariage","Google Search – Mariage et privé",IF(LEFT(Z825,10)="gads_corpo","Google Search – Corporatif",IF(LEFT(Z825,5)="meta_","Meta – Leads",IF(LEFT(Z825,5)="msft_","Microsoft Ads",IF(LEFT(Z825,8)="chatgpt_","ChatGPT Ads – Test",IF(X825="gbp","Fiche Google (organique)","Autre / non payé")))))))))</f>
        <v/>
      </c>
      <c r="AR825" s="7">
        <f>IF(K825="","",IFERROR(VLOOKUP(K825,Listes!$F$3:$H$8,3,FALSE),""))</f>
        <v/>
      </c>
      <c r="AS825" s="7">
        <f>IF(O825="","",IF(AND(M825="Autre (plus de 40 km)",OR(O825="lt600",O825="600_999",O825="1000_2499")),"D",IF(OR(O825="lt600",AND(O825="600_999",K825&lt;&gt;"mariage",K825&lt;&gt;"prive")),"C",IF(OR(O825="2500_4999",O825="5000p",J825="entreprise",J825="organisme",J825="agence"),"A",IF(OR(O825="1000_2499",O825="600_999"),"B",IF(O825="inconnu",IF(OR(N825="75_149",N825="150p"),"A","B"),""))))))</f>
        <v/>
      </c>
      <c r="AT825" s="7">
        <f>IF(A825="","",IF(P825&lt;&gt;"",P825,AS825))</f>
        <v/>
      </c>
      <c r="AU825" s="7">
        <f>IF(A825="","",IF(OR(AT825="A",AT825="B"),1,0))</f>
        <v/>
      </c>
      <c r="AV825" s="7">
        <f>IF(A825="","",IF(OR(R825="Dépôt payé (gagné)",R825="Événement livré",R825="Avis obtenu"),1,0))</f>
        <v/>
      </c>
      <c r="AW825" s="7">
        <f>IF(A825="","",IF(Q825&gt;70,"Immédiat – propriétaire",IF(Q825&gt;=40,"15 min – personne de garde","Selon la route")))</f>
        <v/>
      </c>
      <c r="AX825" s="11">
        <f>IF(A825="","",IF(AT825="A",400,IF(AT825="B",150,0)))</f>
        <v/>
      </c>
      <c r="AY825" s="11">
        <f>IF(A825="","",IF(AV825=1,N(V825),IF(N(U825)&gt;0,ROUND(N(U825)*IFERROR(VLOOKUP(R825,Listes!$AE$3:$AG$12,2,FALSE),0),0),0)))</f>
        <v/>
      </c>
      <c r="AZ825" s="7">
        <f>IF(LEFT(A825,7)="EXEMPLE",1,0)</f>
        <v/>
      </c>
      <c r="BA825" s="7">
        <f>IF(AND(AV825=1,AZ825=0,AC825&lt;&gt;"",W825&lt;&gt;"",N(V825)&gt;0),COUNTIFS($AV$3:AV825,1,$AZ$3:AZ825,0,$AC$3:AC825,"&lt;&gt;",$W$3:W825,"&lt;&gt;",$V$3:V825,"&gt;0"),"")</f>
        <v/>
      </c>
    </row>
    <row r="826">
      <c r="A826" s="12" t="n"/>
      <c r="B826" s="13" t="n"/>
      <c r="C826" s="13" t="n"/>
      <c r="D826" s="7">
        <f>IF(OR(B826="",C826=""),"",ROUND((C826-B826)*1440,0))</f>
        <v/>
      </c>
      <c r="E826" s="12" t="n"/>
      <c r="F826" s="12" t="n"/>
      <c r="G826" s="12" t="n"/>
      <c r="H826" s="12" t="n"/>
      <c r="I826" s="12" t="n"/>
      <c r="J826" s="12" t="n"/>
      <c r="K826" s="12" t="n"/>
      <c r="L826" s="14" t="n"/>
      <c r="M826" s="12" t="n"/>
      <c r="N826" s="12" t="n"/>
      <c r="O826" s="12" t="n"/>
      <c r="P826" s="12" t="n"/>
      <c r="Q826" s="7">
        <f>IF(A826="","",IFERROR(VLOOKUP(O826,Listes!$R$3:$T$8,2,FALSE),0)+IFERROR(VLOOKUP(J826,Listes!$J$3:$L$6,2,FALSE),0)+IFERROR(VLOOKUP(N826,Listes!$N$3:$P$6,2,FALSE),0)+IF(OR(L826="",B826=""),0,IF(L826-INT(B826)&lt;10,8,IF(L826-INT(B826)&lt;=90,10,5)))+IFERROR(VLOOKUP(AN826,Listes!$V$3:$W$5,2,FALSE),0)+IFERROR(VLOOKUP(AO826,Listes!$Y$3:$Z$5,2,FALSE),0))</f>
        <v/>
      </c>
      <c r="R826" s="12" t="n"/>
      <c r="S826" s="12" t="n"/>
      <c r="T826" s="12" t="n"/>
      <c r="U826" s="15" t="n"/>
      <c r="V826" s="15" t="n"/>
      <c r="W826" s="13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3" t="n"/>
      <c r="AK826" s="12" t="n"/>
      <c r="AL826" s="12" t="n"/>
      <c r="AM826" s="12" t="n"/>
      <c r="AN826" s="12" t="n"/>
      <c r="AO826" s="12" t="n"/>
      <c r="AP826" s="12" t="n"/>
      <c r="AQ826" s="7">
        <f>IF(A826="","",IF(AP826&lt;&gt;"",AP826,IF(LEFT(Z826,11)="gads_marque","Google Search – Marque",IF(LEFT(Z826,12)="gads_mariage","Google Search – Mariage et privé",IF(LEFT(Z826,10)="gads_corpo","Google Search – Corporatif",IF(LEFT(Z826,5)="meta_","Meta – Leads",IF(LEFT(Z826,5)="msft_","Microsoft Ads",IF(LEFT(Z826,8)="chatgpt_","ChatGPT Ads – Test",IF(X826="gbp","Fiche Google (organique)","Autre / non payé")))))))))</f>
        <v/>
      </c>
      <c r="AR826" s="7">
        <f>IF(K826="","",IFERROR(VLOOKUP(K826,Listes!$F$3:$H$8,3,FALSE),""))</f>
        <v/>
      </c>
      <c r="AS826" s="7">
        <f>IF(O826="","",IF(AND(M826="Autre (plus de 40 km)",OR(O826="lt600",O826="600_999",O826="1000_2499")),"D",IF(OR(O826="lt600",AND(O826="600_999",K826&lt;&gt;"mariage",K826&lt;&gt;"prive")),"C",IF(OR(O826="2500_4999",O826="5000p",J826="entreprise",J826="organisme",J826="agence"),"A",IF(OR(O826="1000_2499",O826="600_999"),"B",IF(O826="inconnu",IF(OR(N826="75_149",N826="150p"),"A","B"),""))))))</f>
        <v/>
      </c>
      <c r="AT826" s="7">
        <f>IF(A826="","",IF(P826&lt;&gt;"",P826,AS826))</f>
        <v/>
      </c>
      <c r="AU826" s="7">
        <f>IF(A826="","",IF(OR(AT826="A",AT826="B"),1,0))</f>
        <v/>
      </c>
      <c r="AV826" s="7">
        <f>IF(A826="","",IF(OR(R826="Dépôt payé (gagné)",R826="Événement livré",R826="Avis obtenu"),1,0))</f>
        <v/>
      </c>
      <c r="AW826" s="7">
        <f>IF(A826="","",IF(Q826&gt;70,"Immédiat – propriétaire",IF(Q826&gt;=40,"15 min – personne de garde","Selon la route")))</f>
        <v/>
      </c>
      <c r="AX826" s="11">
        <f>IF(A826="","",IF(AT826="A",400,IF(AT826="B",150,0)))</f>
        <v/>
      </c>
      <c r="AY826" s="11">
        <f>IF(A826="","",IF(AV826=1,N(V826),IF(N(U826)&gt;0,ROUND(N(U826)*IFERROR(VLOOKUP(R826,Listes!$AE$3:$AG$12,2,FALSE),0),0),0)))</f>
        <v/>
      </c>
      <c r="AZ826" s="7">
        <f>IF(LEFT(A826,7)="EXEMPLE",1,0)</f>
        <v/>
      </c>
      <c r="BA826" s="7">
        <f>IF(AND(AV826=1,AZ826=0,AC826&lt;&gt;"",W826&lt;&gt;"",N(V826)&gt;0),COUNTIFS($AV$3:AV826,1,$AZ$3:AZ826,0,$AC$3:AC826,"&lt;&gt;",$W$3:W826,"&lt;&gt;",$V$3:V826,"&gt;0"),"")</f>
        <v/>
      </c>
    </row>
    <row r="827">
      <c r="A827" s="12" t="n"/>
      <c r="B827" s="13" t="n"/>
      <c r="C827" s="13" t="n"/>
      <c r="D827" s="7">
        <f>IF(OR(B827="",C827=""),"",ROUND((C827-B827)*1440,0))</f>
        <v/>
      </c>
      <c r="E827" s="12" t="n"/>
      <c r="F827" s="12" t="n"/>
      <c r="G827" s="12" t="n"/>
      <c r="H827" s="12" t="n"/>
      <c r="I827" s="12" t="n"/>
      <c r="J827" s="12" t="n"/>
      <c r="K827" s="12" t="n"/>
      <c r="L827" s="14" t="n"/>
      <c r="M827" s="12" t="n"/>
      <c r="N827" s="12" t="n"/>
      <c r="O827" s="12" t="n"/>
      <c r="P827" s="12" t="n"/>
      <c r="Q827" s="7">
        <f>IF(A827="","",IFERROR(VLOOKUP(O827,Listes!$R$3:$T$8,2,FALSE),0)+IFERROR(VLOOKUP(J827,Listes!$J$3:$L$6,2,FALSE),0)+IFERROR(VLOOKUP(N827,Listes!$N$3:$P$6,2,FALSE),0)+IF(OR(L827="",B827=""),0,IF(L827-INT(B827)&lt;10,8,IF(L827-INT(B827)&lt;=90,10,5)))+IFERROR(VLOOKUP(AN827,Listes!$V$3:$W$5,2,FALSE),0)+IFERROR(VLOOKUP(AO827,Listes!$Y$3:$Z$5,2,FALSE),0))</f>
        <v/>
      </c>
      <c r="R827" s="12" t="n"/>
      <c r="S827" s="12" t="n"/>
      <c r="T827" s="12" t="n"/>
      <c r="U827" s="15" t="n"/>
      <c r="V827" s="15" t="n"/>
      <c r="W827" s="13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3" t="n"/>
      <c r="AK827" s="12" t="n"/>
      <c r="AL827" s="12" t="n"/>
      <c r="AM827" s="12" t="n"/>
      <c r="AN827" s="12" t="n"/>
      <c r="AO827" s="12" t="n"/>
      <c r="AP827" s="12" t="n"/>
      <c r="AQ827" s="7">
        <f>IF(A827="","",IF(AP827&lt;&gt;"",AP827,IF(LEFT(Z827,11)="gads_marque","Google Search – Marque",IF(LEFT(Z827,12)="gads_mariage","Google Search – Mariage et privé",IF(LEFT(Z827,10)="gads_corpo","Google Search – Corporatif",IF(LEFT(Z827,5)="meta_","Meta – Leads",IF(LEFT(Z827,5)="msft_","Microsoft Ads",IF(LEFT(Z827,8)="chatgpt_","ChatGPT Ads – Test",IF(X827="gbp","Fiche Google (organique)","Autre / non payé")))))))))</f>
        <v/>
      </c>
      <c r="AR827" s="7">
        <f>IF(K827="","",IFERROR(VLOOKUP(K827,Listes!$F$3:$H$8,3,FALSE),""))</f>
        <v/>
      </c>
      <c r="AS827" s="7">
        <f>IF(O827="","",IF(AND(M827="Autre (plus de 40 km)",OR(O827="lt600",O827="600_999",O827="1000_2499")),"D",IF(OR(O827="lt600",AND(O827="600_999",K827&lt;&gt;"mariage",K827&lt;&gt;"prive")),"C",IF(OR(O827="2500_4999",O827="5000p",J827="entreprise",J827="organisme",J827="agence"),"A",IF(OR(O827="1000_2499",O827="600_999"),"B",IF(O827="inconnu",IF(OR(N827="75_149",N827="150p"),"A","B"),""))))))</f>
        <v/>
      </c>
      <c r="AT827" s="7">
        <f>IF(A827="","",IF(P827&lt;&gt;"",P827,AS827))</f>
        <v/>
      </c>
      <c r="AU827" s="7">
        <f>IF(A827="","",IF(OR(AT827="A",AT827="B"),1,0))</f>
        <v/>
      </c>
      <c r="AV827" s="7">
        <f>IF(A827="","",IF(OR(R827="Dépôt payé (gagné)",R827="Événement livré",R827="Avis obtenu"),1,0))</f>
        <v/>
      </c>
      <c r="AW827" s="7">
        <f>IF(A827="","",IF(Q827&gt;70,"Immédiat – propriétaire",IF(Q827&gt;=40,"15 min – personne de garde","Selon la route")))</f>
        <v/>
      </c>
      <c r="AX827" s="11">
        <f>IF(A827="","",IF(AT827="A",400,IF(AT827="B",150,0)))</f>
        <v/>
      </c>
      <c r="AY827" s="11">
        <f>IF(A827="","",IF(AV827=1,N(V827),IF(N(U827)&gt;0,ROUND(N(U827)*IFERROR(VLOOKUP(R827,Listes!$AE$3:$AG$12,2,FALSE),0),0),0)))</f>
        <v/>
      </c>
      <c r="AZ827" s="7">
        <f>IF(LEFT(A827,7)="EXEMPLE",1,0)</f>
        <v/>
      </c>
      <c r="BA827" s="7">
        <f>IF(AND(AV827=1,AZ827=0,AC827&lt;&gt;"",W827&lt;&gt;"",N(V827)&gt;0),COUNTIFS($AV$3:AV827,1,$AZ$3:AZ827,0,$AC$3:AC827,"&lt;&gt;",$W$3:W827,"&lt;&gt;",$V$3:V827,"&gt;0"),"")</f>
        <v/>
      </c>
    </row>
    <row r="828">
      <c r="A828" s="12" t="n"/>
      <c r="B828" s="13" t="n"/>
      <c r="C828" s="13" t="n"/>
      <c r="D828" s="7">
        <f>IF(OR(B828="",C828=""),"",ROUND((C828-B828)*1440,0))</f>
        <v/>
      </c>
      <c r="E828" s="12" t="n"/>
      <c r="F828" s="12" t="n"/>
      <c r="G828" s="12" t="n"/>
      <c r="H828" s="12" t="n"/>
      <c r="I828" s="12" t="n"/>
      <c r="J828" s="12" t="n"/>
      <c r="K828" s="12" t="n"/>
      <c r="L828" s="14" t="n"/>
      <c r="M828" s="12" t="n"/>
      <c r="N828" s="12" t="n"/>
      <c r="O828" s="12" t="n"/>
      <c r="P828" s="12" t="n"/>
      <c r="Q828" s="7">
        <f>IF(A828="","",IFERROR(VLOOKUP(O828,Listes!$R$3:$T$8,2,FALSE),0)+IFERROR(VLOOKUP(J828,Listes!$J$3:$L$6,2,FALSE),0)+IFERROR(VLOOKUP(N828,Listes!$N$3:$P$6,2,FALSE),0)+IF(OR(L828="",B828=""),0,IF(L828-INT(B828)&lt;10,8,IF(L828-INT(B828)&lt;=90,10,5)))+IFERROR(VLOOKUP(AN828,Listes!$V$3:$W$5,2,FALSE),0)+IFERROR(VLOOKUP(AO828,Listes!$Y$3:$Z$5,2,FALSE),0))</f>
        <v/>
      </c>
      <c r="R828" s="12" t="n"/>
      <c r="S828" s="12" t="n"/>
      <c r="T828" s="12" t="n"/>
      <c r="U828" s="15" t="n"/>
      <c r="V828" s="15" t="n"/>
      <c r="W828" s="13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3" t="n"/>
      <c r="AK828" s="12" t="n"/>
      <c r="AL828" s="12" t="n"/>
      <c r="AM828" s="12" t="n"/>
      <c r="AN828" s="12" t="n"/>
      <c r="AO828" s="12" t="n"/>
      <c r="AP828" s="12" t="n"/>
      <c r="AQ828" s="7">
        <f>IF(A828="","",IF(AP828&lt;&gt;"",AP828,IF(LEFT(Z828,11)="gads_marque","Google Search – Marque",IF(LEFT(Z828,12)="gads_mariage","Google Search – Mariage et privé",IF(LEFT(Z828,10)="gads_corpo","Google Search – Corporatif",IF(LEFT(Z828,5)="meta_","Meta – Leads",IF(LEFT(Z828,5)="msft_","Microsoft Ads",IF(LEFT(Z828,8)="chatgpt_","ChatGPT Ads – Test",IF(X828="gbp","Fiche Google (organique)","Autre / non payé")))))))))</f>
        <v/>
      </c>
      <c r="AR828" s="7">
        <f>IF(K828="","",IFERROR(VLOOKUP(K828,Listes!$F$3:$H$8,3,FALSE),""))</f>
        <v/>
      </c>
      <c r="AS828" s="7">
        <f>IF(O828="","",IF(AND(M828="Autre (plus de 40 km)",OR(O828="lt600",O828="600_999",O828="1000_2499")),"D",IF(OR(O828="lt600",AND(O828="600_999",K828&lt;&gt;"mariage",K828&lt;&gt;"prive")),"C",IF(OR(O828="2500_4999",O828="5000p",J828="entreprise",J828="organisme",J828="agence"),"A",IF(OR(O828="1000_2499",O828="600_999"),"B",IF(O828="inconnu",IF(OR(N828="75_149",N828="150p"),"A","B"),""))))))</f>
        <v/>
      </c>
      <c r="AT828" s="7">
        <f>IF(A828="","",IF(P828&lt;&gt;"",P828,AS828))</f>
        <v/>
      </c>
      <c r="AU828" s="7">
        <f>IF(A828="","",IF(OR(AT828="A",AT828="B"),1,0))</f>
        <v/>
      </c>
      <c r="AV828" s="7">
        <f>IF(A828="","",IF(OR(R828="Dépôt payé (gagné)",R828="Événement livré",R828="Avis obtenu"),1,0))</f>
        <v/>
      </c>
      <c r="AW828" s="7">
        <f>IF(A828="","",IF(Q828&gt;70,"Immédiat – propriétaire",IF(Q828&gt;=40,"15 min – personne de garde","Selon la route")))</f>
        <v/>
      </c>
      <c r="AX828" s="11">
        <f>IF(A828="","",IF(AT828="A",400,IF(AT828="B",150,0)))</f>
        <v/>
      </c>
      <c r="AY828" s="11">
        <f>IF(A828="","",IF(AV828=1,N(V828),IF(N(U828)&gt;0,ROUND(N(U828)*IFERROR(VLOOKUP(R828,Listes!$AE$3:$AG$12,2,FALSE),0),0),0)))</f>
        <v/>
      </c>
      <c r="AZ828" s="7">
        <f>IF(LEFT(A828,7)="EXEMPLE",1,0)</f>
        <v/>
      </c>
      <c r="BA828" s="7">
        <f>IF(AND(AV828=1,AZ828=0,AC828&lt;&gt;"",W828&lt;&gt;"",N(V828)&gt;0),COUNTIFS($AV$3:AV828,1,$AZ$3:AZ828,0,$AC$3:AC828,"&lt;&gt;",$W$3:W828,"&lt;&gt;",$V$3:V828,"&gt;0"),"")</f>
        <v/>
      </c>
    </row>
    <row r="829">
      <c r="A829" s="12" t="n"/>
      <c r="B829" s="13" t="n"/>
      <c r="C829" s="13" t="n"/>
      <c r="D829" s="7">
        <f>IF(OR(B829="",C829=""),"",ROUND((C829-B829)*1440,0))</f>
        <v/>
      </c>
      <c r="E829" s="12" t="n"/>
      <c r="F829" s="12" t="n"/>
      <c r="G829" s="12" t="n"/>
      <c r="H829" s="12" t="n"/>
      <c r="I829" s="12" t="n"/>
      <c r="J829" s="12" t="n"/>
      <c r="K829" s="12" t="n"/>
      <c r="L829" s="14" t="n"/>
      <c r="M829" s="12" t="n"/>
      <c r="N829" s="12" t="n"/>
      <c r="O829" s="12" t="n"/>
      <c r="P829" s="12" t="n"/>
      <c r="Q829" s="7">
        <f>IF(A829="","",IFERROR(VLOOKUP(O829,Listes!$R$3:$T$8,2,FALSE),0)+IFERROR(VLOOKUP(J829,Listes!$J$3:$L$6,2,FALSE),0)+IFERROR(VLOOKUP(N829,Listes!$N$3:$P$6,2,FALSE),0)+IF(OR(L829="",B829=""),0,IF(L829-INT(B829)&lt;10,8,IF(L829-INT(B829)&lt;=90,10,5)))+IFERROR(VLOOKUP(AN829,Listes!$V$3:$W$5,2,FALSE),0)+IFERROR(VLOOKUP(AO829,Listes!$Y$3:$Z$5,2,FALSE),0))</f>
        <v/>
      </c>
      <c r="R829" s="12" t="n"/>
      <c r="S829" s="12" t="n"/>
      <c r="T829" s="12" t="n"/>
      <c r="U829" s="15" t="n"/>
      <c r="V829" s="15" t="n"/>
      <c r="W829" s="13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3" t="n"/>
      <c r="AK829" s="12" t="n"/>
      <c r="AL829" s="12" t="n"/>
      <c r="AM829" s="12" t="n"/>
      <c r="AN829" s="12" t="n"/>
      <c r="AO829" s="12" t="n"/>
      <c r="AP829" s="12" t="n"/>
      <c r="AQ829" s="7">
        <f>IF(A829="","",IF(AP829&lt;&gt;"",AP829,IF(LEFT(Z829,11)="gads_marque","Google Search – Marque",IF(LEFT(Z829,12)="gads_mariage","Google Search – Mariage et privé",IF(LEFT(Z829,10)="gads_corpo","Google Search – Corporatif",IF(LEFT(Z829,5)="meta_","Meta – Leads",IF(LEFT(Z829,5)="msft_","Microsoft Ads",IF(LEFT(Z829,8)="chatgpt_","ChatGPT Ads – Test",IF(X829="gbp","Fiche Google (organique)","Autre / non payé")))))))))</f>
        <v/>
      </c>
      <c r="AR829" s="7">
        <f>IF(K829="","",IFERROR(VLOOKUP(K829,Listes!$F$3:$H$8,3,FALSE),""))</f>
        <v/>
      </c>
      <c r="AS829" s="7">
        <f>IF(O829="","",IF(AND(M829="Autre (plus de 40 km)",OR(O829="lt600",O829="600_999",O829="1000_2499")),"D",IF(OR(O829="lt600",AND(O829="600_999",K829&lt;&gt;"mariage",K829&lt;&gt;"prive")),"C",IF(OR(O829="2500_4999",O829="5000p",J829="entreprise",J829="organisme",J829="agence"),"A",IF(OR(O829="1000_2499",O829="600_999"),"B",IF(O829="inconnu",IF(OR(N829="75_149",N829="150p"),"A","B"),""))))))</f>
        <v/>
      </c>
      <c r="AT829" s="7">
        <f>IF(A829="","",IF(P829&lt;&gt;"",P829,AS829))</f>
        <v/>
      </c>
      <c r="AU829" s="7">
        <f>IF(A829="","",IF(OR(AT829="A",AT829="B"),1,0))</f>
        <v/>
      </c>
      <c r="AV829" s="7">
        <f>IF(A829="","",IF(OR(R829="Dépôt payé (gagné)",R829="Événement livré",R829="Avis obtenu"),1,0))</f>
        <v/>
      </c>
      <c r="AW829" s="7">
        <f>IF(A829="","",IF(Q829&gt;70,"Immédiat – propriétaire",IF(Q829&gt;=40,"15 min – personne de garde","Selon la route")))</f>
        <v/>
      </c>
      <c r="AX829" s="11">
        <f>IF(A829="","",IF(AT829="A",400,IF(AT829="B",150,0)))</f>
        <v/>
      </c>
      <c r="AY829" s="11">
        <f>IF(A829="","",IF(AV829=1,N(V829),IF(N(U829)&gt;0,ROUND(N(U829)*IFERROR(VLOOKUP(R829,Listes!$AE$3:$AG$12,2,FALSE),0),0),0)))</f>
        <v/>
      </c>
      <c r="AZ829" s="7">
        <f>IF(LEFT(A829,7)="EXEMPLE",1,0)</f>
        <v/>
      </c>
      <c r="BA829" s="7">
        <f>IF(AND(AV829=1,AZ829=0,AC829&lt;&gt;"",W829&lt;&gt;"",N(V829)&gt;0),COUNTIFS($AV$3:AV829,1,$AZ$3:AZ829,0,$AC$3:AC829,"&lt;&gt;",$W$3:W829,"&lt;&gt;",$V$3:V829,"&gt;0"),"")</f>
        <v/>
      </c>
    </row>
    <row r="830">
      <c r="A830" s="12" t="n"/>
      <c r="B830" s="13" t="n"/>
      <c r="C830" s="13" t="n"/>
      <c r="D830" s="7">
        <f>IF(OR(B830="",C830=""),"",ROUND((C830-B830)*1440,0))</f>
        <v/>
      </c>
      <c r="E830" s="12" t="n"/>
      <c r="F830" s="12" t="n"/>
      <c r="G830" s="12" t="n"/>
      <c r="H830" s="12" t="n"/>
      <c r="I830" s="12" t="n"/>
      <c r="J830" s="12" t="n"/>
      <c r="K830" s="12" t="n"/>
      <c r="L830" s="14" t="n"/>
      <c r="M830" s="12" t="n"/>
      <c r="N830" s="12" t="n"/>
      <c r="O830" s="12" t="n"/>
      <c r="P830" s="12" t="n"/>
      <c r="Q830" s="7">
        <f>IF(A830="","",IFERROR(VLOOKUP(O830,Listes!$R$3:$T$8,2,FALSE),0)+IFERROR(VLOOKUP(J830,Listes!$J$3:$L$6,2,FALSE),0)+IFERROR(VLOOKUP(N830,Listes!$N$3:$P$6,2,FALSE),0)+IF(OR(L830="",B830=""),0,IF(L830-INT(B830)&lt;10,8,IF(L830-INT(B830)&lt;=90,10,5)))+IFERROR(VLOOKUP(AN830,Listes!$V$3:$W$5,2,FALSE),0)+IFERROR(VLOOKUP(AO830,Listes!$Y$3:$Z$5,2,FALSE),0))</f>
        <v/>
      </c>
      <c r="R830" s="12" t="n"/>
      <c r="S830" s="12" t="n"/>
      <c r="T830" s="12" t="n"/>
      <c r="U830" s="15" t="n"/>
      <c r="V830" s="15" t="n"/>
      <c r="W830" s="13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3" t="n"/>
      <c r="AK830" s="12" t="n"/>
      <c r="AL830" s="12" t="n"/>
      <c r="AM830" s="12" t="n"/>
      <c r="AN830" s="12" t="n"/>
      <c r="AO830" s="12" t="n"/>
      <c r="AP830" s="12" t="n"/>
      <c r="AQ830" s="7">
        <f>IF(A830="","",IF(AP830&lt;&gt;"",AP830,IF(LEFT(Z830,11)="gads_marque","Google Search – Marque",IF(LEFT(Z830,12)="gads_mariage","Google Search – Mariage et privé",IF(LEFT(Z830,10)="gads_corpo","Google Search – Corporatif",IF(LEFT(Z830,5)="meta_","Meta – Leads",IF(LEFT(Z830,5)="msft_","Microsoft Ads",IF(LEFT(Z830,8)="chatgpt_","ChatGPT Ads – Test",IF(X830="gbp","Fiche Google (organique)","Autre / non payé")))))))))</f>
        <v/>
      </c>
      <c r="AR830" s="7">
        <f>IF(K830="","",IFERROR(VLOOKUP(K830,Listes!$F$3:$H$8,3,FALSE),""))</f>
        <v/>
      </c>
      <c r="AS830" s="7">
        <f>IF(O830="","",IF(AND(M830="Autre (plus de 40 km)",OR(O830="lt600",O830="600_999",O830="1000_2499")),"D",IF(OR(O830="lt600",AND(O830="600_999",K830&lt;&gt;"mariage",K830&lt;&gt;"prive")),"C",IF(OR(O830="2500_4999",O830="5000p",J830="entreprise",J830="organisme",J830="agence"),"A",IF(OR(O830="1000_2499",O830="600_999"),"B",IF(O830="inconnu",IF(OR(N830="75_149",N830="150p"),"A","B"),""))))))</f>
        <v/>
      </c>
      <c r="AT830" s="7">
        <f>IF(A830="","",IF(P830&lt;&gt;"",P830,AS830))</f>
        <v/>
      </c>
      <c r="AU830" s="7">
        <f>IF(A830="","",IF(OR(AT830="A",AT830="B"),1,0))</f>
        <v/>
      </c>
      <c r="AV830" s="7">
        <f>IF(A830="","",IF(OR(R830="Dépôt payé (gagné)",R830="Événement livré",R830="Avis obtenu"),1,0))</f>
        <v/>
      </c>
      <c r="AW830" s="7">
        <f>IF(A830="","",IF(Q830&gt;70,"Immédiat – propriétaire",IF(Q830&gt;=40,"15 min – personne de garde","Selon la route")))</f>
        <v/>
      </c>
      <c r="AX830" s="11">
        <f>IF(A830="","",IF(AT830="A",400,IF(AT830="B",150,0)))</f>
        <v/>
      </c>
      <c r="AY830" s="11">
        <f>IF(A830="","",IF(AV830=1,N(V830),IF(N(U830)&gt;0,ROUND(N(U830)*IFERROR(VLOOKUP(R830,Listes!$AE$3:$AG$12,2,FALSE),0),0),0)))</f>
        <v/>
      </c>
      <c r="AZ830" s="7">
        <f>IF(LEFT(A830,7)="EXEMPLE",1,0)</f>
        <v/>
      </c>
      <c r="BA830" s="7">
        <f>IF(AND(AV830=1,AZ830=0,AC830&lt;&gt;"",W830&lt;&gt;"",N(V830)&gt;0),COUNTIFS($AV$3:AV830,1,$AZ$3:AZ830,0,$AC$3:AC830,"&lt;&gt;",$W$3:W830,"&lt;&gt;",$V$3:V830,"&gt;0"),"")</f>
        <v/>
      </c>
    </row>
    <row r="831">
      <c r="A831" s="12" t="n"/>
      <c r="B831" s="13" t="n"/>
      <c r="C831" s="13" t="n"/>
      <c r="D831" s="7">
        <f>IF(OR(B831="",C831=""),"",ROUND((C831-B831)*1440,0))</f>
        <v/>
      </c>
      <c r="E831" s="12" t="n"/>
      <c r="F831" s="12" t="n"/>
      <c r="G831" s="12" t="n"/>
      <c r="H831" s="12" t="n"/>
      <c r="I831" s="12" t="n"/>
      <c r="J831" s="12" t="n"/>
      <c r="K831" s="12" t="n"/>
      <c r="L831" s="14" t="n"/>
      <c r="M831" s="12" t="n"/>
      <c r="N831" s="12" t="n"/>
      <c r="O831" s="12" t="n"/>
      <c r="P831" s="12" t="n"/>
      <c r="Q831" s="7">
        <f>IF(A831="","",IFERROR(VLOOKUP(O831,Listes!$R$3:$T$8,2,FALSE),0)+IFERROR(VLOOKUP(J831,Listes!$J$3:$L$6,2,FALSE),0)+IFERROR(VLOOKUP(N831,Listes!$N$3:$P$6,2,FALSE),0)+IF(OR(L831="",B831=""),0,IF(L831-INT(B831)&lt;10,8,IF(L831-INT(B831)&lt;=90,10,5)))+IFERROR(VLOOKUP(AN831,Listes!$V$3:$W$5,2,FALSE),0)+IFERROR(VLOOKUP(AO831,Listes!$Y$3:$Z$5,2,FALSE),0))</f>
        <v/>
      </c>
      <c r="R831" s="12" t="n"/>
      <c r="S831" s="12" t="n"/>
      <c r="T831" s="12" t="n"/>
      <c r="U831" s="15" t="n"/>
      <c r="V831" s="15" t="n"/>
      <c r="W831" s="13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3" t="n"/>
      <c r="AK831" s="12" t="n"/>
      <c r="AL831" s="12" t="n"/>
      <c r="AM831" s="12" t="n"/>
      <c r="AN831" s="12" t="n"/>
      <c r="AO831" s="12" t="n"/>
      <c r="AP831" s="12" t="n"/>
      <c r="AQ831" s="7">
        <f>IF(A831="","",IF(AP831&lt;&gt;"",AP831,IF(LEFT(Z831,11)="gads_marque","Google Search – Marque",IF(LEFT(Z831,12)="gads_mariage","Google Search – Mariage et privé",IF(LEFT(Z831,10)="gads_corpo","Google Search – Corporatif",IF(LEFT(Z831,5)="meta_","Meta – Leads",IF(LEFT(Z831,5)="msft_","Microsoft Ads",IF(LEFT(Z831,8)="chatgpt_","ChatGPT Ads – Test",IF(X831="gbp","Fiche Google (organique)","Autre / non payé")))))))))</f>
        <v/>
      </c>
      <c r="AR831" s="7">
        <f>IF(K831="","",IFERROR(VLOOKUP(K831,Listes!$F$3:$H$8,3,FALSE),""))</f>
        <v/>
      </c>
      <c r="AS831" s="7">
        <f>IF(O831="","",IF(AND(M831="Autre (plus de 40 km)",OR(O831="lt600",O831="600_999",O831="1000_2499")),"D",IF(OR(O831="lt600",AND(O831="600_999",K831&lt;&gt;"mariage",K831&lt;&gt;"prive")),"C",IF(OR(O831="2500_4999",O831="5000p",J831="entreprise",J831="organisme",J831="agence"),"A",IF(OR(O831="1000_2499",O831="600_999"),"B",IF(O831="inconnu",IF(OR(N831="75_149",N831="150p"),"A","B"),""))))))</f>
        <v/>
      </c>
      <c r="AT831" s="7">
        <f>IF(A831="","",IF(P831&lt;&gt;"",P831,AS831))</f>
        <v/>
      </c>
      <c r="AU831" s="7">
        <f>IF(A831="","",IF(OR(AT831="A",AT831="B"),1,0))</f>
        <v/>
      </c>
      <c r="AV831" s="7">
        <f>IF(A831="","",IF(OR(R831="Dépôt payé (gagné)",R831="Événement livré",R831="Avis obtenu"),1,0))</f>
        <v/>
      </c>
      <c r="AW831" s="7">
        <f>IF(A831="","",IF(Q831&gt;70,"Immédiat – propriétaire",IF(Q831&gt;=40,"15 min – personne de garde","Selon la route")))</f>
        <v/>
      </c>
      <c r="AX831" s="11">
        <f>IF(A831="","",IF(AT831="A",400,IF(AT831="B",150,0)))</f>
        <v/>
      </c>
      <c r="AY831" s="11">
        <f>IF(A831="","",IF(AV831=1,N(V831),IF(N(U831)&gt;0,ROUND(N(U831)*IFERROR(VLOOKUP(R831,Listes!$AE$3:$AG$12,2,FALSE),0),0),0)))</f>
        <v/>
      </c>
      <c r="AZ831" s="7">
        <f>IF(LEFT(A831,7)="EXEMPLE",1,0)</f>
        <v/>
      </c>
      <c r="BA831" s="7">
        <f>IF(AND(AV831=1,AZ831=0,AC831&lt;&gt;"",W831&lt;&gt;"",N(V831)&gt;0),COUNTIFS($AV$3:AV831,1,$AZ$3:AZ831,0,$AC$3:AC831,"&lt;&gt;",$W$3:W831,"&lt;&gt;",$V$3:V831,"&gt;0"),"")</f>
        <v/>
      </c>
    </row>
    <row r="832">
      <c r="A832" s="12" t="n"/>
      <c r="B832" s="13" t="n"/>
      <c r="C832" s="13" t="n"/>
      <c r="D832" s="7">
        <f>IF(OR(B832="",C832=""),"",ROUND((C832-B832)*1440,0))</f>
        <v/>
      </c>
      <c r="E832" s="12" t="n"/>
      <c r="F832" s="12" t="n"/>
      <c r="G832" s="12" t="n"/>
      <c r="H832" s="12" t="n"/>
      <c r="I832" s="12" t="n"/>
      <c r="J832" s="12" t="n"/>
      <c r="K832" s="12" t="n"/>
      <c r="L832" s="14" t="n"/>
      <c r="M832" s="12" t="n"/>
      <c r="N832" s="12" t="n"/>
      <c r="O832" s="12" t="n"/>
      <c r="P832" s="12" t="n"/>
      <c r="Q832" s="7">
        <f>IF(A832="","",IFERROR(VLOOKUP(O832,Listes!$R$3:$T$8,2,FALSE),0)+IFERROR(VLOOKUP(J832,Listes!$J$3:$L$6,2,FALSE),0)+IFERROR(VLOOKUP(N832,Listes!$N$3:$P$6,2,FALSE),0)+IF(OR(L832="",B832=""),0,IF(L832-INT(B832)&lt;10,8,IF(L832-INT(B832)&lt;=90,10,5)))+IFERROR(VLOOKUP(AN832,Listes!$V$3:$W$5,2,FALSE),0)+IFERROR(VLOOKUP(AO832,Listes!$Y$3:$Z$5,2,FALSE),0))</f>
        <v/>
      </c>
      <c r="R832" s="12" t="n"/>
      <c r="S832" s="12" t="n"/>
      <c r="T832" s="12" t="n"/>
      <c r="U832" s="15" t="n"/>
      <c r="V832" s="15" t="n"/>
      <c r="W832" s="13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3" t="n"/>
      <c r="AK832" s="12" t="n"/>
      <c r="AL832" s="12" t="n"/>
      <c r="AM832" s="12" t="n"/>
      <c r="AN832" s="12" t="n"/>
      <c r="AO832" s="12" t="n"/>
      <c r="AP832" s="12" t="n"/>
      <c r="AQ832" s="7">
        <f>IF(A832="","",IF(AP832&lt;&gt;"",AP832,IF(LEFT(Z832,11)="gads_marque","Google Search – Marque",IF(LEFT(Z832,12)="gads_mariage","Google Search – Mariage et privé",IF(LEFT(Z832,10)="gads_corpo","Google Search – Corporatif",IF(LEFT(Z832,5)="meta_","Meta – Leads",IF(LEFT(Z832,5)="msft_","Microsoft Ads",IF(LEFT(Z832,8)="chatgpt_","ChatGPT Ads – Test",IF(X832="gbp","Fiche Google (organique)","Autre / non payé")))))))))</f>
        <v/>
      </c>
      <c r="AR832" s="7">
        <f>IF(K832="","",IFERROR(VLOOKUP(K832,Listes!$F$3:$H$8,3,FALSE),""))</f>
        <v/>
      </c>
      <c r="AS832" s="7">
        <f>IF(O832="","",IF(AND(M832="Autre (plus de 40 km)",OR(O832="lt600",O832="600_999",O832="1000_2499")),"D",IF(OR(O832="lt600",AND(O832="600_999",K832&lt;&gt;"mariage",K832&lt;&gt;"prive")),"C",IF(OR(O832="2500_4999",O832="5000p",J832="entreprise",J832="organisme",J832="agence"),"A",IF(OR(O832="1000_2499",O832="600_999"),"B",IF(O832="inconnu",IF(OR(N832="75_149",N832="150p"),"A","B"),""))))))</f>
        <v/>
      </c>
      <c r="AT832" s="7">
        <f>IF(A832="","",IF(P832&lt;&gt;"",P832,AS832))</f>
        <v/>
      </c>
      <c r="AU832" s="7">
        <f>IF(A832="","",IF(OR(AT832="A",AT832="B"),1,0))</f>
        <v/>
      </c>
      <c r="AV832" s="7">
        <f>IF(A832="","",IF(OR(R832="Dépôt payé (gagné)",R832="Événement livré",R832="Avis obtenu"),1,0))</f>
        <v/>
      </c>
      <c r="AW832" s="7">
        <f>IF(A832="","",IF(Q832&gt;70,"Immédiat – propriétaire",IF(Q832&gt;=40,"15 min – personne de garde","Selon la route")))</f>
        <v/>
      </c>
      <c r="AX832" s="11">
        <f>IF(A832="","",IF(AT832="A",400,IF(AT832="B",150,0)))</f>
        <v/>
      </c>
      <c r="AY832" s="11">
        <f>IF(A832="","",IF(AV832=1,N(V832),IF(N(U832)&gt;0,ROUND(N(U832)*IFERROR(VLOOKUP(R832,Listes!$AE$3:$AG$12,2,FALSE),0),0),0)))</f>
        <v/>
      </c>
      <c r="AZ832" s="7">
        <f>IF(LEFT(A832,7)="EXEMPLE",1,0)</f>
        <v/>
      </c>
      <c r="BA832" s="7">
        <f>IF(AND(AV832=1,AZ832=0,AC832&lt;&gt;"",W832&lt;&gt;"",N(V832)&gt;0),COUNTIFS($AV$3:AV832,1,$AZ$3:AZ832,0,$AC$3:AC832,"&lt;&gt;",$W$3:W832,"&lt;&gt;",$V$3:V832,"&gt;0"),"")</f>
        <v/>
      </c>
    </row>
    <row r="833">
      <c r="A833" s="12" t="n"/>
      <c r="B833" s="13" t="n"/>
      <c r="C833" s="13" t="n"/>
      <c r="D833" s="7">
        <f>IF(OR(B833="",C833=""),"",ROUND((C833-B833)*1440,0))</f>
        <v/>
      </c>
      <c r="E833" s="12" t="n"/>
      <c r="F833" s="12" t="n"/>
      <c r="G833" s="12" t="n"/>
      <c r="H833" s="12" t="n"/>
      <c r="I833" s="12" t="n"/>
      <c r="J833" s="12" t="n"/>
      <c r="K833" s="12" t="n"/>
      <c r="L833" s="14" t="n"/>
      <c r="M833" s="12" t="n"/>
      <c r="N833" s="12" t="n"/>
      <c r="O833" s="12" t="n"/>
      <c r="P833" s="12" t="n"/>
      <c r="Q833" s="7">
        <f>IF(A833="","",IFERROR(VLOOKUP(O833,Listes!$R$3:$T$8,2,FALSE),0)+IFERROR(VLOOKUP(J833,Listes!$J$3:$L$6,2,FALSE),0)+IFERROR(VLOOKUP(N833,Listes!$N$3:$P$6,2,FALSE),0)+IF(OR(L833="",B833=""),0,IF(L833-INT(B833)&lt;10,8,IF(L833-INT(B833)&lt;=90,10,5)))+IFERROR(VLOOKUP(AN833,Listes!$V$3:$W$5,2,FALSE),0)+IFERROR(VLOOKUP(AO833,Listes!$Y$3:$Z$5,2,FALSE),0))</f>
        <v/>
      </c>
      <c r="R833" s="12" t="n"/>
      <c r="S833" s="12" t="n"/>
      <c r="T833" s="12" t="n"/>
      <c r="U833" s="15" t="n"/>
      <c r="V833" s="15" t="n"/>
      <c r="W833" s="13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3" t="n"/>
      <c r="AK833" s="12" t="n"/>
      <c r="AL833" s="12" t="n"/>
      <c r="AM833" s="12" t="n"/>
      <c r="AN833" s="12" t="n"/>
      <c r="AO833" s="12" t="n"/>
      <c r="AP833" s="12" t="n"/>
      <c r="AQ833" s="7">
        <f>IF(A833="","",IF(AP833&lt;&gt;"",AP833,IF(LEFT(Z833,11)="gads_marque","Google Search – Marque",IF(LEFT(Z833,12)="gads_mariage","Google Search – Mariage et privé",IF(LEFT(Z833,10)="gads_corpo","Google Search – Corporatif",IF(LEFT(Z833,5)="meta_","Meta – Leads",IF(LEFT(Z833,5)="msft_","Microsoft Ads",IF(LEFT(Z833,8)="chatgpt_","ChatGPT Ads – Test",IF(X833="gbp","Fiche Google (organique)","Autre / non payé")))))))))</f>
        <v/>
      </c>
      <c r="AR833" s="7">
        <f>IF(K833="","",IFERROR(VLOOKUP(K833,Listes!$F$3:$H$8,3,FALSE),""))</f>
        <v/>
      </c>
      <c r="AS833" s="7">
        <f>IF(O833="","",IF(AND(M833="Autre (plus de 40 km)",OR(O833="lt600",O833="600_999",O833="1000_2499")),"D",IF(OR(O833="lt600",AND(O833="600_999",K833&lt;&gt;"mariage",K833&lt;&gt;"prive")),"C",IF(OR(O833="2500_4999",O833="5000p",J833="entreprise",J833="organisme",J833="agence"),"A",IF(OR(O833="1000_2499",O833="600_999"),"B",IF(O833="inconnu",IF(OR(N833="75_149",N833="150p"),"A","B"),""))))))</f>
        <v/>
      </c>
      <c r="AT833" s="7">
        <f>IF(A833="","",IF(P833&lt;&gt;"",P833,AS833))</f>
        <v/>
      </c>
      <c r="AU833" s="7">
        <f>IF(A833="","",IF(OR(AT833="A",AT833="B"),1,0))</f>
        <v/>
      </c>
      <c r="AV833" s="7">
        <f>IF(A833="","",IF(OR(R833="Dépôt payé (gagné)",R833="Événement livré",R833="Avis obtenu"),1,0))</f>
        <v/>
      </c>
      <c r="AW833" s="7">
        <f>IF(A833="","",IF(Q833&gt;70,"Immédiat – propriétaire",IF(Q833&gt;=40,"15 min – personne de garde","Selon la route")))</f>
        <v/>
      </c>
      <c r="AX833" s="11">
        <f>IF(A833="","",IF(AT833="A",400,IF(AT833="B",150,0)))</f>
        <v/>
      </c>
      <c r="AY833" s="11">
        <f>IF(A833="","",IF(AV833=1,N(V833),IF(N(U833)&gt;0,ROUND(N(U833)*IFERROR(VLOOKUP(R833,Listes!$AE$3:$AG$12,2,FALSE),0),0),0)))</f>
        <v/>
      </c>
      <c r="AZ833" s="7">
        <f>IF(LEFT(A833,7)="EXEMPLE",1,0)</f>
        <v/>
      </c>
      <c r="BA833" s="7">
        <f>IF(AND(AV833=1,AZ833=0,AC833&lt;&gt;"",W833&lt;&gt;"",N(V833)&gt;0),COUNTIFS($AV$3:AV833,1,$AZ$3:AZ833,0,$AC$3:AC833,"&lt;&gt;",$W$3:W833,"&lt;&gt;",$V$3:V833,"&gt;0"),"")</f>
        <v/>
      </c>
    </row>
    <row r="834">
      <c r="A834" s="12" t="n"/>
      <c r="B834" s="13" t="n"/>
      <c r="C834" s="13" t="n"/>
      <c r="D834" s="7">
        <f>IF(OR(B834="",C834=""),"",ROUND((C834-B834)*1440,0))</f>
        <v/>
      </c>
      <c r="E834" s="12" t="n"/>
      <c r="F834" s="12" t="n"/>
      <c r="G834" s="12" t="n"/>
      <c r="H834" s="12" t="n"/>
      <c r="I834" s="12" t="n"/>
      <c r="J834" s="12" t="n"/>
      <c r="K834" s="12" t="n"/>
      <c r="L834" s="14" t="n"/>
      <c r="M834" s="12" t="n"/>
      <c r="N834" s="12" t="n"/>
      <c r="O834" s="12" t="n"/>
      <c r="P834" s="12" t="n"/>
      <c r="Q834" s="7">
        <f>IF(A834="","",IFERROR(VLOOKUP(O834,Listes!$R$3:$T$8,2,FALSE),0)+IFERROR(VLOOKUP(J834,Listes!$J$3:$L$6,2,FALSE),0)+IFERROR(VLOOKUP(N834,Listes!$N$3:$P$6,2,FALSE),0)+IF(OR(L834="",B834=""),0,IF(L834-INT(B834)&lt;10,8,IF(L834-INT(B834)&lt;=90,10,5)))+IFERROR(VLOOKUP(AN834,Listes!$V$3:$W$5,2,FALSE),0)+IFERROR(VLOOKUP(AO834,Listes!$Y$3:$Z$5,2,FALSE),0))</f>
        <v/>
      </c>
      <c r="R834" s="12" t="n"/>
      <c r="S834" s="12" t="n"/>
      <c r="T834" s="12" t="n"/>
      <c r="U834" s="15" t="n"/>
      <c r="V834" s="15" t="n"/>
      <c r="W834" s="13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3" t="n"/>
      <c r="AK834" s="12" t="n"/>
      <c r="AL834" s="12" t="n"/>
      <c r="AM834" s="12" t="n"/>
      <c r="AN834" s="12" t="n"/>
      <c r="AO834" s="12" t="n"/>
      <c r="AP834" s="12" t="n"/>
      <c r="AQ834" s="7">
        <f>IF(A834="","",IF(AP834&lt;&gt;"",AP834,IF(LEFT(Z834,11)="gads_marque","Google Search – Marque",IF(LEFT(Z834,12)="gads_mariage","Google Search – Mariage et privé",IF(LEFT(Z834,10)="gads_corpo","Google Search – Corporatif",IF(LEFT(Z834,5)="meta_","Meta – Leads",IF(LEFT(Z834,5)="msft_","Microsoft Ads",IF(LEFT(Z834,8)="chatgpt_","ChatGPT Ads – Test",IF(X834="gbp","Fiche Google (organique)","Autre / non payé")))))))))</f>
        <v/>
      </c>
      <c r="AR834" s="7">
        <f>IF(K834="","",IFERROR(VLOOKUP(K834,Listes!$F$3:$H$8,3,FALSE),""))</f>
        <v/>
      </c>
      <c r="AS834" s="7">
        <f>IF(O834="","",IF(AND(M834="Autre (plus de 40 km)",OR(O834="lt600",O834="600_999",O834="1000_2499")),"D",IF(OR(O834="lt600",AND(O834="600_999",K834&lt;&gt;"mariage",K834&lt;&gt;"prive")),"C",IF(OR(O834="2500_4999",O834="5000p",J834="entreprise",J834="organisme",J834="agence"),"A",IF(OR(O834="1000_2499",O834="600_999"),"B",IF(O834="inconnu",IF(OR(N834="75_149",N834="150p"),"A","B"),""))))))</f>
        <v/>
      </c>
      <c r="AT834" s="7">
        <f>IF(A834="","",IF(P834&lt;&gt;"",P834,AS834))</f>
        <v/>
      </c>
      <c r="AU834" s="7">
        <f>IF(A834="","",IF(OR(AT834="A",AT834="B"),1,0))</f>
        <v/>
      </c>
      <c r="AV834" s="7">
        <f>IF(A834="","",IF(OR(R834="Dépôt payé (gagné)",R834="Événement livré",R834="Avis obtenu"),1,0))</f>
        <v/>
      </c>
      <c r="AW834" s="7">
        <f>IF(A834="","",IF(Q834&gt;70,"Immédiat – propriétaire",IF(Q834&gt;=40,"15 min – personne de garde","Selon la route")))</f>
        <v/>
      </c>
      <c r="AX834" s="11">
        <f>IF(A834="","",IF(AT834="A",400,IF(AT834="B",150,0)))</f>
        <v/>
      </c>
      <c r="AY834" s="11">
        <f>IF(A834="","",IF(AV834=1,N(V834),IF(N(U834)&gt;0,ROUND(N(U834)*IFERROR(VLOOKUP(R834,Listes!$AE$3:$AG$12,2,FALSE),0),0),0)))</f>
        <v/>
      </c>
      <c r="AZ834" s="7">
        <f>IF(LEFT(A834,7)="EXEMPLE",1,0)</f>
        <v/>
      </c>
      <c r="BA834" s="7">
        <f>IF(AND(AV834=1,AZ834=0,AC834&lt;&gt;"",W834&lt;&gt;"",N(V834)&gt;0),COUNTIFS($AV$3:AV834,1,$AZ$3:AZ834,0,$AC$3:AC834,"&lt;&gt;",$W$3:W834,"&lt;&gt;",$V$3:V834,"&gt;0"),"")</f>
        <v/>
      </c>
    </row>
    <row r="835">
      <c r="A835" s="12" t="n"/>
      <c r="B835" s="13" t="n"/>
      <c r="C835" s="13" t="n"/>
      <c r="D835" s="7">
        <f>IF(OR(B835="",C835=""),"",ROUND((C835-B835)*1440,0))</f>
        <v/>
      </c>
      <c r="E835" s="12" t="n"/>
      <c r="F835" s="12" t="n"/>
      <c r="G835" s="12" t="n"/>
      <c r="H835" s="12" t="n"/>
      <c r="I835" s="12" t="n"/>
      <c r="J835" s="12" t="n"/>
      <c r="K835" s="12" t="n"/>
      <c r="L835" s="14" t="n"/>
      <c r="M835" s="12" t="n"/>
      <c r="N835" s="12" t="n"/>
      <c r="O835" s="12" t="n"/>
      <c r="P835" s="12" t="n"/>
      <c r="Q835" s="7">
        <f>IF(A835="","",IFERROR(VLOOKUP(O835,Listes!$R$3:$T$8,2,FALSE),0)+IFERROR(VLOOKUP(J835,Listes!$J$3:$L$6,2,FALSE),0)+IFERROR(VLOOKUP(N835,Listes!$N$3:$P$6,2,FALSE),0)+IF(OR(L835="",B835=""),0,IF(L835-INT(B835)&lt;10,8,IF(L835-INT(B835)&lt;=90,10,5)))+IFERROR(VLOOKUP(AN835,Listes!$V$3:$W$5,2,FALSE),0)+IFERROR(VLOOKUP(AO835,Listes!$Y$3:$Z$5,2,FALSE),0))</f>
        <v/>
      </c>
      <c r="R835" s="12" t="n"/>
      <c r="S835" s="12" t="n"/>
      <c r="T835" s="12" t="n"/>
      <c r="U835" s="15" t="n"/>
      <c r="V835" s="15" t="n"/>
      <c r="W835" s="13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3" t="n"/>
      <c r="AK835" s="12" t="n"/>
      <c r="AL835" s="12" t="n"/>
      <c r="AM835" s="12" t="n"/>
      <c r="AN835" s="12" t="n"/>
      <c r="AO835" s="12" t="n"/>
      <c r="AP835" s="12" t="n"/>
      <c r="AQ835" s="7">
        <f>IF(A835="","",IF(AP835&lt;&gt;"",AP835,IF(LEFT(Z835,11)="gads_marque","Google Search – Marque",IF(LEFT(Z835,12)="gads_mariage","Google Search – Mariage et privé",IF(LEFT(Z835,10)="gads_corpo","Google Search – Corporatif",IF(LEFT(Z835,5)="meta_","Meta – Leads",IF(LEFT(Z835,5)="msft_","Microsoft Ads",IF(LEFT(Z835,8)="chatgpt_","ChatGPT Ads – Test",IF(X835="gbp","Fiche Google (organique)","Autre / non payé")))))))))</f>
        <v/>
      </c>
      <c r="AR835" s="7">
        <f>IF(K835="","",IFERROR(VLOOKUP(K835,Listes!$F$3:$H$8,3,FALSE),""))</f>
        <v/>
      </c>
      <c r="AS835" s="7">
        <f>IF(O835="","",IF(AND(M835="Autre (plus de 40 km)",OR(O835="lt600",O835="600_999",O835="1000_2499")),"D",IF(OR(O835="lt600",AND(O835="600_999",K835&lt;&gt;"mariage",K835&lt;&gt;"prive")),"C",IF(OR(O835="2500_4999",O835="5000p",J835="entreprise",J835="organisme",J835="agence"),"A",IF(OR(O835="1000_2499",O835="600_999"),"B",IF(O835="inconnu",IF(OR(N835="75_149",N835="150p"),"A","B"),""))))))</f>
        <v/>
      </c>
      <c r="AT835" s="7">
        <f>IF(A835="","",IF(P835&lt;&gt;"",P835,AS835))</f>
        <v/>
      </c>
      <c r="AU835" s="7">
        <f>IF(A835="","",IF(OR(AT835="A",AT835="B"),1,0))</f>
        <v/>
      </c>
      <c r="AV835" s="7">
        <f>IF(A835="","",IF(OR(R835="Dépôt payé (gagné)",R835="Événement livré",R835="Avis obtenu"),1,0))</f>
        <v/>
      </c>
      <c r="AW835" s="7">
        <f>IF(A835="","",IF(Q835&gt;70,"Immédiat – propriétaire",IF(Q835&gt;=40,"15 min – personne de garde","Selon la route")))</f>
        <v/>
      </c>
      <c r="AX835" s="11">
        <f>IF(A835="","",IF(AT835="A",400,IF(AT835="B",150,0)))</f>
        <v/>
      </c>
      <c r="AY835" s="11">
        <f>IF(A835="","",IF(AV835=1,N(V835),IF(N(U835)&gt;0,ROUND(N(U835)*IFERROR(VLOOKUP(R835,Listes!$AE$3:$AG$12,2,FALSE),0),0),0)))</f>
        <v/>
      </c>
      <c r="AZ835" s="7">
        <f>IF(LEFT(A835,7)="EXEMPLE",1,0)</f>
        <v/>
      </c>
      <c r="BA835" s="7">
        <f>IF(AND(AV835=1,AZ835=0,AC835&lt;&gt;"",W835&lt;&gt;"",N(V835)&gt;0),COUNTIFS($AV$3:AV835,1,$AZ$3:AZ835,0,$AC$3:AC835,"&lt;&gt;",$W$3:W835,"&lt;&gt;",$V$3:V835,"&gt;0"),"")</f>
        <v/>
      </c>
    </row>
    <row r="836">
      <c r="A836" s="12" t="n"/>
      <c r="B836" s="13" t="n"/>
      <c r="C836" s="13" t="n"/>
      <c r="D836" s="7">
        <f>IF(OR(B836="",C836=""),"",ROUND((C836-B836)*1440,0))</f>
        <v/>
      </c>
      <c r="E836" s="12" t="n"/>
      <c r="F836" s="12" t="n"/>
      <c r="G836" s="12" t="n"/>
      <c r="H836" s="12" t="n"/>
      <c r="I836" s="12" t="n"/>
      <c r="J836" s="12" t="n"/>
      <c r="K836" s="12" t="n"/>
      <c r="L836" s="14" t="n"/>
      <c r="M836" s="12" t="n"/>
      <c r="N836" s="12" t="n"/>
      <c r="O836" s="12" t="n"/>
      <c r="P836" s="12" t="n"/>
      <c r="Q836" s="7">
        <f>IF(A836="","",IFERROR(VLOOKUP(O836,Listes!$R$3:$T$8,2,FALSE),0)+IFERROR(VLOOKUP(J836,Listes!$J$3:$L$6,2,FALSE),0)+IFERROR(VLOOKUP(N836,Listes!$N$3:$P$6,2,FALSE),0)+IF(OR(L836="",B836=""),0,IF(L836-INT(B836)&lt;10,8,IF(L836-INT(B836)&lt;=90,10,5)))+IFERROR(VLOOKUP(AN836,Listes!$V$3:$W$5,2,FALSE),0)+IFERROR(VLOOKUP(AO836,Listes!$Y$3:$Z$5,2,FALSE),0))</f>
        <v/>
      </c>
      <c r="R836" s="12" t="n"/>
      <c r="S836" s="12" t="n"/>
      <c r="T836" s="12" t="n"/>
      <c r="U836" s="15" t="n"/>
      <c r="V836" s="15" t="n"/>
      <c r="W836" s="13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3" t="n"/>
      <c r="AK836" s="12" t="n"/>
      <c r="AL836" s="12" t="n"/>
      <c r="AM836" s="12" t="n"/>
      <c r="AN836" s="12" t="n"/>
      <c r="AO836" s="12" t="n"/>
      <c r="AP836" s="12" t="n"/>
      <c r="AQ836" s="7">
        <f>IF(A836="","",IF(AP836&lt;&gt;"",AP836,IF(LEFT(Z836,11)="gads_marque","Google Search – Marque",IF(LEFT(Z836,12)="gads_mariage","Google Search – Mariage et privé",IF(LEFT(Z836,10)="gads_corpo","Google Search – Corporatif",IF(LEFT(Z836,5)="meta_","Meta – Leads",IF(LEFT(Z836,5)="msft_","Microsoft Ads",IF(LEFT(Z836,8)="chatgpt_","ChatGPT Ads – Test",IF(X836="gbp","Fiche Google (organique)","Autre / non payé")))))))))</f>
        <v/>
      </c>
      <c r="AR836" s="7">
        <f>IF(K836="","",IFERROR(VLOOKUP(K836,Listes!$F$3:$H$8,3,FALSE),""))</f>
        <v/>
      </c>
      <c r="AS836" s="7">
        <f>IF(O836="","",IF(AND(M836="Autre (plus de 40 km)",OR(O836="lt600",O836="600_999",O836="1000_2499")),"D",IF(OR(O836="lt600",AND(O836="600_999",K836&lt;&gt;"mariage",K836&lt;&gt;"prive")),"C",IF(OR(O836="2500_4999",O836="5000p",J836="entreprise",J836="organisme",J836="agence"),"A",IF(OR(O836="1000_2499",O836="600_999"),"B",IF(O836="inconnu",IF(OR(N836="75_149",N836="150p"),"A","B"),""))))))</f>
        <v/>
      </c>
      <c r="AT836" s="7">
        <f>IF(A836="","",IF(P836&lt;&gt;"",P836,AS836))</f>
        <v/>
      </c>
      <c r="AU836" s="7">
        <f>IF(A836="","",IF(OR(AT836="A",AT836="B"),1,0))</f>
        <v/>
      </c>
      <c r="AV836" s="7">
        <f>IF(A836="","",IF(OR(R836="Dépôt payé (gagné)",R836="Événement livré",R836="Avis obtenu"),1,0))</f>
        <v/>
      </c>
      <c r="AW836" s="7">
        <f>IF(A836="","",IF(Q836&gt;70,"Immédiat – propriétaire",IF(Q836&gt;=40,"15 min – personne de garde","Selon la route")))</f>
        <v/>
      </c>
      <c r="AX836" s="11">
        <f>IF(A836="","",IF(AT836="A",400,IF(AT836="B",150,0)))</f>
        <v/>
      </c>
      <c r="AY836" s="11">
        <f>IF(A836="","",IF(AV836=1,N(V836),IF(N(U836)&gt;0,ROUND(N(U836)*IFERROR(VLOOKUP(R836,Listes!$AE$3:$AG$12,2,FALSE),0),0),0)))</f>
        <v/>
      </c>
      <c r="AZ836" s="7">
        <f>IF(LEFT(A836,7)="EXEMPLE",1,0)</f>
        <v/>
      </c>
      <c r="BA836" s="7">
        <f>IF(AND(AV836=1,AZ836=0,AC836&lt;&gt;"",W836&lt;&gt;"",N(V836)&gt;0),COUNTIFS($AV$3:AV836,1,$AZ$3:AZ836,0,$AC$3:AC836,"&lt;&gt;",$W$3:W836,"&lt;&gt;",$V$3:V836,"&gt;0"),"")</f>
        <v/>
      </c>
    </row>
    <row r="837">
      <c r="A837" s="12" t="n"/>
      <c r="B837" s="13" t="n"/>
      <c r="C837" s="13" t="n"/>
      <c r="D837" s="7">
        <f>IF(OR(B837="",C837=""),"",ROUND((C837-B837)*1440,0))</f>
        <v/>
      </c>
      <c r="E837" s="12" t="n"/>
      <c r="F837" s="12" t="n"/>
      <c r="G837" s="12" t="n"/>
      <c r="H837" s="12" t="n"/>
      <c r="I837" s="12" t="n"/>
      <c r="J837" s="12" t="n"/>
      <c r="K837" s="12" t="n"/>
      <c r="L837" s="14" t="n"/>
      <c r="M837" s="12" t="n"/>
      <c r="N837" s="12" t="n"/>
      <c r="O837" s="12" t="n"/>
      <c r="P837" s="12" t="n"/>
      <c r="Q837" s="7">
        <f>IF(A837="","",IFERROR(VLOOKUP(O837,Listes!$R$3:$T$8,2,FALSE),0)+IFERROR(VLOOKUP(J837,Listes!$J$3:$L$6,2,FALSE),0)+IFERROR(VLOOKUP(N837,Listes!$N$3:$P$6,2,FALSE),0)+IF(OR(L837="",B837=""),0,IF(L837-INT(B837)&lt;10,8,IF(L837-INT(B837)&lt;=90,10,5)))+IFERROR(VLOOKUP(AN837,Listes!$V$3:$W$5,2,FALSE),0)+IFERROR(VLOOKUP(AO837,Listes!$Y$3:$Z$5,2,FALSE),0))</f>
        <v/>
      </c>
      <c r="R837" s="12" t="n"/>
      <c r="S837" s="12" t="n"/>
      <c r="T837" s="12" t="n"/>
      <c r="U837" s="15" t="n"/>
      <c r="V837" s="15" t="n"/>
      <c r="W837" s="13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3" t="n"/>
      <c r="AK837" s="12" t="n"/>
      <c r="AL837" s="12" t="n"/>
      <c r="AM837" s="12" t="n"/>
      <c r="AN837" s="12" t="n"/>
      <c r="AO837" s="12" t="n"/>
      <c r="AP837" s="12" t="n"/>
      <c r="AQ837" s="7">
        <f>IF(A837="","",IF(AP837&lt;&gt;"",AP837,IF(LEFT(Z837,11)="gads_marque","Google Search – Marque",IF(LEFT(Z837,12)="gads_mariage","Google Search – Mariage et privé",IF(LEFT(Z837,10)="gads_corpo","Google Search – Corporatif",IF(LEFT(Z837,5)="meta_","Meta – Leads",IF(LEFT(Z837,5)="msft_","Microsoft Ads",IF(LEFT(Z837,8)="chatgpt_","ChatGPT Ads – Test",IF(X837="gbp","Fiche Google (organique)","Autre / non payé")))))))))</f>
        <v/>
      </c>
      <c r="AR837" s="7">
        <f>IF(K837="","",IFERROR(VLOOKUP(K837,Listes!$F$3:$H$8,3,FALSE),""))</f>
        <v/>
      </c>
      <c r="AS837" s="7">
        <f>IF(O837="","",IF(AND(M837="Autre (plus de 40 km)",OR(O837="lt600",O837="600_999",O837="1000_2499")),"D",IF(OR(O837="lt600",AND(O837="600_999",K837&lt;&gt;"mariage",K837&lt;&gt;"prive")),"C",IF(OR(O837="2500_4999",O837="5000p",J837="entreprise",J837="organisme",J837="agence"),"A",IF(OR(O837="1000_2499",O837="600_999"),"B",IF(O837="inconnu",IF(OR(N837="75_149",N837="150p"),"A","B"),""))))))</f>
        <v/>
      </c>
      <c r="AT837" s="7">
        <f>IF(A837="","",IF(P837&lt;&gt;"",P837,AS837))</f>
        <v/>
      </c>
      <c r="AU837" s="7">
        <f>IF(A837="","",IF(OR(AT837="A",AT837="B"),1,0))</f>
        <v/>
      </c>
      <c r="AV837" s="7">
        <f>IF(A837="","",IF(OR(R837="Dépôt payé (gagné)",R837="Événement livré",R837="Avis obtenu"),1,0))</f>
        <v/>
      </c>
      <c r="AW837" s="7">
        <f>IF(A837="","",IF(Q837&gt;70,"Immédiat – propriétaire",IF(Q837&gt;=40,"15 min – personne de garde","Selon la route")))</f>
        <v/>
      </c>
      <c r="AX837" s="11">
        <f>IF(A837="","",IF(AT837="A",400,IF(AT837="B",150,0)))</f>
        <v/>
      </c>
      <c r="AY837" s="11">
        <f>IF(A837="","",IF(AV837=1,N(V837),IF(N(U837)&gt;0,ROUND(N(U837)*IFERROR(VLOOKUP(R837,Listes!$AE$3:$AG$12,2,FALSE),0),0),0)))</f>
        <v/>
      </c>
      <c r="AZ837" s="7">
        <f>IF(LEFT(A837,7)="EXEMPLE",1,0)</f>
        <v/>
      </c>
      <c r="BA837" s="7">
        <f>IF(AND(AV837=1,AZ837=0,AC837&lt;&gt;"",W837&lt;&gt;"",N(V837)&gt;0),COUNTIFS($AV$3:AV837,1,$AZ$3:AZ837,0,$AC$3:AC837,"&lt;&gt;",$W$3:W837,"&lt;&gt;",$V$3:V837,"&gt;0"),"")</f>
        <v/>
      </c>
    </row>
    <row r="838">
      <c r="A838" s="12" t="n"/>
      <c r="B838" s="13" t="n"/>
      <c r="C838" s="13" t="n"/>
      <c r="D838" s="7">
        <f>IF(OR(B838="",C838=""),"",ROUND((C838-B838)*1440,0))</f>
        <v/>
      </c>
      <c r="E838" s="12" t="n"/>
      <c r="F838" s="12" t="n"/>
      <c r="G838" s="12" t="n"/>
      <c r="H838" s="12" t="n"/>
      <c r="I838" s="12" t="n"/>
      <c r="J838" s="12" t="n"/>
      <c r="K838" s="12" t="n"/>
      <c r="L838" s="14" t="n"/>
      <c r="M838" s="12" t="n"/>
      <c r="N838" s="12" t="n"/>
      <c r="O838" s="12" t="n"/>
      <c r="P838" s="12" t="n"/>
      <c r="Q838" s="7">
        <f>IF(A838="","",IFERROR(VLOOKUP(O838,Listes!$R$3:$T$8,2,FALSE),0)+IFERROR(VLOOKUP(J838,Listes!$J$3:$L$6,2,FALSE),0)+IFERROR(VLOOKUP(N838,Listes!$N$3:$P$6,2,FALSE),0)+IF(OR(L838="",B838=""),0,IF(L838-INT(B838)&lt;10,8,IF(L838-INT(B838)&lt;=90,10,5)))+IFERROR(VLOOKUP(AN838,Listes!$V$3:$W$5,2,FALSE),0)+IFERROR(VLOOKUP(AO838,Listes!$Y$3:$Z$5,2,FALSE),0))</f>
        <v/>
      </c>
      <c r="R838" s="12" t="n"/>
      <c r="S838" s="12" t="n"/>
      <c r="T838" s="12" t="n"/>
      <c r="U838" s="15" t="n"/>
      <c r="V838" s="15" t="n"/>
      <c r="W838" s="13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3" t="n"/>
      <c r="AK838" s="12" t="n"/>
      <c r="AL838" s="12" t="n"/>
      <c r="AM838" s="12" t="n"/>
      <c r="AN838" s="12" t="n"/>
      <c r="AO838" s="12" t="n"/>
      <c r="AP838" s="12" t="n"/>
      <c r="AQ838" s="7">
        <f>IF(A838="","",IF(AP838&lt;&gt;"",AP838,IF(LEFT(Z838,11)="gads_marque","Google Search – Marque",IF(LEFT(Z838,12)="gads_mariage","Google Search – Mariage et privé",IF(LEFT(Z838,10)="gads_corpo","Google Search – Corporatif",IF(LEFT(Z838,5)="meta_","Meta – Leads",IF(LEFT(Z838,5)="msft_","Microsoft Ads",IF(LEFT(Z838,8)="chatgpt_","ChatGPT Ads – Test",IF(X838="gbp","Fiche Google (organique)","Autre / non payé")))))))))</f>
        <v/>
      </c>
      <c r="AR838" s="7">
        <f>IF(K838="","",IFERROR(VLOOKUP(K838,Listes!$F$3:$H$8,3,FALSE),""))</f>
        <v/>
      </c>
      <c r="AS838" s="7">
        <f>IF(O838="","",IF(AND(M838="Autre (plus de 40 km)",OR(O838="lt600",O838="600_999",O838="1000_2499")),"D",IF(OR(O838="lt600",AND(O838="600_999",K838&lt;&gt;"mariage",K838&lt;&gt;"prive")),"C",IF(OR(O838="2500_4999",O838="5000p",J838="entreprise",J838="organisme",J838="agence"),"A",IF(OR(O838="1000_2499",O838="600_999"),"B",IF(O838="inconnu",IF(OR(N838="75_149",N838="150p"),"A","B"),""))))))</f>
        <v/>
      </c>
      <c r="AT838" s="7">
        <f>IF(A838="","",IF(P838&lt;&gt;"",P838,AS838))</f>
        <v/>
      </c>
      <c r="AU838" s="7">
        <f>IF(A838="","",IF(OR(AT838="A",AT838="B"),1,0))</f>
        <v/>
      </c>
      <c r="AV838" s="7">
        <f>IF(A838="","",IF(OR(R838="Dépôt payé (gagné)",R838="Événement livré",R838="Avis obtenu"),1,0))</f>
        <v/>
      </c>
      <c r="AW838" s="7">
        <f>IF(A838="","",IF(Q838&gt;70,"Immédiat – propriétaire",IF(Q838&gt;=40,"15 min – personne de garde","Selon la route")))</f>
        <v/>
      </c>
      <c r="AX838" s="11">
        <f>IF(A838="","",IF(AT838="A",400,IF(AT838="B",150,0)))</f>
        <v/>
      </c>
      <c r="AY838" s="11">
        <f>IF(A838="","",IF(AV838=1,N(V838),IF(N(U838)&gt;0,ROUND(N(U838)*IFERROR(VLOOKUP(R838,Listes!$AE$3:$AG$12,2,FALSE),0),0),0)))</f>
        <v/>
      </c>
      <c r="AZ838" s="7">
        <f>IF(LEFT(A838,7)="EXEMPLE",1,0)</f>
        <v/>
      </c>
      <c r="BA838" s="7">
        <f>IF(AND(AV838=1,AZ838=0,AC838&lt;&gt;"",W838&lt;&gt;"",N(V838)&gt;0),COUNTIFS($AV$3:AV838,1,$AZ$3:AZ838,0,$AC$3:AC838,"&lt;&gt;",$W$3:W838,"&lt;&gt;",$V$3:V838,"&gt;0"),"")</f>
        <v/>
      </c>
    </row>
    <row r="839">
      <c r="A839" s="12" t="n"/>
      <c r="B839" s="13" t="n"/>
      <c r="C839" s="13" t="n"/>
      <c r="D839" s="7">
        <f>IF(OR(B839="",C839=""),"",ROUND((C839-B839)*1440,0))</f>
        <v/>
      </c>
      <c r="E839" s="12" t="n"/>
      <c r="F839" s="12" t="n"/>
      <c r="G839" s="12" t="n"/>
      <c r="H839" s="12" t="n"/>
      <c r="I839" s="12" t="n"/>
      <c r="J839" s="12" t="n"/>
      <c r="K839" s="12" t="n"/>
      <c r="L839" s="14" t="n"/>
      <c r="M839" s="12" t="n"/>
      <c r="N839" s="12" t="n"/>
      <c r="O839" s="12" t="n"/>
      <c r="P839" s="12" t="n"/>
      <c r="Q839" s="7">
        <f>IF(A839="","",IFERROR(VLOOKUP(O839,Listes!$R$3:$T$8,2,FALSE),0)+IFERROR(VLOOKUP(J839,Listes!$J$3:$L$6,2,FALSE),0)+IFERROR(VLOOKUP(N839,Listes!$N$3:$P$6,2,FALSE),0)+IF(OR(L839="",B839=""),0,IF(L839-INT(B839)&lt;10,8,IF(L839-INT(B839)&lt;=90,10,5)))+IFERROR(VLOOKUP(AN839,Listes!$V$3:$W$5,2,FALSE),0)+IFERROR(VLOOKUP(AO839,Listes!$Y$3:$Z$5,2,FALSE),0))</f>
        <v/>
      </c>
      <c r="R839" s="12" t="n"/>
      <c r="S839" s="12" t="n"/>
      <c r="T839" s="12" t="n"/>
      <c r="U839" s="15" t="n"/>
      <c r="V839" s="15" t="n"/>
      <c r="W839" s="13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3" t="n"/>
      <c r="AK839" s="12" t="n"/>
      <c r="AL839" s="12" t="n"/>
      <c r="AM839" s="12" t="n"/>
      <c r="AN839" s="12" t="n"/>
      <c r="AO839" s="12" t="n"/>
      <c r="AP839" s="12" t="n"/>
      <c r="AQ839" s="7">
        <f>IF(A839="","",IF(AP839&lt;&gt;"",AP839,IF(LEFT(Z839,11)="gads_marque","Google Search – Marque",IF(LEFT(Z839,12)="gads_mariage","Google Search – Mariage et privé",IF(LEFT(Z839,10)="gads_corpo","Google Search – Corporatif",IF(LEFT(Z839,5)="meta_","Meta – Leads",IF(LEFT(Z839,5)="msft_","Microsoft Ads",IF(LEFT(Z839,8)="chatgpt_","ChatGPT Ads – Test",IF(X839="gbp","Fiche Google (organique)","Autre / non payé")))))))))</f>
        <v/>
      </c>
      <c r="AR839" s="7">
        <f>IF(K839="","",IFERROR(VLOOKUP(K839,Listes!$F$3:$H$8,3,FALSE),""))</f>
        <v/>
      </c>
      <c r="AS839" s="7">
        <f>IF(O839="","",IF(AND(M839="Autre (plus de 40 km)",OR(O839="lt600",O839="600_999",O839="1000_2499")),"D",IF(OR(O839="lt600",AND(O839="600_999",K839&lt;&gt;"mariage",K839&lt;&gt;"prive")),"C",IF(OR(O839="2500_4999",O839="5000p",J839="entreprise",J839="organisme",J839="agence"),"A",IF(OR(O839="1000_2499",O839="600_999"),"B",IF(O839="inconnu",IF(OR(N839="75_149",N839="150p"),"A","B"),""))))))</f>
        <v/>
      </c>
      <c r="AT839" s="7">
        <f>IF(A839="","",IF(P839&lt;&gt;"",P839,AS839))</f>
        <v/>
      </c>
      <c r="AU839" s="7">
        <f>IF(A839="","",IF(OR(AT839="A",AT839="B"),1,0))</f>
        <v/>
      </c>
      <c r="AV839" s="7">
        <f>IF(A839="","",IF(OR(R839="Dépôt payé (gagné)",R839="Événement livré",R839="Avis obtenu"),1,0))</f>
        <v/>
      </c>
      <c r="AW839" s="7">
        <f>IF(A839="","",IF(Q839&gt;70,"Immédiat – propriétaire",IF(Q839&gt;=40,"15 min – personne de garde","Selon la route")))</f>
        <v/>
      </c>
      <c r="AX839" s="11">
        <f>IF(A839="","",IF(AT839="A",400,IF(AT839="B",150,0)))</f>
        <v/>
      </c>
      <c r="AY839" s="11">
        <f>IF(A839="","",IF(AV839=1,N(V839),IF(N(U839)&gt;0,ROUND(N(U839)*IFERROR(VLOOKUP(R839,Listes!$AE$3:$AG$12,2,FALSE),0),0),0)))</f>
        <v/>
      </c>
      <c r="AZ839" s="7">
        <f>IF(LEFT(A839,7)="EXEMPLE",1,0)</f>
        <v/>
      </c>
      <c r="BA839" s="7">
        <f>IF(AND(AV839=1,AZ839=0,AC839&lt;&gt;"",W839&lt;&gt;"",N(V839)&gt;0),COUNTIFS($AV$3:AV839,1,$AZ$3:AZ839,0,$AC$3:AC839,"&lt;&gt;",$W$3:W839,"&lt;&gt;",$V$3:V839,"&gt;0"),"")</f>
        <v/>
      </c>
    </row>
    <row r="840">
      <c r="A840" s="12" t="n"/>
      <c r="B840" s="13" t="n"/>
      <c r="C840" s="13" t="n"/>
      <c r="D840" s="7">
        <f>IF(OR(B840="",C840=""),"",ROUND((C840-B840)*1440,0))</f>
        <v/>
      </c>
      <c r="E840" s="12" t="n"/>
      <c r="F840" s="12" t="n"/>
      <c r="G840" s="12" t="n"/>
      <c r="H840" s="12" t="n"/>
      <c r="I840" s="12" t="n"/>
      <c r="J840" s="12" t="n"/>
      <c r="K840" s="12" t="n"/>
      <c r="L840" s="14" t="n"/>
      <c r="M840" s="12" t="n"/>
      <c r="N840" s="12" t="n"/>
      <c r="O840" s="12" t="n"/>
      <c r="P840" s="12" t="n"/>
      <c r="Q840" s="7">
        <f>IF(A840="","",IFERROR(VLOOKUP(O840,Listes!$R$3:$T$8,2,FALSE),0)+IFERROR(VLOOKUP(J840,Listes!$J$3:$L$6,2,FALSE),0)+IFERROR(VLOOKUP(N840,Listes!$N$3:$P$6,2,FALSE),0)+IF(OR(L840="",B840=""),0,IF(L840-INT(B840)&lt;10,8,IF(L840-INT(B840)&lt;=90,10,5)))+IFERROR(VLOOKUP(AN840,Listes!$V$3:$W$5,2,FALSE),0)+IFERROR(VLOOKUP(AO840,Listes!$Y$3:$Z$5,2,FALSE),0))</f>
        <v/>
      </c>
      <c r="R840" s="12" t="n"/>
      <c r="S840" s="12" t="n"/>
      <c r="T840" s="12" t="n"/>
      <c r="U840" s="15" t="n"/>
      <c r="V840" s="15" t="n"/>
      <c r="W840" s="13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3" t="n"/>
      <c r="AK840" s="12" t="n"/>
      <c r="AL840" s="12" t="n"/>
      <c r="AM840" s="12" t="n"/>
      <c r="AN840" s="12" t="n"/>
      <c r="AO840" s="12" t="n"/>
      <c r="AP840" s="12" t="n"/>
      <c r="AQ840" s="7">
        <f>IF(A840="","",IF(AP840&lt;&gt;"",AP840,IF(LEFT(Z840,11)="gads_marque","Google Search – Marque",IF(LEFT(Z840,12)="gads_mariage","Google Search – Mariage et privé",IF(LEFT(Z840,10)="gads_corpo","Google Search – Corporatif",IF(LEFT(Z840,5)="meta_","Meta – Leads",IF(LEFT(Z840,5)="msft_","Microsoft Ads",IF(LEFT(Z840,8)="chatgpt_","ChatGPT Ads – Test",IF(X840="gbp","Fiche Google (organique)","Autre / non payé")))))))))</f>
        <v/>
      </c>
      <c r="AR840" s="7">
        <f>IF(K840="","",IFERROR(VLOOKUP(K840,Listes!$F$3:$H$8,3,FALSE),""))</f>
        <v/>
      </c>
      <c r="AS840" s="7">
        <f>IF(O840="","",IF(AND(M840="Autre (plus de 40 km)",OR(O840="lt600",O840="600_999",O840="1000_2499")),"D",IF(OR(O840="lt600",AND(O840="600_999",K840&lt;&gt;"mariage",K840&lt;&gt;"prive")),"C",IF(OR(O840="2500_4999",O840="5000p",J840="entreprise",J840="organisme",J840="agence"),"A",IF(OR(O840="1000_2499",O840="600_999"),"B",IF(O840="inconnu",IF(OR(N840="75_149",N840="150p"),"A","B"),""))))))</f>
        <v/>
      </c>
      <c r="AT840" s="7">
        <f>IF(A840="","",IF(P840&lt;&gt;"",P840,AS840))</f>
        <v/>
      </c>
      <c r="AU840" s="7">
        <f>IF(A840="","",IF(OR(AT840="A",AT840="B"),1,0))</f>
        <v/>
      </c>
      <c r="AV840" s="7">
        <f>IF(A840="","",IF(OR(R840="Dépôt payé (gagné)",R840="Événement livré",R840="Avis obtenu"),1,0))</f>
        <v/>
      </c>
      <c r="AW840" s="7">
        <f>IF(A840="","",IF(Q840&gt;70,"Immédiat – propriétaire",IF(Q840&gt;=40,"15 min – personne de garde","Selon la route")))</f>
        <v/>
      </c>
      <c r="AX840" s="11">
        <f>IF(A840="","",IF(AT840="A",400,IF(AT840="B",150,0)))</f>
        <v/>
      </c>
      <c r="AY840" s="11">
        <f>IF(A840="","",IF(AV840=1,N(V840),IF(N(U840)&gt;0,ROUND(N(U840)*IFERROR(VLOOKUP(R840,Listes!$AE$3:$AG$12,2,FALSE),0),0),0)))</f>
        <v/>
      </c>
      <c r="AZ840" s="7">
        <f>IF(LEFT(A840,7)="EXEMPLE",1,0)</f>
        <v/>
      </c>
      <c r="BA840" s="7">
        <f>IF(AND(AV840=1,AZ840=0,AC840&lt;&gt;"",W840&lt;&gt;"",N(V840)&gt;0),COUNTIFS($AV$3:AV840,1,$AZ$3:AZ840,0,$AC$3:AC840,"&lt;&gt;",$W$3:W840,"&lt;&gt;",$V$3:V840,"&gt;0"),"")</f>
        <v/>
      </c>
    </row>
    <row r="841">
      <c r="A841" s="12" t="n"/>
      <c r="B841" s="13" t="n"/>
      <c r="C841" s="13" t="n"/>
      <c r="D841" s="7">
        <f>IF(OR(B841="",C841=""),"",ROUND((C841-B841)*1440,0))</f>
        <v/>
      </c>
      <c r="E841" s="12" t="n"/>
      <c r="F841" s="12" t="n"/>
      <c r="G841" s="12" t="n"/>
      <c r="H841" s="12" t="n"/>
      <c r="I841" s="12" t="n"/>
      <c r="J841" s="12" t="n"/>
      <c r="K841" s="12" t="n"/>
      <c r="L841" s="14" t="n"/>
      <c r="M841" s="12" t="n"/>
      <c r="N841" s="12" t="n"/>
      <c r="O841" s="12" t="n"/>
      <c r="P841" s="12" t="n"/>
      <c r="Q841" s="7">
        <f>IF(A841="","",IFERROR(VLOOKUP(O841,Listes!$R$3:$T$8,2,FALSE),0)+IFERROR(VLOOKUP(J841,Listes!$J$3:$L$6,2,FALSE),0)+IFERROR(VLOOKUP(N841,Listes!$N$3:$P$6,2,FALSE),0)+IF(OR(L841="",B841=""),0,IF(L841-INT(B841)&lt;10,8,IF(L841-INT(B841)&lt;=90,10,5)))+IFERROR(VLOOKUP(AN841,Listes!$V$3:$W$5,2,FALSE),0)+IFERROR(VLOOKUP(AO841,Listes!$Y$3:$Z$5,2,FALSE),0))</f>
        <v/>
      </c>
      <c r="R841" s="12" t="n"/>
      <c r="S841" s="12" t="n"/>
      <c r="T841" s="12" t="n"/>
      <c r="U841" s="15" t="n"/>
      <c r="V841" s="15" t="n"/>
      <c r="W841" s="13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3" t="n"/>
      <c r="AK841" s="12" t="n"/>
      <c r="AL841" s="12" t="n"/>
      <c r="AM841" s="12" t="n"/>
      <c r="AN841" s="12" t="n"/>
      <c r="AO841" s="12" t="n"/>
      <c r="AP841" s="12" t="n"/>
      <c r="AQ841" s="7">
        <f>IF(A841="","",IF(AP841&lt;&gt;"",AP841,IF(LEFT(Z841,11)="gads_marque","Google Search – Marque",IF(LEFT(Z841,12)="gads_mariage","Google Search – Mariage et privé",IF(LEFT(Z841,10)="gads_corpo","Google Search – Corporatif",IF(LEFT(Z841,5)="meta_","Meta – Leads",IF(LEFT(Z841,5)="msft_","Microsoft Ads",IF(LEFT(Z841,8)="chatgpt_","ChatGPT Ads – Test",IF(X841="gbp","Fiche Google (organique)","Autre / non payé")))))))))</f>
        <v/>
      </c>
      <c r="AR841" s="7">
        <f>IF(K841="","",IFERROR(VLOOKUP(K841,Listes!$F$3:$H$8,3,FALSE),""))</f>
        <v/>
      </c>
      <c r="AS841" s="7">
        <f>IF(O841="","",IF(AND(M841="Autre (plus de 40 km)",OR(O841="lt600",O841="600_999",O841="1000_2499")),"D",IF(OR(O841="lt600",AND(O841="600_999",K841&lt;&gt;"mariage",K841&lt;&gt;"prive")),"C",IF(OR(O841="2500_4999",O841="5000p",J841="entreprise",J841="organisme",J841="agence"),"A",IF(OR(O841="1000_2499",O841="600_999"),"B",IF(O841="inconnu",IF(OR(N841="75_149",N841="150p"),"A","B"),""))))))</f>
        <v/>
      </c>
      <c r="AT841" s="7">
        <f>IF(A841="","",IF(P841&lt;&gt;"",P841,AS841))</f>
        <v/>
      </c>
      <c r="AU841" s="7">
        <f>IF(A841="","",IF(OR(AT841="A",AT841="B"),1,0))</f>
        <v/>
      </c>
      <c r="AV841" s="7">
        <f>IF(A841="","",IF(OR(R841="Dépôt payé (gagné)",R841="Événement livré",R841="Avis obtenu"),1,0))</f>
        <v/>
      </c>
      <c r="AW841" s="7">
        <f>IF(A841="","",IF(Q841&gt;70,"Immédiat – propriétaire",IF(Q841&gt;=40,"15 min – personne de garde","Selon la route")))</f>
        <v/>
      </c>
      <c r="AX841" s="11">
        <f>IF(A841="","",IF(AT841="A",400,IF(AT841="B",150,0)))</f>
        <v/>
      </c>
      <c r="AY841" s="11">
        <f>IF(A841="","",IF(AV841=1,N(V841),IF(N(U841)&gt;0,ROUND(N(U841)*IFERROR(VLOOKUP(R841,Listes!$AE$3:$AG$12,2,FALSE),0),0),0)))</f>
        <v/>
      </c>
      <c r="AZ841" s="7">
        <f>IF(LEFT(A841,7)="EXEMPLE",1,0)</f>
        <v/>
      </c>
      <c r="BA841" s="7">
        <f>IF(AND(AV841=1,AZ841=0,AC841&lt;&gt;"",W841&lt;&gt;"",N(V841)&gt;0),COUNTIFS($AV$3:AV841,1,$AZ$3:AZ841,0,$AC$3:AC841,"&lt;&gt;",$W$3:W841,"&lt;&gt;",$V$3:V841,"&gt;0"),"")</f>
        <v/>
      </c>
    </row>
    <row r="842">
      <c r="A842" s="12" t="n"/>
      <c r="B842" s="13" t="n"/>
      <c r="C842" s="13" t="n"/>
      <c r="D842" s="7">
        <f>IF(OR(B842="",C842=""),"",ROUND((C842-B842)*1440,0))</f>
        <v/>
      </c>
      <c r="E842" s="12" t="n"/>
      <c r="F842" s="12" t="n"/>
      <c r="G842" s="12" t="n"/>
      <c r="H842" s="12" t="n"/>
      <c r="I842" s="12" t="n"/>
      <c r="J842" s="12" t="n"/>
      <c r="K842" s="12" t="n"/>
      <c r="L842" s="14" t="n"/>
      <c r="M842" s="12" t="n"/>
      <c r="N842" s="12" t="n"/>
      <c r="O842" s="12" t="n"/>
      <c r="P842" s="12" t="n"/>
      <c r="Q842" s="7">
        <f>IF(A842="","",IFERROR(VLOOKUP(O842,Listes!$R$3:$T$8,2,FALSE),0)+IFERROR(VLOOKUP(J842,Listes!$J$3:$L$6,2,FALSE),0)+IFERROR(VLOOKUP(N842,Listes!$N$3:$P$6,2,FALSE),0)+IF(OR(L842="",B842=""),0,IF(L842-INT(B842)&lt;10,8,IF(L842-INT(B842)&lt;=90,10,5)))+IFERROR(VLOOKUP(AN842,Listes!$V$3:$W$5,2,FALSE),0)+IFERROR(VLOOKUP(AO842,Listes!$Y$3:$Z$5,2,FALSE),0))</f>
        <v/>
      </c>
      <c r="R842" s="12" t="n"/>
      <c r="S842" s="12" t="n"/>
      <c r="T842" s="12" t="n"/>
      <c r="U842" s="15" t="n"/>
      <c r="V842" s="15" t="n"/>
      <c r="W842" s="13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3" t="n"/>
      <c r="AK842" s="12" t="n"/>
      <c r="AL842" s="12" t="n"/>
      <c r="AM842" s="12" t="n"/>
      <c r="AN842" s="12" t="n"/>
      <c r="AO842" s="12" t="n"/>
      <c r="AP842" s="12" t="n"/>
      <c r="AQ842" s="7">
        <f>IF(A842="","",IF(AP842&lt;&gt;"",AP842,IF(LEFT(Z842,11)="gads_marque","Google Search – Marque",IF(LEFT(Z842,12)="gads_mariage","Google Search – Mariage et privé",IF(LEFT(Z842,10)="gads_corpo","Google Search – Corporatif",IF(LEFT(Z842,5)="meta_","Meta – Leads",IF(LEFT(Z842,5)="msft_","Microsoft Ads",IF(LEFT(Z842,8)="chatgpt_","ChatGPT Ads – Test",IF(X842="gbp","Fiche Google (organique)","Autre / non payé")))))))))</f>
        <v/>
      </c>
      <c r="AR842" s="7">
        <f>IF(K842="","",IFERROR(VLOOKUP(K842,Listes!$F$3:$H$8,3,FALSE),""))</f>
        <v/>
      </c>
      <c r="AS842" s="7">
        <f>IF(O842="","",IF(AND(M842="Autre (plus de 40 km)",OR(O842="lt600",O842="600_999",O842="1000_2499")),"D",IF(OR(O842="lt600",AND(O842="600_999",K842&lt;&gt;"mariage",K842&lt;&gt;"prive")),"C",IF(OR(O842="2500_4999",O842="5000p",J842="entreprise",J842="organisme",J842="agence"),"A",IF(OR(O842="1000_2499",O842="600_999"),"B",IF(O842="inconnu",IF(OR(N842="75_149",N842="150p"),"A","B"),""))))))</f>
        <v/>
      </c>
      <c r="AT842" s="7">
        <f>IF(A842="","",IF(P842&lt;&gt;"",P842,AS842))</f>
        <v/>
      </c>
      <c r="AU842" s="7">
        <f>IF(A842="","",IF(OR(AT842="A",AT842="B"),1,0))</f>
        <v/>
      </c>
      <c r="AV842" s="7">
        <f>IF(A842="","",IF(OR(R842="Dépôt payé (gagné)",R842="Événement livré",R842="Avis obtenu"),1,0))</f>
        <v/>
      </c>
      <c r="AW842" s="7">
        <f>IF(A842="","",IF(Q842&gt;70,"Immédiat – propriétaire",IF(Q842&gt;=40,"15 min – personne de garde","Selon la route")))</f>
        <v/>
      </c>
      <c r="AX842" s="11">
        <f>IF(A842="","",IF(AT842="A",400,IF(AT842="B",150,0)))</f>
        <v/>
      </c>
      <c r="AY842" s="11">
        <f>IF(A842="","",IF(AV842=1,N(V842),IF(N(U842)&gt;0,ROUND(N(U842)*IFERROR(VLOOKUP(R842,Listes!$AE$3:$AG$12,2,FALSE),0),0),0)))</f>
        <v/>
      </c>
      <c r="AZ842" s="7">
        <f>IF(LEFT(A842,7)="EXEMPLE",1,0)</f>
        <v/>
      </c>
      <c r="BA842" s="7">
        <f>IF(AND(AV842=1,AZ842=0,AC842&lt;&gt;"",W842&lt;&gt;"",N(V842)&gt;0),COUNTIFS($AV$3:AV842,1,$AZ$3:AZ842,0,$AC$3:AC842,"&lt;&gt;",$W$3:W842,"&lt;&gt;",$V$3:V842,"&gt;0"),"")</f>
        <v/>
      </c>
    </row>
    <row r="843">
      <c r="A843" s="12" t="n"/>
      <c r="B843" s="13" t="n"/>
      <c r="C843" s="13" t="n"/>
      <c r="D843" s="7">
        <f>IF(OR(B843="",C843=""),"",ROUND((C843-B843)*1440,0))</f>
        <v/>
      </c>
      <c r="E843" s="12" t="n"/>
      <c r="F843" s="12" t="n"/>
      <c r="G843" s="12" t="n"/>
      <c r="H843" s="12" t="n"/>
      <c r="I843" s="12" t="n"/>
      <c r="J843" s="12" t="n"/>
      <c r="K843" s="12" t="n"/>
      <c r="L843" s="14" t="n"/>
      <c r="M843" s="12" t="n"/>
      <c r="N843" s="12" t="n"/>
      <c r="O843" s="12" t="n"/>
      <c r="P843" s="12" t="n"/>
      <c r="Q843" s="7">
        <f>IF(A843="","",IFERROR(VLOOKUP(O843,Listes!$R$3:$T$8,2,FALSE),0)+IFERROR(VLOOKUP(J843,Listes!$J$3:$L$6,2,FALSE),0)+IFERROR(VLOOKUP(N843,Listes!$N$3:$P$6,2,FALSE),0)+IF(OR(L843="",B843=""),0,IF(L843-INT(B843)&lt;10,8,IF(L843-INT(B843)&lt;=90,10,5)))+IFERROR(VLOOKUP(AN843,Listes!$V$3:$W$5,2,FALSE),0)+IFERROR(VLOOKUP(AO843,Listes!$Y$3:$Z$5,2,FALSE),0))</f>
        <v/>
      </c>
      <c r="R843" s="12" t="n"/>
      <c r="S843" s="12" t="n"/>
      <c r="T843" s="12" t="n"/>
      <c r="U843" s="15" t="n"/>
      <c r="V843" s="15" t="n"/>
      <c r="W843" s="13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3" t="n"/>
      <c r="AK843" s="12" t="n"/>
      <c r="AL843" s="12" t="n"/>
      <c r="AM843" s="12" t="n"/>
      <c r="AN843" s="12" t="n"/>
      <c r="AO843" s="12" t="n"/>
      <c r="AP843" s="12" t="n"/>
      <c r="AQ843" s="7">
        <f>IF(A843="","",IF(AP843&lt;&gt;"",AP843,IF(LEFT(Z843,11)="gads_marque","Google Search – Marque",IF(LEFT(Z843,12)="gads_mariage","Google Search – Mariage et privé",IF(LEFT(Z843,10)="gads_corpo","Google Search – Corporatif",IF(LEFT(Z843,5)="meta_","Meta – Leads",IF(LEFT(Z843,5)="msft_","Microsoft Ads",IF(LEFT(Z843,8)="chatgpt_","ChatGPT Ads – Test",IF(X843="gbp","Fiche Google (organique)","Autre / non payé")))))))))</f>
        <v/>
      </c>
      <c r="AR843" s="7">
        <f>IF(K843="","",IFERROR(VLOOKUP(K843,Listes!$F$3:$H$8,3,FALSE),""))</f>
        <v/>
      </c>
      <c r="AS843" s="7">
        <f>IF(O843="","",IF(AND(M843="Autre (plus de 40 km)",OR(O843="lt600",O843="600_999",O843="1000_2499")),"D",IF(OR(O843="lt600",AND(O843="600_999",K843&lt;&gt;"mariage",K843&lt;&gt;"prive")),"C",IF(OR(O843="2500_4999",O843="5000p",J843="entreprise",J843="organisme",J843="agence"),"A",IF(OR(O843="1000_2499",O843="600_999"),"B",IF(O843="inconnu",IF(OR(N843="75_149",N843="150p"),"A","B"),""))))))</f>
        <v/>
      </c>
      <c r="AT843" s="7">
        <f>IF(A843="","",IF(P843&lt;&gt;"",P843,AS843))</f>
        <v/>
      </c>
      <c r="AU843" s="7">
        <f>IF(A843="","",IF(OR(AT843="A",AT843="B"),1,0))</f>
        <v/>
      </c>
      <c r="AV843" s="7">
        <f>IF(A843="","",IF(OR(R843="Dépôt payé (gagné)",R843="Événement livré",R843="Avis obtenu"),1,0))</f>
        <v/>
      </c>
      <c r="AW843" s="7">
        <f>IF(A843="","",IF(Q843&gt;70,"Immédiat – propriétaire",IF(Q843&gt;=40,"15 min – personne de garde","Selon la route")))</f>
        <v/>
      </c>
      <c r="AX843" s="11">
        <f>IF(A843="","",IF(AT843="A",400,IF(AT843="B",150,0)))</f>
        <v/>
      </c>
      <c r="AY843" s="11">
        <f>IF(A843="","",IF(AV843=1,N(V843),IF(N(U843)&gt;0,ROUND(N(U843)*IFERROR(VLOOKUP(R843,Listes!$AE$3:$AG$12,2,FALSE),0),0),0)))</f>
        <v/>
      </c>
      <c r="AZ843" s="7">
        <f>IF(LEFT(A843,7)="EXEMPLE",1,0)</f>
        <v/>
      </c>
      <c r="BA843" s="7">
        <f>IF(AND(AV843=1,AZ843=0,AC843&lt;&gt;"",W843&lt;&gt;"",N(V843)&gt;0),COUNTIFS($AV$3:AV843,1,$AZ$3:AZ843,0,$AC$3:AC843,"&lt;&gt;",$W$3:W843,"&lt;&gt;",$V$3:V843,"&gt;0"),"")</f>
        <v/>
      </c>
    </row>
    <row r="844">
      <c r="A844" s="12" t="n"/>
      <c r="B844" s="13" t="n"/>
      <c r="C844" s="13" t="n"/>
      <c r="D844" s="7">
        <f>IF(OR(B844="",C844=""),"",ROUND((C844-B844)*1440,0))</f>
        <v/>
      </c>
      <c r="E844" s="12" t="n"/>
      <c r="F844" s="12" t="n"/>
      <c r="G844" s="12" t="n"/>
      <c r="H844" s="12" t="n"/>
      <c r="I844" s="12" t="n"/>
      <c r="J844" s="12" t="n"/>
      <c r="K844" s="12" t="n"/>
      <c r="L844" s="14" t="n"/>
      <c r="M844" s="12" t="n"/>
      <c r="N844" s="12" t="n"/>
      <c r="O844" s="12" t="n"/>
      <c r="P844" s="12" t="n"/>
      <c r="Q844" s="7">
        <f>IF(A844="","",IFERROR(VLOOKUP(O844,Listes!$R$3:$T$8,2,FALSE),0)+IFERROR(VLOOKUP(J844,Listes!$J$3:$L$6,2,FALSE),0)+IFERROR(VLOOKUP(N844,Listes!$N$3:$P$6,2,FALSE),0)+IF(OR(L844="",B844=""),0,IF(L844-INT(B844)&lt;10,8,IF(L844-INT(B844)&lt;=90,10,5)))+IFERROR(VLOOKUP(AN844,Listes!$V$3:$W$5,2,FALSE),0)+IFERROR(VLOOKUP(AO844,Listes!$Y$3:$Z$5,2,FALSE),0))</f>
        <v/>
      </c>
      <c r="R844" s="12" t="n"/>
      <c r="S844" s="12" t="n"/>
      <c r="T844" s="12" t="n"/>
      <c r="U844" s="15" t="n"/>
      <c r="V844" s="15" t="n"/>
      <c r="W844" s="13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3" t="n"/>
      <c r="AK844" s="12" t="n"/>
      <c r="AL844" s="12" t="n"/>
      <c r="AM844" s="12" t="n"/>
      <c r="AN844" s="12" t="n"/>
      <c r="AO844" s="12" t="n"/>
      <c r="AP844" s="12" t="n"/>
      <c r="AQ844" s="7">
        <f>IF(A844="","",IF(AP844&lt;&gt;"",AP844,IF(LEFT(Z844,11)="gads_marque","Google Search – Marque",IF(LEFT(Z844,12)="gads_mariage","Google Search – Mariage et privé",IF(LEFT(Z844,10)="gads_corpo","Google Search – Corporatif",IF(LEFT(Z844,5)="meta_","Meta – Leads",IF(LEFT(Z844,5)="msft_","Microsoft Ads",IF(LEFT(Z844,8)="chatgpt_","ChatGPT Ads – Test",IF(X844="gbp","Fiche Google (organique)","Autre / non payé")))))))))</f>
        <v/>
      </c>
      <c r="AR844" s="7">
        <f>IF(K844="","",IFERROR(VLOOKUP(K844,Listes!$F$3:$H$8,3,FALSE),""))</f>
        <v/>
      </c>
      <c r="AS844" s="7">
        <f>IF(O844="","",IF(AND(M844="Autre (plus de 40 km)",OR(O844="lt600",O844="600_999",O844="1000_2499")),"D",IF(OR(O844="lt600",AND(O844="600_999",K844&lt;&gt;"mariage",K844&lt;&gt;"prive")),"C",IF(OR(O844="2500_4999",O844="5000p",J844="entreprise",J844="organisme",J844="agence"),"A",IF(OR(O844="1000_2499",O844="600_999"),"B",IF(O844="inconnu",IF(OR(N844="75_149",N844="150p"),"A","B"),""))))))</f>
        <v/>
      </c>
      <c r="AT844" s="7">
        <f>IF(A844="","",IF(P844&lt;&gt;"",P844,AS844))</f>
        <v/>
      </c>
      <c r="AU844" s="7">
        <f>IF(A844="","",IF(OR(AT844="A",AT844="B"),1,0))</f>
        <v/>
      </c>
      <c r="AV844" s="7">
        <f>IF(A844="","",IF(OR(R844="Dépôt payé (gagné)",R844="Événement livré",R844="Avis obtenu"),1,0))</f>
        <v/>
      </c>
      <c r="AW844" s="7">
        <f>IF(A844="","",IF(Q844&gt;70,"Immédiat – propriétaire",IF(Q844&gt;=40,"15 min – personne de garde","Selon la route")))</f>
        <v/>
      </c>
      <c r="AX844" s="11">
        <f>IF(A844="","",IF(AT844="A",400,IF(AT844="B",150,0)))</f>
        <v/>
      </c>
      <c r="AY844" s="11">
        <f>IF(A844="","",IF(AV844=1,N(V844),IF(N(U844)&gt;0,ROUND(N(U844)*IFERROR(VLOOKUP(R844,Listes!$AE$3:$AG$12,2,FALSE),0),0),0)))</f>
        <v/>
      </c>
      <c r="AZ844" s="7">
        <f>IF(LEFT(A844,7)="EXEMPLE",1,0)</f>
        <v/>
      </c>
      <c r="BA844" s="7">
        <f>IF(AND(AV844=1,AZ844=0,AC844&lt;&gt;"",W844&lt;&gt;"",N(V844)&gt;0),COUNTIFS($AV$3:AV844,1,$AZ$3:AZ844,0,$AC$3:AC844,"&lt;&gt;",$W$3:W844,"&lt;&gt;",$V$3:V844,"&gt;0"),"")</f>
        <v/>
      </c>
    </row>
    <row r="845">
      <c r="A845" s="12" t="n"/>
      <c r="B845" s="13" t="n"/>
      <c r="C845" s="13" t="n"/>
      <c r="D845" s="7">
        <f>IF(OR(B845="",C845=""),"",ROUND((C845-B845)*1440,0))</f>
        <v/>
      </c>
      <c r="E845" s="12" t="n"/>
      <c r="F845" s="12" t="n"/>
      <c r="G845" s="12" t="n"/>
      <c r="H845" s="12" t="n"/>
      <c r="I845" s="12" t="n"/>
      <c r="J845" s="12" t="n"/>
      <c r="K845" s="12" t="n"/>
      <c r="L845" s="14" t="n"/>
      <c r="M845" s="12" t="n"/>
      <c r="N845" s="12" t="n"/>
      <c r="O845" s="12" t="n"/>
      <c r="P845" s="12" t="n"/>
      <c r="Q845" s="7">
        <f>IF(A845="","",IFERROR(VLOOKUP(O845,Listes!$R$3:$T$8,2,FALSE),0)+IFERROR(VLOOKUP(J845,Listes!$J$3:$L$6,2,FALSE),0)+IFERROR(VLOOKUP(N845,Listes!$N$3:$P$6,2,FALSE),0)+IF(OR(L845="",B845=""),0,IF(L845-INT(B845)&lt;10,8,IF(L845-INT(B845)&lt;=90,10,5)))+IFERROR(VLOOKUP(AN845,Listes!$V$3:$W$5,2,FALSE),0)+IFERROR(VLOOKUP(AO845,Listes!$Y$3:$Z$5,2,FALSE),0))</f>
        <v/>
      </c>
      <c r="R845" s="12" t="n"/>
      <c r="S845" s="12" t="n"/>
      <c r="T845" s="12" t="n"/>
      <c r="U845" s="15" t="n"/>
      <c r="V845" s="15" t="n"/>
      <c r="W845" s="13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3" t="n"/>
      <c r="AK845" s="12" t="n"/>
      <c r="AL845" s="12" t="n"/>
      <c r="AM845" s="12" t="n"/>
      <c r="AN845" s="12" t="n"/>
      <c r="AO845" s="12" t="n"/>
      <c r="AP845" s="12" t="n"/>
      <c r="AQ845" s="7">
        <f>IF(A845="","",IF(AP845&lt;&gt;"",AP845,IF(LEFT(Z845,11)="gads_marque","Google Search – Marque",IF(LEFT(Z845,12)="gads_mariage","Google Search – Mariage et privé",IF(LEFT(Z845,10)="gads_corpo","Google Search – Corporatif",IF(LEFT(Z845,5)="meta_","Meta – Leads",IF(LEFT(Z845,5)="msft_","Microsoft Ads",IF(LEFT(Z845,8)="chatgpt_","ChatGPT Ads – Test",IF(X845="gbp","Fiche Google (organique)","Autre / non payé")))))))))</f>
        <v/>
      </c>
      <c r="AR845" s="7">
        <f>IF(K845="","",IFERROR(VLOOKUP(K845,Listes!$F$3:$H$8,3,FALSE),""))</f>
        <v/>
      </c>
      <c r="AS845" s="7">
        <f>IF(O845="","",IF(AND(M845="Autre (plus de 40 km)",OR(O845="lt600",O845="600_999",O845="1000_2499")),"D",IF(OR(O845="lt600",AND(O845="600_999",K845&lt;&gt;"mariage",K845&lt;&gt;"prive")),"C",IF(OR(O845="2500_4999",O845="5000p",J845="entreprise",J845="organisme",J845="agence"),"A",IF(OR(O845="1000_2499",O845="600_999"),"B",IF(O845="inconnu",IF(OR(N845="75_149",N845="150p"),"A","B"),""))))))</f>
        <v/>
      </c>
      <c r="AT845" s="7">
        <f>IF(A845="","",IF(P845&lt;&gt;"",P845,AS845))</f>
        <v/>
      </c>
      <c r="AU845" s="7">
        <f>IF(A845="","",IF(OR(AT845="A",AT845="B"),1,0))</f>
        <v/>
      </c>
      <c r="AV845" s="7">
        <f>IF(A845="","",IF(OR(R845="Dépôt payé (gagné)",R845="Événement livré",R845="Avis obtenu"),1,0))</f>
        <v/>
      </c>
      <c r="AW845" s="7">
        <f>IF(A845="","",IF(Q845&gt;70,"Immédiat – propriétaire",IF(Q845&gt;=40,"15 min – personne de garde","Selon la route")))</f>
        <v/>
      </c>
      <c r="AX845" s="11">
        <f>IF(A845="","",IF(AT845="A",400,IF(AT845="B",150,0)))</f>
        <v/>
      </c>
      <c r="AY845" s="11">
        <f>IF(A845="","",IF(AV845=1,N(V845),IF(N(U845)&gt;0,ROUND(N(U845)*IFERROR(VLOOKUP(R845,Listes!$AE$3:$AG$12,2,FALSE),0),0),0)))</f>
        <v/>
      </c>
      <c r="AZ845" s="7">
        <f>IF(LEFT(A845,7)="EXEMPLE",1,0)</f>
        <v/>
      </c>
      <c r="BA845" s="7">
        <f>IF(AND(AV845=1,AZ845=0,AC845&lt;&gt;"",W845&lt;&gt;"",N(V845)&gt;0),COUNTIFS($AV$3:AV845,1,$AZ$3:AZ845,0,$AC$3:AC845,"&lt;&gt;",$W$3:W845,"&lt;&gt;",$V$3:V845,"&gt;0"),"")</f>
        <v/>
      </c>
    </row>
    <row r="846">
      <c r="A846" s="12" t="n"/>
      <c r="B846" s="13" t="n"/>
      <c r="C846" s="13" t="n"/>
      <c r="D846" s="7">
        <f>IF(OR(B846="",C846=""),"",ROUND((C846-B846)*1440,0))</f>
        <v/>
      </c>
      <c r="E846" s="12" t="n"/>
      <c r="F846" s="12" t="n"/>
      <c r="G846" s="12" t="n"/>
      <c r="H846" s="12" t="n"/>
      <c r="I846" s="12" t="n"/>
      <c r="J846" s="12" t="n"/>
      <c r="K846" s="12" t="n"/>
      <c r="L846" s="14" t="n"/>
      <c r="M846" s="12" t="n"/>
      <c r="N846" s="12" t="n"/>
      <c r="O846" s="12" t="n"/>
      <c r="P846" s="12" t="n"/>
      <c r="Q846" s="7">
        <f>IF(A846="","",IFERROR(VLOOKUP(O846,Listes!$R$3:$T$8,2,FALSE),0)+IFERROR(VLOOKUP(J846,Listes!$J$3:$L$6,2,FALSE),0)+IFERROR(VLOOKUP(N846,Listes!$N$3:$P$6,2,FALSE),0)+IF(OR(L846="",B846=""),0,IF(L846-INT(B846)&lt;10,8,IF(L846-INT(B846)&lt;=90,10,5)))+IFERROR(VLOOKUP(AN846,Listes!$V$3:$W$5,2,FALSE),0)+IFERROR(VLOOKUP(AO846,Listes!$Y$3:$Z$5,2,FALSE),0))</f>
        <v/>
      </c>
      <c r="R846" s="12" t="n"/>
      <c r="S846" s="12" t="n"/>
      <c r="T846" s="12" t="n"/>
      <c r="U846" s="15" t="n"/>
      <c r="V846" s="15" t="n"/>
      <c r="W846" s="13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3" t="n"/>
      <c r="AK846" s="12" t="n"/>
      <c r="AL846" s="12" t="n"/>
      <c r="AM846" s="12" t="n"/>
      <c r="AN846" s="12" t="n"/>
      <c r="AO846" s="12" t="n"/>
      <c r="AP846" s="12" t="n"/>
      <c r="AQ846" s="7">
        <f>IF(A846="","",IF(AP846&lt;&gt;"",AP846,IF(LEFT(Z846,11)="gads_marque","Google Search – Marque",IF(LEFT(Z846,12)="gads_mariage","Google Search – Mariage et privé",IF(LEFT(Z846,10)="gads_corpo","Google Search – Corporatif",IF(LEFT(Z846,5)="meta_","Meta – Leads",IF(LEFT(Z846,5)="msft_","Microsoft Ads",IF(LEFT(Z846,8)="chatgpt_","ChatGPT Ads – Test",IF(X846="gbp","Fiche Google (organique)","Autre / non payé")))))))))</f>
        <v/>
      </c>
      <c r="AR846" s="7">
        <f>IF(K846="","",IFERROR(VLOOKUP(K846,Listes!$F$3:$H$8,3,FALSE),""))</f>
        <v/>
      </c>
      <c r="AS846" s="7">
        <f>IF(O846="","",IF(AND(M846="Autre (plus de 40 km)",OR(O846="lt600",O846="600_999",O846="1000_2499")),"D",IF(OR(O846="lt600",AND(O846="600_999",K846&lt;&gt;"mariage",K846&lt;&gt;"prive")),"C",IF(OR(O846="2500_4999",O846="5000p",J846="entreprise",J846="organisme",J846="agence"),"A",IF(OR(O846="1000_2499",O846="600_999"),"B",IF(O846="inconnu",IF(OR(N846="75_149",N846="150p"),"A","B"),""))))))</f>
        <v/>
      </c>
      <c r="AT846" s="7">
        <f>IF(A846="","",IF(P846&lt;&gt;"",P846,AS846))</f>
        <v/>
      </c>
      <c r="AU846" s="7">
        <f>IF(A846="","",IF(OR(AT846="A",AT846="B"),1,0))</f>
        <v/>
      </c>
      <c r="AV846" s="7">
        <f>IF(A846="","",IF(OR(R846="Dépôt payé (gagné)",R846="Événement livré",R846="Avis obtenu"),1,0))</f>
        <v/>
      </c>
      <c r="AW846" s="7">
        <f>IF(A846="","",IF(Q846&gt;70,"Immédiat – propriétaire",IF(Q846&gt;=40,"15 min – personne de garde","Selon la route")))</f>
        <v/>
      </c>
      <c r="AX846" s="11">
        <f>IF(A846="","",IF(AT846="A",400,IF(AT846="B",150,0)))</f>
        <v/>
      </c>
      <c r="AY846" s="11">
        <f>IF(A846="","",IF(AV846=1,N(V846),IF(N(U846)&gt;0,ROUND(N(U846)*IFERROR(VLOOKUP(R846,Listes!$AE$3:$AG$12,2,FALSE),0),0),0)))</f>
        <v/>
      </c>
      <c r="AZ846" s="7">
        <f>IF(LEFT(A846,7)="EXEMPLE",1,0)</f>
        <v/>
      </c>
      <c r="BA846" s="7">
        <f>IF(AND(AV846=1,AZ846=0,AC846&lt;&gt;"",W846&lt;&gt;"",N(V846)&gt;0),COUNTIFS($AV$3:AV846,1,$AZ$3:AZ846,0,$AC$3:AC846,"&lt;&gt;",$W$3:W846,"&lt;&gt;",$V$3:V846,"&gt;0"),"")</f>
        <v/>
      </c>
    </row>
    <row r="847">
      <c r="A847" s="12" t="n"/>
      <c r="B847" s="13" t="n"/>
      <c r="C847" s="13" t="n"/>
      <c r="D847" s="7">
        <f>IF(OR(B847="",C847=""),"",ROUND((C847-B847)*1440,0))</f>
        <v/>
      </c>
      <c r="E847" s="12" t="n"/>
      <c r="F847" s="12" t="n"/>
      <c r="G847" s="12" t="n"/>
      <c r="H847" s="12" t="n"/>
      <c r="I847" s="12" t="n"/>
      <c r="J847" s="12" t="n"/>
      <c r="K847" s="12" t="n"/>
      <c r="L847" s="14" t="n"/>
      <c r="M847" s="12" t="n"/>
      <c r="N847" s="12" t="n"/>
      <c r="O847" s="12" t="n"/>
      <c r="P847" s="12" t="n"/>
      <c r="Q847" s="7">
        <f>IF(A847="","",IFERROR(VLOOKUP(O847,Listes!$R$3:$T$8,2,FALSE),0)+IFERROR(VLOOKUP(J847,Listes!$J$3:$L$6,2,FALSE),0)+IFERROR(VLOOKUP(N847,Listes!$N$3:$P$6,2,FALSE),0)+IF(OR(L847="",B847=""),0,IF(L847-INT(B847)&lt;10,8,IF(L847-INT(B847)&lt;=90,10,5)))+IFERROR(VLOOKUP(AN847,Listes!$V$3:$W$5,2,FALSE),0)+IFERROR(VLOOKUP(AO847,Listes!$Y$3:$Z$5,2,FALSE),0))</f>
        <v/>
      </c>
      <c r="R847" s="12" t="n"/>
      <c r="S847" s="12" t="n"/>
      <c r="T847" s="12" t="n"/>
      <c r="U847" s="15" t="n"/>
      <c r="V847" s="15" t="n"/>
      <c r="W847" s="13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3" t="n"/>
      <c r="AK847" s="12" t="n"/>
      <c r="AL847" s="12" t="n"/>
      <c r="AM847" s="12" t="n"/>
      <c r="AN847" s="12" t="n"/>
      <c r="AO847" s="12" t="n"/>
      <c r="AP847" s="12" t="n"/>
      <c r="AQ847" s="7">
        <f>IF(A847="","",IF(AP847&lt;&gt;"",AP847,IF(LEFT(Z847,11)="gads_marque","Google Search – Marque",IF(LEFT(Z847,12)="gads_mariage","Google Search – Mariage et privé",IF(LEFT(Z847,10)="gads_corpo","Google Search – Corporatif",IF(LEFT(Z847,5)="meta_","Meta – Leads",IF(LEFT(Z847,5)="msft_","Microsoft Ads",IF(LEFT(Z847,8)="chatgpt_","ChatGPT Ads – Test",IF(X847="gbp","Fiche Google (organique)","Autre / non payé")))))))))</f>
        <v/>
      </c>
      <c r="AR847" s="7">
        <f>IF(K847="","",IFERROR(VLOOKUP(K847,Listes!$F$3:$H$8,3,FALSE),""))</f>
        <v/>
      </c>
      <c r="AS847" s="7">
        <f>IF(O847="","",IF(AND(M847="Autre (plus de 40 km)",OR(O847="lt600",O847="600_999",O847="1000_2499")),"D",IF(OR(O847="lt600",AND(O847="600_999",K847&lt;&gt;"mariage",K847&lt;&gt;"prive")),"C",IF(OR(O847="2500_4999",O847="5000p",J847="entreprise",J847="organisme",J847="agence"),"A",IF(OR(O847="1000_2499",O847="600_999"),"B",IF(O847="inconnu",IF(OR(N847="75_149",N847="150p"),"A","B"),""))))))</f>
        <v/>
      </c>
      <c r="AT847" s="7">
        <f>IF(A847="","",IF(P847&lt;&gt;"",P847,AS847))</f>
        <v/>
      </c>
      <c r="AU847" s="7">
        <f>IF(A847="","",IF(OR(AT847="A",AT847="B"),1,0))</f>
        <v/>
      </c>
      <c r="AV847" s="7">
        <f>IF(A847="","",IF(OR(R847="Dépôt payé (gagné)",R847="Événement livré",R847="Avis obtenu"),1,0))</f>
        <v/>
      </c>
      <c r="AW847" s="7">
        <f>IF(A847="","",IF(Q847&gt;70,"Immédiat – propriétaire",IF(Q847&gt;=40,"15 min – personne de garde","Selon la route")))</f>
        <v/>
      </c>
      <c r="AX847" s="11">
        <f>IF(A847="","",IF(AT847="A",400,IF(AT847="B",150,0)))</f>
        <v/>
      </c>
      <c r="AY847" s="11">
        <f>IF(A847="","",IF(AV847=1,N(V847),IF(N(U847)&gt;0,ROUND(N(U847)*IFERROR(VLOOKUP(R847,Listes!$AE$3:$AG$12,2,FALSE),0),0),0)))</f>
        <v/>
      </c>
      <c r="AZ847" s="7">
        <f>IF(LEFT(A847,7)="EXEMPLE",1,0)</f>
        <v/>
      </c>
      <c r="BA847" s="7">
        <f>IF(AND(AV847=1,AZ847=0,AC847&lt;&gt;"",W847&lt;&gt;"",N(V847)&gt;0),COUNTIFS($AV$3:AV847,1,$AZ$3:AZ847,0,$AC$3:AC847,"&lt;&gt;",$W$3:W847,"&lt;&gt;",$V$3:V847,"&gt;0"),"")</f>
        <v/>
      </c>
    </row>
    <row r="848">
      <c r="A848" s="12" t="n"/>
      <c r="B848" s="13" t="n"/>
      <c r="C848" s="13" t="n"/>
      <c r="D848" s="7">
        <f>IF(OR(B848="",C848=""),"",ROUND((C848-B848)*1440,0))</f>
        <v/>
      </c>
      <c r="E848" s="12" t="n"/>
      <c r="F848" s="12" t="n"/>
      <c r="G848" s="12" t="n"/>
      <c r="H848" s="12" t="n"/>
      <c r="I848" s="12" t="n"/>
      <c r="J848" s="12" t="n"/>
      <c r="K848" s="12" t="n"/>
      <c r="L848" s="14" t="n"/>
      <c r="M848" s="12" t="n"/>
      <c r="N848" s="12" t="n"/>
      <c r="O848" s="12" t="n"/>
      <c r="P848" s="12" t="n"/>
      <c r="Q848" s="7">
        <f>IF(A848="","",IFERROR(VLOOKUP(O848,Listes!$R$3:$T$8,2,FALSE),0)+IFERROR(VLOOKUP(J848,Listes!$J$3:$L$6,2,FALSE),0)+IFERROR(VLOOKUP(N848,Listes!$N$3:$P$6,2,FALSE),0)+IF(OR(L848="",B848=""),0,IF(L848-INT(B848)&lt;10,8,IF(L848-INT(B848)&lt;=90,10,5)))+IFERROR(VLOOKUP(AN848,Listes!$V$3:$W$5,2,FALSE),0)+IFERROR(VLOOKUP(AO848,Listes!$Y$3:$Z$5,2,FALSE),0))</f>
        <v/>
      </c>
      <c r="R848" s="12" t="n"/>
      <c r="S848" s="12" t="n"/>
      <c r="T848" s="12" t="n"/>
      <c r="U848" s="15" t="n"/>
      <c r="V848" s="15" t="n"/>
      <c r="W848" s="13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3" t="n"/>
      <c r="AK848" s="12" t="n"/>
      <c r="AL848" s="12" t="n"/>
      <c r="AM848" s="12" t="n"/>
      <c r="AN848" s="12" t="n"/>
      <c r="AO848" s="12" t="n"/>
      <c r="AP848" s="12" t="n"/>
      <c r="AQ848" s="7">
        <f>IF(A848="","",IF(AP848&lt;&gt;"",AP848,IF(LEFT(Z848,11)="gads_marque","Google Search – Marque",IF(LEFT(Z848,12)="gads_mariage","Google Search – Mariage et privé",IF(LEFT(Z848,10)="gads_corpo","Google Search – Corporatif",IF(LEFT(Z848,5)="meta_","Meta – Leads",IF(LEFT(Z848,5)="msft_","Microsoft Ads",IF(LEFT(Z848,8)="chatgpt_","ChatGPT Ads – Test",IF(X848="gbp","Fiche Google (organique)","Autre / non payé")))))))))</f>
        <v/>
      </c>
      <c r="AR848" s="7">
        <f>IF(K848="","",IFERROR(VLOOKUP(K848,Listes!$F$3:$H$8,3,FALSE),""))</f>
        <v/>
      </c>
      <c r="AS848" s="7">
        <f>IF(O848="","",IF(AND(M848="Autre (plus de 40 km)",OR(O848="lt600",O848="600_999",O848="1000_2499")),"D",IF(OR(O848="lt600",AND(O848="600_999",K848&lt;&gt;"mariage",K848&lt;&gt;"prive")),"C",IF(OR(O848="2500_4999",O848="5000p",J848="entreprise",J848="organisme",J848="agence"),"A",IF(OR(O848="1000_2499",O848="600_999"),"B",IF(O848="inconnu",IF(OR(N848="75_149",N848="150p"),"A","B"),""))))))</f>
        <v/>
      </c>
      <c r="AT848" s="7">
        <f>IF(A848="","",IF(P848&lt;&gt;"",P848,AS848))</f>
        <v/>
      </c>
      <c r="AU848" s="7">
        <f>IF(A848="","",IF(OR(AT848="A",AT848="B"),1,0))</f>
        <v/>
      </c>
      <c r="AV848" s="7">
        <f>IF(A848="","",IF(OR(R848="Dépôt payé (gagné)",R848="Événement livré",R848="Avis obtenu"),1,0))</f>
        <v/>
      </c>
      <c r="AW848" s="7">
        <f>IF(A848="","",IF(Q848&gt;70,"Immédiat – propriétaire",IF(Q848&gt;=40,"15 min – personne de garde","Selon la route")))</f>
        <v/>
      </c>
      <c r="AX848" s="11">
        <f>IF(A848="","",IF(AT848="A",400,IF(AT848="B",150,0)))</f>
        <v/>
      </c>
      <c r="AY848" s="11">
        <f>IF(A848="","",IF(AV848=1,N(V848),IF(N(U848)&gt;0,ROUND(N(U848)*IFERROR(VLOOKUP(R848,Listes!$AE$3:$AG$12,2,FALSE),0),0),0)))</f>
        <v/>
      </c>
      <c r="AZ848" s="7">
        <f>IF(LEFT(A848,7)="EXEMPLE",1,0)</f>
        <v/>
      </c>
      <c r="BA848" s="7">
        <f>IF(AND(AV848=1,AZ848=0,AC848&lt;&gt;"",W848&lt;&gt;"",N(V848)&gt;0),COUNTIFS($AV$3:AV848,1,$AZ$3:AZ848,0,$AC$3:AC848,"&lt;&gt;",$W$3:W848,"&lt;&gt;",$V$3:V848,"&gt;0"),"")</f>
        <v/>
      </c>
    </row>
    <row r="849">
      <c r="A849" s="12" t="n"/>
      <c r="B849" s="13" t="n"/>
      <c r="C849" s="13" t="n"/>
      <c r="D849" s="7">
        <f>IF(OR(B849="",C849=""),"",ROUND((C849-B849)*1440,0))</f>
        <v/>
      </c>
      <c r="E849" s="12" t="n"/>
      <c r="F849" s="12" t="n"/>
      <c r="G849" s="12" t="n"/>
      <c r="H849" s="12" t="n"/>
      <c r="I849" s="12" t="n"/>
      <c r="J849" s="12" t="n"/>
      <c r="K849" s="12" t="n"/>
      <c r="L849" s="14" t="n"/>
      <c r="M849" s="12" t="n"/>
      <c r="N849" s="12" t="n"/>
      <c r="O849" s="12" t="n"/>
      <c r="P849" s="12" t="n"/>
      <c r="Q849" s="7">
        <f>IF(A849="","",IFERROR(VLOOKUP(O849,Listes!$R$3:$T$8,2,FALSE),0)+IFERROR(VLOOKUP(J849,Listes!$J$3:$L$6,2,FALSE),0)+IFERROR(VLOOKUP(N849,Listes!$N$3:$P$6,2,FALSE),0)+IF(OR(L849="",B849=""),0,IF(L849-INT(B849)&lt;10,8,IF(L849-INT(B849)&lt;=90,10,5)))+IFERROR(VLOOKUP(AN849,Listes!$V$3:$W$5,2,FALSE),0)+IFERROR(VLOOKUP(AO849,Listes!$Y$3:$Z$5,2,FALSE),0))</f>
        <v/>
      </c>
      <c r="R849" s="12" t="n"/>
      <c r="S849" s="12" t="n"/>
      <c r="T849" s="12" t="n"/>
      <c r="U849" s="15" t="n"/>
      <c r="V849" s="15" t="n"/>
      <c r="W849" s="13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3" t="n"/>
      <c r="AK849" s="12" t="n"/>
      <c r="AL849" s="12" t="n"/>
      <c r="AM849" s="12" t="n"/>
      <c r="AN849" s="12" t="n"/>
      <c r="AO849" s="12" t="n"/>
      <c r="AP849" s="12" t="n"/>
      <c r="AQ849" s="7">
        <f>IF(A849="","",IF(AP849&lt;&gt;"",AP849,IF(LEFT(Z849,11)="gads_marque","Google Search – Marque",IF(LEFT(Z849,12)="gads_mariage","Google Search – Mariage et privé",IF(LEFT(Z849,10)="gads_corpo","Google Search – Corporatif",IF(LEFT(Z849,5)="meta_","Meta – Leads",IF(LEFT(Z849,5)="msft_","Microsoft Ads",IF(LEFT(Z849,8)="chatgpt_","ChatGPT Ads – Test",IF(X849="gbp","Fiche Google (organique)","Autre / non payé")))))))))</f>
        <v/>
      </c>
      <c r="AR849" s="7">
        <f>IF(K849="","",IFERROR(VLOOKUP(K849,Listes!$F$3:$H$8,3,FALSE),""))</f>
        <v/>
      </c>
      <c r="AS849" s="7">
        <f>IF(O849="","",IF(AND(M849="Autre (plus de 40 km)",OR(O849="lt600",O849="600_999",O849="1000_2499")),"D",IF(OR(O849="lt600",AND(O849="600_999",K849&lt;&gt;"mariage",K849&lt;&gt;"prive")),"C",IF(OR(O849="2500_4999",O849="5000p",J849="entreprise",J849="organisme",J849="agence"),"A",IF(OR(O849="1000_2499",O849="600_999"),"B",IF(O849="inconnu",IF(OR(N849="75_149",N849="150p"),"A","B"),""))))))</f>
        <v/>
      </c>
      <c r="AT849" s="7">
        <f>IF(A849="","",IF(P849&lt;&gt;"",P849,AS849))</f>
        <v/>
      </c>
      <c r="AU849" s="7">
        <f>IF(A849="","",IF(OR(AT849="A",AT849="B"),1,0))</f>
        <v/>
      </c>
      <c r="AV849" s="7">
        <f>IF(A849="","",IF(OR(R849="Dépôt payé (gagné)",R849="Événement livré",R849="Avis obtenu"),1,0))</f>
        <v/>
      </c>
      <c r="AW849" s="7">
        <f>IF(A849="","",IF(Q849&gt;70,"Immédiat – propriétaire",IF(Q849&gt;=40,"15 min – personne de garde","Selon la route")))</f>
        <v/>
      </c>
      <c r="AX849" s="11">
        <f>IF(A849="","",IF(AT849="A",400,IF(AT849="B",150,0)))</f>
        <v/>
      </c>
      <c r="AY849" s="11">
        <f>IF(A849="","",IF(AV849=1,N(V849),IF(N(U849)&gt;0,ROUND(N(U849)*IFERROR(VLOOKUP(R849,Listes!$AE$3:$AG$12,2,FALSE),0),0),0)))</f>
        <v/>
      </c>
      <c r="AZ849" s="7">
        <f>IF(LEFT(A849,7)="EXEMPLE",1,0)</f>
        <v/>
      </c>
      <c r="BA849" s="7">
        <f>IF(AND(AV849=1,AZ849=0,AC849&lt;&gt;"",W849&lt;&gt;"",N(V849)&gt;0),COUNTIFS($AV$3:AV849,1,$AZ$3:AZ849,0,$AC$3:AC849,"&lt;&gt;",$W$3:W849,"&lt;&gt;",$V$3:V849,"&gt;0"),"")</f>
        <v/>
      </c>
    </row>
    <row r="850">
      <c r="A850" s="12" t="n"/>
      <c r="B850" s="13" t="n"/>
      <c r="C850" s="13" t="n"/>
      <c r="D850" s="7">
        <f>IF(OR(B850="",C850=""),"",ROUND((C850-B850)*1440,0))</f>
        <v/>
      </c>
      <c r="E850" s="12" t="n"/>
      <c r="F850" s="12" t="n"/>
      <c r="G850" s="12" t="n"/>
      <c r="H850" s="12" t="n"/>
      <c r="I850" s="12" t="n"/>
      <c r="J850" s="12" t="n"/>
      <c r="K850" s="12" t="n"/>
      <c r="L850" s="14" t="n"/>
      <c r="M850" s="12" t="n"/>
      <c r="N850" s="12" t="n"/>
      <c r="O850" s="12" t="n"/>
      <c r="P850" s="12" t="n"/>
      <c r="Q850" s="7">
        <f>IF(A850="","",IFERROR(VLOOKUP(O850,Listes!$R$3:$T$8,2,FALSE),0)+IFERROR(VLOOKUP(J850,Listes!$J$3:$L$6,2,FALSE),0)+IFERROR(VLOOKUP(N850,Listes!$N$3:$P$6,2,FALSE),0)+IF(OR(L850="",B850=""),0,IF(L850-INT(B850)&lt;10,8,IF(L850-INT(B850)&lt;=90,10,5)))+IFERROR(VLOOKUP(AN850,Listes!$V$3:$W$5,2,FALSE),0)+IFERROR(VLOOKUP(AO850,Listes!$Y$3:$Z$5,2,FALSE),0))</f>
        <v/>
      </c>
      <c r="R850" s="12" t="n"/>
      <c r="S850" s="12" t="n"/>
      <c r="T850" s="12" t="n"/>
      <c r="U850" s="15" t="n"/>
      <c r="V850" s="15" t="n"/>
      <c r="W850" s="13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3" t="n"/>
      <c r="AK850" s="12" t="n"/>
      <c r="AL850" s="12" t="n"/>
      <c r="AM850" s="12" t="n"/>
      <c r="AN850" s="12" t="n"/>
      <c r="AO850" s="12" t="n"/>
      <c r="AP850" s="12" t="n"/>
      <c r="AQ850" s="7">
        <f>IF(A850="","",IF(AP850&lt;&gt;"",AP850,IF(LEFT(Z850,11)="gads_marque","Google Search – Marque",IF(LEFT(Z850,12)="gads_mariage","Google Search – Mariage et privé",IF(LEFT(Z850,10)="gads_corpo","Google Search – Corporatif",IF(LEFT(Z850,5)="meta_","Meta – Leads",IF(LEFT(Z850,5)="msft_","Microsoft Ads",IF(LEFT(Z850,8)="chatgpt_","ChatGPT Ads – Test",IF(X850="gbp","Fiche Google (organique)","Autre / non payé")))))))))</f>
        <v/>
      </c>
      <c r="AR850" s="7">
        <f>IF(K850="","",IFERROR(VLOOKUP(K850,Listes!$F$3:$H$8,3,FALSE),""))</f>
        <v/>
      </c>
      <c r="AS850" s="7">
        <f>IF(O850="","",IF(AND(M850="Autre (plus de 40 km)",OR(O850="lt600",O850="600_999",O850="1000_2499")),"D",IF(OR(O850="lt600",AND(O850="600_999",K850&lt;&gt;"mariage",K850&lt;&gt;"prive")),"C",IF(OR(O850="2500_4999",O850="5000p",J850="entreprise",J850="organisme",J850="agence"),"A",IF(OR(O850="1000_2499",O850="600_999"),"B",IF(O850="inconnu",IF(OR(N850="75_149",N850="150p"),"A","B"),""))))))</f>
        <v/>
      </c>
      <c r="AT850" s="7">
        <f>IF(A850="","",IF(P850&lt;&gt;"",P850,AS850))</f>
        <v/>
      </c>
      <c r="AU850" s="7">
        <f>IF(A850="","",IF(OR(AT850="A",AT850="B"),1,0))</f>
        <v/>
      </c>
      <c r="AV850" s="7">
        <f>IF(A850="","",IF(OR(R850="Dépôt payé (gagné)",R850="Événement livré",R850="Avis obtenu"),1,0))</f>
        <v/>
      </c>
      <c r="AW850" s="7">
        <f>IF(A850="","",IF(Q850&gt;70,"Immédiat – propriétaire",IF(Q850&gt;=40,"15 min – personne de garde","Selon la route")))</f>
        <v/>
      </c>
      <c r="AX850" s="11">
        <f>IF(A850="","",IF(AT850="A",400,IF(AT850="B",150,0)))</f>
        <v/>
      </c>
      <c r="AY850" s="11">
        <f>IF(A850="","",IF(AV850=1,N(V850),IF(N(U850)&gt;0,ROUND(N(U850)*IFERROR(VLOOKUP(R850,Listes!$AE$3:$AG$12,2,FALSE),0),0),0)))</f>
        <v/>
      </c>
      <c r="AZ850" s="7">
        <f>IF(LEFT(A850,7)="EXEMPLE",1,0)</f>
        <v/>
      </c>
      <c r="BA850" s="7">
        <f>IF(AND(AV850=1,AZ850=0,AC850&lt;&gt;"",W850&lt;&gt;"",N(V850)&gt;0),COUNTIFS($AV$3:AV850,1,$AZ$3:AZ850,0,$AC$3:AC850,"&lt;&gt;",$W$3:W850,"&lt;&gt;",$V$3:V850,"&gt;0"),"")</f>
        <v/>
      </c>
    </row>
    <row r="851">
      <c r="A851" s="12" t="n"/>
      <c r="B851" s="13" t="n"/>
      <c r="C851" s="13" t="n"/>
      <c r="D851" s="7">
        <f>IF(OR(B851="",C851=""),"",ROUND((C851-B851)*1440,0))</f>
        <v/>
      </c>
      <c r="E851" s="12" t="n"/>
      <c r="F851" s="12" t="n"/>
      <c r="G851" s="12" t="n"/>
      <c r="H851" s="12" t="n"/>
      <c r="I851" s="12" t="n"/>
      <c r="J851" s="12" t="n"/>
      <c r="K851" s="12" t="n"/>
      <c r="L851" s="14" t="n"/>
      <c r="M851" s="12" t="n"/>
      <c r="N851" s="12" t="n"/>
      <c r="O851" s="12" t="n"/>
      <c r="P851" s="12" t="n"/>
      <c r="Q851" s="7">
        <f>IF(A851="","",IFERROR(VLOOKUP(O851,Listes!$R$3:$T$8,2,FALSE),0)+IFERROR(VLOOKUP(J851,Listes!$J$3:$L$6,2,FALSE),0)+IFERROR(VLOOKUP(N851,Listes!$N$3:$P$6,2,FALSE),0)+IF(OR(L851="",B851=""),0,IF(L851-INT(B851)&lt;10,8,IF(L851-INT(B851)&lt;=90,10,5)))+IFERROR(VLOOKUP(AN851,Listes!$V$3:$W$5,2,FALSE),0)+IFERROR(VLOOKUP(AO851,Listes!$Y$3:$Z$5,2,FALSE),0))</f>
        <v/>
      </c>
      <c r="R851" s="12" t="n"/>
      <c r="S851" s="12" t="n"/>
      <c r="T851" s="12" t="n"/>
      <c r="U851" s="15" t="n"/>
      <c r="V851" s="15" t="n"/>
      <c r="W851" s="13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3" t="n"/>
      <c r="AK851" s="12" t="n"/>
      <c r="AL851" s="12" t="n"/>
      <c r="AM851" s="12" t="n"/>
      <c r="AN851" s="12" t="n"/>
      <c r="AO851" s="12" t="n"/>
      <c r="AP851" s="12" t="n"/>
      <c r="AQ851" s="7">
        <f>IF(A851="","",IF(AP851&lt;&gt;"",AP851,IF(LEFT(Z851,11)="gads_marque","Google Search – Marque",IF(LEFT(Z851,12)="gads_mariage","Google Search – Mariage et privé",IF(LEFT(Z851,10)="gads_corpo","Google Search – Corporatif",IF(LEFT(Z851,5)="meta_","Meta – Leads",IF(LEFT(Z851,5)="msft_","Microsoft Ads",IF(LEFT(Z851,8)="chatgpt_","ChatGPT Ads – Test",IF(X851="gbp","Fiche Google (organique)","Autre / non payé")))))))))</f>
        <v/>
      </c>
      <c r="AR851" s="7">
        <f>IF(K851="","",IFERROR(VLOOKUP(K851,Listes!$F$3:$H$8,3,FALSE),""))</f>
        <v/>
      </c>
      <c r="AS851" s="7">
        <f>IF(O851="","",IF(AND(M851="Autre (plus de 40 km)",OR(O851="lt600",O851="600_999",O851="1000_2499")),"D",IF(OR(O851="lt600",AND(O851="600_999",K851&lt;&gt;"mariage",K851&lt;&gt;"prive")),"C",IF(OR(O851="2500_4999",O851="5000p",J851="entreprise",J851="organisme",J851="agence"),"A",IF(OR(O851="1000_2499",O851="600_999"),"B",IF(O851="inconnu",IF(OR(N851="75_149",N851="150p"),"A","B"),""))))))</f>
        <v/>
      </c>
      <c r="AT851" s="7">
        <f>IF(A851="","",IF(P851&lt;&gt;"",P851,AS851))</f>
        <v/>
      </c>
      <c r="AU851" s="7">
        <f>IF(A851="","",IF(OR(AT851="A",AT851="B"),1,0))</f>
        <v/>
      </c>
      <c r="AV851" s="7">
        <f>IF(A851="","",IF(OR(R851="Dépôt payé (gagné)",R851="Événement livré",R851="Avis obtenu"),1,0))</f>
        <v/>
      </c>
      <c r="AW851" s="7">
        <f>IF(A851="","",IF(Q851&gt;70,"Immédiat – propriétaire",IF(Q851&gt;=40,"15 min – personne de garde","Selon la route")))</f>
        <v/>
      </c>
      <c r="AX851" s="11">
        <f>IF(A851="","",IF(AT851="A",400,IF(AT851="B",150,0)))</f>
        <v/>
      </c>
      <c r="AY851" s="11">
        <f>IF(A851="","",IF(AV851=1,N(V851),IF(N(U851)&gt;0,ROUND(N(U851)*IFERROR(VLOOKUP(R851,Listes!$AE$3:$AG$12,2,FALSE),0),0),0)))</f>
        <v/>
      </c>
      <c r="AZ851" s="7">
        <f>IF(LEFT(A851,7)="EXEMPLE",1,0)</f>
        <v/>
      </c>
      <c r="BA851" s="7">
        <f>IF(AND(AV851=1,AZ851=0,AC851&lt;&gt;"",W851&lt;&gt;"",N(V851)&gt;0),COUNTIFS($AV$3:AV851,1,$AZ$3:AZ851,0,$AC$3:AC851,"&lt;&gt;",$W$3:W851,"&lt;&gt;",$V$3:V851,"&gt;0"),"")</f>
        <v/>
      </c>
    </row>
    <row r="852">
      <c r="A852" s="12" t="n"/>
      <c r="B852" s="13" t="n"/>
      <c r="C852" s="13" t="n"/>
      <c r="D852" s="7">
        <f>IF(OR(B852="",C852=""),"",ROUND((C852-B852)*1440,0))</f>
        <v/>
      </c>
      <c r="E852" s="12" t="n"/>
      <c r="F852" s="12" t="n"/>
      <c r="G852" s="12" t="n"/>
      <c r="H852" s="12" t="n"/>
      <c r="I852" s="12" t="n"/>
      <c r="J852" s="12" t="n"/>
      <c r="K852" s="12" t="n"/>
      <c r="L852" s="14" t="n"/>
      <c r="M852" s="12" t="n"/>
      <c r="N852" s="12" t="n"/>
      <c r="O852" s="12" t="n"/>
      <c r="P852" s="12" t="n"/>
      <c r="Q852" s="7">
        <f>IF(A852="","",IFERROR(VLOOKUP(O852,Listes!$R$3:$T$8,2,FALSE),0)+IFERROR(VLOOKUP(J852,Listes!$J$3:$L$6,2,FALSE),0)+IFERROR(VLOOKUP(N852,Listes!$N$3:$P$6,2,FALSE),0)+IF(OR(L852="",B852=""),0,IF(L852-INT(B852)&lt;10,8,IF(L852-INT(B852)&lt;=90,10,5)))+IFERROR(VLOOKUP(AN852,Listes!$V$3:$W$5,2,FALSE),0)+IFERROR(VLOOKUP(AO852,Listes!$Y$3:$Z$5,2,FALSE),0))</f>
        <v/>
      </c>
      <c r="R852" s="12" t="n"/>
      <c r="S852" s="12" t="n"/>
      <c r="T852" s="12" t="n"/>
      <c r="U852" s="15" t="n"/>
      <c r="V852" s="15" t="n"/>
      <c r="W852" s="13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3" t="n"/>
      <c r="AK852" s="12" t="n"/>
      <c r="AL852" s="12" t="n"/>
      <c r="AM852" s="12" t="n"/>
      <c r="AN852" s="12" t="n"/>
      <c r="AO852" s="12" t="n"/>
      <c r="AP852" s="12" t="n"/>
      <c r="AQ852" s="7">
        <f>IF(A852="","",IF(AP852&lt;&gt;"",AP852,IF(LEFT(Z852,11)="gads_marque","Google Search – Marque",IF(LEFT(Z852,12)="gads_mariage","Google Search – Mariage et privé",IF(LEFT(Z852,10)="gads_corpo","Google Search – Corporatif",IF(LEFT(Z852,5)="meta_","Meta – Leads",IF(LEFT(Z852,5)="msft_","Microsoft Ads",IF(LEFT(Z852,8)="chatgpt_","ChatGPT Ads – Test",IF(X852="gbp","Fiche Google (organique)","Autre / non payé")))))))))</f>
        <v/>
      </c>
      <c r="AR852" s="7">
        <f>IF(K852="","",IFERROR(VLOOKUP(K852,Listes!$F$3:$H$8,3,FALSE),""))</f>
        <v/>
      </c>
      <c r="AS852" s="7">
        <f>IF(O852="","",IF(AND(M852="Autre (plus de 40 km)",OR(O852="lt600",O852="600_999",O852="1000_2499")),"D",IF(OR(O852="lt600",AND(O852="600_999",K852&lt;&gt;"mariage",K852&lt;&gt;"prive")),"C",IF(OR(O852="2500_4999",O852="5000p",J852="entreprise",J852="organisme",J852="agence"),"A",IF(OR(O852="1000_2499",O852="600_999"),"B",IF(O852="inconnu",IF(OR(N852="75_149",N852="150p"),"A","B"),""))))))</f>
        <v/>
      </c>
      <c r="AT852" s="7">
        <f>IF(A852="","",IF(P852&lt;&gt;"",P852,AS852))</f>
        <v/>
      </c>
      <c r="AU852" s="7">
        <f>IF(A852="","",IF(OR(AT852="A",AT852="B"),1,0))</f>
        <v/>
      </c>
      <c r="AV852" s="7">
        <f>IF(A852="","",IF(OR(R852="Dépôt payé (gagné)",R852="Événement livré",R852="Avis obtenu"),1,0))</f>
        <v/>
      </c>
      <c r="AW852" s="7">
        <f>IF(A852="","",IF(Q852&gt;70,"Immédiat – propriétaire",IF(Q852&gt;=40,"15 min – personne de garde","Selon la route")))</f>
        <v/>
      </c>
      <c r="AX852" s="11">
        <f>IF(A852="","",IF(AT852="A",400,IF(AT852="B",150,0)))</f>
        <v/>
      </c>
      <c r="AY852" s="11">
        <f>IF(A852="","",IF(AV852=1,N(V852),IF(N(U852)&gt;0,ROUND(N(U852)*IFERROR(VLOOKUP(R852,Listes!$AE$3:$AG$12,2,FALSE),0),0),0)))</f>
        <v/>
      </c>
      <c r="AZ852" s="7">
        <f>IF(LEFT(A852,7)="EXEMPLE",1,0)</f>
        <v/>
      </c>
      <c r="BA852" s="7">
        <f>IF(AND(AV852=1,AZ852=0,AC852&lt;&gt;"",W852&lt;&gt;"",N(V852)&gt;0),COUNTIFS($AV$3:AV852,1,$AZ$3:AZ852,0,$AC$3:AC852,"&lt;&gt;",$W$3:W852,"&lt;&gt;",$V$3:V852,"&gt;0"),"")</f>
        <v/>
      </c>
    </row>
    <row r="853">
      <c r="A853" s="12" t="n"/>
      <c r="B853" s="13" t="n"/>
      <c r="C853" s="13" t="n"/>
      <c r="D853" s="7">
        <f>IF(OR(B853="",C853=""),"",ROUND((C853-B853)*1440,0))</f>
        <v/>
      </c>
      <c r="E853" s="12" t="n"/>
      <c r="F853" s="12" t="n"/>
      <c r="G853" s="12" t="n"/>
      <c r="H853" s="12" t="n"/>
      <c r="I853" s="12" t="n"/>
      <c r="J853" s="12" t="n"/>
      <c r="K853" s="12" t="n"/>
      <c r="L853" s="14" t="n"/>
      <c r="M853" s="12" t="n"/>
      <c r="N853" s="12" t="n"/>
      <c r="O853" s="12" t="n"/>
      <c r="P853" s="12" t="n"/>
      <c r="Q853" s="7">
        <f>IF(A853="","",IFERROR(VLOOKUP(O853,Listes!$R$3:$T$8,2,FALSE),0)+IFERROR(VLOOKUP(J853,Listes!$J$3:$L$6,2,FALSE),0)+IFERROR(VLOOKUP(N853,Listes!$N$3:$P$6,2,FALSE),0)+IF(OR(L853="",B853=""),0,IF(L853-INT(B853)&lt;10,8,IF(L853-INT(B853)&lt;=90,10,5)))+IFERROR(VLOOKUP(AN853,Listes!$V$3:$W$5,2,FALSE),0)+IFERROR(VLOOKUP(AO853,Listes!$Y$3:$Z$5,2,FALSE),0))</f>
        <v/>
      </c>
      <c r="R853" s="12" t="n"/>
      <c r="S853" s="12" t="n"/>
      <c r="T853" s="12" t="n"/>
      <c r="U853" s="15" t="n"/>
      <c r="V853" s="15" t="n"/>
      <c r="W853" s="13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3" t="n"/>
      <c r="AK853" s="12" t="n"/>
      <c r="AL853" s="12" t="n"/>
      <c r="AM853" s="12" t="n"/>
      <c r="AN853" s="12" t="n"/>
      <c r="AO853" s="12" t="n"/>
      <c r="AP853" s="12" t="n"/>
      <c r="AQ853" s="7">
        <f>IF(A853="","",IF(AP853&lt;&gt;"",AP853,IF(LEFT(Z853,11)="gads_marque","Google Search – Marque",IF(LEFT(Z853,12)="gads_mariage","Google Search – Mariage et privé",IF(LEFT(Z853,10)="gads_corpo","Google Search – Corporatif",IF(LEFT(Z853,5)="meta_","Meta – Leads",IF(LEFT(Z853,5)="msft_","Microsoft Ads",IF(LEFT(Z853,8)="chatgpt_","ChatGPT Ads – Test",IF(X853="gbp","Fiche Google (organique)","Autre / non payé")))))))))</f>
        <v/>
      </c>
      <c r="AR853" s="7">
        <f>IF(K853="","",IFERROR(VLOOKUP(K853,Listes!$F$3:$H$8,3,FALSE),""))</f>
        <v/>
      </c>
      <c r="AS853" s="7">
        <f>IF(O853="","",IF(AND(M853="Autre (plus de 40 km)",OR(O853="lt600",O853="600_999",O853="1000_2499")),"D",IF(OR(O853="lt600",AND(O853="600_999",K853&lt;&gt;"mariage",K853&lt;&gt;"prive")),"C",IF(OR(O853="2500_4999",O853="5000p",J853="entreprise",J853="organisme",J853="agence"),"A",IF(OR(O853="1000_2499",O853="600_999"),"B",IF(O853="inconnu",IF(OR(N853="75_149",N853="150p"),"A","B"),""))))))</f>
        <v/>
      </c>
      <c r="AT853" s="7">
        <f>IF(A853="","",IF(P853&lt;&gt;"",P853,AS853))</f>
        <v/>
      </c>
      <c r="AU853" s="7">
        <f>IF(A853="","",IF(OR(AT853="A",AT853="B"),1,0))</f>
        <v/>
      </c>
      <c r="AV853" s="7">
        <f>IF(A853="","",IF(OR(R853="Dépôt payé (gagné)",R853="Événement livré",R853="Avis obtenu"),1,0))</f>
        <v/>
      </c>
      <c r="AW853" s="7">
        <f>IF(A853="","",IF(Q853&gt;70,"Immédiat – propriétaire",IF(Q853&gt;=40,"15 min – personne de garde","Selon la route")))</f>
        <v/>
      </c>
      <c r="AX853" s="11">
        <f>IF(A853="","",IF(AT853="A",400,IF(AT853="B",150,0)))</f>
        <v/>
      </c>
      <c r="AY853" s="11">
        <f>IF(A853="","",IF(AV853=1,N(V853),IF(N(U853)&gt;0,ROUND(N(U853)*IFERROR(VLOOKUP(R853,Listes!$AE$3:$AG$12,2,FALSE),0),0),0)))</f>
        <v/>
      </c>
      <c r="AZ853" s="7">
        <f>IF(LEFT(A853,7)="EXEMPLE",1,0)</f>
        <v/>
      </c>
      <c r="BA853" s="7">
        <f>IF(AND(AV853=1,AZ853=0,AC853&lt;&gt;"",W853&lt;&gt;"",N(V853)&gt;0),COUNTIFS($AV$3:AV853,1,$AZ$3:AZ853,0,$AC$3:AC853,"&lt;&gt;",$W$3:W853,"&lt;&gt;",$V$3:V853,"&gt;0"),"")</f>
        <v/>
      </c>
    </row>
    <row r="854">
      <c r="A854" s="12" t="n"/>
      <c r="B854" s="13" t="n"/>
      <c r="C854" s="13" t="n"/>
      <c r="D854" s="7">
        <f>IF(OR(B854="",C854=""),"",ROUND((C854-B854)*1440,0))</f>
        <v/>
      </c>
      <c r="E854" s="12" t="n"/>
      <c r="F854" s="12" t="n"/>
      <c r="G854" s="12" t="n"/>
      <c r="H854" s="12" t="n"/>
      <c r="I854" s="12" t="n"/>
      <c r="J854" s="12" t="n"/>
      <c r="K854" s="12" t="n"/>
      <c r="L854" s="14" t="n"/>
      <c r="M854" s="12" t="n"/>
      <c r="N854" s="12" t="n"/>
      <c r="O854" s="12" t="n"/>
      <c r="P854" s="12" t="n"/>
      <c r="Q854" s="7">
        <f>IF(A854="","",IFERROR(VLOOKUP(O854,Listes!$R$3:$T$8,2,FALSE),0)+IFERROR(VLOOKUP(J854,Listes!$J$3:$L$6,2,FALSE),0)+IFERROR(VLOOKUP(N854,Listes!$N$3:$P$6,2,FALSE),0)+IF(OR(L854="",B854=""),0,IF(L854-INT(B854)&lt;10,8,IF(L854-INT(B854)&lt;=90,10,5)))+IFERROR(VLOOKUP(AN854,Listes!$V$3:$W$5,2,FALSE),0)+IFERROR(VLOOKUP(AO854,Listes!$Y$3:$Z$5,2,FALSE),0))</f>
        <v/>
      </c>
      <c r="R854" s="12" t="n"/>
      <c r="S854" s="12" t="n"/>
      <c r="T854" s="12" t="n"/>
      <c r="U854" s="15" t="n"/>
      <c r="V854" s="15" t="n"/>
      <c r="W854" s="13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3" t="n"/>
      <c r="AK854" s="12" t="n"/>
      <c r="AL854" s="12" t="n"/>
      <c r="AM854" s="12" t="n"/>
      <c r="AN854" s="12" t="n"/>
      <c r="AO854" s="12" t="n"/>
      <c r="AP854" s="12" t="n"/>
      <c r="AQ854" s="7">
        <f>IF(A854="","",IF(AP854&lt;&gt;"",AP854,IF(LEFT(Z854,11)="gads_marque","Google Search – Marque",IF(LEFT(Z854,12)="gads_mariage","Google Search – Mariage et privé",IF(LEFT(Z854,10)="gads_corpo","Google Search – Corporatif",IF(LEFT(Z854,5)="meta_","Meta – Leads",IF(LEFT(Z854,5)="msft_","Microsoft Ads",IF(LEFT(Z854,8)="chatgpt_","ChatGPT Ads – Test",IF(X854="gbp","Fiche Google (organique)","Autre / non payé")))))))))</f>
        <v/>
      </c>
      <c r="AR854" s="7">
        <f>IF(K854="","",IFERROR(VLOOKUP(K854,Listes!$F$3:$H$8,3,FALSE),""))</f>
        <v/>
      </c>
      <c r="AS854" s="7">
        <f>IF(O854="","",IF(AND(M854="Autre (plus de 40 km)",OR(O854="lt600",O854="600_999",O854="1000_2499")),"D",IF(OR(O854="lt600",AND(O854="600_999",K854&lt;&gt;"mariage",K854&lt;&gt;"prive")),"C",IF(OR(O854="2500_4999",O854="5000p",J854="entreprise",J854="organisme",J854="agence"),"A",IF(OR(O854="1000_2499",O854="600_999"),"B",IF(O854="inconnu",IF(OR(N854="75_149",N854="150p"),"A","B"),""))))))</f>
        <v/>
      </c>
      <c r="AT854" s="7">
        <f>IF(A854="","",IF(P854&lt;&gt;"",P854,AS854))</f>
        <v/>
      </c>
      <c r="AU854" s="7">
        <f>IF(A854="","",IF(OR(AT854="A",AT854="B"),1,0))</f>
        <v/>
      </c>
      <c r="AV854" s="7">
        <f>IF(A854="","",IF(OR(R854="Dépôt payé (gagné)",R854="Événement livré",R854="Avis obtenu"),1,0))</f>
        <v/>
      </c>
      <c r="AW854" s="7">
        <f>IF(A854="","",IF(Q854&gt;70,"Immédiat – propriétaire",IF(Q854&gt;=40,"15 min – personne de garde","Selon la route")))</f>
        <v/>
      </c>
      <c r="AX854" s="11">
        <f>IF(A854="","",IF(AT854="A",400,IF(AT854="B",150,0)))</f>
        <v/>
      </c>
      <c r="AY854" s="11">
        <f>IF(A854="","",IF(AV854=1,N(V854),IF(N(U854)&gt;0,ROUND(N(U854)*IFERROR(VLOOKUP(R854,Listes!$AE$3:$AG$12,2,FALSE),0),0),0)))</f>
        <v/>
      </c>
      <c r="AZ854" s="7">
        <f>IF(LEFT(A854,7)="EXEMPLE",1,0)</f>
        <v/>
      </c>
      <c r="BA854" s="7">
        <f>IF(AND(AV854=1,AZ854=0,AC854&lt;&gt;"",W854&lt;&gt;"",N(V854)&gt;0),COUNTIFS($AV$3:AV854,1,$AZ$3:AZ854,0,$AC$3:AC854,"&lt;&gt;",$W$3:W854,"&lt;&gt;",$V$3:V854,"&gt;0"),"")</f>
        <v/>
      </c>
    </row>
    <row r="855">
      <c r="A855" s="12" t="n"/>
      <c r="B855" s="13" t="n"/>
      <c r="C855" s="13" t="n"/>
      <c r="D855" s="7">
        <f>IF(OR(B855="",C855=""),"",ROUND((C855-B855)*1440,0))</f>
        <v/>
      </c>
      <c r="E855" s="12" t="n"/>
      <c r="F855" s="12" t="n"/>
      <c r="G855" s="12" t="n"/>
      <c r="H855" s="12" t="n"/>
      <c r="I855" s="12" t="n"/>
      <c r="J855" s="12" t="n"/>
      <c r="K855" s="12" t="n"/>
      <c r="L855" s="14" t="n"/>
      <c r="M855" s="12" t="n"/>
      <c r="N855" s="12" t="n"/>
      <c r="O855" s="12" t="n"/>
      <c r="P855" s="12" t="n"/>
      <c r="Q855" s="7">
        <f>IF(A855="","",IFERROR(VLOOKUP(O855,Listes!$R$3:$T$8,2,FALSE),0)+IFERROR(VLOOKUP(J855,Listes!$J$3:$L$6,2,FALSE),0)+IFERROR(VLOOKUP(N855,Listes!$N$3:$P$6,2,FALSE),0)+IF(OR(L855="",B855=""),0,IF(L855-INT(B855)&lt;10,8,IF(L855-INT(B855)&lt;=90,10,5)))+IFERROR(VLOOKUP(AN855,Listes!$V$3:$W$5,2,FALSE),0)+IFERROR(VLOOKUP(AO855,Listes!$Y$3:$Z$5,2,FALSE),0))</f>
        <v/>
      </c>
      <c r="R855" s="12" t="n"/>
      <c r="S855" s="12" t="n"/>
      <c r="T855" s="12" t="n"/>
      <c r="U855" s="15" t="n"/>
      <c r="V855" s="15" t="n"/>
      <c r="W855" s="13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3" t="n"/>
      <c r="AK855" s="12" t="n"/>
      <c r="AL855" s="12" t="n"/>
      <c r="AM855" s="12" t="n"/>
      <c r="AN855" s="12" t="n"/>
      <c r="AO855" s="12" t="n"/>
      <c r="AP855" s="12" t="n"/>
      <c r="AQ855" s="7">
        <f>IF(A855="","",IF(AP855&lt;&gt;"",AP855,IF(LEFT(Z855,11)="gads_marque","Google Search – Marque",IF(LEFT(Z855,12)="gads_mariage","Google Search – Mariage et privé",IF(LEFT(Z855,10)="gads_corpo","Google Search – Corporatif",IF(LEFT(Z855,5)="meta_","Meta – Leads",IF(LEFT(Z855,5)="msft_","Microsoft Ads",IF(LEFT(Z855,8)="chatgpt_","ChatGPT Ads – Test",IF(X855="gbp","Fiche Google (organique)","Autre / non payé")))))))))</f>
        <v/>
      </c>
      <c r="AR855" s="7">
        <f>IF(K855="","",IFERROR(VLOOKUP(K855,Listes!$F$3:$H$8,3,FALSE),""))</f>
        <v/>
      </c>
      <c r="AS855" s="7">
        <f>IF(O855="","",IF(AND(M855="Autre (plus de 40 km)",OR(O855="lt600",O855="600_999",O855="1000_2499")),"D",IF(OR(O855="lt600",AND(O855="600_999",K855&lt;&gt;"mariage",K855&lt;&gt;"prive")),"C",IF(OR(O855="2500_4999",O855="5000p",J855="entreprise",J855="organisme",J855="agence"),"A",IF(OR(O855="1000_2499",O855="600_999"),"B",IF(O855="inconnu",IF(OR(N855="75_149",N855="150p"),"A","B"),""))))))</f>
        <v/>
      </c>
      <c r="AT855" s="7">
        <f>IF(A855="","",IF(P855&lt;&gt;"",P855,AS855))</f>
        <v/>
      </c>
      <c r="AU855" s="7">
        <f>IF(A855="","",IF(OR(AT855="A",AT855="B"),1,0))</f>
        <v/>
      </c>
      <c r="AV855" s="7">
        <f>IF(A855="","",IF(OR(R855="Dépôt payé (gagné)",R855="Événement livré",R855="Avis obtenu"),1,0))</f>
        <v/>
      </c>
      <c r="AW855" s="7">
        <f>IF(A855="","",IF(Q855&gt;70,"Immédiat – propriétaire",IF(Q855&gt;=40,"15 min – personne de garde","Selon la route")))</f>
        <v/>
      </c>
      <c r="AX855" s="11">
        <f>IF(A855="","",IF(AT855="A",400,IF(AT855="B",150,0)))</f>
        <v/>
      </c>
      <c r="AY855" s="11">
        <f>IF(A855="","",IF(AV855=1,N(V855),IF(N(U855)&gt;0,ROUND(N(U855)*IFERROR(VLOOKUP(R855,Listes!$AE$3:$AG$12,2,FALSE),0),0),0)))</f>
        <v/>
      </c>
      <c r="AZ855" s="7">
        <f>IF(LEFT(A855,7)="EXEMPLE",1,0)</f>
        <v/>
      </c>
      <c r="BA855" s="7">
        <f>IF(AND(AV855=1,AZ855=0,AC855&lt;&gt;"",W855&lt;&gt;"",N(V855)&gt;0),COUNTIFS($AV$3:AV855,1,$AZ$3:AZ855,0,$AC$3:AC855,"&lt;&gt;",$W$3:W855,"&lt;&gt;",$V$3:V855,"&gt;0"),"")</f>
        <v/>
      </c>
    </row>
    <row r="856">
      <c r="A856" s="12" t="n"/>
      <c r="B856" s="13" t="n"/>
      <c r="C856" s="13" t="n"/>
      <c r="D856" s="7">
        <f>IF(OR(B856="",C856=""),"",ROUND((C856-B856)*1440,0))</f>
        <v/>
      </c>
      <c r="E856" s="12" t="n"/>
      <c r="F856" s="12" t="n"/>
      <c r="G856" s="12" t="n"/>
      <c r="H856" s="12" t="n"/>
      <c r="I856" s="12" t="n"/>
      <c r="J856" s="12" t="n"/>
      <c r="K856" s="12" t="n"/>
      <c r="L856" s="14" t="n"/>
      <c r="M856" s="12" t="n"/>
      <c r="N856" s="12" t="n"/>
      <c r="O856" s="12" t="n"/>
      <c r="P856" s="12" t="n"/>
      <c r="Q856" s="7">
        <f>IF(A856="","",IFERROR(VLOOKUP(O856,Listes!$R$3:$T$8,2,FALSE),0)+IFERROR(VLOOKUP(J856,Listes!$J$3:$L$6,2,FALSE),0)+IFERROR(VLOOKUP(N856,Listes!$N$3:$P$6,2,FALSE),0)+IF(OR(L856="",B856=""),0,IF(L856-INT(B856)&lt;10,8,IF(L856-INT(B856)&lt;=90,10,5)))+IFERROR(VLOOKUP(AN856,Listes!$V$3:$W$5,2,FALSE),0)+IFERROR(VLOOKUP(AO856,Listes!$Y$3:$Z$5,2,FALSE),0))</f>
        <v/>
      </c>
      <c r="R856" s="12" t="n"/>
      <c r="S856" s="12" t="n"/>
      <c r="T856" s="12" t="n"/>
      <c r="U856" s="15" t="n"/>
      <c r="V856" s="15" t="n"/>
      <c r="W856" s="13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3" t="n"/>
      <c r="AK856" s="12" t="n"/>
      <c r="AL856" s="12" t="n"/>
      <c r="AM856" s="12" t="n"/>
      <c r="AN856" s="12" t="n"/>
      <c r="AO856" s="12" t="n"/>
      <c r="AP856" s="12" t="n"/>
      <c r="AQ856" s="7">
        <f>IF(A856="","",IF(AP856&lt;&gt;"",AP856,IF(LEFT(Z856,11)="gads_marque","Google Search – Marque",IF(LEFT(Z856,12)="gads_mariage","Google Search – Mariage et privé",IF(LEFT(Z856,10)="gads_corpo","Google Search – Corporatif",IF(LEFT(Z856,5)="meta_","Meta – Leads",IF(LEFT(Z856,5)="msft_","Microsoft Ads",IF(LEFT(Z856,8)="chatgpt_","ChatGPT Ads – Test",IF(X856="gbp","Fiche Google (organique)","Autre / non payé")))))))))</f>
        <v/>
      </c>
      <c r="AR856" s="7">
        <f>IF(K856="","",IFERROR(VLOOKUP(K856,Listes!$F$3:$H$8,3,FALSE),""))</f>
        <v/>
      </c>
      <c r="AS856" s="7">
        <f>IF(O856="","",IF(AND(M856="Autre (plus de 40 km)",OR(O856="lt600",O856="600_999",O856="1000_2499")),"D",IF(OR(O856="lt600",AND(O856="600_999",K856&lt;&gt;"mariage",K856&lt;&gt;"prive")),"C",IF(OR(O856="2500_4999",O856="5000p",J856="entreprise",J856="organisme",J856="agence"),"A",IF(OR(O856="1000_2499",O856="600_999"),"B",IF(O856="inconnu",IF(OR(N856="75_149",N856="150p"),"A","B"),""))))))</f>
        <v/>
      </c>
      <c r="AT856" s="7">
        <f>IF(A856="","",IF(P856&lt;&gt;"",P856,AS856))</f>
        <v/>
      </c>
      <c r="AU856" s="7">
        <f>IF(A856="","",IF(OR(AT856="A",AT856="B"),1,0))</f>
        <v/>
      </c>
      <c r="AV856" s="7">
        <f>IF(A856="","",IF(OR(R856="Dépôt payé (gagné)",R856="Événement livré",R856="Avis obtenu"),1,0))</f>
        <v/>
      </c>
      <c r="AW856" s="7">
        <f>IF(A856="","",IF(Q856&gt;70,"Immédiat – propriétaire",IF(Q856&gt;=40,"15 min – personne de garde","Selon la route")))</f>
        <v/>
      </c>
      <c r="AX856" s="11">
        <f>IF(A856="","",IF(AT856="A",400,IF(AT856="B",150,0)))</f>
        <v/>
      </c>
      <c r="AY856" s="11">
        <f>IF(A856="","",IF(AV856=1,N(V856),IF(N(U856)&gt;0,ROUND(N(U856)*IFERROR(VLOOKUP(R856,Listes!$AE$3:$AG$12,2,FALSE),0),0),0)))</f>
        <v/>
      </c>
      <c r="AZ856" s="7">
        <f>IF(LEFT(A856,7)="EXEMPLE",1,0)</f>
        <v/>
      </c>
      <c r="BA856" s="7">
        <f>IF(AND(AV856=1,AZ856=0,AC856&lt;&gt;"",W856&lt;&gt;"",N(V856)&gt;0),COUNTIFS($AV$3:AV856,1,$AZ$3:AZ856,0,$AC$3:AC856,"&lt;&gt;",$W$3:W856,"&lt;&gt;",$V$3:V856,"&gt;0"),"")</f>
        <v/>
      </c>
    </row>
    <row r="857">
      <c r="A857" s="12" t="n"/>
      <c r="B857" s="13" t="n"/>
      <c r="C857" s="13" t="n"/>
      <c r="D857" s="7">
        <f>IF(OR(B857="",C857=""),"",ROUND((C857-B857)*1440,0))</f>
        <v/>
      </c>
      <c r="E857" s="12" t="n"/>
      <c r="F857" s="12" t="n"/>
      <c r="G857" s="12" t="n"/>
      <c r="H857" s="12" t="n"/>
      <c r="I857" s="12" t="n"/>
      <c r="J857" s="12" t="n"/>
      <c r="K857" s="12" t="n"/>
      <c r="L857" s="14" t="n"/>
      <c r="M857" s="12" t="n"/>
      <c r="N857" s="12" t="n"/>
      <c r="O857" s="12" t="n"/>
      <c r="P857" s="12" t="n"/>
      <c r="Q857" s="7">
        <f>IF(A857="","",IFERROR(VLOOKUP(O857,Listes!$R$3:$T$8,2,FALSE),0)+IFERROR(VLOOKUP(J857,Listes!$J$3:$L$6,2,FALSE),0)+IFERROR(VLOOKUP(N857,Listes!$N$3:$P$6,2,FALSE),0)+IF(OR(L857="",B857=""),0,IF(L857-INT(B857)&lt;10,8,IF(L857-INT(B857)&lt;=90,10,5)))+IFERROR(VLOOKUP(AN857,Listes!$V$3:$W$5,2,FALSE),0)+IFERROR(VLOOKUP(AO857,Listes!$Y$3:$Z$5,2,FALSE),0))</f>
        <v/>
      </c>
      <c r="R857" s="12" t="n"/>
      <c r="S857" s="12" t="n"/>
      <c r="T857" s="12" t="n"/>
      <c r="U857" s="15" t="n"/>
      <c r="V857" s="15" t="n"/>
      <c r="W857" s="13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3" t="n"/>
      <c r="AK857" s="12" t="n"/>
      <c r="AL857" s="12" t="n"/>
      <c r="AM857" s="12" t="n"/>
      <c r="AN857" s="12" t="n"/>
      <c r="AO857" s="12" t="n"/>
      <c r="AP857" s="12" t="n"/>
      <c r="AQ857" s="7">
        <f>IF(A857="","",IF(AP857&lt;&gt;"",AP857,IF(LEFT(Z857,11)="gads_marque","Google Search – Marque",IF(LEFT(Z857,12)="gads_mariage","Google Search – Mariage et privé",IF(LEFT(Z857,10)="gads_corpo","Google Search – Corporatif",IF(LEFT(Z857,5)="meta_","Meta – Leads",IF(LEFT(Z857,5)="msft_","Microsoft Ads",IF(LEFT(Z857,8)="chatgpt_","ChatGPT Ads – Test",IF(X857="gbp","Fiche Google (organique)","Autre / non payé")))))))))</f>
        <v/>
      </c>
      <c r="AR857" s="7">
        <f>IF(K857="","",IFERROR(VLOOKUP(K857,Listes!$F$3:$H$8,3,FALSE),""))</f>
        <v/>
      </c>
      <c r="AS857" s="7">
        <f>IF(O857="","",IF(AND(M857="Autre (plus de 40 km)",OR(O857="lt600",O857="600_999",O857="1000_2499")),"D",IF(OR(O857="lt600",AND(O857="600_999",K857&lt;&gt;"mariage",K857&lt;&gt;"prive")),"C",IF(OR(O857="2500_4999",O857="5000p",J857="entreprise",J857="organisme",J857="agence"),"A",IF(OR(O857="1000_2499",O857="600_999"),"B",IF(O857="inconnu",IF(OR(N857="75_149",N857="150p"),"A","B"),""))))))</f>
        <v/>
      </c>
      <c r="AT857" s="7">
        <f>IF(A857="","",IF(P857&lt;&gt;"",P857,AS857))</f>
        <v/>
      </c>
      <c r="AU857" s="7">
        <f>IF(A857="","",IF(OR(AT857="A",AT857="B"),1,0))</f>
        <v/>
      </c>
      <c r="AV857" s="7">
        <f>IF(A857="","",IF(OR(R857="Dépôt payé (gagné)",R857="Événement livré",R857="Avis obtenu"),1,0))</f>
        <v/>
      </c>
      <c r="AW857" s="7">
        <f>IF(A857="","",IF(Q857&gt;70,"Immédiat – propriétaire",IF(Q857&gt;=40,"15 min – personne de garde","Selon la route")))</f>
        <v/>
      </c>
      <c r="AX857" s="11">
        <f>IF(A857="","",IF(AT857="A",400,IF(AT857="B",150,0)))</f>
        <v/>
      </c>
      <c r="AY857" s="11">
        <f>IF(A857="","",IF(AV857=1,N(V857),IF(N(U857)&gt;0,ROUND(N(U857)*IFERROR(VLOOKUP(R857,Listes!$AE$3:$AG$12,2,FALSE),0),0),0)))</f>
        <v/>
      </c>
      <c r="AZ857" s="7">
        <f>IF(LEFT(A857,7)="EXEMPLE",1,0)</f>
        <v/>
      </c>
      <c r="BA857" s="7">
        <f>IF(AND(AV857=1,AZ857=0,AC857&lt;&gt;"",W857&lt;&gt;"",N(V857)&gt;0),COUNTIFS($AV$3:AV857,1,$AZ$3:AZ857,0,$AC$3:AC857,"&lt;&gt;",$W$3:W857,"&lt;&gt;",$V$3:V857,"&gt;0"),"")</f>
        <v/>
      </c>
    </row>
    <row r="858">
      <c r="A858" s="12" t="n"/>
      <c r="B858" s="13" t="n"/>
      <c r="C858" s="13" t="n"/>
      <c r="D858" s="7">
        <f>IF(OR(B858="",C858=""),"",ROUND((C858-B858)*1440,0))</f>
        <v/>
      </c>
      <c r="E858" s="12" t="n"/>
      <c r="F858" s="12" t="n"/>
      <c r="G858" s="12" t="n"/>
      <c r="H858" s="12" t="n"/>
      <c r="I858" s="12" t="n"/>
      <c r="J858" s="12" t="n"/>
      <c r="K858" s="12" t="n"/>
      <c r="L858" s="14" t="n"/>
      <c r="M858" s="12" t="n"/>
      <c r="N858" s="12" t="n"/>
      <c r="O858" s="12" t="n"/>
      <c r="P858" s="12" t="n"/>
      <c r="Q858" s="7">
        <f>IF(A858="","",IFERROR(VLOOKUP(O858,Listes!$R$3:$T$8,2,FALSE),0)+IFERROR(VLOOKUP(J858,Listes!$J$3:$L$6,2,FALSE),0)+IFERROR(VLOOKUP(N858,Listes!$N$3:$P$6,2,FALSE),0)+IF(OR(L858="",B858=""),0,IF(L858-INT(B858)&lt;10,8,IF(L858-INT(B858)&lt;=90,10,5)))+IFERROR(VLOOKUP(AN858,Listes!$V$3:$W$5,2,FALSE),0)+IFERROR(VLOOKUP(AO858,Listes!$Y$3:$Z$5,2,FALSE),0))</f>
        <v/>
      </c>
      <c r="R858" s="12" t="n"/>
      <c r="S858" s="12" t="n"/>
      <c r="T858" s="12" t="n"/>
      <c r="U858" s="15" t="n"/>
      <c r="V858" s="15" t="n"/>
      <c r="W858" s="13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3" t="n"/>
      <c r="AK858" s="12" t="n"/>
      <c r="AL858" s="12" t="n"/>
      <c r="AM858" s="12" t="n"/>
      <c r="AN858" s="12" t="n"/>
      <c r="AO858" s="12" t="n"/>
      <c r="AP858" s="12" t="n"/>
      <c r="AQ858" s="7">
        <f>IF(A858="","",IF(AP858&lt;&gt;"",AP858,IF(LEFT(Z858,11)="gads_marque","Google Search – Marque",IF(LEFT(Z858,12)="gads_mariage","Google Search – Mariage et privé",IF(LEFT(Z858,10)="gads_corpo","Google Search – Corporatif",IF(LEFT(Z858,5)="meta_","Meta – Leads",IF(LEFT(Z858,5)="msft_","Microsoft Ads",IF(LEFT(Z858,8)="chatgpt_","ChatGPT Ads – Test",IF(X858="gbp","Fiche Google (organique)","Autre / non payé")))))))))</f>
        <v/>
      </c>
      <c r="AR858" s="7">
        <f>IF(K858="","",IFERROR(VLOOKUP(K858,Listes!$F$3:$H$8,3,FALSE),""))</f>
        <v/>
      </c>
      <c r="AS858" s="7">
        <f>IF(O858="","",IF(AND(M858="Autre (plus de 40 km)",OR(O858="lt600",O858="600_999",O858="1000_2499")),"D",IF(OR(O858="lt600",AND(O858="600_999",K858&lt;&gt;"mariage",K858&lt;&gt;"prive")),"C",IF(OR(O858="2500_4999",O858="5000p",J858="entreprise",J858="organisme",J858="agence"),"A",IF(OR(O858="1000_2499",O858="600_999"),"B",IF(O858="inconnu",IF(OR(N858="75_149",N858="150p"),"A","B"),""))))))</f>
        <v/>
      </c>
      <c r="AT858" s="7">
        <f>IF(A858="","",IF(P858&lt;&gt;"",P858,AS858))</f>
        <v/>
      </c>
      <c r="AU858" s="7">
        <f>IF(A858="","",IF(OR(AT858="A",AT858="B"),1,0))</f>
        <v/>
      </c>
      <c r="AV858" s="7">
        <f>IF(A858="","",IF(OR(R858="Dépôt payé (gagné)",R858="Événement livré",R858="Avis obtenu"),1,0))</f>
        <v/>
      </c>
      <c r="AW858" s="7">
        <f>IF(A858="","",IF(Q858&gt;70,"Immédiat – propriétaire",IF(Q858&gt;=40,"15 min – personne de garde","Selon la route")))</f>
        <v/>
      </c>
      <c r="AX858" s="11">
        <f>IF(A858="","",IF(AT858="A",400,IF(AT858="B",150,0)))</f>
        <v/>
      </c>
      <c r="AY858" s="11">
        <f>IF(A858="","",IF(AV858=1,N(V858),IF(N(U858)&gt;0,ROUND(N(U858)*IFERROR(VLOOKUP(R858,Listes!$AE$3:$AG$12,2,FALSE),0),0),0)))</f>
        <v/>
      </c>
      <c r="AZ858" s="7">
        <f>IF(LEFT(A858,7)="EXEMPLE",1,0)</f>
        <v/>
      </c>
      <c r="BA858" s="7">
        <f>IF(AND(AV858=1,AZ858=0,AC858&lt;&gt;"",W858&lt;&gt;"",N(V858)&gt;0),COUNTIFS($AV$3:AV858,1,$AZ$3:AZ858,0,$AC$3:AC858,"&lt;&gt;",$W$3:W858,"&lt;&gt;",$V$3:V858,"&gt;0"),"")</f>
        <v/>
      </c>
    </row>
    <row r="859">
      <c r="A859" s="12" t="n"/>
      <c r="B859" s="13" t="n"/>
      <c r="C859" s="13" t="n"/>
      <c r="D859" s="7">
        <f>IF(OR(B859="",C859=""),"",ROUND((C859-B859)*1440,0))</f>
        <v/>
      </c>
      <c r="E859" s="12" t="n"/>
      <c r="F859" s="12" t="n"/>
      <c r="G859" s="12" t="n"/>
      <c r="H859" s="12" t="n"/>
      <c r="I859" s="12" t="n"/>
      <c r="J859" s="12" t="n"/>
      <c r="K859" s="12" t="n"/>
      <c r="L859" s="14" t="n"/>
      <c r="M859" s="12" t="n"/>
      <c r="N859" s="12" t="n"/>
      <c r="O859" s="12" t="n"/>
      <c r="P859" s="12" t="n"/>
      <c r="Q859" s="7">
        <f>IF(A859="","",IFERROR(VLOOKUP(O859,Listes!$R$3:$T$8,2,FALSE),0)+IFERROR(VLOOKUP(J859,Listes!$J$3:$L$6,2,FALSE),0)+IFERROR(VLOOKUP(N859,Listes!$N$3:$P$6,2,FALSE),0)+IF(OR(L859="",B859=""),0,IF(L859-INT(B859)&lt;10,8,IF(L859-INT(B859)&lt;=90,10,5)))+IFERROR(VLOOKUP(AN859,Listes!$V$3:$W$5,2,FALSE),0)+IFERROR(VLOOKUP(AO859,Listes!$Y$3:$Z$5,2,FALSE),0))</f>
        <v/>
      </c>
      <c r="R859" s="12" t="n"/>
      <c r="S859" s="12" t="n"/>
      <c r="T859" s="12" t="n"/>
      <c r="U859" s="15" t="n"/>
      <c r="V859" s="15" t="n"/>
      <c r="W859" s="13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3" t="n"/>
      <c r="AK859" s="12" t="n"/>
      <c r="AL859" s="12" t="n"/>
      <c r="AM859" s="12" t="n"/>
      <c r="AN859" s="12" t="n"/>
      <c r="AO859" s="12" t="n"/>
      <c r="AP859" s="12" t="n"/>
      <c r="AQ859" s="7">
        <f>IF(A859="","",IF(AP859&lt;&gt;"",AP859,IF(LEFT(Z859,11)="gads_marque","Google Search – Marque",IF(LEFT(Z859,12)="gads_mariage","Google Search – Mariage et privé",IF(LEFT(Z859,10)="gads_corpo","Google Search – Corporatif",IF(LEFT(Z859,5)="meta_","Meta – Leads",IF(LEFT(Z859,5)="msft_","Microsoft Ads",IF(LEFT(Z859,8)="chatgpt_","ChatGPT Ads – Test",IF(X859="gbp","Fiche Google (organique)","Autre / non payé")))))))))</f>
        <v/>
      </c>
      <c r="AR859" s="7">
        <f>IF(K859="","",IFERROR(VLOOKUP(K859,Listes!$F$3:$H$8,3,FALSE),""))</f>
        <v/>
      </c>
      <c r="AS859" s="7">
        <f>IF(O859="","",IF(AND(M859="Autre (plus de 40 km)",OR(O859="lt600",O859="600_999",O859="1000_2499")),"D",IF(OR(O859="lt600",AND(O859="600_999",K859&lt;&gt;"mariage",K859&lt;&gt;"prive")),"C",IF(OR(O859="2500_4999",O859="5000p",J859="entreprise",J859="organisme",J859="agence"),"A",IF(OR(O859="1000_2499",O859="600_999"),"B",IF(O859="inconnu",IF(OR(N859="75_149",N859="150p"),"A","B"),""))))))</f>
        <v/>
      </c>
      <c r="AT859" s="7">
        <f>IF(A859="","",IF(P859&lt;&gt;"",P859,AS859))</f>
        <v/>
      </c>
      <c r="AU859" s="7">
        <f>IF(A859="","",IF(OR(AT859="A",AT859="B"),1,0))</f>
        <v/>
      </c>
      <c r="AV859" s="7">
        <f>IF(A859="","",IF(OR(R859="Dépôt payé (gagné)",R859="Événement livré",R859="Avis obtenu"),1,0))</f>
        <v/>
      </c>
      <c r="AW859" s="7">
        <f>IF(A859="","",IF(Q859&gt;70,"Immédiat – propriétaire",IF(Q859&gt;=40,"15 min – personne de garde","Selon la route")))</f>
        <v/>
      </c>
      <c r="AX859" s="11">
        <f>IF(A859="","",IF(AT859="A",400,IF(AT859="B",150,0)))</f>
        <v/>
      </c>
      <c r="AY859" s="11">
        <f>IF(A859="","",IF(AV859=1,N(V859),IF(N(U859)&gt;0,ROUND(N(U859)*IFERROR(VLOOKUP(R859,Listes!$AE$3:$AG$12,2,FALSE),0),0),0)))</f>
        <v/>
      </c>
      <c r="AZ859" s="7">
        <f>IF(LEFT(A859,7)="EXEMPLE",1,0)</f>
        <v/>
      </c>
      <c r="BA859" s="7">
        <f>IF(AND(AV859=1,AZ859=0,AC859&lt;&gt;"",W859&lt;&gt;"",N(V859)&gt;0),COUNTIFS($AV$3:AV859,1,$AZ$3:AZ859,0,$AC$3:AC859,"&lt;&gt;",$W$3:W859,"&lt;&gt;",$V$3:V859,"&gt;0"),"")</f>
        <v/>
      </c>
    </row>
    <row r="860">
      <c r="A860" s="12" t="n"/>
      <c r="B860" s="13" t="n"/>
      <c r="C860" s="13" t="n"/>
      <c r="D860" s="7">
        <f>IF(OR(B860="",C860=""),"",ROUND((C860-B860)*1440,0))</f>
        <v/>
      </c>
      <c r="E860" s="12" t="n"/>
      <c r="F860" s="12" t="n"/>
      <c r="G860" s="12" t="n"/>
      <c r="H860" s="12" t="n"/>
      <c r="I860" s="12" t="n"/>
      <c r="J860" s="12" t="n"/>
      <c r="K860" s="12" t="n"/>
      <c r="L860" s="14" t="n"/>
      <c r="M860" s="12" t="n"/>
      <c r="N860" s="12" t="n"/>
      <c r="O860" s="12" t="n"/>
      <c r="P860" s="12" t="n"/>
      <c r="Q860" s="7">
        <f>IF(A860="","",IFERROR(VLOOKUP(O860,Listes!$R$3:$T$8,2,FALSE),0)+IFERROR(VLOOKUP(J860,Listes!$J$3:$L$6,2,FALSE),0)+IFERROR(VLOOKUP(N860,Listes!$N$3:$P$6,2,FALSE),0)+IF(OR(L860="",B860=""),0,IF(L860-INT(B860)&lt;10,8,IF(L860-INT(B860)&lt;=90,10,5)))+IFERROR(VLOOKUP(AN860,Listes!$V$3:$W$5,2,FALSE),0)+IFERROR(VLOOKUP(AO860,Listes!$Y$3:$Z$5,2,FALSE),0))</f>
        <v/>
      </c>
      <c r="R860" s="12" t="n"/>
      <c r="S860" s="12" t="n"/>
      <c r="T860" s="12" t="n"/>
      <c r="U860" s="15" t="n"/>
      <c r="V860" s="15" t="n"/>
      <c r="W860" s="13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3" t="n"/>
      <c r="AK860" s="12" t="n"/>
      <c r="AL860" s="12" t="n"/>
      <c r="AM860" s="12" t="n"/>
      <c r="AN860" s="12" t="n"/>
      <c r="AO860" s="12" t="n"/>
      <c r="AP860" s="12" t="n"/>
      <c r="AQ860" s="7">
        <f>IF(A860="","",IF(AP860&lt;&gt;"",AP860,IF(LEFT(Z860,11)="gads_marque","Google Search – Marque",IF(LEFT(Z860,12)="gads_mariage","Google Search – Mariage et privé",IF(LEFT(Z860,10)="gads_corpo","Google Search – Corporatif",IF(LEFT(Z860,5)="meta_","Meta – Leads",IF(LEFT(Z860,5)="msft_","Microsoft Ads",IF(LEFT(Z860,8)="chatgpt_","ChatGPT Ads – Test",IF(X860="gbp","Fiche Google (organique)","Autre / non payé")))))))))</f>
        <v/>
      </c>
      <c r="AR860" s="7">
        <f>IF(K860="","",IFERROR(VLOOKUP(K860,Listes!$F$3:$H$8,3,FALSE),""))</f>
        <v/>
      </c>
      <c r="AS860" s="7">
        <f>IF(O860="","",IF(AND(M860="Autre (plus de 40 km)",OR(O860="lt600",O860="600_999",O860="1000_2499")),"D",IF(OR(O860="lt600",AND(O860="600_999",K860&lt;&gt;"mariage",K860&lt;&gt;"prive")),"C",IF(OR(O860="2500_4999",O860="5000p",J860="entreprise",J860="organisme",J860="agence"),"A",IF(OR(O860="1000_2499",O860="600_999"),"B",IF(O860="inconnu",IF(OR(N860="75_149",N860="150p"),"A","B"),""))))))</f>
        <v/>
      </c>
      <c r="AT860" s="7">
        <f>IF(A860="","",IF(P860&lt;&gt;"",P860,AS860))</f>
        <v/>
      </c>
      <c r="AU860" s="7">
        <f>IF(A860="","",IF(OR(AT860="A",AT860="B"),1,0))</f>
        <v/>
      </c>
      <c r="AV860" s="7">
        <f>IF(A860="","",IF(OR(R860="Dépôt payé (gagné)",R860="Événement livré",R860="Avis obtenu"),1,0))</f>
        <v/>
      </c>
      <c r="AW860" s="7">
        <f>IF(A860="","",IF(Q860&gt;70,"Immédiat – propriétaire",IF(Q860&gt;=40,"15 min – personne de garde","Selon la route")))</f>
        <v/>
      </c>
      <c r="AX860" s="11">
        <f>IF(A860="","",IF(AT860="A",400,IF(AT860="B",150,0)))</f>
        <v/>
      </c>
      <c r="AY860" s="11">
        <f>IF(A860="","",IF(AV860=1,N(V860),IF(N(U860)&gt;0,ROUND(N(U860)*IFERROR(VLOOKUP(R860,Listes!$AE$3:$AG$12,2,FALSE),0),0),0)))</f>
        <v/>
      </c>
      <c r="AZ860" s="7">
        <f>IF(LEFT(A860,7)="EXEMPLE",1,0)</f>
        <v/>
      </c>
      <c r="BA860" s="7">
        <f>IF(AND(AV860=1,AZ860=0,AC860&lt;&gt;"",W860&lt;&gt;"",N(V860)&gt;0),COUNTIFS($AV$3:AV860,1,$AZ$3:AZ860,0,$AC$3:AC860,"&lt;&gt;",$W$3:W860,"&lt;&gt;",$V$3:V860,"&gt;0"),"")</f>
        <v/>
      </c>
    </row>
    <row r="861">
      <c r="A861" s="12" t="n"/>
      <c r="B861" s="13" t="n"/>
      <c r="C861" s="13" t="n"/>
      <c r="D861" s="7">
        <f>IF(OR(B861="",C861=""),"",ROUND((C861-B861)*1440,0))</f>
        <v/>
      </c>
      <c r="E861" s="12" t="n"/>
      <c r="F861" s="12" t="n"/>
      <c r="G861" s="12" t="n"/>
      <c r="H861" s="12" t="n"/>
      <c r="I861" s="12" t="n"/>
      <c r="J861" s="12" t="n"/>
      <c r="K861" s="12" t="n"/>
      <c r="L861" s="14" t="n"/>
      <c r="M861" s="12" t="n"/>
      <c r="N861" s="12" t="n"/>
      <c r="O861" s="12" t="n"/>
      <c r="P861" s="12" t="n"/>
      <c r="Q861" s="7">
        <f>IF(A861="","",IFERROR(VLOOKUP(O861,Listes!$R$3:$T$8,2,FALSE),0)+IFERROR(VLOOKUP(J861,Listes!$J$3:$L$6,2,FALSE),0)+IFERROR(VLOOKUP(N861,Listes!$N$3:$P$6,2,FALSE),0)+IF(OR(L861="",B861=""),0,IF(L861-INT(B861)&lt;10,8,IF(L861-INT(B861)&lt;=90,10,5)))+IFERROR(VLOOKUP(AN861,Listes!$V$3:$W$5,2,FALSE),0)+IFERROR(VLOOKUP(AO861,Listes!$Y$3:$Z$5,2,FALSE),0))</f>
        <v/>
      </c>
      <c r="R861" s="12" t="n"/>
      <c r="S861" s="12" t="n"/>
      <c r="T861" s="12" t="n"/>
      <c r="U861" s="15" t="n"/>
      <c r="V861" s="15" t="n"/>
      <c r="W861" s="13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3" t="n"/>
      <c r="AK861" s="12" t="n"/>
      <c r="AL861" s="12" t="n"/>
      <c r="AM861" s="12" t="n"/>
      <c r="AN861" s="12" t="n"/>
      <c r="AO861" s="12" t="n"/>
      <c r="AP861" s="12" t="n"/>
      <c r="AQ861" s="7">
        <f>IF(A861="","",IF(AP861&lt;&gt;"",AP861,IF(LEFT(Z861,11)="gads_marque","Google Search – Marque",IF(LEFT(Z861,12)="gads_mariage","Google Search – Mariage et privé",IF(LEFT(Z861,10)="gads_corpo","Google Search – Corporatif",IF(LEFT(Z861,5)="meta_","Meta – Leads",IF(LEFT(Z861,5)="msft_","Microsoft Ads",IF(LEFT(Z861,8)="chatgpt_","ChatGPT Ads – Test",IF(X861="gbp","Fiche Google (organique)","Autre / non payé")))))))))</f>
        <v/>
      </c>
      <c r="AR861" s="7">
        <f>IF(K861="","",IFERROR(VLOOKUP(K861,Listes!$F$3:$H$8,3,FALSE),""))</f>
        <v/>
      </c>
      <c r="AS861" s="7">
        <f>IF(O861="","",IF(AND(M861="Autre (plus de 40 km)",OR(O861="lt600",O861="600_999",O861="1000_2499")),"D",IF(OR(O861="lt600",AND(O861="600_999",K861&lt;&gt;"mariage",K861&lt;&gt;"prive")),"C",IF(OR(O861="2500_4999",O861="5000p",J861="entreprise",J861="organisme",J861="agence"),"A",IF(OR(O861="1000_2499",O861="600_999"),"B",IF(O861="inconnu",IF(OR(N861="75_149",N861="150p"),"A","B"),""))))))</f>
        <v/>
      </c>
      <c r="AT861" s="7">
        <f>IF(A861="","",IF(P861&lt;&gt;"",P861,AS861))</f>
        <v/>
      </c>
      <c r="AU861" s="7">
        <f>IF(A861="","",IF(OR(AT861="A",AT861="B"),1,0))</f>
        <v/>
      </c>
      <c r="AV861" s="7">
        <f>IF(A861="","",IF(OR(R861="Dépôt payé (gagné)",R861="Événement livré",R861="Avis obtenu"),1,0))</f>
        <v/>
      </c>
      <c r="AW861" s="7">
        <f>IF(A861="","",IF(Q861&gt;70,"Immédiat – propriétaire",IF(Q861&gt;=40,"15 min – personne de garde","Selon la route")))</f>
        <v/>
      </c>
      <c r="AX861" s="11">
        <f>IF(A861="","",IF(AT861="A",400,IF(AT861="B",150,0)))</f>
        <v/>
      </c>
      <c r="AY861" s="11">
        <f>IF(A861="","",IF(AV861=1,N(V861),IF(N(U861)&gt;0,ROUND(N(U861)*IFERROR(VLOOKUP(R861,Listes!$AE$3:$AG$12,2,FALSE),0),0),0)))</f>
        <v/>
      </c>
      <c r="AZ861" s="7">
        <f>IF(LEFT(A861,7)="EXEMPLE",1,0)</f>
        <v/>
      </c>
      <c r="BA861" s="7">
        <f>IF(AND(AV861=1,AZ861=0,AC861&lt;&gt;"",W861&lt;&gt;"",N(V861)&gt;0),COUNTIFS($AV$3:AV861,1,$AZ$3:AZ861,0,$AC$3:AC861,"&lt;&gt;",$W$3:W861,"&lt;&gt;",$V$3:V861,"&gt;0"),"")</f>
        <v/>
      </c>
    </row>
    <row r="862">
      <c r="A862" s="12" t="n"/>
      <c r="B862" s="13" t="n"/>
      <c r="C862" s="13" t="n"/>
      <c r="D862" s="7">
        <f>IF(OR(B862="",C862=""),"",ROUND((C862-B862)*1440,0))</f>
        <v/>
      </c>
      <c r="E862" s="12" t="n"/>
      <c r="F862" s="12" t="n"/>
      <c r="G862" s="12" t="n"/>
      <c r="H862" s="12" t="n"/>
      <c r="I862" s="12" t="n"/>
      <c r="J862" s="12" t="n"/>
      <c r="K862" s="12" t="n"/>
      <c r="L862" s="14" t="n"/>
      <c r="M862" s="12" t="n"/>
      <c r="N862" s="12" t="n"/>
      <c r="O862" s="12" t="n"/>
      <c r="P862" s="12" t="n"/>
      <c r="Q862" s="7">
        <f>IF(A862="","",IFERROR(VLOOKUP(O862,Listes!$R$3:$T$8,2,FALSE),0)+IFERROR(VLOOKUP(J862,Listes!$J$3:$L$6,2,FALSE),0)+IFERROR(VLOOKUP(N862,Listes!$N$3:$P$6,2,FALSE),0)+IF(OR(L862="",B862=""),0,IF(L862-INT(B862)&lt;10,8,IF(L862-INT(B862)&lt;=90,10,5)))+IFERROR(VLOOKUP(AN862,Listes!$V$3:$W$5,2,FALSE),0)+IFERROR(VLOOKUP(AO862,Listes!$Y$3:$Z$5,2,FALSE),0))</f>
        <v/>
      </c>
      <c r="R862" s="12" t="n"/>
      <c r="S862" s="12" t="n"/>
      <c r="T862" s="12" t="n"/>
      <c r="U862" s="15" t="n"/>
      <c r="V862" s="15" t="n"/>
      <c r="W862" s="13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3" t="n"/>
      <c r="AK862" s="12" t="n"/>
      <c r="AL862" s="12" t="n"/>
      <c r="AM862" s="12" t="n"/>
      <c r="AN862" s="12" t="n"/>
      <c r="AO862" s="12" t="n"/>
      <c r="AP862" s="12" t="n"/>
      <c r="AQ862" s="7">
        <f>IF(A862="","",IF(AP862&lt;&gt;"",AP862,IF(LEFT(Z862,11)="gads_marque","Google Search – Marque",IF(LEFT(Z862,12)="gads_mariage","Google Search – Mariage et privé",IF(LEFT(Z862,10)="gads_corpo","Google Search – Corporatif",IF(LEFT(Z862,5)="meta_","Meta – Leads",IF(LEFT(Z862,5)="msft_","Microsoft Ads",IF(LEFT(Z862,8)="chatgpt_","ChatGPT Ads – Test",IF(X862="gbp","Fiche Google (organique)","Autre / non payé")))))))))</f>
        <v/>
      </c>
      <c r="AR862" s="7">
        <f>IF(K862="","",IFERROR(VLOOKUP(K862,Listes!$F$3:$H$8,3,FALSE),""))</f>
        <v/>
      </c>
      <c r="AS862" s="7">
        <f>IF(O862="","",IF(AND(M862="Autre (plus de 40 km)",OR(O862="lt600",O862="600_999",O862="1000_2499")),"D",IF(OR(O862="lt600",AND(O862="600_999",K862&lt;&gt;"mariage",K862&lt;&gt;"prive")),"C",IF(OR(O862="2500_4999",O862="5000p",J862="entreprise",J862="organisme",J862="agence"),"A",IF(OR(O862="1000_2499",O862="600_999"),"B",IF(O862="inconnu",IF(OR(N862="75_149",N862="150p"),"A","B"),""))))))</f>
        <v/>
      </c>
      <c r="AT862" s="7">
        <f>IF(A862="","",IF(P862&lt;&gt;"",P862,AS862))</f>
        <v/>
      </c>
      <c r="AU862" s="7">
        <f>IF(A862="","",IF(OR(AT862="A",AT862="B"),1,0))</f>
        <v/>
      </c>
      <c r="AV862" s="7">
        <f>IF(A862="","",IF(OR(R862="Dépôt payé (gagné)",R862="Événement livré",R862="Avis obtenu"),1,0))</f>
        <v/>
      </c>
      <c r="AW862" s="7">
        <f>IF(A862="","",IF(Q862&gt;70,"Immédiat – propriétaire",IF(Q862&gt;=40,"15 min – personne de garde","Selon la route")))</f>
        <v/>
      </c>
      <c r="AX862" s="11">
        <f>IF(A862="","",IF(AT862="A",400,IF(AT862="B",150,0)))</f>
        <v/>
      </c>
      <c r="AY862" s="11">
        <f>IF(A862="","",IF(AV862=1,N(V862),IF(N(U862)&gt;0,ROUND(N(U862)*IFERROR(VLOOKUP(R862,Listes!$AE$3:$AG$12,2,FALSE),0),0),0)))</f>
        <v/>
      </c>
      <c r="AZ862" s="7">
        <f>IF(LEFT(A862,7)="EXEMPLE",1,0)</f>
        <v/>
      </c>
      <c r="BA862" s="7">
        <f>IF(AND(AV862=1,AZ862=0,AC862&lt;&gt;"",W862&lt;&gt;"",N(V862)&gt;0),COUNTIFS($AV$3:AV862,1,$AZ$3:AZ862,0,$AC$3:AC862,"&lt;&gt;",$W$3:W862,"&lt;&gt;",$V$3:V862,"&gt;0"),"")</f>
        <v/>
      </c>
    </row>
    <row r="863">
      <c r="A863" s="12" t="n"/>
      <c r="B863" s="13" t="n"/>
      <c r="C863" s="13" t="n"/>
      <c r="D863" s="7">
        <f>IF(OR(B863="",C863=""),"",ROUND((C863-B863)*1440,0))</f>
        <v/>
      </c>
      <c r="E863" s="12" t="n"/>
      <c r="F863" s="12" t="n"/>
      <c r="G863" s="12" t="n"/>
      <c r="H863" s="12" t="n"/>
      <c r="I863" s="12" t="n"/>
      <c r="J863" s="12" t="n"/>
      <c r="K863" s="12" t="n"/>
      <c r="L863" s="14" t="n"/>
      <c r="M863" s="12" t="n"/>
      <c r="N863" s="12" t="n"/>
      <c r="O863" s="12" t="n"/>
      <c r="P863" s="12" t="n"/>
      <c r="Q863" s="7">
        <f>IF(A863="","",IFERROR(VLOOKUP(O863,Listes!$R$3:$T$8,2,FALSE),0)+IFERROR(VLOOKUP(J863,Listes!$J$3:$L$6,2,FALSE),0)+IFERROR(VLOOKUP(N863,Listes!$N$3:$P$6,2,FALSE),0)+IF(OR(L863="",B863=""),0,IF(L863-INT(B863)&lt;10,8,IF(L863-INT(B863)&lt;=90,10,5)))+IFERROR(VLOOKUP(AN863,Listes!$V$3:$W$5,2,FALSE),0)+IFERROR(VLOOKUP(AO863,Listes!$Y$3:$Z$5,2,FALSE),0))</f>
        <v/>
      </c>
      <c r="R863" s="12" t="n"/>
      <c r="S863" s="12" t="n"/>
      <c r="T863" s="12" t="n"/>
      <c r="U863" s="15" t="n"/>
      <c r="V863" s="15" t="n"/>
      <c r="W863" s="13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3" t="n"/>
      <c r="AK863" s="12" t="n"/>
      <c r="AL863" s="12" t="n"/>
      <c r="AM863" s="12" t="n"/>
      <c r="AN863" s="12" t="n"/>
      <c r="AO863" s="12" t="n"/>
      <c r="AP863" s="12" t="n"/>
      <c r="AQ863" s="7">
        <f>IF(A863="","",IF(AP863&lt;&gt;"",AP863,IF(LEFT(Z863,11)="gads_marque","Google Search – Marque",IF(LEFT(Z863,12)="gads_mariage","Google Search – Mariage et privé",IF(LEFT(Z863,10)="gads_corpo","Google Search – Corporatif",IF(LEFT(Z863,5)="meta_","Meta – Leads",IF(LEFT(Z863,5)="msft_","Microsoft Ads",IF(LEFT(Z863,8)="chatgpt_","ChatGPT Ads – Test",IF(X863="gbp","Fiche Google (organique)","Autre / non payé")))))))))</f>
        <v/>
      </c>
      <c r="AR863" s="7">
        <f>IF(K863="","",IFERROR(VLOOKUP(K863,Listes!$F$3:$H$8,3,FALSE),""))</f>
        <v/>
      </c>
      <c r="AS863" s="7">
        <f>IF(O863="","",IF(AND(M863="Autre (plus de 40 km)",OR(O863="lt600",O863="600_999",O863="1000_2499")),"D",IF(OR(O863="lt600",AND(O863="600_999",K863&lt;&gt;"mariage",K863&lt;&gt;"prive")),"C",IF(OR(O863="2500_4999",O863="5000p",J863="entreprise",J863="organisme",J863="agence"),"A",IF(OR(O863="1000_2499",O863="600_999"),"B",IF(O863="inconnu",IF(OR(N863="75_149",N863="150p"),"A","B"),""))))))</f>
        <v/>
      </c>
      <c r="AT863" s="7">
        <f>IF(A863="","",IF(P863&lt;&gt;"",P863,AS863))</f>
        <v/>
      </c>
      <c r="AU863" s="7">
        <f>IF(A863="","",IF(OR(AT863="A",AT863="B"),1,0))</f>
        <v/>
      </c>
      <c r="AV863" s="7">
        <f>IF(A863="","",IF(OR(R863="Dépôt payé (gagné)",R863="Événement livré",R863="Avis obtenu"),1,0))</f>
        <v/>
      </c>
      <c r="AW863" s="7">
        <f>IF(A863="","",IF(Q863&gt;70,"Immédiat – propriétaire",IF(Q863&gt;=40,"15 min – personne de garde","Selon la route")))</f>
        <v/>
      </c>
      <c r="AX863" s="11">
        <f>IF(A863="","",IF(AT863="A",400,IF(AT863="B",150,0)))</f>
        <v/>
      </c>
      <c r="AY863" s="11">
        <f>IF(A863="","",IF(AV863=1,N(V863),IF(N(U863)&gt;0,ROUND(N(U863)*IFERROR(VLOOKUP(R863,Listes!$AE$3:$AG$12,2,FALSE),0),0),0)))</f>
        <v/>
      </c>
      <c r="AZ863" s="7">
        <f>IF(LEFT(A863,7)="EXEMPLE",1,0)</f>
        <v/>
      </c>
      <c r="BA863" s="7">
        <f>IF(AND(AV863=1,AZ863=0,AC863&lt;&gt;"",W863&lt;&gt;"",N(V863)&gt;0),COUNTIFS($AV$3:AV863,1,$AZ$3:AZ863,0,$AC$3:AC863,"&lt;&gt;",$W$3:W863,"&lt;&gt;",$V$3:V863,"&gt;0"),"")</f>
        <v/>
      </c>
    </row>
    <row r="864">
      <c r="A864" s="12" t="n"/>
      <c r="B864" s="13" t="n"/>
      <c r="C864" s="13" t="n"/>
      <c r="D864" s="7">
        <f>IF(OR(B864="",C864=""),"",ROUND((C864-B864)*1440,0))</f>
        <v/>
      </c>
      <c r="E864" s="12" t="n"/>
      <c r="F864" s="12" t="n"/>
      <c r="G864" s="12" t="n"/>
      <c r="H864" s="12" t="n"/>
      <c r="I864" s="12" t="n"/>
      <c r="J864" s="12" t="n"/>
      <c r="K864" s="12" t="n"/>
      <c r="L864" s="14" t="n"/>
      <c r="M864" s="12" t="n"/>
      <c r="N864" s="12" t="n"/>
      <c r="O864" s="12" t="n"/>
      <c r="P864" s="12" t="n"/>
      <c r="Q864" s="7">
        <f>IF(A864="","",IFERROR(VLOOKUP(O864,Listes!$R$3:$T$8,2,FALSE),0)+IFERROR(VLOOKUP(J864,Listes!$J$3:$L$6,2,FALSE),0)+IFERROR(VLOOKUP(N864,Listes!$N$3:$P$6,2,FALSE),0)+IF(OR(L864="",B864=""),0,IF(L864-INT(B864)&lt;10,8,IF(L864-INT(B864)&lt;=90,10,5)))+IFERROR(VLOOKUP(AN864,Listes!$V$3:$W$5,2,FALSE),0)+IFERROR(VLOOKUP(AO864,Listes!$Y$3:$Z$5,2,FALSE),0))</f>
        <v/>
      </c>
      <c r="R864" s="12" t="n"/>
      <c r="S864" s="12" t="n"/>
      <c r="T864" s="12" t="n"/>
      <c r="U864" s="15" t="n"/>
      <c r="V864" s="15" t="n"/>
      <c r="W864" s="13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3" t="n"/>
      <c r="AK864" s="12" t="n"/>
      <c r="AL864" s="12" t="n"/>
      <c r="AM864" s="12" t="n"/>
      <c r="AN864" s="12" t="n"/>
      <c r="AO864" s="12" t="n"/>
      <c r="AP864" s="12" t="n"/>
      <c r="AQ864" s="7">
        <f>IF(A864="","",IF(AP864&lt;&gt;"",AP864,IF(LEFT(Z864,11)="gads_marque","Google Search – Marque",IF(LEFT(Z864,12)="gads_mariage","Google Search – Mariage et privé",IF(LEFT(Z864,10)="gads_corpo","Google Search – Corporatif",IF(LEFT(Z864,5)="meta_","Meta – Leads",IF(LEFT(Z864,5)="msft_","Microsoft Ads",IF(LEFT(Z864,8)="chatgpt_","ChatGPT Ads – Test",IF(X864="gbp","Fiche Google (organique)","Autre / non payé")))))))))</f>
        <v/>
      </c>
      <c r="AR864" s="7">
        <f>IF(K864="","",IFERROR(VLOOKUP(K864,Listes!$F$3:$H$8,3,FALSE),""))</f>
        <v/>
      </c>
      <c r="AS864" s="7">
        <f>IF(O864="","",IF(AND(M864="Autre (plus de 40 km)",OR(O864="lt600",O864="600_999",O864="1000_2499")),"D",IF(OR(O864="lt600",AND(O864="600_999",K864&lt;&gt;"mariage",K864&lt;&gt;"prive")),"C",IF(OR(O864="2500_4999",O864="5000p",J864="entreprise",J864="organisme",J864="agence"),"A",IF(OR(O864="1000_2499",O864="600_999"),"B",IF(O864="inconnu",IF(OR(N864="75_149",N864="150p"),"A","B"),""))))))</f>
        <v/>
      </c>
      <c r="AT864" s="7">
        <f>IF(A864="","",IF(P864&lt;&gt;"",P864,AS864))</f>
        <v/>
      </c>
      <c r="AU864" s="7">
        <f>IF(A864="","",IF(OR(AT864="A",AT864="B"),1,0))</f>
        <v/>
      </c>
      <c r="AV864" s="7">
        <f>IF(A864="","",IF(OR(R864="Dépôt payé (gagné)",R864="Événement livré",R864="Avis obtenu"),1,0))</f>
        <v/>
      </c>
      <c r="AW864" s="7">
        <f>IF(A864="","",IF(Q864&gt;70,"Immédiat – propriétaire",IF(Q864&gt;=40,"15 min – personne de garde","Selon la route")))</f>
        <v/>
      </c>
      <c r="AX864" s="11">
        <f>IF(A864="","",IF(AT864="A",400,IF(AT864="B",150,0)))</f>
        <v/>
      </c>
      <c r="AY864" s="11">
        <f>IF(A864="","",IF(AV864=1,N(V864),IF(N(U864)&gt;0,ROUND(N(U864)*IFERROR(VLOOKUP(R864,Listes!$AE$3:$AG$12,2,FALSE),0),0),0)))</f>
        <v/>
      </c>
      <c r="AZ864" s="7">
        <f>IF(LEFT(A864,7)="EXEMPLE",1,0)</f>
        <v/>
      </c>
      <c r="BA864" s="7">
        <f>IF(AND(AV864=1,AZ864=0,AC864&lt;&gt;"",W864&lt;&gt;"",N(V864)&gt;0),COUNTIFS($AV$3:AV864,1,$AZ$3:AZ864,0,$AC$3:AC864,"&lt;&gt;",$W$3:W864,"&lt;&gt;",$V$3:V864,"&gt;0"),"")</f>
        <v/>
      </c>
    </row>
    <row r="865">
      <c r="A865" s="12" t="n"/>
      <c r="B865" s="13" t="n"/>
      <c r="C865" s="13" t="n"/>
      <c r="D865" s="7">
        <f>IF(OR(B865="",C865=""),"",ROUND((C865-B865)*1440,0))</f>
        <v/>
      </c>
      <c r="E865" s="12" t="n"/>
      <c r="F865" s="12" t="n"/>
      <c r="G865" s="12" t="n"/>
      <c r="H865" s="12" t="n"/>
      <c r="I865" s="12" t="n"/>
      <c r="J865" s="12" t="n"/>
      <c r="K865" s="12" t="n"/>
      <c r="L865" s="14" t="n"/>
      <c r="M865" s="12" t="n"/>
      <c r="N865" s="12" t="n"/>
      <c r="O865" s="12" t="n"/>
      <c r="P865" s="12" t="n"/>
      <c r="Q865" s="7">
        <f>IF(A865="","",IFERROR(VLOOKUP(O865,Listes!$R$3:$T$8,2,FALSE),0)+IFERROR(VLOOKUP(J865,Listes!$J$3:$L$6,2,FALSE),0)+IFERROR(VLOOKUP(N865,Listes!$N$3:$P$6,2,FALSE),0)+IF(OR(L865="",B865=""),0,IF(L865-INT(B865)&lt;10,8,IF(L865-INT(B865)&lt;=90,10,5)))+IFERROR(VLOOKUP(AN865,Listes!$V$3:$W$5,2,FALSE),0)+IFERROR(VLOOKUP(AO865,Listes!$Y$3:$Z$5,2,FALSE),0))</f>
        <v/>
      </c>
      <c r="R865" s="12" t="n"/>
      <c r="S865" s="12" t="n"/>
      <c r="T865" s="12" t="n"/>
      <c r="U865" s="15" t="n"/>
      <c r="V865" s="15" t="n"/>
      <c r="W865" s="13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3" t="n"/>
      <c r="AK865" s="12" t="n"/>
      <c r="AL865" s="12" t="n"/>
      <c r="AM865" s="12" t="n"/>
      <c r="AN865" s="12" t="n"/>
      <c r="AO865" s="12" t="n"/>
      <c r="AP865" s="12" t="n"/>
      <c r="AQ865" s="7">
        <f>IF(A865="","",IF(AP865&lt;&gt;"",AP865,IF(LEFT(Z865,11)="gads_marque","Google Search – Marque",IF(LEFT(Z865,12)="gads_mariage","Google Search – Mariage et privé",IF(LEFT(Z865,10)="gads_corpo","Google Search – Corporatif",IF(LEFT(Z865,5)="meta_","Meta – Leads",IF(LEFT(Z865,5)="msft_","Microsoft Ads",IF(LEFT(Z865,8)="chatgpt_","ChatGPT Ads – Test",IF(X865="gbp","Fiche Google (organique)","Autre / non payé")))))))))</f>
        <v/>
      </c>
      <c r="AR865" s="7">
        <f>IF(K865="","",IFERROR(VLOOKUP(K865,Listes!$F$3:$H$8,3,FALSE),""))</f>
        <v/>
      </c>
      <c r="AS865" s="7">
        <f>IF(O865="","",IF(AND(M865="Autre (plus de 40 km)",OR(O865="lt600",O865="600_999",O865="1000_2499")),"D",IF(OR(O865="lt600",AND(O865="600_999",K865&lt;&gt;"mariage",K865&lt;&gt;"prive")),"C",IF(OR(O865="2500_4999",O865="5000p",J865="entreprise",J865="organisme",J865="agence"),"A",IF(OR(O865="1000_2499",O865="600_999"),"B",IF(O865="inconnu",IF(OR(N865="75_149",N865="150p"),"A","B"),""))))))</f>
        <v/>
      </c>
      <c r="AT865" s="7">
        <f>IF(A865="","",IF(P865&lt;&gt;"",P865,AS865))</f>
        <v/>
      </c>
      <c r="AU865" s="7">
        <f>IF(A865="","",IF(OR(AT865="A",AT865="B"),1,0))</f>
        <v/>
      </c>
      <c r="AV865" s="7">
        <f>IF(A865="","",IF(OR(R865="Dépôt payé (gagné)",R865="Événement livré",R865="Avis obtenu"),1,0))</f>
        <v/>
      </c>
      <c r="AW865" s="7">
        <f>IF(A865="","",IF(Q865&gt;70,"Immédiat – propriétaire",IF(Q865&gt;=40,"15 min – personne de garde","Selon la route")))</f>
        <v/>
      </c>
      <c r="AX865" s="11">
        <f>IF(A865="","",IF(AT865="A",400,IF(AT865="B",150,0)))</f>
        <v/>
      </c>
      <c r="AY865" s="11">
        <f>IF(A865="","",IF(AV865=1,N(V865),IF(N(U865)&gt;0,ROUND(N(U865)*IFERROR(VLOOKUP(R865,Listes!$AE$3:$AG$12,2,FALSE),0),0),0)))</f>
        <v/>
      </c>
      <c r="AZ865" s="7">
        <f>IF(LEFT(A865,7)="EXEMPLE",1,0)</f>
        <v/>
      </c>
      <c r="BA865" s="7">
        <f>IF(AND(AV865=1,AZ865=0,AC865&lt;&gt;"",W865&lt;&gt;"",N(V865)&gt;0),COUNTIFS($AV$3:AV865,1,$AZ$3:AZ865,0,$AC$3:AC865,"&lt;&gt;",$W$3:W865,"&lt;&gt;",$V$3:V865,"&gt;0"),"")</f>
        <v/>
      </c>
    </row>
    <row r="866">
      <c r="A866" s="12" t="n"/>
      <c r="B866" s="13" t="n"/>
      <c r="C866" s="13" t="n"/>
      <c r="D866" s="7">
        <f>IF(OR(B866="",C866=""),"",ROUND((C866-B866)*1440,0))</f>
        <v/>
      </c>
      <c r="E866" s="12" t="n"/>
      <c r="F866" s="12" t="n"/>
      <c r="G866" s="12" t="n"/>
      <c r="H866" s="12" t="n"/>
      <c r="I866" s="12" t="n"/>
      <c r="J866" s="12" t="n"/>
      <c r="K866" s="12" t="n"/>
      <c r="L866" s="14" t="n"/>
      <c r="M866" s="12" t="n"/>
      <c r="N866" s="12" t="n"/>
      <c r="O866" s="12" t="n"/>
      <c r="P866" s="12" t="n"/>
      <c r="Q866" s="7">
        <f>IF(A866="","",IFERROR(VLOOKUP(O866,Listes!$R$3:$T$8,2,FALSE),0)+IFERROR(VLOOKUP(J866,Listes!$J$3:$L$6,2,FALSE),0)+IFERROR(VLOOKUP(N866,Listes!$N$3:$P$6,2,FALSE),0)+IF(OR(L866="",B866=""),0,IF(L866-INT(B866)&lt;10,8,IF(L866-INT(B866)&lt;=90,10,5)))+IFERROR(VLOOKUP(AN866,Listes!$V$3:$W$5,2,FALSE),0)+IFERROR(VLOOKUP(AO866,Listes!$Y$3:$Z$5,2,FALSE),0))</f>
        <v/>
      </c>
      <c r="R866" s="12" t="n"/>
      <c r="S866" s="12" t="n"/>
      <c r="T866" s="12" t="n"/>
      <c r="U866" s="15" t="n"/>
      <c r="V866" s="15" t="n"/>
      <c r="W866" s="13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3" t="n"/>
      <c r="AK866" s="12" t="n"/>
      <c r="AL866" s="12" t="n"/>
      <c r="AM866" s="12" t="n"/>
      <c r="AN866" s="12" t="n"/>
      <c r="AO866" s="12" t="n"/>
      <c r="AP866" s="12" t="n"/>
      <c r="AQ866" s="7">
        <f>IF(A866="","",IF(AP866&lt;&gt;"",AP866,IF(LEFT(Z866,11)="gads_marque","Google Search – Marque",IF(LEFT(Z866,12)="gads_mariage","Google Search – Mariage et privé",IF(LEFT(Z866,10)="gads_corpo","Google Search – Corporatif",IF(LEFT(Z866,5)="meta_","Meta – Leads",IF(LEFT(Z866,5)="msft_","Microsoft Ads",IF(LEFT(Z866,8)="chatgpt_","ChatGPT Ads – Test",IF(X866="gbp","Fiche Google (organique)","Autre / non payé")))))))))</f>
        <v/>
      </c>
      <c r="AR866" s="7">
        <f>IF(K866="","",IFERROR(VLOOKUP(K866,Listes!$F$3:$H$8,3,FALSE),""))</f>
        <v/>
      </c>
      <c r="AS866" s="7">
        <f>IF(O866="","",IF(AND(M866="Autre (plus de 40 km)",OR(O866="lt600",O866="600_999",O866="1000_2499")),"D",IF(OR(O866="lt600",AND(O866="600_999",K866&lt;&gt;"mariage",K866&lt;&gt;"prive")),"C",IF(OR(O866="2500_4999",O866="5000p",J866="entreprise",J866="organisme",J866="agence"),"A",IF(OR(O866="1000_2499",O866="600_999"),"B",IF(O866="inconnu",IF(OR(N866="75_149",N866="150p"),"A","B"),""))))))</f>
        <v/>
      </c>
      <c r="AT866" s="7">
        <f>IF(A866="","",IF(P866&lt;&gt;"",P866,AS866))</f>
        <v/>
      </c>
      <c r="AU866" s="7">
        <f>IF(A866="","",IF(OR(AT866="A",AT866="B"),1,0))</f>
        <v/>
      </c>
      <c r="AV866" s="7">
        <f>IF(A866="","",IF(OR(R866="Dépôt payé (gagné)",R866="Événement livré",R866="Avis obtenu"),1,0))</f>
        <v/>
      </c>
      <c r="AW866" s="7">
        <f>IF(A866="","",IF(Q866&gt;70,"Immédiat – propriétaire",IF(Q866&gt;=40,"15 min – personne de garde","Selon la route")))</f>
        <v/>
      </c>
      <c r="AX866" s="11">
        <f>IF(A866="","",IF(AT866="A",400,IF(AT866="B",150,0)))</f>
        <v/>
      </c>
      <c r="AY866" s="11">
        <f>IF(A866="","",IF(AV866=1,N(V866),IF(N(U866)&gt;0,ROUND(N(U866)*IFERROR(VLOOKUP(R866,Listes!$AE$3:$AG$12,2,FALSE),0),0),0)))</f>
        <v/>
      </c>
      <c r="AZ866" s="7">
        <f>IF(LEFT(A866,7)="EXEMPLE",1,0)</f>
        <v/>
      </c>
      <c r="BA866" s="7">
        <f>IF(AND(AV866=1,AZ866=0,AC866&lt;&gt;"",W866&lt;&gt;"",N(V866)&gt;0),COUNTIFS($AV$3:AV866,1,$AZ$3:AZ866,0,$AC$3:AC866,"&lt;&gt;",$W$3:W866,"&lt;&gt;",$V$3:V866,"&gt;0"),"")</f>
        <v/>
      </c>
    </row>
    <row r="867">
      <c r="A867" s="12" t="n"/>
      <c r="B867" s="13" t="n"/>
      <c r="C867" s="13" t="n"/>
      <c r="D867" s="7">
        <f>IF(OR(B867="",C867=""),"",ROUND((C867-B867)*1440,0))</f>
        <v/>
      </c>
      <c r="E867" s="12" t="n"/>
      <c r="F867" s="12" t="n"/>
      <c r="G867" s="12" t="n"/>
      <c r="H867" s="12" t="n"/>
      <c r="I867" s="12" t="n"/>
      <c r="J867" s="12" t="n"/>
      <c r="K867" s="12" t="n"/>
      <c r="L867" s="14" t="n"/>
      <c r="M867" s="12" t="n"/>
      <c r="N867" s="12" t="n"/>
      <c r="O867" s="12" t="n"/>
      <c r="P867" s="12" t="n"/>
      <c r="Q867" s="7">
        <f>IF(A867="","",IFERROR(VLOOKUP(O867,Listes!$R$3:$T$8,2,FALSE),0)+IFERROR(VLOOKUP(J867,Listes!$J$3:$L$6,2,FALSE),0)+IFERROR(VLOOKUP(N867,Listes!$N$3:$P$6,2,FALSE),0)+IF(OR(L867="",B867=""),0,IF(L867-INT(B867)&lt;10,8,IF(L867-INT(B867)&lt;=90,10,5)))+IFERROR(VLOOKUP(AN867,Listes!$V$3:$W$5,2,FALSE),0)+IFERROR(VLOOKUP(AO867,Listes!$Y$3:$Z$5,2,FALSE),0))</f>
        <v/>
      </c>
      <c r="R867" s="12" t="n"/>
      <c r="S867" s="12" t="n"/>
      <c r="T867" s="12" t="n"/>
      <c r="U867" s="15" t="n"/>
      <c r="V867" s="15" t="n"/>
      <c r="W867" s="13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3" t="n"/>
      <c r="AK867" s="12" t="n"/>
      <c r="AL867" s="12" t="n"/>
      <c r="AM867" s="12" t="n"/>
      <c r="AN867" s="12" t="n"/>
      <c r="AO867" s="12" t="n"/>
      <c r="AP867" s="12" t="n"/>
      <c r="AQ867" s="7">
        <f>IF(A867="","",IF(AP867&lt;&gt;"",AP867,IF(LEFT(Z867,11)="gads_marque","Google Search – Marque",IF(LEFT(Z867,12)="gads_mariage","Google Search – Mariage et privé",IF(LEFT(Z867,10)="gads_corpo","Google Search – Corporatif",IF(LEFT(Z867,5)="meta_","Meta – Leads",IF(LEFT(Z867,5)="msft_","Microsoft Ads",IF(LEFT(Z867,8)="chatgpt_","ChatGPT Ads – Test",IF(X867="gbp","Fiche Google (organique)","Autre / non payé")))))))))</f>
        <v/>
      </c>
      <c r="AR867" s="7">
        <f>IF(K867="","",IFERROR(VLOOKUP(K867,Listes!$F$3:$H$8,3,FALSE),""))</f>
        <v/>
      </c>
      <c r="AS867" s="7">
        <f>IF(O867="","",IF(AND(M867="Autre (plus de 40 km)",OR(O867="lt600",O867="600_999",O867="1000_2499")),"D",IF(OR(O867="lt600",AND(O867="600_999",K867&lt;&gt;"mariage",K867&lt;&gt;"prive")),"C",IF(OR(O867="2500_4999",O867="5000p",J867="entreprise",J867="organisme",J867="agence"),"A",IF(OR(O867="1000_2499",O867="600_999"),"B",IF(O867="inconnu",IF(OR(N867="75_149",N867="150p"),"A","B"),""))))))</f>
        <v/>
      </c>
      <c r="AT867" s="7">
        <f>IF(A867="","",IF(P867&lt;&gt;"",P867,AS867))</f>
        <v/>
      </c>
      <c r="AU867" s="7">
        <f>IF(A867="","",IF(OR(AT867="A",AT867="B"),1,0))</f>
        <v/>
      </c>
      <c r="AV867" s="7">
        <f>IF(A867="","",IF(OR(R867="Dépôt payé (gagné)",R867="Événement livré",R867="Avis obtenu"),1,0))</f>
        <v/>
      </c>
      <c r="AW867" s="7">
        <f>IF(A867="","",IF(Q867&gt;70,"Immédiat – propriétaire",IF(Q867&gt;=40,"15 min – personne de garde","Selon la route")))</f>
        <v/>
      </c>
      <c r="AX867" s="11">
        <f>IF(A867="","",IF(AT867="A",400,IF(AT867="B",150,0)))</f>
        <v/>
      </c>
      <c r="AY867" s="11">
        <f>IF(A867="","",IF(AV867=1,N(V867),IF(N(U867)&gt;0,ROUND(N(U867)*IFERROR(VLOOKUP(R867,Listes!$AE$3:$AG$12,2,FALSE),0),0),0)))</f>
        <v/>
      </c>
      <c r="AZ867" s="7">
        <f>IF(LEFT(A867,7)="EXEMPLE",1,0)</f>
        <v/>
      </c>
      <c r="BA867" s="7">
        <f>IF(AND(AV867=1,AZ867=0,AC867&lt;&gt;"",W867&lt;&gt;"",N(V867)&gt;0),COUNTIFS($AV$3:AV867,1,$AZ$3:AZ867,0,$AC$3:AC867,"&lt;&gt;",$W$3:W867,"&lt;&gt;",$V$3:V867,"&gt;0"),"")</f>
        <v/>
      </c>
    </row>
    <row r="868">
      <c r="A868" s="12" t="n"/>
      <c r="B868" s="13" t="n"/>
      <c r="C868" s="13" t="n"/>
      <c r="D868" s="7">
        <f>IF(OR(B868="",C868=""),"",ROUND((C868-B868)*1440,0))</f>
        <v/>
      </c>
      <c r="E868" s="12" t="n"/>
      <c r="F868" s="12" t="n"/>
      <c r="G868" s="12" t="n"/>
      <c r="H868" s="12" t="n"/>
      <c r="I868" s="12" t="n"/>
      <c r="J868" s="12" t="n"/>
      <c r="K868" s="12" t="n"/>
      <c r="L868" s="14" t="n"/>
      <c r="M868" s="12" t="n"/>
      <c r="N868" s="12" t="n"/>
      <c r="O868" s="12" t="n"/>
      <c r="P868" s="12" t="n"/>
      <c r="Q868" s="7">
        <f>IF(A868="","",IFERROR(VLOOKUP(O868,Listes!$R$3:$T$8,2,FALSE),0)+IFERROR(VLOOKUP(J868,Listes!$J$3:$L$6,2,FALSE),0)+IFERROR(VLOOKUP(N868,Listes!$N$3:$P$6,2,FALSE),0)+IF(OR(L868="",B868=""),0,IF(L868-INT(B868)&lt;10,8,IF(L868-INT(B868)&lt;=90,10,5)))+IFERROR(VLOOKUP(AN868,Listes!$V$3:$W$5,2,FALSE),0)+IFERROR(VLOOKUP(AO868,Listes!$Y$3:$Z$5,2,FALSE),0))</f>
        <v/>
      </c>
      <c r="R868" s="12" t="n"/>
      <c r="S868" s="12" t="n"/>
      <c r="T868" s="12" t="n"/>
      <c r="U868" s="15" t="n"/>
      <c r="V868" s="15" t="n"/>
      <c r="W868" s="13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3" t="n"/>
      <c r="AK868" s="12" t="n"/>
      <c r="AL868" s="12" t="n"/>
      <c r="AM868" s="12" t="n"/>
      <c r="AN868" s="12" t="n"/>
      <c r="AO868" s="12" t="n"/>
      <c r="AP868" s="12" t="n"/>
      <c r="AQ868" s="7">
        <f>IF(A868="","",IF(AP868&lt;&gt;"",AP868,IF(LEFT(Z868,11)="gads_marque","Google Search – Marque",IF(LEFT(Z868,12)="gads_mariage","Google Search – Mariage et privé",IF(LEFT(Z868,10)="gads_corpo","Google Search – Corporatif",IF(LEFT(Z868,5)="meta_","Meta – Leads",IF(LEFT(Z868,5)="msft_","Microsoft Ads",IF(LEFT(Z868,8)="chatgpt_","ChatGPT Ads – Test",IF(X868="gbp","Fiche Google (organique)","Autre / non payé")))))))))</f>
        <v/>
      </c>
      <c r="AR868" s="7">
        <f>IF(K868="","",IFERROR(VLOOKUP(K868,Listes!$F$3:$H$8,3,FALSE),""))</f>
        <v/>
      </c>
      <c r="AS868" s="7">
        <f>IF(O868="","",IF(AND(M868="Autre (plus de 40 km)",OR(O868="lt600",O868="600_999",O868="1000_2499")),"D",IF(OR(O868="lt600",AND(O868="600_999",K868&lt;&gt;"mariage",K868&lt;&gt;"prive")),"C",IF(OR(O868="2500_4999",O868="5000p",J868="entreprise",J868="organisme",J868="agence"),"A",IF(OR(O868="1000_2499",O868="600_999"),"B",IF(O868="inconnu",IF(OR(N868="75_149",N868="150p"),"A","B"),""))))))</f>
        <v/>
      </c>
      <c r="AT868" s="7">
        <f>IF(A868="","",IF(P868&lt;&gt;"",P868,AS868))</f>
        <v/>
      </c>
      <c r="AU868" s="7">
        <f>IF(A868="","",IF(OR(AT868="A",AT868="B"),1,0))</f>
        <v/>
      </c>
      <c r="AV868" s="7">
        <f>IF(A868="","",IF(OR(R868="Dépôt payé (gagné)",R868="Événement livré",R868="Avis obtenu"),1,0))</f>
        <v/>
      </c>
      <c r="AW868" s="7">
        <f>IF(A868="","",IF(Q868&gt;70,"Immédiat – propriétaire",IF(Q868&gt;=40,"15 min – personne de garde","Selon la route")))</f>
        <v/>
      </c>
      <c r="AX868" s="11">
        <f>IF(A868="","",IF(AT868="A",400,IF(AT868="B",150,0)))</f>
        <v/>
      </c>
      <c r="AY868" s="11">
        <f>IF(A868="","",IF(AV868=1,N(V868),IF(N(U868)&gt;0,ROUND(N(U868)*IFERROR(VLOOKUP(R868,Listes!$AE$3:$AG$12,2,FALSE),0),0),0)))</f>
        <v/>
      </c>
      <c r="AZ868" s="7">
        <f>IF(LEFT(A868,7)="EXEMPLE",1,0)</f>
        <v/>
      </c>
      <c r="BA868" s="7">
        <f>IF(AND(AV868=1,AZ868=0,AC868&lt;&gt;"",W868&lt;&gt;"",N(V868)&gt;0),COUNTIFS($AV$3:AV868,1,$AZ$3:AZ868,0,$AC$3:AC868,"&lt;&gt;",$W$3:W868,"&lt;&gt;",$V$3:V868,"&gt;0"),"")</f>
        <v/>
      </c>
    </row>
    <row r="869">
      <c r="A869" s="12" t="n"/>
      <c r="B869" s="13" t="n"/>
      <c r="C869" s="13" t="n"/>
      <c r="D869" s="7">
        <f>IF(OR(B869="",C869=""),"",ROUND((C869-B869)*1440,0))</f>
        <v/>
      </c>
      <c r="E869" s="12" t="n"/>
      <c r="F869" s="12" t="n"/>
      <c r="G869" s="12" t="n"/>
      <c r="H869" s="12" t="n"/>
      <c r="I869" s="12" t="n"/>
      <c r="J869" s="12" t="n"/>
      <c r="K869" s="12" t="n"/>
      <c r="L869" s="14" t="n"/>
      <c r="M869" s="12" t="n"/>
      <c r="N869" s="12" t="n"/>
      <c r="O869" s="12" t="n"/>
      <c r="P869" s="12" t="n"/>
      <c r="Q869" s="7">
        <f>IF(A869="","",IFERROR(VLOOKUP(O869,Listes!$R$3:$T$8,2,FALSE),0)+IFERROR(VLOOKUP(J869,Listes!$J$3:$L$6,2,FALSE),0)+IFERROR(VLOOKUP(N869,Listes!$N$3:$P$6,2,FALSE),0)+IF(OR(L869="",B869=""),0,IF(L869-INT(B869)&lt;10,8,IF(L869-INT(B869)&lt;=90,10,5)))+IFERROR(VLOOKUP(AN869,Listes!$V$3:$W$5,2,FALSE),0)+IFERROR(VLOOKUP(AO869,Listes!$Y$3:$Z$5,2,FALSE),0))</f>
        <v/>
      </c>
      <c r="R869" s="12" t="n"/>
      <c r="S869" s="12" t="n"/>
      <c r="T869" s="12" t="n"/>
      <c r="U869" s="15" t="n"/>
      <c r="V869" s="15" t="n"/>
      <c r="W869" s="13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3" t="n"/>
      <c r="AK869" s="12" t="n"/>
      <c r="AL869" s="12" t="n"/>
      <c r="AM869" s="12" t="n"/>
      <c r="AN869" s="12" t="n"/>
      <c r="AO869" s="12" t="n"/>
      <c r="AP869" s="12" t="n"/>
      <c r="AQ869" s="7">
        <f>IF(A869="","",IF(AP869&lt;&gt;"",AP869,IF(LEFT(Z869,11)="gads_marque","Google Search – Marque",IF(LEFT(Z869,12)="gads_mariage","Google Search – Mariage et privé",IF(LEFT(Z869,10)="gads_corpo","Google Search – Corporatif",IF(LEFT(Z869,5)="meta_","Meta – Leads",IF(LEFT(Z869,5)="msft_","Microsoft Ads",IF(LEFT(Z869,8)="chatgpt_","ChatGPT Ads – Test",IF(X869="gbp","Fiche Google (organique)","Autre / non payé")))))))))</f>
        <v/>
      </c>
      <c r="AR869" s="7">
        <f>IF(K869="","",IFERROR(VLOOKUP(K869,Listes!$F$3:$H$8,3,FALSE),""))</f>
        <v/>
      </c>
      <c r="AS869" s="7">
        <f>IF(O869="","",IF(AND(M869="Autre (plus de 40 km)",OR(O869="lt600",O869="600_999",O869="1000_2499")),"D",IF(OR(O869="lt600",AND(O869="600_999",K869&lt;&gt;"mariage",K869&lt;&gt;"prive")),"C",IF(OR(O869="2500_4999",O869="5000p",J869="entreprise",J869="organisme",J869="agence"),"A",IF(OR(O869="1000_2499",O869="600_999"),"B",IF(O869="inconnu",IF(OR(N869="75_149",N869="150p"),"A","B"),""))))))</f>
        <v/>
      </c>
      <c r="AT869" s="7">
        <f>IF(A869="","",IF(P869&lt;&gt;"",P869,AS869))</f>
        <v/>
      </c>
      <c r="AU869" s="7">
        <f>IF(A869="","",IF(OR(AT869="A",AT869="B"),1,0))</f>
        <v/>
      </c>
      <c r="AV869" s="7">
        <f>IF(A869="","",IF(OR(R869="Dépôt payé (gagné)",R869="Événement livré",R869="Avis obtenu"),1,0))</f>
        <v/>
      </c>
      <c r="AW869" s="7">
        <f>IF(A869="","",IF(Q869&gt;70,"Immédiat – propriétaire",IF(Q869&gt;=40,"15 min – personne de garde","Selon la route")))</f>
        <v/>
      </c>
      <c r="AX869" s="11">
        <f>IF(A869="","",IF(AT869="A",400,IF(AT869="B",150,0)))</f>
        <v/>
      </c>
      <c r="AY869" s="11">
        <f>IF(A869="","",IF(AV869=1,N(V869),IF(N(U869)&gt;0,ROUND(N(U869)*IFERROR(VLOOKUP(R869,Listes!$AE$3:$AG$12,2,FALSE),0),0),0)))</f>
        <v/>
      </c>
      <c r="AZ869" s="7">
        <f>IF(LEFT(A869,7)="EXEMPLE",1,0)</f>
        <v/>
      </c>
      <c r="BA869" s="7">
        <f>IF(AND(AV869=1,AZ869=0,AC869&lt;&gt;"",W869&lt;&gt;"",N(V869)&gt;0),COUNTIFS($AV$3:AV869,1,$AZ$3:AZ869,0,$AC$3:AC869,"&lt;&gt;",$W$3:W869,"&lt;&gt;",$V$3:V869,"&gt;0"),"")</f>
        <v/>
      </c>
    </row>
    <row r="870">
      <c r="A870" s="12" t="n"/>
      <c r="B870" s="13" t="n"/>
      <c r="C870" s="13" t="n"/>
      <c r="D870" s="7">
        <f>IF(OR(B870="",C870=""),"",ROUND((C870-B870)*1440,0))</f>
        <v/>
      </c>
      <c r="E870" s="12" t="n"/>
      <c r="F870" s="12" t="n"/>
      <c r="G870" s="12" t="n"/>
      <c r="H870" s="12" t="n"/>
      <c r="I870" s="12" t="n"/>
      <c r="J870" s="12" t="n"/>
      <c r="K870" s="12" t="n"/>
      <c r="L870" s="14" t="n"/>
      <c r="M870" s="12" t="n"/>
      <c r="N870" s="12" t="n"/>
      <c r="O870" s="12" t="n"/>
      <c r="P870" s="12" t="n"/>
      <c r="Q870" s="7">
        <f>IF(A870="","",IFERROR(VLOOKUP(O870,Listes!$R$3:$T$8,2,FALSE),0)+IFERROR(VLOOKUP(J870,Listes!$J$3:$L$6,2,FALSE),0)+IFERROR(VLOOKUP(N870,Listes!$N$3:$P$6,2,FALSE),0)+IF(OR(L870="",B870=""),0,IF(L870-INT(B870)&lt;10,8,IF(L870-INT(B870)&lt;=90,10,5)))+IFERROR(VLOOKUP(AN870,Listes!$V$3:$W$5,2,FALSE),0)+IFERROR(VLOOKUP(AO870,Listes!$Y$3:$Z$5,2,FALSE),0))</f>
        <v/>
      </c>
      <c r="R870" s="12" t="n"/>
      <c r="S870" s="12" t="n"/>
      <c r="T870" s="12" t="n"/>
      <c r="U870" s="15" t="n"/>
      <c r="V870" s="15" t="n"/>
      <c r="W870" s="13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3" t="n"/>
      <c r="AK870" s="12" t="n"/>
      <c r="AL870" s="12" t="n"/>
      <c r="AM870" s="12" t="n"/>
      <c r="AN870" s="12" t="n"/>
      <c r="AO870" s="12" t="n"/>
      <c r="AP870" s="12" t="n"/>
      <c r="AQ870" s="7">
        <f>IF(A870="","",IF(AP870&lt;&gt;"",AP870,IF(LEFT(Z870,11)="gads_marque","Google Search – Marque",IF(LEFT(Z870,12)="gads_mariage","Google Search – Mariage et privé",IF(LEFT(Z870,10)="gads_corpo","Google Search – Corporatif",IF(LEFT(Z870,5)="meta_","Meta – Leads",IF(LEFT(Z870,5)="msft_","Microsoft Ads",IF(LEFT(Z870,8)="chatgpt_","ChatGPT Ads – Test",IF(X870="gbp","Fiche Google (organique)","Autre / non payé")))))))))</f>
        <v/>
      </c>
      <c r="AR870" s="7">
        <f>IF(K870="","",IFERROR(VLOOKUP(K870,Listes!$F$3:$H$8,3,FALSE),""))</f>
        <v/>
      </c>
      <c r="AS870" s="7">
        <f>IF(O870="","",IF(AND(M870="Autre (plus de 40 km)",OR(O870="lt600",O870="600_999",O870="1000_2499")),"D",IF(OR(O870="lt600",AND(O870="600_999",K870&lt;&gt;"mariage",K870&lt;&gt;"prive")),"C",IF(OR(O870="2500_4999",O870="5000p",J870="entreprise",J870="organisme",J870="agence"),"A",IF(OR(O870="1000_2499",O870="600_999"),"B",IF(O870="inconnu",IF(OR(N870="75_149",N870="150p"),"A","B"),""))))))</f>
        <v/>
      </c>
      <c r="AT870" s="7">
        <f>IF(A870="","",IF(P870&lt;&gt;"",P870,AS870))</f>
        <v/>
      </c>
      <c r="AU870" s="7">
        <f>IF(A870="","",IF(OR(AT870="A",AT870="B"),1,0))</f>
        <v/>
      </c>
      <c r="AV870" s="7">
        <f>IF(A870="","",IF(OR(R870="Dépôt payé (gagné)",R870="Événement livré",R870="Avis obtenu"),1,0))</f>
        <v/>
      </c>
      <c r="AW870" s="7">
        <f>IF(A870="","",IF(Q870&gt;70,"Immédiat – propriétaire",IF(Q870&gt;=40,"15 min – personne de garde","Selon la route")))</f>
        <v/>
      </c>
      <c r="AX870" s="11">
        <f>IF(A870="","",IF(AT870="A",400,IF(AT870="B",150,0)))</f>
        <v/>
      </c>
      <c r="AY870" s="11">
        <f>IF(A870="","",IF(AV870=1,N(V870),IF(N(U870)&gt;0,ROUND(N(U870)*IFERROR(VLOOKUP(R870,Listes!$AE$3:$AG$12,2,FALSE),0),0),0)))</f>
        <v/>
      </c>
      <c r="AZ870" s="7">
        <f>IF(LEFT(A870,7)="EXEMPLE",1,0)</f>
        <v/>
      </c>
      <c r="BA870" s="7">
        <f>IF(AND(AV870=1,AZ870=0,AC870&lt;&gt;"",W870&lt;&gt;"",N(V870)&gt;0),COUNTIFS($AV$3:AV870,1,$AZ$3:AZ870,0,$AC$3:AC870,"&lt;&gt;",$W$3:W870,"&lt;&gt;",$V$3:V870,"&gt;0"),"")</f>
        <v/>
      </c>
    </row>
    <row r="871">
      <c r="A871" s="12" t="n"/>
      <c r="B871" s="13" t="n"/>
      <c r="C871" s="13" t="n"/>
      <c r="D871" s="7">
        <f>IF(OR(B871="",C871=""),"",ROUND((C871-B871)*1440,0))</f>
        <v/>
      </c>
      <c r="E871" s="12" t="n"/>
      <c r="F871" s="12" t="n"/>
      <c r="G871" s="12" t="n"/>
      <c r="H871" s="12" t="n"/>
      <c r="I871" s="12" t="n"/>
      <c r="J871" s="12" t="n"/>
      <c r="K871" s="12" t="n"/>
      <c r="L871" s="14" t="n"/>
      <c r="M871" s="12" t="n"/>
      <c r="N871" s="12" t="n"/>
      <c r="O871" s="12" t="n"/>
      <c r="P871" s="12" t="n"/>
      <c r="Q871" s="7">
        <f>IF(A871="","",IFERROR(VLOOKUP(O871,Listes!$R$3:$T$8,2,FALSE),0)+IFERROR(VLOOKUP(J871,Listes!$J$3:$L$6,2,FALSE),0)+IFERROR(VLOOKUP(N871,Listes!$N$3:$P$6,2,FALSE),0)+IF(OR(L871="",B871=""),0,IF(L871-INT(B871)&lt;10,8,IF(L871-INT(B871)&lt;=90,10,5)))+IFERROR(VLOOKUP(AN871,Listes!$V$3:$W$5,2,FALSE),0)+IFERROR(VLOOKUP(AO871,Listes!$Y$3:$Z$5,2,FALSE),0))</f>
        <v/>
      </c>
      <c r="R871" s="12" t="n"/>
      <c r="S871" s="12" t="n"/>
      <c r="T871" s="12" t="n"/>
      <c r="U871" s="15" t="n"/>
      <c r="V871" s="15" t="n"/>
      <c r="W871" s="13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3" t="n"/>
      <c r="AK871" s="12" t="n"/>
      <c r="AL871" s="12" t="n"/>
      <c r="AM871" s="12" t="n"/>
      <c r="AN871" s="12" t="n"/>
      <c r="AO871" s="12" t="n"/>
      <c r="AP871" s="12" t="n"/>
      <c r="AQ871" s="7">
        <f>IF(A871="","",IF(AP871&lt;&gt;"",AP871,IF(LEFT(Z871,11)="gads_marque","Google Search – Marque",IF(LEFT(Z871,12)="gads_mariage","Google Search – Mariage et privé",IF(LEFT(Z871,10)="gads_corpo","Google Search – Corporatif",IF(LEFT(Z871,5)="meta_","Meta – Leads",IF(LEFT(Z871,5)="msft_","Microsoft Ads",IF(LEFT(Z871,8)="chatgpt_","ChatGPT Ads – Test",IF(X871="gbp","Fiche Google (organique)","Autre / non payé")))))))))</f>
        <v/>
      </c>
      <c r="AR871" s="7">
        <f>IF(K871="","",IFERROR(VLOOKUP(K871,Listes!$F$3:$H$8,3,FALSE),""))</f>
        <v/>
      </c>
      <c r="AS871" s="7">
        <f>IF(O871="","",IF(AND(M871="Autre (plus de 40 km)",OR(O871="lt600",O871="600_999",O871="1000_2499")),"D",IF(OR(O871="lt600",AND(O871="600_999",K871&lt;&gt;"mariage",K871&lt;&gt;"prive")),"C",IF(OR(O871="2500_4999",O871="5000p",J871="entreprise",J871="organisme",J871="agence"),"A",IF(OR(O871="1000_2499",O871="600_999"),"B",IF(O871="inconnu",IF(OR(N871="75_149",N871="150p"),"A","B"),""))))))</f>
        <v/>
      </c>
      <c r="AT871" s="7">
        <f>IF(A871="","",IF(P871&lt;&gt;"",P871,AS871))</f>
        <v/>
      </c>
      <c r="AU871" s="7">
        <f>IF(A871="","",IF(OR(AT871="A",AT871="B"),1,0))</f>
        <v/>
      </c>
      <c r="AV871" s="7">
        <f>IF(A871="","",IF(OR(R871="Dépôt payé (gagné)",R871="Événement livré",R871="Avis obtenu"),1,0))</f>
        <v/>
      </c>
      <c r="AW871" s="7">
        <f>IF(A871="","",IF(Q871&gt;70,"Immédiat – propriétaire",IF(Q871&gt;=40,"15 min – personne de garde","Selon la route")))</f>
        <v/>
      </c>
      <c r="AX871" s="11">
        <f>IF(A871="","",IF(AT871="A",400,IF(AT871="B",150,0)))</f>
        <v/>
      </c>
      <c r="AY871" s="11">
        <f>IF(A871="","",IF(AV871=1,N(V871),IF(N(U871)&gt;0,ROUND(N(U871)*IFERROR(VLOOKUP(R871,Listes!$AE$3:$AG$12,2,FALSE),0),0),0)))</f>
        <v/>
      </c>
      <c r="AZ871" s="7">
        <f>IF(LEFT(A871,7)="EXEMPLE",1,0)</f>
        <v/>
      </c>
      <c r="BA871" s="7">
        <f>IF(AND(AV871=1,AZ871=0,AC871&lt;&gt;"",W871&lt;&gt;"",N(V871)&gt;0),COUNTIFS($AV$3:AV871,1,$AZ$3:AZ871,0,$AC$3:AC871,"&lt;&gt;",$W$3:W871,"&lt;&gt;",$V$3:V871,"&gt;0"),"")</f>
        <v/>
      </c>
    </row>
    <row r="872">
      <c r="A872" s="12" t="n"/>
      <c r="B872" s="13" t="n"/>
      <c r="C872" s="13" t="n"/>
      <c r="D872" s="7">
        <f>IF(OR(B872="",C872=""),"",ROUND((C872-B872)*1440,0))</f>
        <v/>
      </c>
      <c r="E872" s="12" t="n"/>
      <c r="F872" s="12" t="n"/>
      <c r="G872" s="12" t="n"/>
      <c r="H872" s="12" t="n"/>
      <c r="I872" s="12" t="n"/>
      <c r="J872" s="12" t="n"/>
      <c r="K872" s="12" t="n"/>
      <c r="L872" s="14" t="n"/>
      <c r="M872" s="12" t="n"/>
      <c r="N872" s="12" t="n"/>
      <c r="O872" s="12" t="n"/>
      <c r="P872" s="12" t="n"/>
      <c r="Q872" s="7">
        <f>IF(A872="","",IFERROR(VLOOKUP(O872,Listes!$R$3:$T$8,2,FALSE),0)+IFERROR(VLOOKUP(J872,Listes!$J$3:$L$6,2,FALSE),0)+IFERROR(VLOOKUP(N872,Listes!$N$3:$P$6,2,FALSE),0)+IF(OR(L872="",B872=""),0,IF(L872-INT(B872)&lt;10,8,IF(L872-INT(B872)&lt;=90,10,5)))+IFERROR(VLOOKUP(AN872,Listes!$V$3:$W$5,2,FALSE),0)+IFERROR(VLOOKUP(AO872,Listes!$Y$3:$Z$5,2,FALSE),0))</f>
        <v/>
      </c>
      <c r="R872" s="12" t="n"/>
      <c r="S872" s="12" t="n"/>
      <c r="T872" s="12" t="n"/>
      <c r="U872" s="15" t="n"/>
      <c r="V872" s="15" t="n"/>
      <c r="W872" s="13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3" t="n"/>
      <c r="AK872" s="12" t="n"/>
      <c r="AL872" s="12" t="n"/>
      <c r="AM872" s="12" t="n"/>
      <c r="AN872" s="12" t="n"/>
      <c r="AO872" s="12" t="n"/>
      <c r="AP872" s="12" t="n"/>
      <c r="AQ872" s="7">
        <f>IF(A872="","",IF(AP872&lt;&gt;"",AP872,IF(LEFT(Z872,11)="gads_marque","Google Search – Marque",IF(LEFT(Z872,12)="gads_mariage","Google Search – Mariage et privé",IF(LEFT(Z872,10)="gads_corpo","Google Search – Corporatif",IF(LEFT(Z872,5)="meta_","Meta – Leads",IF(LEFT(Z872,5)="msft_","Microsoft Ads",IF(LEFT(Z872,8)="chatgpt_","ChatGPT Ads – Test",IF(X872="gbp","Fiche Google (organique)","Autre / non payé")))))))))</f>
        <v/>
      </c>
      <c r="AR872" s="7">
        <f>IF(K872="","",IFERROR(VLOOKUP(K872,Listes!$F$3:$H$8,3,FALSE),""))</f>
        <v/>
      </c>
      <c r="AS872" s="7">
        <f>IF(O872="","",IF(AND(M872="Autre (plus de 40 km)",OR(O872="lt600",O872="600_999",O872="1000_2499")),"D",IF(OR(O872="lt600",AND(O872="600_999",K872&lt;&gt;"mariage",K872&lt;&gt;"prive")),"C",IF(OR(O872="2500_4999",O872="5000p",J872="entreprise",J872="organisme",J872="agence"),"A",IF(OR(O872="1000_2499",O872="600_999"),"B",IF(O872="inconnu",IF(OR(N872="75_149",N872="150p"),"A","B"),""))))))</f>
        <v/>
      </c>
      <c r="AT872" s="7">
        <f>IF(A872="","",IF(P872&lt;&gt;"",P872,AS872))</f>
        <v/>
      </c>
      <c r="AU872" s="7">
        <f>IF(A872="","",IF(OR(AT872="A",AT872="B"),1,0))</f>
        <v/>
      </c>
      <c r="AV872" s="7">
        <f>IF(A872="","",IF(OR(R872="Dépôt payé (gagné)",R872="Événement livré",R872="Avis obtenu"),1,0))</f>
        <v/>
      </c>
      <c r="AW872" s="7">
        <f>IF(A872="","",IF(Q872&gt;70,"Immédiat – propriétaire",IF(Q872&gt;=40,"15 min – personne de garde","Selon la route")))</f>
        <v/>
      </c>
      <c r="AX872" s="11">
        <f>IF(A872="","",IF(AT872="A",400,IF(AT872="B",150,0)))</f>
        <v/>
      </c>
      <c r="AY872" s="11">
        <f>IF(A872="","",IF(AV872=1,N(V872),IF(N(U872)&gt;0,ROUND(N(U872)*IFERROR(VLOOKUP(R872,Listes!$AE$3:$AG$12,2,FALSE),0),0),0)))</f>
        <v/>
      </c>
      <c r="AZ872" s="7">
        <f>IF(LEFT(A872,7)="EXEMPLE",1,0)</f>
        <v/>
      </c>
      <c r="BA872" s="7">
        <f>IF(AND(AV872=1,AZ872=0,AC872&lt;&gt;"",W872&lt;&gt;"",N(V872)&gt;0),COUNTIFS($AV$3:AV872,1,$AZ$3:AZ872,0,$AC$3:AC872,"&lt;&gt;",$W$3:W872,"&lt;&gt;",$V$3:V872,"&gt;0"),"")</f>
        <v/>
      </c>
    </row>
    <row r="873">
      <c r="A873" s="12" t="n"/>
      <c r="B873" s="13" t="n"/>
      <c r="C873" s="13" t="n"/>
      <c r="D873" s="7">
        <f>IF(OR(B873="",C873=""),"",ROUND((C873-B873)*1440,0))</f>
        <v/>
      </c>
      <c r="E873" s="12" t="n"/>
      <c r="F873" s="12" t="n"/>
      <c r="G873" s="12" t="n"/>
      <c r="H873" s="12" t="n"/>
      <c r="I873" s="12" t="n"/>
      <c r="J873" s="12" t="n"/>
      <c r="K873" s="12" t="n"/>
      <c r="L873" s="14" t="n"/>
      <c r="M873" s="12" t="n"/>
      <c r="N873" s="12" t="n"/>
      <c r="O873" s="12" t="n"/>
      <c r="P873" s="12" t="n"/>
      <c r="Q873" s="7">
        <f>IF(A873="","",IFERROR(VLOOKUP(O873,Listes!$R$3:$T$8,2,FALSE),0)+IFERROR(VLOOKUP(J873,Listes!$J$3:$L$6,2,FALSE),0)+IFERROR(VLOOKUP(N873,Listes!$N$3:$P$6,2,FALSE),0)+IF(OR(L873="",B873=""),0,IF(L873-INT(B873)&lt;10,8,IF(L873-INT(B873)&lt;=90,10,5)))+IFERROR(VLOOKUP(AN873,Listes!$V$3:$W$5,2,FALSE),0)+IFERROR(VLOOKUP(AO873,Listes!$Y$3:$Z$5,2,FALSE),0))</f>
        <v/>
      </c>
      <c r="R873" s="12" t="n"/>
      <c r="S873" s="12" t="n"/>
      <c r="T873" s="12" t="n"/>
      <c r="U873" s="15" t="n"/>
      <c r="V873" s="15" t="n"/>
      <c r="W873" s="13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3" t="n"/>
      <c r="AK873" s="12" t="n"/>
      <c r="AL873" s="12" t="n"/>
      <c r="AM873" s="12" t="n"/>
      <c r="AN873" s="12" t="n"/>
      <c r="AO873" s="12" t="n"/>
      <c r="AP873" s="12" t="n"/>
      <c r="AQ873" s="7">
        <f>IF(A873="","",IF(AP873&lt;&gt;"",AP873,IF(LEFT(Z873,11)="gads_marque","Google Search – Marque",IF(LEFT(Z873,12)="gads_mariage","Google Search – Mariage et privé",IF(LEFT(Z873,10)="gads_corpo","Google Search – Corporatif",IF(LEFT(Z873,5)="meta_","Meta – Leads",IF(LEFT(Z873,5)="msft_","Microsoft Ads",IF(LEFT(Z873,8)="chatgpt_","ChatGPT Ads – Test",IF(X873="gbp","Fiche Google (organique)","Autre / non payé")))))))))</f>
        <v/>
      </c>
      <c r="AR873" s="7">
        <f>IF(K873="","",IFERROR(VLOOKUP(K873,Listes!$F$3:$H$8,3,FALSE),""))</f>
        <v/>
      </c>
      <c r="AS873" s="7">
        <f>IF(O873="","",IF(AND(M873="Autre (plus de 40 km)",OR(O873="lt600",O873="600_999",O873="1000_2499")),"D",IF(OR(O873="lt600",AND(O873="600_999",K873&lt;&gt;"mariage",K873&lt;&gt;"prive")),"C",IF(OR(O873="2500_4999",O873="5000p",J873="entreprise",J873="organisme",J873="agence"),"A",IF(OR(O873="1000_2499",O873="600_999"),"B",IF(O873="inconnu",IF(OR(N873="75_149",N873="150p"),"A","B"),""))))))</f>
        <v/>
      </c>
      <c r="AT873" s="7">
        <f>IF(A873="","",IF(P873&lt;&gt;"",P873,AS873))</f>
        <v/>
      </c>
      <c r="AU873" s="7">
        <f>IF(A873="","",IF(OR(AT873="A",AT873="B"),1,0))</f>
        <v/>
      </c>
      <c r="AV873" s="7">
        <f>IF(A873="","",IF(OR(R873="Dépôt payé (gagné)",R873="Événement livré",R873="Avis obtenu"),1,0))</f>
        <v/>
      </c>
      <c r="AW873" s="7">
        <f>IF(A873="","",IF(Q873&gt;70,"Immédiat – propriétaire",IF(Q873&gt;=40,"15 min – personne de garde","Selon la route")))</f>
        <v/>
      </c>
      <c r="AX873" s="11">
        <f>IF(A873="","",IF(AT873="A",400,IF(AT873="B",150,0)))</f>
        <v/>
      </c>
      <c r="AY873" s="11">
        <f>IF(A873="","",IF(AV873=1,N(V873),IF(N(U873)&gt;0,ROUND(N(U873)*IFERROR(VLOOKUP(R873,Listes!$AE$3:$AG$12,2,FALSE),0),0),0)))</f>
        <v/>
      </c>
      <c r="AZ873" s="7">
        <f>IF(LEFT(A873,7)="EXEMPLE",1,0)</f>
        <v/>
      </c>
      <c r="BA873" s="7">
        <f>IF(AND(AV873=1,AZ873=0,AC873&lt;&gt;"",W873&lt;&gt;"",N(V873)&gt;0),COUNTIFS($AV$3:AV873,1,$AZ$3:AZ873,0,$AC$3:AC873,"&lt;&gt;",$W$3:W873,"&lt;&gt;",$V$3:V873,"&gt;0"),"")</f>
        <v/>
      </c>
    </row>
    <row r="874">
      <c r="A874" s="12" t="n"/>
      <c r="B874" s="13" t="n"/>
      <c r="C874" s="13" t="n"/>
      <c r="D874" s="7">
        <f>IF(OR(B874="",C874=""),"",ROUND((C874-B874)*1440,0))</f>
        <v/>
      </c>
      <c r="E874" s="12" t="n"/>
      <c r="F874" s="12" t="n"/>
      <c r="G874" s="12" t="n"/>
      <c r="H874" s="12" t="n"/>
      <c r="I874" s="12" t="n"/>
      <c r="J874" s="12" t="n"/>
      <c r="K874" s="12" t="n"/>
      <c r="L874" s="14" t="n"/>
      <c r="M874" s="12" t="n"/>
      <c r="N874" s="12" t="n"/>
      <c r="O874" s="12" t="n"/>
      <c r="P874" s="12" t="n"/>
      <c r="Q874" s="7">
        <f>IF(A874="","",IFERROR(VLOOKUP(O874,Listes!$R$3:$T$8,2,FALSE),0)+IFERROR(VLOOKUP(J874,Listes!$J$3:$L$6,2,FALSE),0)+IFERROR(VLOOKUP(N874,Listes!$N$3:$P$6,2,FALSE),0)+IF(OR(L874="",B874=""),0,IF(L874-INT(B874)&lt;10,8,IF(L874-INT(B874)&lt;=90,10,5)))+IFERROR(VLOOKUP(AN874,Listes!$V$3:$W$5,2,FALSE),0)+IFERROR(VLOOKUP(AO874,Listes!$Y$3:$Z$5,2,FALSE),0))</f>
        <v/>
      </c>
      <c r="R874" s="12" t="n"/>
      <c r="S874" s="12" t="n"/>
      <c r="T874" s="12" t="n"/>
      <c r="U874" s="15" t="n"/>
      <c r="V874" s="15" t="n"/>
      <c r="W874" s="13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3" t="n"/>
      <c r="AK874" s="12" t="n"/>
      <c r="AL874" s="12" t="n"/>
      <c r="AM874" s="12" t="n"/>
      <c r="AN874" s="12" t="n"/>
      <c r="AO874" s="12" t="n"/>
      <c r="AP874" s="12" t="n"/>
      <c r="AQ874" s="7">
        <f>IF(A874="","",IF(AP874&lt;&gt;"",AP874,IF(LEFT(Z874,11)="gads_marque","Google Search – Marque",IF(LEFT(Z874,12)="gads_mariage","Google Search – Mariage et privé",IF(LEFT(Z874,10)="gads_corpo","Google Search – Corporatif",IF(LEFT(Z874,5)="meta_","Meta – Leads",IF(LEFT(Z874,5)="msft_","Microsoft Ads",IF(LEFT(Z874,8)="chatgpt_","ChatGPT Ads – Test",IF(X874="gbp","Fiche Google (organique)","Autre / non payé")))))))))</f>
        <v/>
      </c>
      <c r="AR874" s="7">
        <f>IF(K874="","",IFERROR(VLOOKUP(K874,Listes!$F$3:$H$8,3,FALSE),""))</f>
        <v/>
      </c>
      <c r="AS874" s="7">
        <f>IF(O874="","",IF(AND(M874="Autre (plus de 40 km)",OR(O874="lt600",O874="600_999",O874="1000_2499")),"D",IF(OR(O874="lt600",AND(O874="600_999",K874&lt;&gt;"mariage",K874&lt;&gt;"prive")),"C",IF(OR(O874="2500_4999",O874="5000p",J874="entreprise",J874="organisme",J874="agence"),"A",IF(OR(O874="1000_2499",O874="600_999"),"B",IF(O874="inconnu",IF(OR(N874="75_149",N874="150p"),"A","B"),""))))))</f>
        <v/>
      </c>
      <c r="AT874" s="7">
        <f>IF(A874="","",IF(P874&lt;&gt;"",P874,AS874))</f>
        <v/>
      </c>
      <c r="AU874" s="7">
        <f>IF(A874="","",IF(OR(AT874="A",AT874="B"),1,0))</f>
        <v/>
      </c>
      <c r="AV874" s="7">
        <f>IF(A874="","",IF(OR(R874="Dépôt payé (gagné)",R874="Événement livré",R874="Avis obtenu"),1,0))</f>
        <v/>
      </c>
      <c r="AW874" s="7">
        <f>IF(A874="","",IF(Q874&gt;70,"Immédiat – propriétaire",IF(Q874&gt;=40,"15 min – personne de garde","Selon la route")))</f>
        <v/>
      </c>
      <c r="AX874" s="11">
        <f>IF(A874="","",IF(AT874="A",400,IF(AT874="B",150,0)))</f>
        <v/>
      </c>
      <c r="AY874" s="11">
        <f>IF(A874="","",IF(AV874=1,N(V874),IF(N(U874)&gt;0,ROUND(N(U874)*IFERROR(VLOOKUP(R874,Listes!$AE$3:$AG$12,2,FALSE),0),0),0)))</f>
        <v/>
      </c>
      <c r="AZ874" s="7">
        <f>IF(LEFT(A874,7)="EXEMPLE",1,0)</f>
        <v/>
      </c>
      <c r="BA874" s="7">
        <f>IF(AND(AV874=1,AZ874=0,AC874&lt;&gt;"",W874&lt;&gt;"",N(V874)&gt;0),COUNTIFS($AV$3:AV874,1,$AZ$3:AZ874,0,$AC$3:AC874,"&lt;&gt;",$W$3:W874,"&lt;&gt;",$V$3:V874,"&gt;0"),"")</f>
        <v/>
      </c>
    </row>
    <row r="875">
      <c r="A875" s="12" t="n"/>
      <c r="B875" s="13" t="n"/>
      <c r="C875" s="13" t="n"/>
      <c r="D875" s="7">
        <f>IF(OR(B875="",C875=""),"",ROUND((C875-B875)*1440,0))</f>
        <v/>
      </c>
      <c r="E875" s="12" t="n"/>
      <c r="F875" s="12" t="n"/>
      <c r="G875" s="12" t="n"/>
      <c r="H875" s="12" t="n"/>
      <c r="I875" s="12" t="n"/>
      <c r="J875" s="12" t="n"/>
      <c r="K875" s="12" t="n"/>
      <c r="L875" s="14" t="n"/>
      <c r="M875" s="12" t="n"/>
      <c r="N875" s="12" t="n"/>
      <c r="O875" s="12" t="n"/>
      <c r="P875" s="12" t="n"/>
      <c r="Q875" s="7">
        <f>IF(A875="","",IFERROR(VLOOKUP(O875,Listes!$R$3:$T$8,2,FALSE),0)+IFERROR(VLOOKUP(J875,Listes!$J$3:$L$6,2,FALSE),0)+IFERROR(VLOOKUP(N875,Listes!$N$3:$P$6,2,FALSE),0)+IF(OR(L875="",B875=""),0,IF(L875-INT(B875)&lt;10,8,IF(L875-INT(B875)&lt;=90,10,5)))+IFERROR(VLOOKUP(AN875,Listes!$V$3:$W$5,2,FALSE),0)+IFERROR(VLOOKUP(AO875,Listes!$Y$3:$Z$5,2,FALSE),0))</f>
        <v/>
      </c>
      <c r="R875" s="12" t="n"/>
      <c r="S875" s="12" t="n"/>
      <c r="T875" s="12" t="n"/>
      <c r="U875" s="15" t="n"/>
      <c r="V875" s="15" t="n"/>
      <c r="W875" s="13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3" t="n"/>
      <c r="AK875" s="12" t="n"/>
      <c r="AL875" s="12" t="n"/>
      <c r="AM875" s="12" t="n"/>
      <c r="AN875" s="12" t="n"/>
      <c r="AO875" s="12" t="n"/>
      <c r="AP875" s="12" t="n"/>
      <c r="AQ875" s="7">
        <f>IF(A875="","",IF(AP875&lt;&gt;"",AP875,IF(LEFT(Z875,11)="gads_marque","Google Search – Marque",IF(LEFT(Z875,12)="gads_mariage","Google Search – Mariage et privé",IF(LEFT(Z875,10)="gads_corpo","Google Search – Corporatif",IF(LEFT(Z875,5)="meta_","Meta – Leads",IF(LEFT(Z875,5)="msft_","Microsoft Ads",IF(LEFT(Z875,8)="chatgpt_","ChatGPT Ads – Test",IF(X875="gbp","Fiche Google (organique)","Autre / non payé")))))))))</f>
        <v/>
      </c>
      <c r="AR875" s="7">
        <f>IF(K875="","",IFERROR(VLOOKUP(K875,Listes!$F$3:$H$8,3,FALSE),""))</f>
        <v/>
      </c>
      <c r="AS875" s="7">
        <f>IF(O875="","",IF(AND(M875="Autre (plus de 40 km)",OR(O875="lt600",O875="600_999",O875="1000_2499")),"D",IF(OR(O875="lt600",AND(O875="600_999",K875&lt;&gt;"mariage",K875&lt;&gt;"prive")),"C",IF(OR(O875="2500_4999",O875="5000p",J875="entreprise",J875="organisme",J875="agence"),"A",IF(OR(O875="1000_2499",O875="600_999"),"B",IF(O875="inconnu",IF(OR(N875="75_149",N875="150p"),"A","B"),""))))))</f>
        <v/>
      </c>
      <c r="AT875" s="7">
        <f>IF(A875="","",IF(P875&lt;&gt;"",P875,AS875))</f>
        <v/>
      </c>
      <c r="AU875" s="7">
        <f>IF(A875="","",IF(OR(AT875="A",AT875="B"),1,0))</f>
        <v/>
      </c>
      <c r="AV875" s="7">
        <f>IF(A875="","",IF(OR(R875="Dépôt payé (gagné)",R875="Événement livré",R875="Avis obtenu"),1,0))</f>
        <v/>
      </c>
      <c r="AW875" s="7">
        <f>IF(A875="","",IF(Q875&gt;70,"Immédiat – propriétaire",IF(Q875&gt;=40,"15 min – personne de garde","Selon la route")))</f>
        <v/>
      </c>
      <c r="AX875" s="11">
        <f>IF(A875="","",IF(AT875="A",400,IF(AT875="B",150,0)))</f>
        <v/>
      </c>
      <c r="AY875" s="11">
        <f>IF(A875="","",IF(AV875=1,N(V875),IF(N(U875)&gt;0,ROUND(N(U875)*IFERROR(VLOOKUP(R875,Listes!$AE$3:$AG$12,2,FALSE),0),0),0)))</f>
        <v/>
      </c>
      <c r="AZ875" s="7">
        <f>IF(LEFT(A875,7)="EXEMPLE",1,0)</f>
        <v/>
      </c>
      <c r="BA875" s="7">
        <f>IF(AND(AV875=1,AZ875=0,AC875&lt;&gt;"",W875&lt;&gt;"",N(V875)&gt;0),COUNTIFS($AV$3:AV875,1,$AZ$3:AZ875,0,$AC$3:AC875,"&lt;&gt;",$W$3:W875,"&lt;&gt;",$V$3:V875,"&gt;0"),"")</f>
        <v/>
      </c>
    </row>
    <row r="876">
      <c r="A876" s="12" t="n"/>
      <c r="B876" s="13" t="n"/>
      <c r="C876" s="13" t="n"/>
      <c r="D876" s="7">
        <f>IF(OR(B876="",C876=""),"",ROUND((C876-B876)*1440,0))</f>
        <v/>
      </c>
      <c r="E876" s="12" t="n"/>
      <c r="F876" s="12" t="n"/>
      <c r="G876" s="12" t="n"/>
      <c r="H876" s="12" t="n"/>
      <c r="I876" s="12" t="n"/>
      <c r="J876" s="12" t="n"/>
      <c r="K876" s="12" t="n"/>
      <c r="L876" s="14" t="n"/>
      <c r="M876" s="12" t="n"/>
      <c r="N876" s="12" t="n"/>
      <c r="O876" s="12" t="n"/>
      <c r="P876" s="12" t="n"/>
      <c r="Q876" s="7">
        <f>IF(A876="","",IFERROR(VLOOKUP(O876,Listes!$R$3:$T$8,2,FALSE),0)+IFERROR(VLOOKUP(J876,Listes!$J$3:$L$6,2,FALSE),0)+IFERROR(VLOOKUP(N876,Listes!$N$3:$P$6,2,FALSE),0)+IF(OR(L876="",B876=""),0,IF(L876-INT(B876)&lt;10,8,IF(L876-INT(B876)&lt;=90,10,5)))+IFERROR(VLOOKUP(AN876,Listes!$V$3:$W$5,2,FALSE),0)+IFERROR(VLOOKUP(AO876,Listes!$Y$3:$Z$5,2,FALSE),0))</f>
        <v/>
      </c>
      <c r="R876" s="12" t="n"/>
      <c r="S876" s="12" t="n"/>
      <c r="T876" s="12" t="n"/>
      <c r="U876" s="15" t="n"/>
      <c r="V876" s="15" t="n"/>
      <c r="W876" s="13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3" t="n"/>
      <c r="AK876" s="12" t="n"/>
      <c r="AL876" s="12" t="n"/>
      <c r="AM876" s="12" t="n"/>
      <c r="AN876" s="12" t="n"/>
      <c r="AO876" s="12" t="n"/>
      <c r="AP876" s="12" t="n"/>
      <c r="AQ876" s="7">
        <f>IF(A876="","",IF(AP876&lt;&gt;"",AP876,IF(LEFT(Z876,11)="gads_marque","Google Search – Marque",IF(LEFT(Z876,12)="gads_mariage","Google Search – Mariage et privé",IF(LEFT(Z876,10)="gads_corpo","Google Search – Corporatif",IF(LEFT(Z876,5)="meta_","Meta – Leads",IF(LEFT(Z876,5)="msft_","Microsoft Ads",IF(LEFT(Z876,8)="chatgpt_","ChatGPT Ads – Test",IF(X876="gbp","Fiche Google (organique)","Autre / non payé")))))))))</f>
        <v/>
      </c>
      <c r="AR876" s="7">
        <f>IF(K876="","",IFERROR(VLOOKUP(K876,Listes!$F$3:$H$8,3,FALSE),""))</f>
        <v/>
      </c>
      <c r="AS876" s="7">
        <f>IF(O876="","",IF(AND(M876="Autre (plus de 40 km)",OR(O876="lt600",O876="600_999",O876="1000_2499")),"D",IF(OR(O876="lt600",AND(O876="600_999",K876&lt;&gt;"mariage",K876&lt;&gt;"prive")),"C",IF(OR(O876="2500_4999",O876="5000p",J876="entreprise",J876="organisme",J876="agence"),"A",IF(OR(O876="1000_2499",O876="600_999"),"B",IF(O876="inconnu",IF(OR(N876="75_149",N876="150p"),"A","B"),""))))))</f>
        <v/>
      </c>
      <c r="AT876" s="7">
        <f>IF(A876="","",IF(P876&lt;&gt;"",P876,AS876))</f>
        <v/>
      </c>
      <c r="AU876" s="7">
        <f>IF(A876="","",IF(OR(AT876="A",AT876="B"),1,0))</f>
        <v/>
      </c>
      <c r="AV876" s="7">
        <f>IF(A876="","",IF(OR(R876="Dépôt payé (gagné)",R876="Événement livré",R876="Avis obtenu"),1,0))</f>
        <v/>
      </c>
      <c r="AW876" s="7">
        <f>IF(A876="","",IF(Q876&gt;70,"Immédiat – propriétaire",IF(Q876&gt;=40,"15 min – personne de garde","Selon la route")))</f>
        <v/>
      </c>
      <c r="AX876" s="11">
        <f>IF(A876="","",IF(AT876="A",400,IF(AT876="B",150,0)))</f>
        <v/>
      </c>
      <c r="AY876" s="11">
        <f>IF(A876="","",IF(AV876=1,N(V876),IF(N(U876)&gt;0,ROUND(N(U876)*IFERROR(VLOOKUP(R876,Listes!$AE$3:$AG$12,2,FALSE),0),0),0)))</f>
        <v/>
      </c>
      <c r="AZ876" s="7">
        <f>IF(LEFT(A876,7)="EXEMPLE",1,0)</f>
        <v/>
      </c>
      <c r="BA876" s="7">
        <f>IF(AND(AV876=1,AZ876=0,AC876&lt;&gt;"",W876&lt;&gt;"",N(V876)&gt;0),COUNTIFS($AV$3:AV876,1,$AZ$3:AZ876,0,$AC$3:AC876,"&lt;&gt;",$W$3:W876,"&lt;&gt;",$V$3:V876,"&gt;0"),"")</f>
        <v/>
      </c>
    </row>
    <row r="877">
      <c r="A877" s="12" t="n"/>
      <c r="B877" s="13" t="n"/>
      <c r="C877" s="13" t="n"/>
      <c r="D877" s="7">
        <f>IF(OR(B877="",C877=""),"",ROUND((C877-B877)*1440,0))</f>
        <v/>
      </c>
      <c r="E877" s="12" t="n"/>
      <c r="F877" s="12" t="n"/>
      <c r="G877" s="12" t="n"/>
      <c r="H877" s="12" t="n"/>
      <c r="I877" s="12" t="n"/>
      <c r="J877" s="12" t="n"/>
      <c r="K877" s="12" t="n"/>
      <c r="L877" s="14" t="n"/>
      <c r="M877" s="12" t="n"/>
      <c r="N877" s="12" t="n"/>
      <c r="O877" s="12" t="n"/>
      <c r="P877" s="12" t="n"/>
      <c r="Q877" s="7">
        <f>IF(A877="","",IFERROR(VLOOKUP(O877,Listes!$R$3:$T$8,2,FALSE),0)+IFERROR(VLOOKUP(J877,Listes!$J$3:$L$6,2,FALSE),0)+IFERROR(VLOOKUP(N877,Listes!$N$3:$P$6,2,FALSE),0)+IF(OR(L877="",B877=""),0,IF(L877-INT(B877)&lt;10,8,IF(L877-INT(B877)&lt;=90,10,5)))+IFERROR(VLOOKUP(AN877,Listes!$V$3:$W$5,2,FALSE),0)+IFERROR(VLOOKUP(AO877,Listes!$Y$3:$Z$5,2,FALSE),0))</f>
        <v/>
      </c>
      <c r="R877" s="12" t="n"/>
      <c r="S877" s="12" t="n"/>
      <c r="T877" s="12" t="n"/>
      <c r="U877" s="15" t="n"/>
      <c r="V877" s="15" t="n"/>
      <c r="W877" s="13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3" t="n"/>
      <c r="AK877" s="12" t="n"/>
      <c r="AL877" s="12" t="n"/>
      <c r="AM877" s="12" t="n"/>
      <c r="AN877" s="12" t="n"/>
      <c r="AO877" s="12" t="n"/>
      <c r="AP877" s="12" t="n"/>
      <c r="AQ877" s="7">
        <f>IF(A877="","",IF(AP877&lt;&gt;"",AP877,IF(LEFT(Z877,11)="gads_marque","Google Search – Marque",IF(LEFT(Z877,12)="gads_mariage","Google Search – Mariage et privé",IF(LEFT(Z877,10)="gads_corpo","Google Search – Corporatif",IF(LEFT(Z877,5)="meta_","Meta – Leads",IF(LEFT(Z877,5)="msft_","Microsoft Ads",IF(LEFT(Z877,8)="chatgpt_","ChatGPT Ads – Test",IF(X877="gbp","Fiche Google (organique)","Autre / non payé")))))))))</f>
        <v/>
      </c>
      <c r="AR877" s="7">
        <f>IF(K877="","",IFERROR(VLOOKUP(K877,Listes!$F$3:$H$8,3,FALSE),""))</f>
        <v/>
      </c>
      <c r="AS877" s="7">
        <f>IF(O877="","",IF(AND(M877="Autre (plus de 40 km)",OR(O877="lt600",O877="600_999",O877="1000_2499")),"D",IF(OR(O877="lt600",AND(O877="600_999",K877&lt;&gt;"mariage",K877&lt;&gt;"prive")),"C",IF(OR(O877="2500_4999",O877="5000p",J877="entreprise",J877="organisme",J877="agence"),"A",IF(OR(O877="1000_2499",O877="600_999"),"B",IF(O877="inconnu",IF(OR(N877="75_149",N877="150p"),"A","B"),""))))))</f>
        <v/>
      </c>
      <c r="AT877" s="7">
        <f>IF(A877="","",IF(P877&lt;&gt;"",P877,AS877))</f>
        <v/>
      </c>
      <c r="AU877" s="7">
        <f>IF(A877="","",IF(OR(AT877="A",AT877="B"),1,0))</f>
        <v/>
      </c>
      <c r="AV877" s="7">
        <f>IF(A877="","",IF(OR(R877="Dépôt payé (gagné)",R877="Événement livré",R877="Avis obtenu"),1,0))</f>
        <v/>
      </c>
      <c r="AW877" s="7">
        <f>IF(A877="","",IF(Q877&gt;70,"Immédiat – propriétaire",IF(Q877&gt;=40,"15 min – personne de garde","Selon la route")))</f>
        <v/>
      </c>
      <c r="AX877" s="11">
        <f>IF(A877="","",IF(AT877="A",400,IF(AT877="B",150,0)))</f>
        <v/>
      </c>
      <c r="AY877" s="11">
        <f>IF(A877="","",IF(AV877=1,N(V877),IF(N(U877)&gt;0,ROUND(N(U877)*IFERROR(VLOOKUP(R877,Listes!$AE$3:$AG$12,2,FALSE),0),0),0)))</f>
        <v/>
      </c>
      <c r="AZ877" s="7">
        <f>IF(LEFT(A877,7)="EXEMPLE",1,0)</f>
        <v/>
      </c>
      <c r="BA877" s="7">
        <f>IF(AND(AV877=1,AZ877=0,AC877&lt;&gt;"",W877&lt;&gt;"",N(V877)&gt;0),COUNTIFS($AV$3:AV877,1,$AZ$3:AZ877,0,$AC$3:AC877,"&lt;&gt;",$W$3:W877,"&lt;&gt;",$V$3:V877,"&gt;0"),"")</f>
        <v/>
      </c>
    </row>
    <row r="878">
      <c r="A878" s="12" t="n"/>
      <c r="B878" s="13" t="n"/>
      <c r="C878" s="13" t="n"/>
      <c r="D878" s="7">
        <f>IF(OR(B878="",C878=""),"",ROUND((C878-B878)*1440,0))</f>
        <v/>
      </c>
      <c r="E878" s="12" t="n"/>
      <c r="F878" s="12" t="n"/>
      <c r="G878" s="12" t="n"/>
      <c r="H878" s="12" t="n"/>
      <c r="I878" s="12" t="n"/>
      <c r="J878" s="12" t="n"/>
      <c r="K878" s="12" t="n"/>
      <c r="L878" s="14" t="n"/>
      <c r="M878" s="12" t="n"/>
      <c r="N878" s="12" t="n"/>
      <c r="O878" s="12" t="n"/>
      <c r="P878" s="12" t="n"/>
      <c r="Q878" s="7">
        <f>IF(A878="","",IFERROR(VLOOKUP(O878,Listes!$R$3:$T$8,2,FALSE),0)+IFERROR(VLOOKUP(J878,Listes!$J$3:$L$6,2,FALSE),0)+IFERROR(VLOOKUP(N878,Listes!$N$3:$P$6,2,FALSE),0)+IF(OR(L878="",B878=""),0,IF(L878-INT(B878)&lt;10,8,IF(L878-INT(B878)&lt;=90,10,5)))+IFERROR(VLOOKUP(AN878,Listes!$V$3:$W$5,2,FALSE),0)+IFERROR(VLOOKUP(AO878,Listes!$Y$3:$Z$5,2,FALSE),0))</f>
        <v/>
      </c>
      <c r="R878" s="12" t="n"/>
      <c r="S878" s="12" t="n"/>
      <c r="T878" s="12" t="n"/>
      <c r="U878" s="15" t="n"/>
      <c r="V878" s="15" t="n"/>
      <c r="W878" s="13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3" t="n"/>
      <c r="AK878" s="12" t="n"/>
      <c r="AL878" s="12" t="n"/>
      <c r="AM878" s="12" t="n"/>
      <c r="AN878" s="12" t="n"/>
      <c r="AO878" s="12" t="n"/>
      <c r="AP878" s="12" t="n"/>
      <c r="AQ878" s="7">
        <f>IF(A878="","",IF(AP878&lt;&gt;"",AP878,IF(LEFT(Z878,11)="gads_marque","Google Search – Marque",IF(LEFT(Z878,12)="gads_mariage","Google Search – Mariage et privé",IF(LEFT(Z878,10)="gads_corpo","Google Search – Corporatif",IF(LEFT(Z878,5)="meta_","Meta – Leads",IF(LEFT(Z878,5)="msft_","Microsoft Ads",IF(LEFT(Z878,8)="chatgpt_","ChatGPT Ads – Test",IF(X878="gbp","Fiche Google (organique)","Autre / non payé")))))))))</f>
        <v/>
      </c>
      <c r="AR878" s="7">
        <f>IF(K878="","",IFERROR(VLOOKUP(K878,Listes!$F$3:$H$8,3,FALSE),""))</f>
        <v/>
      </c>
      <c r="AS878" s="7">
        <f>IF(O878="","",IF(AND(M878="Autre (plus de 40 km)",OR(O878="lt600",O878="600_999",O878="1000_2499")),"D",IF(OR(O878="lt600",AND(O878="600_999",K878&lt;&gt;"mariage",K878&lt;&gt;"prive")),"C",IF(OR(O878="2500_4999",O878="5000p",J878="entreprise",J878="organisme",J878="agence"),"A",IF(OR(O878="1000_2499",O878="600_999"),"B",IF(O878="inconnu",IF(OR(N878="75_149",N878="150p"),"A","B"),""))))))</f>
        <v/>
      </c>
      <c r="AT878" s="7">
        <f>IF(A878="","",IF(P878&lt;&gt;"",P878,AS878))</f>
        <v/>
      </c>
      <c r="AU878" s="7">
        <f>IF(A878="","",IF(OR(AT878="A",AT878="B"),1,0))</f>
        <v/>
      </c>
      <c r="AV878" s="7">
        <f>IF(A878="","",IF(OR(R878="Dépôt payé (gagné)",R878="Événement livré",R878="Avis obtenu"),1,0))</f>
        <v/>
      </c>
      <c r="AW878" s="7">
        <f>IF(A878="","",IF(Q878&gt;70,"Immédiat – propriétaire",IF(Q878&gt;=40,"15 min – personne de garde","Selon la route")))</f>
        <v/>
      </c>
      <c r="AX878" s="11">
        <f>IF(A878="","",IF(AT878="A",400,IF(AT878="B",150,0)))</f>
        <v/>
      </c>
      <c r="AY878" s="11">
        <f>IF(A878="","",IF(AV878=1,N(V878),IF(N(U878)&gt;0,ROUND(N(U878)*IFERROR(VLOOKUP(R878,Listes!$AE$3:$AG$12,2,FALSE),0),0),0)))</f>
        <v/>
      </c>
      <c r="AZ878" s="7">
        <f>IF(LEFT(A878,7)="EXEMPLE",1,0)</f>
        <v/>
      </c>
      <c r="BA878" s="7">
        <f>IF(AND(AV878=1,AZ878=0,AC878&lt;&gt;"",W878&lt;&gt;"",N(V878)&gt;0),COUNTIFS($AV$3:AV878,1,$AZ$3:AZ878,0,$AC$3:AC878,"&lt;&gt;",$W$3:W878,"&lt;&gt;",$V$3:V878,"&gt;0"),"")</f>
        <v/>
      </c>
    </row>
    <row r="879">
      <c r="A879" s="12" t="n"/>
      <c r="B879" s="13" t="n"/>
      <c r="C879" s="13" t="n"/>
      <c r="D879" s="7">
        <f>IF(OR(B879="",C879=""),"",ROUND((C879-B879)*1440,0))</f>
        <v/>
      </c>
      <c r="E879" s="12" t="n"/>
      <c r="F879" s="12" t="n"/>
      <c r="G879" s="12" t="n"/>
      <c r="H879" s="12" t="n"/>
      <c r="I879" s="12" t="n"/>
      <c r="J879" s="12" t="n"/>
      <c r="K879" s="12" t="n"/>
      <c r="L879" s="14" t="n"/>
      <c r="M879" s="12" t="n"/>
      <c r="N879" s="12" t="n"/>
      <c r="O879" s="12" t="n"/>
      <c r="P879" s="12" t="n"/>
      <c r="Q879" s="7">
        <f>IF(A879="","",IFERROR(VLOOKUP(O879,Listes!$R$3:$T$8,2,FALSE),0)+IFERROR(VLOOKUP(J879,Listes!$J$3:$L$6,2,FALSE),0)+IFERROR(VLOOKUP(N879,Listes!$N$3:$P$6,2,FALSE),0)+IF(OR(L879="",B879=""),0,IF(L879-INT(B879)&lt;10,8,IF(L879-INT(B879)&lt;=90,10,5)))+IFERROR(VLOOKUP(AN879,Listes!$V$3:$W$5,2,FALSE),0)+IFERROR(VLOOKUP(AO879,Listes!$Y$3:$Z$5,2,FALSE),0))</f>
        <v/>
      </c>
      <c r="R879" s="12" t="n"/>
      <c r="S879" s="12" t="n"/>
      <c r="T879" s="12" t="n"/>
      <c r="U879" s="15" t="n"/>
      <c r="V879" s="15" t="n"/>
      <c r="W879" s="13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3" t="n"/>
      <c r="AK879" s="12" t="n"/>
      <c r="AL879" s="12" t="n"/>
      <c r="AM879" s="12" t="n"/>
      <c r="AN879" s="12" t="n"/>
      <c r="AO879" s="12" t="n"/>
      <c r="AP879" s="12" t="n"/>
      <c r="AQ879" s="7">
        <f>IF(A879="","",IF(AP879&lt;&gt;"",AP879,IF(LEFT(Z879,11)="gads_marque","Google Search – Marque",IF(LEFT(Z879,12)="gads_mariage","Google Search – Mariage et privé",IF(LEFT(Z879,10)="gads_corpo","Google Search – Corporatif",IF(LEFT(Z879,5)="meta_","Meta – Leads",IF(LEFT(Z879,5)="msft_","Microsoft Ads",IF(LEFT(Z879,8)="chatgpt_","ChatGPT Ads – Test",IF(X879="gbp","Fiche Google (organique)","Autre / non payé")))))))))</f>
        <v/>
      </c>
      <c r="AR879" s="7">
        <f>IF(K879="","",IFERROR(VLOOKUP(K879,Listes!$F$3:$H$8,3,FALSE),""))</f>
        <v/>
      </c>
      <c r="AS879" s="7">
        <f>IF(O879="","",IF(AND(M879="Autre (plus de 40 km)",OR(O879="lt600",O879="600_999",O879="1000_2499")),"D",IF(OR(O879="lt600",AND(O879="600_999",K879&lt;&gt;"mariage",K879&lt;&gt;"prive")),"C",IF(OR(O879="2500_4999",O879="5000p",J879="entreprise",J879="organisme",J879="agence"),"A",IF(OR(O879="1000_2499",O879="600_999"),"B",IF(O879="inconnu",IF(OR(N879="75_149",N879="150p"),"A","B"),""))))))</f>
        <v/>
      </c>
      <c r="AT879" s="7">
        <f>IF(A879="","",IF(P879&lt;&gt;"",P879,AS879))</f>
        <v/>
      </c>
      <c r="AU879" s="7">
        <f>IF(A879="","",IF(OR(AT879="A",AT879="B"),1,0))</f>
        <v/>
      </c>
      <c r="AV879" s="7">
        <f>IF(A879="","",IF(OR(R879="Dépôt payé (gagné)",R879="Événement livré",R879="Avis obtenu"),1,0))</f>
        <v/>
      </c>
      <c r="AW879" s="7">
        <f>IF(A879="","",IF(Q879&gt;70,"Immédiat – propriétaire",IF(Q879&gt;=40,"15 min – personne de garde","Selon la route")))</f>
        <v/>
      </c>
      <c r="AX879" s="11">
        <f>IF(A879="","",IF(AT879="A",400,IF(AT879="B",150,0)))</f>
        <v/>
      </c>
      <c r="AY879" s="11">
        <f>IF(A879="","",IF(AV879=1,N(V879),IF(N(U879)&gt;0,ROUND(N(U879)*IFERROR(VLOOKUP(R879,Listes!$AE$3:$AG$12,2,FALSE),0),0),0)))</f>
        <v/>
      </c>
      <c r="AZ879" s="7">
        <f>IF(LEFT(A879,7)="EXEMPLE",1,0)</f>
        <v/>
      </c>
      <c r="BA879" s="7">
        <f>IF(AND(AV879=1,AZ879=0,AC879&lt;&gt;"",W879&lt;&gt;"",N(V879)&gt;0),COUNTIFS($AV$3:AV879,1,$AZ$3:AZ879,0,$AC$3:AC879,"&lt;&gt;",$W$3:W879,"&lt;&gt;",$V$3:V879,"&gt;0"),"")</f>
        <v/>
      </c>
    </row>
    <row r="880">
      <c r="A880" s="12" t="n"/>
      <c r="B880" s="13" t="n"/>
      <c r="C880" s="13" t="n"/>
      <c r="D880" s="7">
        <f>IF(OR(B880="",C880=""),"",ROUND((C880-B880)*1440,0))</f>
        <v/>
      </c>
      <c r="E880" s="12" t="n"/>
      <c r="F880" s="12" t="n"/>
      <c r="G880" s="12" t="n"/>
      <c r="H880" s="12" t="n"/>
      <c r="I880" s="12" t="n"/>
      <c r="J880" s="12" t="n"/>
      <c r="K880" s="12" t="n"/>
      <c r="L880" s="14" t="n"/>
      <c r="M880" s="12" t="n"/>
      <c r="N880" s="12" t="n"/>
      <c r="O880" s="12" t="n"/>
      <c r="P880" s="12" t="n"/>
      <c r="Q880" s="7">
        <f>IF(A880="","",IFERROR(VLOOKUP(O880,Listes!$R$3:$T$8,2,FALSE),0)+IFERROR(VLOOKUP(J880,Listes!$J$3:$L$6,2,FALSE),0)+IFERROR(VLOOKUP(N880,Listes!$N$3:$P$6,2,FALSE),0)+IF(OR(L880="",B880=""),0,IF(L880-INT(B880)&lt;10,8,IF(L880-INT(B880)&lt;=90,10,5)))+IFERROR(VLOOKUP(AN880,Listes!$V$3:$W$5,2,FALSE),0)+IFERROR(VLOOKUP(AO880,Listes!$Y$3:$Z$5,2,FALSE),0))</f>
        <v/>
      </c>
      <c r="R880" s="12" t="n"/>
      <c r="S880" s="12" t="n"/>
      <c r="T880" s="12" t="n"/>
      <c r="U880" s="15" t="n"/>
      <c r="V880" s="15" t="n"/>
      <c r="W880" s="13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3" t="n"/>
      <c r="AK880" s="12" t="n"/>
      <c r="AL880" s="12" t="n"/>
      <c r="AM880" s="12" t="n"/>
      <c r="AN880" s="12" t="n"/>
      <c r="AO880" s="12" t="n"/>
      <c r="AP880" s="12" t="n"/>
      <c r="AQ880" s="7">
        <f>IF(A880="","",IF(AP880&lt;&gt;"",AP880,IF(LEFT(Z880,11)="gads_marque","Google Search – Marque",IF(LEFT(Z880,12)="gads_mariage","Google Search – Mariage et privé",IF(LEFT(Z880,10)="gads_corpo","Google Search – Corporatif",IF(LEFT(Z880,5)="meta_","Meta – Leads",IF(LEFT(Z880,5)="msft_","Microsoft Ads",IF(LEFT(Z880,8)="chatgpt_","ChatGPT Ads – Test",IF(X880="gbp","Fiche Google (organique)","Autre / non payé")))))))))</f>
        <v/>
      </c>
      <c r="AR880" s="7">
        <f>IF(K880="","",IFERROR(VLOOKUP(K880,Listes!$F$3:$H$8,3,FALSE),""))</f>
        <v/>
      </c>
      <c r="AS880" s="7">
        <f>IF(O880="","",IF(AND(M880="Autre (plus de 40 km)",OR(O880="lt600",O880="600_999",O880="1000_2499")),"D",IF(OR(O880="lt600",AND(O880="600_999",K880&lt;&gt;"mariage",K880&lt;&gt;"prive")),"C",IF(OR(O880="2500_4999",O880="5000p",J880="entreprise",J880="organisme",J880="agence"),"A",IF(OR(O880="1000_2499",O880="600_999"),"B",IF(O880="inconnu",IF(OR(N880="75_149",N880="150p"),"A","B"),""))))))</f>
        <v/>
      </c>
      <c r="AT880" s="7">
        <f>IF(A880="","",IF(P880&lt;&gt;"",P880,AS880))</f>
        <v/>
      </c>
      <c r="AU880" s="7">
        <f>IF(A880="","",IF(OR(AT880="A",AT880="B"),1,0))</f>
        <v/>
      </c>
      <c r="AV880" s="7">
        <f>IF(A880="","",IF(OR(R880="Dépôt payé (gagné)",R880="Événement livré",R880="Avis obtenu"),1,0))</f>
        <v/>
      </c>
      <c r="AW880" s="7">
        <f>IF(A880="","",IF(Q880&gt;70,"Immédiat – propriétaire",IF(Q880&gt;=40,"15 min – personne de garde","Selon la route")))</f>
        <v/>
      </c>
      <c r="AX880" s="11">
        <f>IF(A880="","",IF(AT880="A",400,IF(AT880="B",150,0)))</f>
        <v/>
      </c>
      <c r="AY880" s="11">
        <f>IF(A880="","",IF(AV880=1,N(V880),IF(N(U880)&gt;0,ROUND(N(U880)*IFERROR(VLOOKUP(R880,Listes!$AE$3:$AG$12,2,FALSE),0),0),0)))</f>
        <v/>
      </c>
      <c r="AZ880" s="7">
        <f>IF(LEFT(A880,7)="EXEMPLE",1,0)</f>
        <v/>
      </c>
      <c r="BA880" s="7">
        <f>IF(AND(AV880=1,AZ880=0,AC880&lt;&gt;"",W880&lt;&gt;"",N(V880)&gt;0),COUNTIFS($AV$3:AV880,1,$AZ$3:AZ880,0,$AC$3:AC880,"&lt;&gt;",$W$3:W880,"&lt;&gt;",$V$3:V880,"&gt;0"),"")</f>
        <v/>
      </c>
    </row>
    <row r="881">
      <c r="A881" s="12" t="n"/>
      <c r="B881" s="13" t="n"/>
      <c r="C881" s="13" t="n"/>
      <c r="D881" s="7">
        <f>IF(OR(B881="",C881=""),"",ROUND((C881-B881)*1440,0))</f>
        <v/>
      </c>
      <c r="E881" s="12" t="n"/>
      <c r="F881" s="12" t="n"/>
      <c r="G881" s="12" t="n"/>
      <c r="H881" s="12" t="n"/>
      <c r="I881" s="12" t="n"/>
      <c r="J881" s="12" t="n"/>
      <c r="K881" s="12" t="n"/>
      <c r="L881" s="14" t="n"/>
      <c r="M881" s="12" t="n"/>
      <c r="N881" s="12" t="n"/>
      <c r="O881" s="12" t="n"/>
      <c r="P881" s="12" t="n"/>
      <c r="Q881" s="7">
        <f>IF(A881="","",IFERROR(VLOOKUP(O881,Listes!$R$3:$T$8,2,FALSE),0)+IFERROR(VLOOKUP(J881,Listes!$J$3:$L$6,2,FALSE),0)+IFERROR(VLOOKUP(N881,Listes!$N$3:$P$6,2,FALSE),0)+IF(OR(L881="",B881=""),0,IF(L881-INT(B881)&lt;10,8,IF(L881-INT(B881)&lt;=90,10,5)))+IFERROR(VLOOKUP(AN881,Listes!$V$3:$W$5,2,FALSE),0)+IFERROR(VLOOKUP(AO881,Listes!$Y$3:$Z$5,2,FALSE),0))</f>
        <v/>
      </c>
      <c r="R881" s="12" t="n"/>
      <c r="S881" s="12" t="n"/>
      <c r="T881" s="12" t="n"/>
      <c r="U881" s="15" t="n"/>
      <c r="V881" s="15" t="n"/>
      <c r="W881" s="13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3" t="n"/>
      <c r="AK881" s="12" t="n"/>
      <c r="AL881" s="12" t="n"/>
      <c r="AM881" s="12" t="n"/>
      <c r="AN881" s="12" t="n"/>
      <c r="AO881" s="12" t="n"/>
      <c r="AP881" s="12" t="n"/>
      <c r="AQ881" s="7">
        <f>IF(A881="","",IF(AP881&lt;&gt;"",AP881,IF(LEFT(Z881,11)="gads_marque","Google Search – Marque",IF(LEFT(Z881,12)="gads_mariage","Google Search – Mariage et privé",IF(LEFT(Z881,10)="gads_corpo","Google Search – Corporatif",IF(LEFT(Z881,5)="meta_","Meta – Leads",IF(LEFT(Z881,5)="msft_","Microsoft Ads",IF(LEFT(Z881,8)="chatgpt_","ChatGPT Ads – Test",IF(X881="gbp","Fiche Google (organique)","Autre / non payé")))))))))</f>
        <v/>
      </c>
      <c r="AR881" s="7">
        <f>IF(K881="","",IFERROR(VLOOKUP(K881,Listes!$F$3:$H$8,3,FALSE),""))</f>
        <v/>
      </c>
      <c r="AS881" s="7">
        <f>IF(O881="","",IF(AND(M881="Autre (plus de 40 km)",OR(O881="lt600",O881="600_999",O881="1000_2499")),"D",IF(OR(O881="lt600",AND(O881="600_999",K881&lt;&gt;"mariage",K881&lt;&gt;"prive")),"C",IF(OR(O881="2500_4999",O881="5000p",J881="entreprise",J881="organisme",J881="agence"),"A",IF(OR(O881="1000_2499",O881="600_999"),"B",IF(O881="inconnu",IF(OR(N881="75_149",N881="150p"),"A","B"),""))))))</f>
        <v/>
      </c>
      <c r="AT881" s="7">
        <f>IF(A881="","",IF(P881&lt;&gt;"",P881,AS881))</f>
        <v/>
      </c>
      <c r="AU881" s="7">
        <f>IF(A881="","",IF(OR(AT881="A",AT881="B"),1,0))</f>
        <v/>
      </c>
      <c r="AV881" s="7">
        <f>IF(A881="","",IF(OR(R881="Dépôt payé (gagné)",R881="Événement livré",R881="Avis obtenu"),1,0))</f>
        <v/>
      </c>
      <c r="AW881" s="7">
        <f>IF(A881="","",IF(Q881&gt;70,"Immédiat – propriétaire",IF(Q881&gt;=40,"15 min – personne de garde","Selon la route")))</f>
        <v/>
      </c>
      <c r="AX881" s="11">
        <f>IF(A881="","",IF(AT881="A",400,IF(AT881="B",150,0)))</f>
        <v/>
      </c>
      <c r="AY881" s="11">
        <f>IF(A881="","",IF(AV881=1,N(V881),IF(N(U881)&gt;0,ROUND(N(U881)*IFERROR(VLOOKUP(R881,Listes!$AE$3:$AG$12,2,FALSE),0),0),0)))</f>
        <v/>
      </c>
      <c r="AZ881" s="7">
        <f>IF(LEFT(A881,7)="EXEMPLE",1,0)</f>
        <v/>
      </c>
      <c r="BA881" s="7">
        <f>IF(AND(AV881=1,AZ881=0,AC881&lt;&gt;"",W881&lt;&gt;"",N(V881)&gt;0),COUNTIFS($AV$3:AV881,1,$AZ$3:AZ881,0,$AC$3:AC881,"&lt;&gt;",$W$3:W881,"&lt;&gt;",$V$3:V881,"&gt;0"),"")</f>
        <v/>
      </c>
    </row>
    <row r="882">
      <c r="A882" s="12" t="n"/>
      <c r="B882" s="13" t="n"/>
      <c r="C882" s="13" t="n"/>
      <c r="D882" s="7">
        <f>IF(OR(B882="",C882=""),"",ROUND((C882-B882)*1440,0))</f>
        <v/>
      </c>
      <c r="E882" s="12" t="n"/>
      <c r="F882" s="12" t="n"/>
      <c r="G882" s="12" t="n"/>
      <c r="H882" s="12" t="n"/>
      <c r="I882" s="12" t="n"/>
      <c r="J882" s="12" t="n"/>
      <c r="K882" s="12" t="n"/>
      <c r="L882" s="14" t="n"/>
      <c r="M882" s="12" t="n"/>
      <c r="N882" s="12" t="n"/>
      <c r="O882" s="12" t="n"/>
      <c r="P882" s="12" t="n"/>
      <c r="Q882" s="7">
        <f>IF(A882="","",IFERROR(VLOOKUP(O882,Listes!$R$3:$T$8,2,FALSE),0)+IFERROR(VLOOKUP(J882,Listes!$J$3:$L$6,2,FALSE),0)+IFERROR(VLOOKUP(N882,Listes!$N$3:$P$6,2,FALSE),0)+IF(OR(L882="",B882=""),0,IF(L882-INT(B882)&lt;10,8,IF(L882-INT(B882)&lt;=90,10,5)))+IFERROR(VLOOKUP(AN882,Listes!$V$3:$W$5,2,FALSE),0)+IFERROR(VLOOKUP(AO882,Listes!$Y$3:$Z$5,2,FALSE),0))</f>
        <v/>
      </c>
      <c r="R882" s="12" t="n"/>
      <c r="S882" s="12" t="n"/>
      <c r="T882" s="12" t="n"/>
      <c r="U882" s="15" t="n"/>
      <c r="V882" s="15" t="n"/>
      <c r="W882" s="13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3" t="n"/>
      <c r="AK882" s="12" t="n"/>
      <c r="AL882" s="12" t="n"/>
      <c r="AM882" s="12" t="n"/>
      <c r="AN882" s="12" t="n"/>
      <c r="AO882" s="12" t="n"/>
      <c r="AP882" s="12" t="n"/>
      <c r="AQ882" s="7">
        <f>IF(A882="","",IF(AP882&lt;&gt;"",AP882,IF(LEFT(Z882,11)="gads_marque","Google Search – Marque",IF(LEFT(Z882,12)="gads_mariage","Google Search – Mariage et privé",IF(LEFT(Z882,10)="gads_corpo","Google Search – Corporatif",IF(LEFT(Z882,5)="meta_","Meta – Leads",IF(LEFT(Z882,5)="msft_","Microsoft Ads",IF(LEFT(Z882,8)="chatgpt_","ChatGPT Ads – Test",IF(X882="gbp","Fiche Google (organique)","Autre / non payé")))))))))</f>
        <v/>
      </c>
      <c r="AR882" s="7">
        <f>IF(K882="","",IFERROR(VLOOKUP(K882,Listes!$F$3:$H$8,3,FALSE),""))</f>
        <v/>
      </c>
      <c r="AS882" s="7">
        <f>IF(O882="","",IF(AND(M882="Autre (plus de 40 km)",OR(O882="lt600",O882="600_999",O882="1000_2499")),"D",IF(OR(O882="lt600",AND(O882="600_999",K882&lt;&gt;"mariage",K882&lt;&gt;"prive")),"C",IF(OR(O882="2500_4999",O882="5000p",J882="entreprise",J882="organisme",J882="agence"),"A",IF(OR(O882="1000_2499",O882="600_999"),"B",IF(O882="inconnu",IF(OR(N882="75_149",N882="150p"),"A","B"),""))))))</f>
        <v/>
      </c>
      <c r="AT882" s="7">
        <f>IF(A882="","",IF(P882&lt;&gt;"",P882,AS882))</f>
        <v/>
      </c>
      <c r="AU882" s="7">
        <f>IF(A882="","",IF(OR(AT882="A",AT882="B"),1,0))</f>
        <v/>
      </c>
      <c r="AV882" s="7">
        <f>IF(A882="","",IF(OR(R882="Dépôt payé (gagné)",R882="Événement livré",R882="Avis obtenu"),1,0))</f>
        <v/>
      </c>
      <c r="AW882" s="7">
        <f>IF(A882="","",IF(Q882&gt;70,"Immédiat – propriétaire",IF(Q882&gt;=40,"15 min – personne de garde","Selon la route")))</f>
        <v/>
      </c>
      <c r="AX882" s="11">
        <f>IF(A882="","",IF(AT882="A",400,IF(AT882="B",150,0)))</f>
        <v/>
      </c>
      <c r="AY882" s="11">
        <f>IF(A882="","",IF(AV882=1,N(V882),IF(N(U882)&gt;0,ROUND(N(U882)*IFERROR(VLOOKUP(R882,Listes!$AE$3:$AG$12,2,FALSE),0),0),0)))</f>
        <v/>
      </c>
      <c r="AZ882" s="7">
        <f>IF(LEFT(A882,7)="EXEMPLE",1,0)</f>
        <v/>
      </c>
      <c r="BA882" s="7">
        <f>IF(AND(AV882=1,AZ882=0,AC882&lt;&gt;"",W882&lt;&gt;"",N(V882)&gt;0),COUNTIFS($AV$3:AV882,1,$AZ$3:AZ882,0,$AC$3:AC882,"&lt;&gt;",$W$3:W882,"&lt;&gt;",$V$3:V882,"&gt;0"),"")</f>
        <v/>
      </c>
    </row>
    <row r="883">
      <c r="A883" s="12" t="n"/>
      <c r="B883" s="13" t="n"/>
      <c r="C883" s="13" t="n"/>
      <c r="D883" s="7">
        <f>IF(OR(B883="",C883=""),"",ROUND((C883-B883)*1440,0))</f>
        <v/>
      </c>
      <c r="E883" s="12" t="n"/>
      <c r="F883" s="12" t="n"/>
      <c r="G883" s="12" t="n"/>
      <c r="H883" s="12" t="n"/>
      <c r="I883" s="12" t="n"/>
      <c r="J883" s="12" t="n"/>
      <c r="K883" s="12" t="n"/>
      <c r="L883" s="14" t="n"/>
      <c r="M883" s="12" t="n"/>
      <c r="N883" s="12" t="n"/>
      <c r="O883" s="12" t="n"/>
      <c r="P883" s="12" t="n"/>
      <c r="Q883" s="7">
        <f>IF(A883="","",IFERROR(VLOOKUP(O883,Listes!$R$3:$T$8,2,FALSE),0)+IFERROR(VLOOKUP(J883,Listes!$J$3:$L$6,2,FALSE),0)+IFERROR(VLOOKUP(N883,Listes!$N$3:$P$6,2,FALSE),0)+IF(OR(L883="",B883=""),0,IF(L883-INT(B883)&lt;10,8,IF(L883-INT(B883)&lt;=90,10,5)))+IFERROR(VLOOKUP(AN883,Listes!$V$3:$W$5,2,FALSE),0)+IFERROR(VLOOKUP(AO883,Listes!$Y$3:$Z$5,2,FALSE),0))</f>
        <v/>
      </c>
      <c r="R883" s="12" t="n"/>
      <c r="S883" s="12" t="n"/>
      <c r="T883" s="12" t="n"/>
      <c r="U883" s="15" t="n"/>
      <c r="V883" s="15" t="n"/>
      <c r="W883" s="13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3" t="n"/>
      <c r="AK883" s="12" t="n"/>
      <c r="AL883" s="12" t="n"/>
      <c r="AM883" s="12" t="n"/>
      <c r="AN883" s="12" t="n"/>
      <c r="AO883" s="12" t="n"/>
      <c r="AP883" s="12" t="n"/>
      <c r="AQ883" s="7">
        <f>IF(A883="","",IF(AP883&lt;&gt;"",AP883,IF(LEFT(Z883,11)="gads_marque","Google Search – Marque",IF(LEFT(Z883,12)="gads_mariage","Google Search – Mariage et privé",IF(LEFT(Z883,10)="gads_corpo","Google Search – Corporatif",IF(LEFT(Z883,5)="meta_","Meta – Leads",IF(LEFT(Z883,5)="msft_","Microsoft Ads",IF(LEFT(Z883,8)="chatgpt_","ChatGPT Ads – Test",IF(X883="gbp","Fiche Google (organique)","Autre / non payé")))))))))</f>
        <v/>
      </c>
      <c r="AR883" s="7">
        <f>IF(K883="","",IFERROR(VLOOKUP(K883,Listes!$F$3:$H$8,3,FALSE),""))</f>
        <v/>
      </c>
      <c r="AS883" s="7">
        <f>IF(O883="","",IF(AND(M883="Autre (plus de 40 km)",OR(O883="lt600",O883="600_999",O883="1000_2499")),"D",IF(OR(O883="lt600",AND(O883="600_999",K883&lt;&gt;"mariage",K883&lt;&gt;"prive")),"C",IF(OR(O883="2500_4999",O883="5000p",J883="entreprise",J883="organisme",J883="agence"),"A",IF(OR(O883="1000_2499",O883="600_999"),"B",IF(O883="inconnu",IF(OR(N883="75_149",N883="150p"),"A","B"),""))))))</f>
        <v/>
      </c>
      <c r="AT883" s="7">
        <f>IF(A883="","",IF(P883&lt;&gt;"",P883,AS883))</f>
        <v/>
      </c>
      <c r="AU883" s="7">
        <f>IF(A883="","",IF(OR(AT883="A",AT883="B"),1,0))</f>
        <v/>
      </c>
      <c r="AV883" s="7">
        <f>IF(A883="","",IF(OR(R883="Dépôt payé (gagné)",R883="Événement livré",R883="Avis obtenu"),1,0))</f>
        <v/>
      </c>
      <c r="AW883" s="7">
        <f>IF(A883="","",IF(Q883&gt;70,"Immédiat – propriétaire",IF(Q883&gt;=40,"15 min – personne de garde","Selon la route")))</f>
        <v/>
      </c>
      <c r="AX883" s="11">
        <f>IF(A883="","",IF(AT883="A",400,IF(AT883="B",150,0)))</f>
        <v/>
      </c>
      <c r="AY883" s="11">
        <f>IF(A883="","",IF(AV883=1,N(V883),IF(N(U883)&gt;0,ROUND(N(U883)*IFERROR(VLOOKUP(R883,Listes!$AE$3:$AG$12,2,FALSE),0),0),0)))</f>
        <v/>
      </c>
      <c r="AZ883" s="7">
        <f>IF(LEFT(A883,7)="EXEMPLE",1,0)</f>
        <v/>
      </c>
      <c r="BA883" s="7">
        <f>IF(AND(AV883=1,AZ883=0,AC883&lt;&gt;"",W883&lt;&gt;"",N(V883)&gt;0),COUNTIFS($AV$3:AV883,1,$AZ$3:AZ883,0,$AC$3:AC883,"&lt;&gt;",$W$3:W883,"&lt;&gt;",$V$3:V883,"&gt;0"),"")</f>
        <v/>
      </c>
    </row>
    <row r="884">
      <c r="A884" s="12" t="n"/>
      <c r="B884" s="13" t="n"/>
      <c r="C884" s="13" t="n"/>
      <c r="D884" s="7">
        <f>IF(OR(B884="",C884=""),"",ROUND((C884-B884)*1440,0))</f>
        <v/>
      </c>
      <c r="E884" s="12" t="n"/>
      <c r="F884" s="12" t="n"/>
      <c r="G884" s="12" t="n"/>
      <c r="H884" s="12" t="n"/>
      <c r="I884" s="12" t="n"/>
      <c r="J884" s="12" t="n"/>
      <c r="K884" s="12" t="n"/>
      <c r="L884" s="14" t="n"/>
      <c r="M884" s="12" t="n"/>
      <c r="N884" s="12" t="n"/>
      <c r="O884" s="12" t="n"/>
      <c r="P884" s="12" t="n"/>
      <c r="Q884" s="7">
        <f>IF(A884="","",IFERROR(VLOOKUP(O884,Listes!$R$3:$T$8,2,FALSE),0)+IFERROR(VLOOKUP(J884,Listes!$J$3:$L$6,2,FALSE),0)+IFERROR(VLOOKUP(N884,Listes!$N$3:$P$6,2,FALSE),0)+IF(OR(L884="",B884=""),0,IF(L884-INT(B884)&lt;10,8,IF(L884-INT(B884)&lt;=90,10,5)))+IFERROR(VLOOKUP(AN884,Listes!$V$3:$W$5,2,FALSE),0)+IFERROR(VLOOKUP(AO884,Listes!$Y$3:$Z$5,2,FALSE),0))</f>
        <v/>
      </c>
      <c r="R884" s="12" t="n"/>
      <c r="S884" s="12" t="n"/>
      <c r="T884" s="12" t="n"/>
      <c r="U884" s="15" t="n"/>
      <c r="V884" s="15" t="n"/>
      <c r="W884" s="13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3" t="n"/>
      <c r="AK884" s="12" t="n"/>
      <c r="AL884" s="12" t="n"/>
      <c r="AM884" s="12" t="n"/>
      <c r="AN884" s="12" t="n"/>
      <c r="AO884" s="12" t="n"/>
      <c r="AP884" s="12" t="n"/>
      <c r="AQ884" s="7">
        <f>IF(A884="","",IF(AP884&lt;&gt;"",AP884,IF(LEFT(Z884,11)="gads_marque","Google Search – Marque",IF(LEFT(Z884,12)="gads_mariage","Google Search – Mariage et privé",IF(LEFT(Z884,10)="gads_corpo","Google Search – Corporatif",IF(LEFT(Z884,5)="meta_","Meta – Leads",IF(LEFT(Z884,5)="msft_","Microsoft Ads",IF(LEFT(Z884,8)="chatgpt_","ChatGPT Ads – Test",IF(X884="gbp","Fiche Google (organique)","Autre / non payé")))))))))</f>
        <v/>
      </c>
      <c r="AR884" s="7">
        <f>IF(K884="","",IFERROR(VLOOKUP(K884,Listes!$F$3:$H$8,3,FALSE),""))</f>
        <v/>
      </c>
      <c r="AS884" s="7">
        <f>IF(O884="","",IF(AND(M884="Autre (plus de 40 km)",OR(O884="lt600",O884="600_999",O884="1000_2499")),"D",IF(OR(O884="lt600",AND(O884="600_999",K884&lt;&gt;"mariage",K884&lt;&gt;"prive")),"C",IF(OR(O884="2500_4999",O884="5000p",J884="entreprise",J884="organisme",J884="agence"),"A",IF(OR(O884="1000_2499",O884="600_999"),"B",IF(O884="inconnu",IF(OR(N884="75_149",N884="150p"),"A","B"),""))))))</f>
        <v/>
      </c>
      <c r="AT884" s="7">
        <f>IF(A884="","",IF(P884&lt;&gt;"",P884,AS884))</f>
        <v/>
      </c>
      <c r="AU884" s="7">
        <f>IF(A884="","",IF(OR(AT884="A",AT884="B"),1,0))</f>
        <v/>
      </c>
      <c r="AV884" s="7">
        <f>IF(A884="","",IF(OR(R884="Dépôt payé (gagné)",R884="Événement livré",R884="Avis obtenu"),1,0))</f>
        <v/>
      </c>
      <c r="AW884" s="7">
        <f>IF(A884="","",IF(Q884&gt;70,"Immédiat – propriétaire",IF(Q884&gt;=40,"15 min – personne de garde","Selon la route")))</f>
        <v/>
      </c>
      <c r="AX884" s="11">
        <f>IF(A884="","",IF(AT884="A",400,IF(AT884="B",150,0)))</f>
        <v/>
      </c>
      <c r="AY884" s="11">
        <f>IF(A884="","",IF(AV884=1,N(V884),IF(N(U884)&gt;0,ROUND(N(U884)*IFERROR(VLOOKUP(R884,Listes!$AE$3:$AG$12,2,FALSE),0),0),0)))</f>
        <v/>
      </c>
      <c r="AZ884" s="7">
        <f>IF(LEFT(A884,7)="EXEMPLE",1,0)</f>
        <v/>
      </c>
      <c r="BA884" s="7">
        <f>IF(AND(AV884=1,AZ884=0,AC884&lt;&gt;"",W884&lt;&gt;"",N(V884)&gt;0),COUNTIFS($AV$3:AV884,1,$AZ$3:AZ884,0,$AC$3:AC884,"&lt;&gt;",$W$3:W884,"&lt;&gt;",$V$3:V884,"&gt;0"),"")</f>
        <v/>
      </c>
    </row>
    <row r="885">
      <c r="A885" s="12" t="n"/>
      <c r="B885" s="13" t="n"/>
      <c r="C885" s="13" t="n"/>
      <c r="D885" s="7">
        <f>IF(OR(B885="",C885=""),"",ROUND((C885-B885)*1440,0))</f>
        <v/>
      </c>
      <c r="E885" s="12" t="n"/>
      <c r="F885" s="12" t="n"/>
      <c r="G885" s="12" t="n"/>
      <c r="H885" s="12" t="n"/>
      <c r="I885" s="12" t="n"/>
      <c r="J885" s="12" t="n"/>
      <c r="K885" s="12" t="n"/>
      <c r="L885" s="14" t="n"/>
      <c r="M885" s="12" t="n"/>
      <c r="N885" s="12" t="n"/>
      <c r="O885" s="12" t="n"/>
      <c r="P885" s="12" t="n"/>
      <c r="Q885" s="7">
        <f>IF(A885="","",IFERROR(VLOOKUP(O885,Listes!$R$3:$T$8,2,FALSE),0)+IFERROR(VLOOKUP(J885,Listes!$J$3:$L$6,2,FALSE),0)+IFERROR(VLOOKUP(N885,Listes!$N$3:$P$6,2,FALSE),0)+IF(OR(L885="",B885=""),0,IF(L885-INT(B885)&lt;10,8,IF(L885-INT(B885)&lt;=90,10,5)))+IFERROR(VLOOKUP(AN885,Listes!$V$3:$W$5,2,FALSE),0)+IFERROR(VLOOKUP(AO885,Listes!$Y$3:$Z$5,2,FALSE),0))</f>
        <v/>
      </c>
      <c r="R885" s="12" t="n"/>
      <c r="S885" s="12" t="n"/>
      <c r="T885" s="12" t="n"/>
      <c r="U885" s="15" t="n"/>
      <c r="V885" s="15" t="n"/>
      <c r="W885" s="13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3" t="n"/>
      <c r="AK885" s="12" t="n"/>
      <c r="AL885" s="12" t="n"/>
      <c r="AM885" s="12" t="n"/>
      <c r="AN885" s="12" t="n"/>
      <c r="AO885" s="12" t="n"/>
      <c r="AP885" s="12" t="n"/>
      <c r="AQ885" s="7">
        <f>IF(A885="","",IF(AP885&lt;&gt;"",AP885,IF(LEFT(Z885,11)="gads_marque","Google Search – Marque",IF(LEFT(Z885,12)="gads_mariage","Google Search – Mariage et privé",IF(LEFT(Z885,10)="gads_corpo","Google Search – Corporatif",IF(LEFT(Z885,5)="meta_","Meta – Leads",IF(LEFT(Z885,5)="msft_","Microsoft Ads",IF(LEFT(Z885,8)="chatgpt_","ChatGPT Ads – Test",IF(X885="gbp","Fiche Google (organique)","Autre / non payé")))))))))</f>
        <v/>
      </c>
      <c r="AR885" s="7">
        <f>IF(K885="","",IFERROR(VLOOKUP(K885,Listes!$F$3:$H$8,3,FALSE),""))</f>
        <v/>
      </c>
      <c r="AS885" s="7">
        <f>IF(O885="","",IF(AND(M885="Autre (plus de 40 km)",OR(O885="lt600",O885="600_999",O885="1000_2499")),"D",IF(OR(O885="lt600",AND(O885="600_999",K885&lt;&gt;"mariage",K885&lt;&gt;"prive")),"C",IF(OR(O885="2500_4999",O885="5000p",J885="entreprise",J885="organisme",J885="agence"),"A",IF(OR(O885="1000_2499",O885="600_999"),"B",IF(O885="inconnu",IF(OR(N885="75_149",N885="150p"),"A","B"),""))))))</f>
        <v/>
      </c>
      <c r="AT885" s="7">
        <f>IF(A885="","",IF(P885&lt;&gt;"",P885,AS885))</f>
        <v/>
      </c>
      <c r="AU885" s="7">
        <f>IF(A885="","",IF(OR(AT885="A",AT885="B"),1,0))</f>
        <v/>
      </c>
      <c r="AV885" s="7">
        <f>IF(A885="","",IF(OR(R885="Dépôt payé (gagné)",R885="Événement livré",R885="Avis obtenu"),1,0))</f>
        <v/>
      </c>
      <c r="AW885" s="7">
        <f>IF(A885="","",IF(Q885&gt;70,"Immédiat – propriétaire",IF(Q885&gt;=40,"15 min – personne de garde","Selon la route")))</f>
        <v/>
      </c>
      <c r="AX885" s="11">
        <f>IF(A885="","",IF(AT885="A",400,IF(AT885="B",150,0)))</f>
        <v/>
      </c>
      <c r="AY885" s="11">
        <f>IF(A885="","",IF(AV885=1,N(V885),IF(N(U885)&gt;0,ROUND(N(U885)*IFERROR(VLOOKUP(R885,Listes!$AE$3:$AG$12,2,FALSE),0),0),0)))</f>
        <v/>
      </c>
      <c r="AZ885" s="7">
        <f>IF(LEFT(A885,7)="EXEMPLE",1,0)</f>
        <v/>
      </c>
      <c r="BA885" s="7">
        <f>IF(AND(AV885=1,AZ885=0,AC885&lt;&gt;"",W885&lt;&gt;"",N(V885)&gt;0),COUNTIFS($AV$3:AV885,1,$AZ$3:AZ885,0,$AC$3:AC885,"&lt;&gt;",$W$3:W885,"&lt;&gt;",$V$3:V885,"&gt;0"),"")</f>
        <v/>
      </c>
    </row>
    <row r="886">
      <c r="A886" s="12" t="n"/>
      <c r="B886" s="13" t="n"/>
      <c r="C886" s="13" t="n"/>
      <c r="D886" s="7">
        <f>IF(OR(B886="",C886=""),"",ROUND((C886-B886)*1440,0))</f>
        <v/>
      </c>
      <c r="E886" s="12" t="n"/>
      <c r="F886" s="12" t="n"/>
      <c r="G886" s="12" t="n"/>
      <c r="H886" s="12" t="n"/>
      <c r="I886" s="12" t="n"/>
      <c r="J886" s="12" t="n"/>
      <c r="K886" s="12" t="n"/>
      <c r="L886" s="14" t="n"/>
      <c r="M886" s="12" t="n"/>
      <c r="N886" s="12" t="n"/>
      <c r="O886" s="12" t="n"/>
      <c r="P886" s="12" t="n"/>
      <c r="Q886" s="7">
        <f>IF(A886="","",IFERROR(VLOOKUP(O886,Listes!$R$3:$T$8,2,FALSE),0)+IFERROR(VLOOKUP(J886,Listes!$J$3:$L$6,2,FALSE),0)+IFERROR(VLOOKUP(N886,Listes!$N$3:$P$6,2,FALSE),0)+IF(OR(L886="",B886=""),0,IF(L886-INT(B886)&lt;10,8,IF(L886-INT(B886)&lt;=90,10,5)))+IFERROR(VLOOKUP(AN886,Listes!$V$3:$W$5,2,FALSE),0)+IFERROR(VLOOKUP(AO886,Listes!$Y$3:$Z$5,2,FALSE),0))</f>
        <v/>
      </c>
      <c r="R886" s="12" t="n"/>
      <c r="S886" s="12" t="n"/>
      <c r="T886" s="12" t="n"/>
      <c r="U886" s="15" t="n"/>
      <c r="V886" s="15" t="n"/>
      <c r="W886" s="13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3" t="n"/>
      <c r="AK886" s="12" t="n"/>
      <c r="AL886" s="12" t="n"/>
      <c r="AM886" s="12" t="n"/>
      <c r="AN886" s="12" t="n"/>
      <c r="AO886" s="12" t="n"/>
      <c r="AP886" s="12" t="n"/>
      <c r="AQ886" s="7">
        <f>IF(A886="","",IF(AP886&lt;&gt;"",AP886,IF(LEFT(Z886,11)="gads_marque","Google Search – Marque",IF(LEFT(Z886,12)="gads_mariage","Google Search – Mariage et privé",IF(LEFT(Z886,10)="gads_corpo","Google Search – Corporatif",IF(LEFT(Z886,5)="meta_","Meta – Leads",IF(LEFT(Z886,5)="msft_","Microsoft Ads",IF(LEFT(Z886,8)="chatgpt_","ChatGPT Ads – Test",IF(X886="gbp","Fiche Google (organique)","Autre / non payé")))))))))</f>
        <v/>
      </c>
      <c r="AR886" s="7">
        <f>IF(K886="","",IFERROR(VLOOKUP(K886,Listes!$F$3:$H$8,3,FALSE),""))</f>
        <v/>
      </c>
      <c r="AS886" s="7">
        <f>IF(O886="","",IF(AND(M886="Autre (plus de 40 km)",OR(O886="lt600",O886="600_999",O886="1000_2499")),"D",IF(OR(O886="lt600",AND(O886="600_999",K886&lt;&gt;"mariage",K886&lt;&gt;"prive")),"C",IF(OR(O886="2500_4999",O886="5000p",J886="entreprise",J886="organisme",J886="agence"),"A",IF(OR(O886="1000_2499",O886="600_999"),"B",IF(O886="inconnu",IF(OR(N886="75_149",N886="150p"),"A","B"),""))))))</f>
        <v/>
      </c>
      <c r="AT886" s="7">
        <f>IF(A886="","",IF(P886&lt;&gt;"",P886,AS886))</f>
        <v/>
      </c>
      <c r="AU886" s="7">
        <f>IF(A886="","",IF(OR(AT886="A",AT886="B"),1,0))</f>
        <v/>
      </c>
      <c r="AV886" s="7">
        <f>IF(A886="","",IF(OR(R886="Dépôt payé (gagné)",R886="Événement livré",R886="Avis obtenu"),1,0))</f>
        <v/>
      </c>
      <c r="AW886" s="7">
        <f>IF(A886="","",IF(Q886&gt;70,"Immédiat – propriétaire",IF(Q886&gt;=40,"15 min – personne de garde","Selon la route")))</f>
        <v/>
      </c>
      <c r="AX886" s="11">
        <f>IF(A886="","",IF(AT886="A",400,IF(AT886="B",150,0)))</f>
        <v/>
      </c>
      <c r="AY886" s="11">
        <f>IF(A886="","",IF(AV886=1,N(V886),IF(N(U886)&gt;0,ROUND(N(U886)*IFERROR(VLOOKUP(R886,Listes!$AE$3:$AG$12,2,FALSE),0),0),0)))</f>
        <v/>
      </c>
      <c r="AZ886" s="7">
        <f>IF(LEFT(A886,7)="EXEMPLE",1,0)</f>
        <v/>
      </c>
      <c r="BA886" s="7">
        <f>IF(AND(AV886=1,AZ886=0,AC886&lt;&gt;"",W886&lt;&gt;"",N(V886)&gt;0),COUNTIFS($AV$3:AV886,1,$AZ$3:AZ886,0,$AC$3:AC886,"&lt;&gt;",$W$3:W886,"&lt;&gt;",$V$3:V886,"&gt;0"),"")</f>
        <v/>
      </c>
    </row>
    <row r="887">
      <c r="A887" s="12" t="n"/>
      <c r="B887" s="13" t="n"/>
      <c r="C887" s="13" t="n"/>
      <c r="D887" s="7">
        <f>IF(OR(B887="",C887=""),"",ROUND((C887-B887)*1440,0))</f>
        <v/>
      </c>
      <c r="E887" s="12" t="n"/>
      <c r="F887" s="12" t="n"/>
      <c r="G887" s="12" t="n"/>
      <c r="H887" s="12" t="n"/>
      <c r="I887" s="12" t="n"/>
      <c r="J887" s="12" t="n"/>
      <c r="K887" s="12" t="n"/>
      <c r="L887" s="14" t="n"/>
      <c r="M887" s="12" t="n"/>
      <c r="N887" s="12" t="n"/>
      <c r="O887" s="12" t="n"/>
      <c r="P887" s="12" t="n"/>
      <c r="Q887" s="7">
        <f>IF(A887="","",IFERROR(VLOOKUP(O887,Listes!$R$3:$T$8,2,FALSE),0)+IFERROR(VLOOKUP(J887,Listes!$J$3:$L$6,2,FALSE),0)+IFERROR(VLOOKUP(N887,Listes!$N$3:$P$6,2,FALSE),0)+IF(OR(L887="",B887=""),0,IF(L887-INT(B887)&lt;10,8,IF(L887-INT(B887)&lt;=90,10,5)))+IFERROR(VLOOKUP(AN887,Listes!$V$3:$W$5,2,FALSE),0)+IFERROR(VLOOKUP(AO887,Listes!$Y$3:$Z$5,2,FALSE),0))</f>
        <v/>
      </c>
      <c r="R887" s="12" t="n"/>
      <c r="S887" s="12" t="n"/>
      <c r="T887" s="12" t="n"/>
      <c r="U887" s="15" t="n"/>
      <c r="V887" s="15" t="n"/>
      <c r="W887" s="13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3" t="n"/>
      <c r="AK887" s="12" t="n"/>
      <c r="AL887" s="12" t="n"/>
      <c r="AM887" s="12" t="n"/>
      <c r="AN887" s="12" t="n"/>
      <c r="AO887" s="12" t="n"/>
      <c r="AP887" s="12" t="n"/>
      <c r="AQ887" s="7">
        <f>IF(A887="","",IF(AP887&lt;&gt;"",AP887,IF(LEFT(Z887,11)="gads_marque","Google Search – Marque",IF(LEFT(Z887,12)="gads_mariage","Google Search – Mariage et privé",IF(LEFT(Z887,10)="gads_corpo","Google Search – Corporatif",IF(LEFT(Z887,5)="meta_","Meta – Leads",IF(LEFT(Z887,5)="msft_","Microsoft Ads",IF(LEFT(Z887,8)="chatgpt_","ChatGPT Ads – Test",IF(X887="gbp","Fiche Google (organique)","Autre / non payé")))))))))</f>
        <v/>
      </c>
      <c r="AR887" s="7">
        <f>IF(K887="","",IFERROR(VLOOKUP(K887,Listes!$F$3:$H$8,3,FALSE),""))</f>
        <v/>
      </c>
      <c r="AS887" s="7">
        <f>IF(O887="","",IF(AND(M887="Autre (plus de 40 km)",OR(O887="lt600",O887="600_999",O887="1000_2499")),"D",IF(OR(O887="lt600",AND(O887="600_999",K887&lt;&gt;"mariage",K887&lt;&gt;"prive")),"C",IF(OR(O887="2500_4999",O887="5000p",J887="entreprise",J887="organisme",J887="agence"),"A",IF(OR(O887="1000_2499",O887="600_999"),"B",IF(O887="inconnu",IF(OR(N887="75_149",N887="150p"),"A","B"),""))))))</f>
        <v/>
      </c>
      <c r="AT887" s="7">
        <f>IF(A887="","",IF(P887&lt;&gt;"",P887,AS887))</f>
        <v/>
      </c>
      <c r="AU887" s="7">
        <f>IF(A887="","",IF(OR(AT887="A",AT887="B"),1,0))</f>
        <v/>
      </c>
      <c r="AV887" s="7">
        <f>IF(A887="","",IF(OR(R887="Dépôt payé (gagné)",R887="Événement livré",R887="Avis obtenu"),1,0))</f>
        <v/>
      </c>
      <c r="AW887" s="7">
        <f>IF(A887="","",IF(Q887&gt;70,"Immédiat – propriétaire",IF(Q887&gt;=40,"15 min – personne de garde","Selon la route")))</f>
        <v/>
      </c>
      <c r="AX887" s="11">
        <f>IF(A887="","",IF(AT887="A",400,IF(AT887="B",150,0)))</f>
        <v/>
      </c>
      <c r="AY887" s="11">
        <f>IF(A887="","",IF(AV887=1,N(V887),IF(N(U887)&gt;0,ROUND(N(U887)*IFERROR(VLOOKUP(R887,Listes!$AE$3:$AG$12,2,FALSE),0),0),0)))</f>
        <v/>
      </c>
      <c r="AZ887" s="7">
        <f>IF(LEFT(A887,7)="EXEMPLE",1,0)</f>
        <v/>
      </c>
      <c r="BA887" s="7">
        <f>IF(AND(AV887=1,AZ887=0,AC887&lt;&gt;"",W887&lt;&gt;"",N(V887)&gt;0),COUNTIFS($AV$3:AV887,1,$AZ$3:AZ887,0,$AC$3:AC887,"&lt;&gt;",$W$3:W887,"&lt;&gt;",$V$3:V887,"&gt;0"),"")</f>
        <v/>
      </c>
    </row>
    <row r="888">
      <c r="A888" s="12" t="n"/>
      <c r="B888" s="13" t="n"/>
      <c r="C888" s="13" t="n"/>
      <c r="D888" s="7">
        <f>IF(OR(B888="",C888=""),"",ROUND((C888-B888)*1440,0))</f>
        <v/>
      </c>
      <c r="E888" s="12" t="n"/>
      <c r="F888" s="12" t="n"/>
      <c r="G888" s="12" t="n"/>
      <c r="H888" s="12" t="n"/>
      <c r="I888" s="12" t="n"/>
      <c r="J888" s="12" t="n"/>
      <c r="K888" s="12" t="n"/>
      <c r="L888" s="14" t="n"/>
      <c r="M888" s="12" t="n"/>
      <c r="N888" s="12" t="n"/>
      <c r="O888" s="12" t="n"/>
      <c r="P888" s="12" t="n"/>
      <c r="Q888" s="7">
        <f>IF(A888="","",IFERROR(VLOOKUP(O888,Listes!$R$3:$T$8,2,FALSE),0)+IFERROR(VLOOKUP(J888,Listes!$J$3:$L$6,2,FALSE),0)+IFERROR(VLOOKUP(N888,Listes!$N$3:$P$6,2,FALSE),0)+IF(OR(L888="",B888=""),0,IF(L888-INT(B888)&lt;10,8,IF(L888-INT(B888)&lt;=90,10,5)))+IFERROR(VLOOKUP(AN888,Listes!$V$3:$W$5,2,FALSE),0)+IFERROR(VLOOKUP(AO888,Listes!$Y$3:$Z$5,2,FALSE),0))</f>
        <v/>
      </c>
      <c r="R888" s="12" t="n"/>
      <c r="S888" s="12" t="n"/>
      <c r="T888" s="12" t="n"/>
      <c r="U888" s="15" t="n"/>
      <c r="V888" s="15" t="n"/>
      <c r="W888" s="13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3" t="n"/>
      <c r="AK888" s="12" t="n"/>
      <c r="AL888" s="12" t="n"/>
      <c r="AM888" s="12" t="n"/>
      <c r="AN888" s="12" t="n"/>
      <c r="AO888" s="12" t="n"/>
      <c r="AP888" s="12" t="n"/>
      <c r="AQ888" s="7">
        <f>IF(A888="","",IF(AP888&lt;&gt;"",AP888,IF(LEFT(Z888,11)="gads_marque","Google Search – Marque",IF(LEFT(Z888,12)="gads_mariage","Google Search – Mariage et privé",IF(LEFT(Z888,10)="gads_corpo","Google Search – Corporatif",IF(LEFT(Z888,5)="meta_","Meta – Leads",IF(LEFT(Z888,5)="msft_","Microsoft Ads",IF(LEFT(Z888,8)="chatgpt_","ChatGPT Ads – Test",IF(X888="gbp","Fiche Google (organique)","Autre / non payé")))))))))</f>
        <v/>
      </c>
      <c r="AR888" s="7">
        <f>IF(K888="","",IFERROR(VLOOKUP(K888,Listes!$F$3:$H$8,3,FALSE),""))</f>
        <v/>
      </c>
      <c r="AS888" s="7">
        <f>IF(O888="","",IF(AND(M888="Autre (plus de 40 km)",OR(O888="lt600",O888="600_999",O888="1000_2499")),"D",IF(OR(O888="lt600",AND(O888="600_999",K888&lt;&gt;"mariage",K888&lt;&gt;"prive")),"C",IF(OR(O888="2500_4999",O888="5000p",J888="entreprise",J888="organisme",J888="agence"),"A",IF(OR(O888="1000_2499",O888="600_999"),"B",IF(O888="inconnu",IF(OR(N888="75_149",N888="150p"),"A","B"),""))))))</f>
        <v/>
      </c>
      <c r="AT888" s="7">
        <f>IF(A888="","",IF(P888&lt;&gt;"",P888,AS888))</f>
        <v/>
      </c>
      <c r="AU888" s="7">
        <f>IF(A888="","",IF(OR(AT888="A",AT888="B"),1,0))</f>
        <v/>
      </c>
      <c r="AV888" s="7">
        <f>IF(A888="","",IF(OR(R888="Dépôt payé (gagné)",R888="Événement livré",R888="Avis obtenu"),1,0))</f>
        <v/>
      </c>
      <c r="AW888" s="7">
        <f>IF(A888="","",IF(Q888&gt;70,"Immédiat – propriétaire",IF(Q888&gt;=40,"15 min – personne de garde","Selon la route")))</f>
        <v/>
      </c>
      <c r="AX888" s="11">
        <f>IF(A888="","",IF(AT888="A",400,IF(AT888="B",150,0)))</f>
        <v/>
      </c>
      <c r="AY888" s="11">
        <f>IF(A888="","",IF(AV888=1,N(V888),IF(N(U888)&gt;0,ROUND(N(U888)*IFERROR(VLOOKUP(R888,Listes!$AE$3:$AG$12,2,FALSE),0),0),0)))</f>
        <v/>
      </c>
      <c r="AZ888" s="7">
        <f>IF(LEFT(A888,7)="EXEMPLE",1,0)</f>
        <v/>
      </c>
      <c r="BA888" s="7">
        <f>IF(AND(AV888=1,AZ888=0,AC888&lt;&gt;"",W888&lt;&gt;"",N(V888)&gt;0),COUNTIFS($AV$3:AV888,1,$AZ$3:AZ888,0,$AC$3:AC888,"&lt;&gt;",$W$3:W888,"&lt;&gt;",$V$3:V888,"&gt;0"),"")</f>
        <v/>
      </c>
    </row>
    <row r="889">
      <c r="A889" s="12" t="n"/>
      <c r="B889" s="13" t="n"/>
      <c r="C889" s="13" t="n"/>
      <c r="D889" s="7">
        <f>IF(OR(B889="",C889=""),"",ROUND((C889-B889)*1440,0))</f>
        <v/>
      </c>
      <c r="E889" s="12" t="n"/>
      <c r="F889" s="12" t="n"/>
      <c r="G889" s="12" t="n"/>
      <c r="H889" s="12" t="n"/>
      <c r="I889" s="12" t="n"/>
      <c r="J889" s="12" t="n"/>
      <c r="K889" s="12" t="n"/>
      <c r="L889" s="14" t="n"/>
      <c r="M889" s="12" t="n"/>
      <c r="N889" s="12" t="n"/>
      <c r="O889" s="12" t="n"/>
      <c r="P889" s="12" t="n"/>
      <c r="Q889" s="7">
        <f>IF(A889="","",IFERROR(VLOOKUP(O889,Listes!$R$3:$T$8,2,FALSE),0)+IFERROR(VLOOKUP(J889,Listes!$J$3:$L$6,2,FALSE),0)+IFERROR(VLOOKUP(N889,Listes!$N$3:$P$6,2,FALSE),0)+IF(OR(L889="",B889=""),0,IF(L889-INT(B889)&lt;10,8,IF(L889-INT(B889)&lt;=90,10,5)))+IFERROR(VLOOKUP(AN889,Listes!$V$3:$W$5,2,FALSE),0)+IFERROR(VLOOKUP(AO889,Listes!$Y$3:$Z$5,2,FALSE),0))</f>
        <v/>
      </c>
      <c r="R889" s="12" t="n"/>
      <c r="S889" s="12" t="n"/>
      <c r="T889" s="12" t="n"/>
      <c r="U889" s="15" t="n"/>
      <c r="V889" s="15" t="n"/>
      <c r="W889" s="13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3" t="n"/>
      <c r="AK889" s="12" t="n"/>
      <c r="AL889" s="12" t="n"/>
      <c r="AM889" s="12" t="n"/>
      <c r="AN889" s="12" t="n"/>
      <c r="AO889" s="12" t="n"/>
      <c r="AP889" s="12" t="n"/>
      <c r="AQ889" s="7">
        <f>IF(A889="","",IF(AP889&lt;&gt;"",AP889,IF(LEFT(Z889,11)="gads_marque","Google Search – Marque",IF(LEFT(Z889,12)="gads_mariage","Google Search – Mariage et privé",IF(LEFT(Z889,10)="gads_corpo","Google Search – Corporatif",IF(LEFT(Z889,5)="meta_","Meta – Leads",IF(LEFT(Z889,5)="msft_","Microsoft Ads",IF(LEFT(Z889,8)="chatgpt_","ChatGPT Ads – Test",IF(X889="gbp","Fiche Google (organique)","Autre / non payé")))))))))</f>
        <v/>
      </c>
      <c r="AR889" s="7">
        <f>IF(K889="","",IFERROR(VLOOKUP(K889,Listes!$F$3:$H$8,3,FALSE),""))</f>
        <v/>
      </c>
      <c r="AS889" s="7">
        <f>IF(O889="","",IF(AND(M889="Autre (plus de 40 km)",OR(O889="lt600",O889="600_999",O889="1000_2499")),"D",IF(OR(O889="lt600",AND(O889="600_999",K889&lt;&gt;"mariage",K889&lt;&gt;"prive")),"C",IF(OR(O889="2500_4999",O889="5000p",J889="entreprise",J889="organisme",J889="agence"),"A",IF(OR(O889="1000_2499",O889="600_999"),"B",IF(O889="inconnu",IF(OR(N889="75_149",N889="150p"),"A","B"),""))))))</f>
        <v/>
      </c>
      <c r="AT889" s="7">
        <f>IF(A889="","",IF(P889&lt;&gt;"",P889,AS889))</f>
        <v/>
      </c>
      <c r="AU889" s="7">
        <f>IF(A889="","",IF(OR(AT889="A",AT889="B"),1,0))</f>
        <v/>
      </c>
      <c r="AV889" s="7">
        <f>IF(A889="","",IF(OR(R889="Dépôt payé (gagné)",R889="Événement livré",R889="Avis obtenu"),1,0))</f>
        <v/>
      </c>
      <c r="AW889" s="7">
        <f>IF(A889="","",IF(Q889&gt;70,"Immédiat – propriétaire",IF(Q889&gt;=40,"15 min – personne de garde","Selon la route")))</f>
        <v/>
      </c>
      <c r="AX889" s="11">
        <f>IF(A889="","",IF(AT889="A",400,IF(AT889="B",150,0)))</f>
        <v/>
      </c>
      <c r="AY889" s="11">
        <f>IF(A889="","",IF(AV889=1,N(V889),IF(N(U889)&gt;0,ROUND(N(U889)*IFERROR(VLOOKUP(R889,Listes!$AE$3:$AG$12,2,FALSE),0),0),0)))</f>
        <v/>
      </c>
      <c r="AZ889" s="7">
        <f>IF(LEFT(A889,7)="EXEMPLE",1,0)</f>
        <v/>
      </c>
      <c r="BA889" s="7">
        <f>IF(AND(AV889=1,AZ889=0,AC889&lt;&gt;"",W889&lt;&gt;"",N(V889)&gt;0),COUNTIFS($AV$3:AV889,1,$AZ$3:AZ889,0,$AC$3:AC889,"&lt;&gt;",$W$3:W889,"&lt;&gt;",$V$3:V889,"&gt;0"),"")</f>
        <v/>
      </c>
    </row>
    <row r="890">
      <c r="A890" s="12" t="n"/>
      <c r="B890" s="13" t="n"/>
      <c r="C890" s="13" t="n"/>
      <c r="D890" s="7">
        <f>IF(OR(B890="",C890=""),"",ROUND((C890-B890)*1440,0))</f>
        <v/>
      </c>
      <c r="E890" s="12" t="n"/>
      <c r="F890" s="12" t="n"/>
      <c r="G890" s="12" t="n"/>
      <c r="H890" s="12" t="n"/>
      <c r="I890" s="12" t="n"/>
      <c r="J890" s="12" t="n"/>
      <c r="K890" s="12" t="n"/>
      <c r="L890" s="14" t="n"/>
      <c r="M890" s="12" t="n"/>
      <c r="N890" s="12" t="n"/>
      <c r="O890" s="12" t="n"/>
      <c r="P890" s="12" t="n"/>
      <c r="Q890" s="7">
        <f>IF(A890="","",IFERROR(VLOOKUP(O890,Listes!$R$3:$T$8,2,FALSE),0)+IFERROR(VLOOKUP(J890,Listes!$J$3:$L$6,2,FALSE),0)+IFERROR(VLOOKUP(N890,Listes!$N$3:$P$6,2,FALSE),0)+IF(OR(L890="",B890=""),0,IF(L890-INT(B890)&lt;10,8,IF(L890-INT(B890)&lt;=90,10,5)))+IFERROR(VLOOKUP(AN890,Listes!$V$3:$W$5,2,FALSE),0)+IFERROR(VLOOKUP(AO890,Listes!$Y$3:$Z$5,2,FALSE),0))</f>
        <v/>
      </c>
      <c r="R890" s="12" t="n"/>
      <c r="S890" s="12" t="n"/>
      <c r="T890" s="12" t="n"/>
      <c r="U890" s="15" t="n"/>
      <c r="V890" s="15" t="n"/>
      <c r="W890" s="13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3" t="n"/>
      <c r="AK890" s="12" t="n"/>
      <c r="AL890" s="12" t="n"/>
      <c r="AM890" s="12" t="n"/>
      <c r="AN890" s="12" t="n"/>
      <c r="AO890" s="12" t="n"/>
      <c r="AP890" s="12" t="n"/>
      <c r="AQ890" s="7">
        <f>IF(A890="","",IF(AP890&lt;&gt;"",AP890,IF(LEFT(Z890,11)="gads_marque","Google Search – Marque",IF(LEFT(Z890,12)="gads_mariage","Google Search – Mariage et privé",IF(LEFT(Z890,10)="gads_corpo","Google Search – Corporatif",IF(LEFT(Z890,5)="meta_","Meta – Leads",IF(LEFT(Z890,5)="msft_","Microsoft Ads",IF(LEFT(Z890,8)="chatgpt_","ChatGPT Ads – Test",IF(X890="gbp","Fiche Google (organique)","Autre / non payé")))))))))</f>
        <v/>
      </c>
      <c r="AR890" s="7">
        <f>IF(K890="","",IFERROR(VLOOKUP(K890,Listes!$F$3:$H$8,3,FALSE),""))</f>
        <v/>
      </c>
      <c r="AS890" s="7">
        <f>IF(O890="","",IF(AND(M890="Autre (plus de 40 km)",OR(O890="lt600",O890="600_999",O890="1000_2499")),"D",IF(OR(O890="lt600",AND(O890="600_999",K890&lt;&gt;"mariage",K890&lt;&gt;"prive")),"C",IF(OR(O890="2500_4999",O890="5000p",J890="entreprise",J890="organisme",J890="agence"),"A",IF(OR(O890="1000_2499",O890="600_999"),"B",IF(O890="inconnu",IF(OR(N890="75_149",N890="150p"),"A","B"),""))))))</f>
        <v/>
      </c>
      <c r="AT890" s="7">
        <f>IF(A890="","",IF(P890&lt;&gt;"",P890,AS890))</f>
        <v/>
      </c>
      <c r="AU890" s="7">
        <f>IF(A890="","",IF(OR(AT890="A",AT890="B"),1,0))</f>
        <v/>
      </c>
      <c r="AV890" s="7">
        <f>IF(A890="","",IF(OR(R890="Dépôt payé (gagné)",R890="Événement livré",R890="Avis obtenu"),1,0))</f>
        <v/>
      </c>
      <c r="AW890" s="7">
        <f>IF(A890="","",IF(Q890&gt;70,"Immédiat – propriétaire",IF(Q890&gt;=40,"15 min – personne de garde","Selon la route")))</f>
        <v/>
      </c>
      <c r="AX890" s="11">
        <f>IF(A890="","",IF(AT890="A",400,IF(AT890="B",150,0)))</f>
        <v/>
      </c>
      <c r="AY890" s="11">
        <f>IF(A890="","",IF(AV890=1,N(V890),IF(N(U890)&gt;0,ROUND(N(U890)*IFERROR(VLOOKUP(R890,Listes!$AE$3:$AG$12,2,FALSE),0),0),0)))</f>
        <v/>
      </c>
      <c r="AZ890" s="7">
        <f>IF(LEFT(A890,7)="EXEMPLE",1,0)</f>
        <v/>
      </c>
      <c r="BA890" s="7">
        <f>IF(AND(AV890=1,AZ890=0,AC890&lt;&gt;"",W890&lt;&gt;"",N(V890)&gt;0),COUNTIFS($AV$3:AV890,1,$AZ$3:AZ890,0,$AC$3:AC890,"&lt;&gt;",$W$3:W890,"&lt;&gt;",$V$3:V890,"&gt;0"),"")</f>
        <v/>
      </c>
    </row>
    <row r="891">
      <c r="A891" s="12" t="n"/>
      <c r="B891" s="13" t="n"/>
      <c r="C891" s="13" t="n"/>
      <c r="D891" s="7">
        <f>IF(OR(B891="",C891=""),"",ROUND((C891-B891)*1440,0))</f>
        <v/>
      </c>
      <c r="E891" s="12" t="n"/>
      <c r="F891" s="12" t="n"/>
      <c r="G891" s="12" t="n"/>
      <c r="H891" s="12" t="n"/>
      <c r="I891" s="12" t="n"/>
      <c r="J891" s="12" t="n"/>
      <c r="K891" s="12" t="n"/>
      <c r="L891" s="14" t="n"/>
      <c r="M891" s="12" t="n"/>
      <c r="N891" s="12" t="n"/>
      <c r="O891" s="12" t="n"/>
      <c r="P891" s="12" t="n"/>
      <c r="Q891" s="7">
        <f>IF(A891="","",IFERROR(VLOOKUP(O891,Listes!$R$3:$T$8,2,FALSE),0)+IFERROR(VLOOKUP(J891,Listes!$J$3:$L$6,2,FALSE),0)+IFERROR(VLOOKUP(N891,Listes!$N$3:$P$6,2,FALSE),0)+IF(OR(L891="",B891=""),0,IF(L891-INT(B891)&lt;10,8,IF(L891-INT(B891)&lt;=90,10,5)))+IFERROR(VLOOKUP(AN891,Listes!$V$3:$W$5,2,FALSE),0)+IFERROR(VLOOKUP(AO891,Listes!$Y$3:$Z$5,2,FALSE),0))</f>
        <v/>
      </c>
      <c r="R891" s="12" t="n"/>
      <c r="S891" s="12" t="n"/>
      <c r="T891" s="12" t="n"/>
      <c r="U891" s="15" t="n"/>
      <c r="V891" s="15" t="n"/>
      <c r="W891" s="13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3" t="n"/>
      <c r="AK891" s="12" t="n"/>
      <c r="AL891" s="12" t="n"/>
      <c r="AM891" s="12" t="n"/>
      <c r="AN891" s="12" t="n"/>
      <c r="AO891" s="12" t="n"/>
      <c r="AP891" s="12" t="n"/>
      <c r="AQ891" s="7">
        <f>IF(A891="","",IF(AP891&lt;&gt;"",AP891,IF(LEFT(Z891,11)="gads_marque","Google Search – Marque",IF(LEFT(Z891,12)="gads_mariage","Google Search – Mariage et privé",IF(LEFT(Z891,10)="gads_corpo","Google Search – Corporatif",IF(LEFT(Z891,5)="meta_","Meta – Leads",IF(LEFT(Z891,5)="msft_","Microsoft Ads",IF(LEFT(Z891,8)="chatgpt_","ChatGPT Ads – Test",IF(X891="gbp","Fiche Google (organique)","Autre / non payé")))))))))</f>
        <v/>
      </c>
      <c r="AR891" s="7">
        <f>IF(K891="","",IFERROR(VLOOKUP(K891,Listes!$F$3:$H$8,3,FALSE),""))</f>
        <v/>
      </c>
      <c r="AS891" s="7">
        <f>IF(O891="","",IF(AND(M891="Autre (plus de 40 km)",OR(O891="lt600",O891="600_999",O891="1000_2499")),"D",IF(OR(O891="lt600",AND(O891="600_999",K891&lt;&gt;"mariage",K891&lt;&gt;"prive")),"C",IF(OR(O891="2500_4999",O891="5000p",J891="entreprise",J891="organisme",J891="agence"),"A",IF(OR(O891="1000_2499",O891="600_999"),"B",IF(O891="inconnu",IF(OR(N891="75_149",N891="150p"),"A","B"),""))))))</f>
        <v/>
      </c>
      <c r="AT891" s="7">
        <f>IF(A891="","",IF(P891&lt;&gt;"",P891,AS891))</f>
        <v/>
      </c>
      <c r="AU891" s="7">
        <f>IF(A891="","",IF(OR(AT891="A",AT891="B"),1,0))</f>
        <v/>
      </c>
      <c r="AV891" s="7">
        <f>IF(A891="","",IF(OR(R891="Dépôt payé (gagné)",R891="Événement livré",R891="Avis obtenu"),1,0))</f>
        <v/>
      </c>
      <c r="AW891" s="7">
        <f>IF(A891="","",IF(Q891&gt;70,"Immédiat – propriétaire",IF(Q891&gt;=40,"15 min – personne de garde","Selon la route")))</f>
        <v/>
      </c>
      <c r="AX891" s="11">
        <f>IF(A891="","",IF(AT891="A",400,IF(AT891="B",150,0)))</f>
        <v/>
      </c>
      <c r="AY891" s="11">
        <f>IF(A891="","",IF(AV891=1,N(V891),IF(N(U891)&gt;0,ROUND(N(U891)*IFERROR(VLOOKUP(R891,Listes!$AE$3:$AG$12,2,FALSE),0),0),0)))</f>
        <v/>
      </c>
      <c r="AZ891" s="7">
        <f>IF(LEFT(A891,7)="EXEMPLE",1,0)</f>
        <v/>
      </c>
      <c r="BA891" s="7">
        <f>IF(AND(AV891=1,AZ891=0,AC891&lt;&gt;"",W891&lt;&gt;"",N(V891)&gt;0),COUNTIFS($AV$3:AV891,1,$AZ$3:AZ891,0,$AC$3:AC891,"&lt;&gt;",$W$3:W891,"&lt;&gt;",$V$3:V891,"&gt;0"),"")</f>
        <v/>
      </c>
    </row>
    <row r="892">
      <c r="A892" s="12" t="n"/>
      <c r="B892" s="13" t="n"/>
      <c r="C892" s="13" t="n"/>
      <c r="D892" s="7">
        <f>IF(OR(B892="",C892=""),"",ROUND((C892-B892)*1440,0))</f>
        <v/>
      </c>
      <c r="E892" s="12" t="n"/>
      <c r="F892" s="12" t="n"/>
      <c r="G892" s="12" t="n"/>
      <c r="H892" s="12" t="n"/>
      <c r="I892" s="12" t="n"/>
      <c r="J892" s="12" t="n"/>
      <c r="K892" s="12" t="n"/>
      <c r="L892" s="14" t="n"/>
      <c r="M892" s="12" t="n"/>
      <c r="N892" s="12" t="n"/>
      <c r="O892" s="12" t="n"/>
      <c r="P892" s="12" t="n"/>
      <c r="Q892" s="7">
        <f>IF(A892="","",IFERROR(VLOOKUP(O892,Listes!$R$3:$T$8,2,FALSE),0)+IFERROR(VLOOKUP(J892,Listes!$J$3:$L$6,2,FALSE),0)+IFERROR(VLOOKUP(N892,Listes!$N$3:$P$6,2,FALSE),0)+IF(OR(L892="",B892=""),0,IF(L892-INT(B892)&lt;10,8,IF(L892-INT(B892)&lt;=90,10,5)))+IFERROR(VLOOKUP(AN892,Listes!$V$3:$W$5,2,FALSE),0)+IFERROR(VLOOKUP(AO892,Listes!$Y$3:$Z$5,2,FALSE),0))</f>
        <v/>
      </c>
      <c r="R892" s="12" t="n"/>
      <c r="S892" s="12" t="n"/>
      <c r="T892" s="12" t="n"/>
      <c r="U892" s="15" t="n"/>
      <c r="V892" s="15" t="n"/>
      <c r="W892" s="13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3" t="n"/>
      <c r="AK892" s="12" t="n"/>
      <c r="AL892" s="12" t="n"/>
      <c r="AM892" s="12" t="n"/>
      <c r="AN892" s="12" t="n"/>
      <c r="AO892" s="12" t="n"/>
      <c r="AP892" s="12" t="n"/>
      <c r="AQ892" s="7">
        <f>IF(A892="","",IF(AP892&lt;&gt;"",AP892,IF(LEFT(Z892,11)="gads_marque","Google Search – Marque",IF(LEFT(Z892,12)="gads_mariage","Google Search – Mariage et privé",IF(LEFT(Z892,10)="gads_corpo","Google Search – Corporatif",IF(LEFT(Z892,5)="meta_","Meta – Leads",IF(LEFT(Z892,5)="msft_","Microsoft Ads",IF(LEFT(Z892,8)="chatgpt_","ChatGPT Ads – Test",IF(X892="gbp","Fiche Google (organique)","Autre / non payé")))))))))</f>
        <v/>
      </c>
      <c r="AR892" s="7">
        <f>IF(K892="","",IFERROR(VLOOKUP(K892,Listes!$F$3:$H$8,3,FALSE),""))</f>
        <v/>
      </c>
      <c r="AS892" s="7">
        <f>IF(O892="","",IF(AND(M892="Autre (plus de 40 km)",OR(O892="lt600",O892="600_999",O892="1000_2499")),"D",IF(OR(O892="lt600",AND(O892="600_999",K892&lt;&gt;"mariage",K892&lt;&gt;"prive")),"C",IF(OR(O892="2500_4999",O892="5000p",J892="entreprise",J892="organisme",J892="agence"),"A",IF(OR(O892="1000_2499",O892="600_999"),"B",IF(O892="inconnu",IF(OR(N892="75_149",N892="150p"),"A","B"),""))))))</f>
        <v/>
      </c>
      <c r="AT892" s="7">
        <f>IF(A892="","",IF(P892&lt;&gt;"",P892,AS892))</f>
        <v/>
      </c>
      <c r="AU892" s="7">
        <f>IF(A892="","",IF(OR(AT892="A",AT892="B"),1,0))</f>
        <v/>
      </c>
      <c r="AV892" s="7">
        <f>IF(A892="","",IF(OR(R892="Dépôt payé (gagné)",R892="Événement livré",R892="Avis obtenu"),1,0))</f>
        <v/>
      </c>
      <c r="AW892" s="7">
        <f>IF(A892="","",IF(Q892&gt;70,"Immédiat – propriétaire",IF(Q892&gt;=40,"15 min – personne de garde","Selon la route")))</f>
        <v/>
      </c>
      <c r="AX892" s="11">
        <f>IF(A892="","",IF(AT892="A",400,IF(AT892="B",150,0)))</f>
        <v/>
      </c>
      <c r="AY892" s="11">
        <f>IF(A892="","",IF(AV892=1,N(V892),IF(N(U892)&gt;0,ROUND(N(U892)*IFERROR(VLOOKUP(R892,Listes!$AE$3:$AG$12,2,FALSE),0),0),0)))</f>
        <v/>
      </c>
      <c r="AZ892" s="7">
        <f>IF(LEFT(A892,7)="EXEMPLE",1,0)</f>
        <v/>
      </c>
      <c r="BA892" s="7">
        <f>IF(AND(AV892=1,AZ892=0,AC892&lt;&gt;"",W892&lt;&gt;"",N(V892)&gt;0),COUNTIFS($AV$3:AV892,1,$AZ$3:AZ892,0,$AC$3:AC892,"&lt;&gt;",$W$3:W892,"&lt;&gt;",$V$3:V892,"&gt;0"),"")</f>
        <v/>
      </c>
    </row>
    <row r="893">
      <c r="A893" s="12" t="n"/>
      <c r="B893" s="13" t="n"/>
      <c r="C893" s="13" t="n"/>
      <c r="D893" s="7">
        <f>IF(OR(B893="",C893=""),"",ROUND((C893-B893)*1440,0))</f>
        <v/>
      </c>
      <c r="E893" s="12" t="n"/>
      <c r="F893" s="12" t="n"/>
      <c r="G893" s="12" t="n"/>
      <c r="H893" s="12" t="n"/>
      <c r="I893" s="12" t="n"/>
      <c r="J893" s="12" t="n"/>
      <c r="K893" s="12" t="n"/>
      <c r="L893" s="14" t="n"/>
      <c r="M893" s="12" t="n"/>
      <c r="N893" s="12" t="n"/>
      <c r="O893" s="12" t="n"/>
      <c r="P893" s="12" t="n"/>
      <c r="Q893" s="7">
        <f>IF(A893="","",IFERROR(VLOOKUP(O893,Listes!$R$3:$T$8,2,FALSE),0)+IFERROR(VLOOKUP(J893,Listes!$J$3:$L$6,2,FALSE),0)+IFERROR(VLOOKUP(N893,Listes!$N$3:$P$6,2,FALSE),0)+IF(OR(L893="",B893=""),0,IF(L893-INT(B893)&lt;10,8,IF(L893-INT(B893)&lt;=90,10,5)))+IFERROR(VLOOKUP(AN893,Listes!$V$3:$W$5,2,FALSE),0)+IFERROR(VLOOKUP(AO893,Listes!$Y$3:$Z$5,2,FALSE),0))</f>
        <v/>
      </c>
      <c r="R893" s="12" t="n"/>
      <c r="S893" s="12" t="n"/>
      <c r="T893" s="12" t="n"/>
      <c r="U893" s="15" t="n"/>
      <c r="V893" s="15" t="n"/>
      <c r="W893" s="13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3" t="n"/>
      <c r="AK893" s="12" t="n"/>
      <c r="AL893" s="12" t="n"/>
      <c r="AM893" s="12" t="n"/>
      <c r="AN893" s="12" t="n"/>
      <c r="AO893" s="12" t="n"/>
      <c r="AP893" s="12" t="n"/>
      <c r="AQ893" s="7">
        <f>IF(A893="","",IF(AP893&lt;&gt;"",AP893,IF(LEFT(Z893,11)="gads_marque","Google Search – Marque",IF(LEFT(Z893,12)="gads_mariage","Google Search – Mariage et privé",IF(LEFT(Z893,10)="gads_corpo","Google Search – Corporatif",IF(LEFT(Z893,5)="meta_","Meta – Leads",IF(LEFT(Z893,5)="msft_","Microsoft Ads",IF(LEFT(Z893,8)="chatgpt_","ChatGPT Ads – Test",IF(X893="gbp","Fiche Google (organique)","Autre / non payé")))))))))</f>
        <v/>
      </c>
      <c r="AR893" s="7">
        <f>IF(K893="","",IFERROR(VLOOKUP(K893,Listes!$F$3:$H$8,3,FALSE),""))</f>
        <v/>
      </c>
      <c r="AS893" s="7">
        <f>IF(O893="","",IF(AND(M893="Autre (plus de 40 km)",OR(O893="lt600",O893="600_999",O893="1000_2499")),"D",IF(OR(O893="lt600",AND(O893="600_999",K893&lt;&gt;"mariage",K893&lt;&gt;"prive")),"C",IF(OR(O893="2500_4999",O893="5000p",J893="entreprise",J893="organisme",J893="agence"),"A",IF(OR(O893="1000_2499",O893="600_999"),"B",IF(O893="inconnu",IF(OR(N893="75_149",N893="150p"),"A","B"),""))))))</f>
        <v/>
      </c>
      <c r="AT893" s="7">
        <f>IF(A893="","",IF(P893&lt;&gt;"",P893,AS893))</f>
        <v/>
      </c>
      <c r="AU893" s="7">
        <f>IF(A893="","",IF(OR(AT893="A",AT893="B"),1,0))</f>
        <v/>
      </c>
      <c r="AV893" s="7">
        <f>IF(A893="","",IF(OR(R893="Dépôt payé (gagné)",R893="Événement livré",R893="Avis obtenu"),1,0))</f>
        <v/>
      </c>
      <c r="AW893" s="7">
        <f>IF(A893="","",IF(Q893&gt;70,"Immédiat – propriétaire",IF(Q893&gt;=40,"15 min – personne de garde","Selon la route")))</f>
        <v/>
      </c>
      <c r="AX893" s="11">
        <f>IF(A893="","",IF(AT893="A",400,IF(AT893="B",150,0)))</f>
        <v/>
      </c>
      <c r="AY893" s="11">
        <f>IF(A893="","",IF(AV893=1,N(V893),IF(N(U893)&gt;0,ROUND(N(U893)*IFERROR(VLOOKUP(R893,Listes!$AE$3:$AG$12,2,FALSE),0),0),0)))</f>
        <v/>
      </c>
      <c r="AZ893" s="7">
        <f>IF(LEFT(A893,7)="EXEMPLE",1,0)</f>
        <v/>
      </c>
      <c r="BA893" s="7">
        <f>IF(AND(AV893=1,AZ893=0,AC893&lt;&gt;"",W893&lt;&gt;"",N(V893)&gt;0),COUNTIFS($AV$3:AV893,1,$AZ$3:AZ893,0,$AC$3:AC893,"&lt;&gt;",$W$3:W893,"&lt;&gt;",$V$3:V893,"&gt;0"),"")</f>
        <v/>
      </c>
    </row>
    <row r="894">
      <c r="A894" s="12" t="n"/>
      <c r="B894" s="13" t="n"/>
      <c r="C894" s="13" t="n"/>
      <c r="D894" s="7">
        <f>IF(OR(B894="",C894=""),"",ROUND((C894-B894)*1440,0))</f>
        <v/>
      </c>
      <c r="E894" s="12" t="n"/>
      <c r="F894" s="12" t="n"/>
      <c r="G894" s="12" t="n"/>
      <c r="H894" s="12" t="n"/>
      <c r="I894" s="12" t="n"/>
      <c r="J894" s="12" t="n"/>
      <c r="K894" s="12" t="n"/>
      <c r="L894" s="14" t="n"/>
      <c r="M894" s="12" t="n"/>
      <c r="N894" s="12" t="n"/>
      <c r="O894" s="12" t="n"/>
      <c r="P894" s="12" t="n"/>
      <c r="Q894" s="7">
        <f>IF(A894="","",IFERROR(VLOOKUP(O894,Listes!$R$3:$T$8,2,FALSE),0)+IFERROR(VLOOKUP(J894,Listes!$J$3:$L$6,2,FALSE),0)+IFERROR(VLOOKUP(N894,Listes!$N$3:$P$6,2,FALSE),0)+IF(OR(L894="",B894=""),0,IF(L894-INT(B894)&lt;10,8,IF(L894-INT(B894)&lt;=90,10,5)))+IFERROR(VLOOKUP(AN894,Listes!$V$3:$W$5,2,FALSE),0)+IFERROR(VLOOKUP(AO894,Listes!$Y$3:$Z$5,2,FALSE),0))</f>
        <v/>
      </c>
      <c r="R894" s="12" t="n"/>
      <c r="S894" s="12" t="n"/>
      <c r="T894" s="12" t="n"/>
      <c r="U894" s="15" t="n"/>
      <c r="V894" s="15" t="n"/>
      <c r="W894" s="13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3" t="n"/>
      <c r="AK894" s="12" t="n"/>
      <c r="AL894" s="12" t="n"/>
      <c r="AM894" s="12" t="n"/>
      <c r="AN894" s="12" t="n"/>
      <c r="AO894" s="12" t="n"/>
      <c r="AP894" s="12" t="n"/>
      <c r="AQ894" s="7">
        <f>IF(A894="","",IF(AP894&lt;&gt;"",AP894,IF(LEFT(Z894,11)="gads_marque","Google Search – Marque",IF(LEFT(Z894,12)="gads_mariage","Google Search – Mariage et privé",IF(LEFT(Z894,10)="gads_corpo","Google Search – Corporatif",IF(LEFT(Z894,5)="meta_","Meta – Leads",IF(LEFT(Z894,5)="msft_","Microsoft Ads",IF(LEFT(Z894,8)="chatgpt_","ChatGPT Ads – Test",IF(X894="gbp","Fiche Google (organique)","Autre / non payé")))))))))</f>
        <v/>
      </c>
      <c r="AR894" s="7">
        <f>IF(K894="","",IFERROR(VLOOKUP(K894,Listes!$F$3:$H$8,3,FALSE),""))</f>
        <v/>
      </c>
      <c r="AS894" s="7">
        <f>IF(O894="","",IF(AND(M894="Autre (plus de 40 km)",OR(O894="lt600",O894="600_999",O894="1000_2499")),"D",IF(OR(O894="lt600",AND(O894="600_999",K894&lt;&gt;"mariage",K894&lt;&gt;"prive")),"C",IF(OR(O894="2500_4999",O894="5000p",J894="entreprise",J894="organisme",J894="agence"),"A",IF(OR(O894="1000_2499",O894="600_999"),"B",IF(O894="inconnu",IF(OR(N894="75_149",N894="150p"),"A","B"),""))))))</f>
        <v/>
      </c>
      <c r="AT894" s="7">
        <f>IF(A894="","",IF(P894&lt;&gt;"",P894,AS894))</f>
        <v/>
      </c>
      <c r="AU894" s="7">
        <f>IF(A894="","",IF(OR(AT894="A",AT894="B"),1,0))</f>
        <v/>
      </c>
      <c r="AV894" s="7">
        <f>IF(A894="","",IF(OR(R894="Dépôt payé (gagné)",R894="Événement livré",R894="Avis obtenu"),1,0))</f>
        <v/>
      </c>
      <c r="AW894" s="7">
        <f>IF(A894="","",IF(Q894&gt;70,"Immédiat – propriétaire",IF(Q894&gt;=40,"15 min – personne de garde","Selon la route")))</f>
        <v/>
      </c>
      <c r="AX894" s="11">
        <f>IF(A894="","",IF(AT894="A",400,IF(AT894="B",150,0)))</f>
        <v/>
      </c>
      <c r="AY894" s="11">
        <f>IF(A894="","",IF(AV894=1,N(V894),IF(N(U894)&gt;0,ROUND(N(U894)*IFERROR(VLOOKUP(R894,Listes!$AE$3:$AG$12,2,FALSE),0),0),0)))</f>
        <v/>
      </c>
      <c r="AZ894" s="7">
        <f>IF(LEFT(A894,7)="EXEMPLE",1,0)</f>
        <v/>
      </c>
      <c r="BA894" s="7">
        <f>IF(AND(AV894=1,AZ894=0,AC894&lt;&gt;"",W894&lt;&gt;"",N(V894)&gt;0),COUNTIFS($AV$3:AV894,1,$AZ$3:AZ894,0,$AC$3:AC894,"&lt;&gt;",$W$3:W894,"&lt;&gt;",$V$3:V894,"&gt;0"),"")</f>
        <v/>
      </c>
    </row>
    <row r="895">
      <c r="A895" s="12" t="n"/>
      <c r="B895" s="13" t="n"/>
      <c r="C895" s="13" t="n"/>
      <c r="D895" s="7">
        <f>IF(OR(B895="",C895=""),"",ROUND((C895-B895)*1440,0))</f>
        <v/>
      </c>
      <c r="E895" s="12" t="n"/>
      <c r="F895" s="12" t="n"/>
      <c r="G895" s="12" t="n"/>
      <c r="H895" s="12" t="n"/>
      <c r="I895" s="12" t="n"/>
      <c r="J895" s="12" t="n"/>
      <c r="K895" s="12" t="n"/>
      <c r="L895" s="14" t="n"/>
      <c r="M895" s="12" t="n"/>
      <c r="N895" s="12" t="n"/>
      <c r="O895" s="12" t="n"/>
      <c r="P895" s="12" t="n"/>
      <c r="Q895" s="7">
        <f>IF(A895="","",IFERROR(VLOOKUP(O895,Listes!$R$3:$T$8,2,FALSE),0)+IFERROR(VLOOKUP(J895,Listes!$J$3:$L$6,2,FALSE),0)+IFERROR(VLOOKUP(N895,Listes!$N$3:$P$6,2,FALSE),0)+IF(OR(L895="",B895=""),0,IF(L895-INT(B895)&lt;10,8,IF(L895-INT(B895)&lt;=90,10,5)))+IFERROR(VLOOKUP(AN895,Listes!$V$3:$W$5,2,FALSE),0)+IFERROR(VLOOKUP(AO895,Listes!$Y$3:$Z$5,2,FALSE),0))</f>
        <v/>
      </c>
      <c r="R895" s="12" t="n"/>
      <c r="S895" s="12" t="n"/>
      <c r="T895" s="12" t="n"/>
      <c r="U895" s="15" t="n"/>
      <c r="V895" s="15" t="n"/>
      <c r="W895" s="13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3" t="n"/>
      <c r="AK895" s="12" t="n"/>
      <c r="AL895" s="12" t="n"/>
      <c r="AM895" s="12" t="n"/>
      <c r="AN895" s="12" t="n"/>
      <c r="AO895" s="12" t="n"/>
      <c r="AP895" s="12" t="n"/>
      <c r="AQ895" s="7">
        <f>IF(A895="","",IF(AP895&lt;&gt;"",AP895,IF(LEFT(Z895,11)="gads_marque","Google Search – Marque",IF(LEFT(Z895,12)="gads_mariage","Google Search – Mariage et privé",IF(LEFT(Z895,10)="gads_corpo","Google Search – Corporatif",IF(LEFT(Z895,5)="meta_","Meta – Leads",IF(LEFT(Z895,5)="msft_","Microsoft Ads",IF(LEFT(Z895,8)="chatgpt_","ChatGPT Ads – Test",IF(X895="gbp","Fiche Google (organique)","Autre / non payé")))))))))</f>
        <v/>
      </c>
      <c r="AR895" s="7">
        <f>IF(K895="","",IFERROR(VLOOKUP(K895,Listes!$F$3:$H$8,3,FALSE),""))</f>
        <v/>
      </c>
      <c r="AS895" s="7">
        <f>IF(O895="","",IF(AND(M895="Autre (plus de 40 km)",OR(O895="lt600",O895="600_999",O895="1000_2499")),"D",IF(OR(O895="lt600",AND(O895="600_999",K895&lt;&gt;"mariage",K895&lt;&gt;"prive")),"C",IF(OR(O895="2500_4999",O895="5000p",J895="entreprise",J895="organisme",J895="agence"),"A",IF(OR(O895="1000_2499",O895="600_999"),"B",IF(O895="inconnu",IF(OR(N895="75_149",N895="150p"),"A","B"),""))))))</f>
        <v/>
      </c>
      <c r="AT895" s="7">
        <f>IF(A895="","",IF(P895&lt;&gt;"",P895,AS895))</f>
        <v/>
      </c>
      <c r="AU895" s="7">
        <f>IF(A895="","",IF(OR(AT895="A",AT895="B"),1,0))</f>
        <v/>
      </c>
      <c r="AV895" s="7">
        <f>IF(A895="","",IF(OR(R895="Dépôt payé (gagné)",R895="Événement livré",R895="Avis obtenu"),1,0))</f>
        <v/>
      </c>
      <c r="AW895" s="7">
        <f>IF(A895="","",IF(Q895&gt;70,"Immédiat – propriétaire",IF(Q895&gt;=40,"15 min – personne de garde","Selon la route")))</f>
        <v/>
      </c>
      <c r="AX895" s="11">
        <f>IF(A895="","",IF(AT895="A",400,IF(AT895="B",150,0)))</f>
        <v/>
      </c>
      <c r="AY895" s="11">
        <f>IF(A895="","",IF(AV895=1,N(V895),IF(N(U895)&gt;0,ROUND(N(U895)*IFERROR(VLOOKUP(R895,Listes!$AE$3:$AG$12,2,FALSE),0),0),0)))</f>
        <v/>
      </c>
      <c r="AZ895" s="7">
        <f>IF(LEFT(A895,7)="EXEMPLE",1,0)</f>
        <v/>
      </c>
      <c r="BA895" s="7">
        <f>IF(AND(AV895=1,AZ895=0,AC895&lt;&gt;"",W895&lt;&gt;"",N(V895)&gt;0),COUNTIFS($AV$3:AV895,1,$AZ$3:AZ895,0,$AC$3:AC895,"&lt;&gt;",$W$3:W895,"&lt;&gt;",$V$3:V895,"&gt;0"),"")</f>
        <v/>
      </c>
    </row>
    <row r="896">
      <c r="A896" s="12" t="n"/>
      <c r="B896" s="13" t="n"/>
      <c r="C896" s="13" t="n"/>
      <c r="D896" s="7">
        <f>IF(OR(B896="",C896=""),"",ROUND((C896-B896)*1440,0))</f>
        <v/>
      </c>
      <c r="E896" s="12" t="n"/>
      <c r="F896" s="12" t="n"/>
      <c r="G896" s="12" t="n"/>
      <c r="H896" s="12" t="n"/>
      <c r="I896" s="12" t="n"/>
      <c r="J896" s="12" t="n"/>
      <c r="K896" s="12" t="n"/>
      <c r="L896" s="14" t="n"/>
      <c r="M896" s="12" t="n"/>
      <c r="N896" s="12" t="n"/>
      <c r="O896" s="12" t="n"/>
      <c r="P896" s="12" t="n"/>
      <c r="Q896" s="7">
        <f>IF(A896="","",IFERROR(VLOOKUP(O896,Listes!$R$3:$T$8,2,FALSE),0)+IFERROR(VLOOKUP(J896,Listes!$J$3:$L$6,2,FALSE),0)+IFERROR(VLOOKUP(N896,Listes!$N$3:$P$6,2,FALSE),0)+IF(OR(L896="",B896=""),0,IF(L896-INT(B896)&lt;10,8,IF(L896-INT(B896)&lt;=90,10,5)))+IFERROR(VLOOKUP(AN896,Listes!$V$3:$W$5,2,FALSE),0)+IFERROR(VLOOKUP(AO896,Listes!$Y$3:$Z$5,2,FALSE),0))</f>
        <v/>
      </c>
      <c r="R896" s="12" t="n"/>
      <c r="S896" s="12" t="n"/>
      <c r="T896" s="12" t="n"/>
      <c r="U896" s="15" t="n"/>
      <c r="V896" s="15" t="n"/>
      <c r="W896" s="13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3" t="n"/>
      <c r="AK896" s="12" t="n"/>
      <c r="AL896" s="12" t="n"/>
      <c r="AM896" s="12" t="n"/>
      <c r="AN896" s="12" t="n"/>
      <c r="AO896" s="12" t="n"/>
      <c r="AP896" s="12" t="n"/>
      <c r="AQ896" s="7">
        <f>IF(A896="","",IF(AP896&lt;&gt;"",AP896,IF(LEFT(Z896,11)="gads_marque","Google Search – Marque",IF(LEFT(Z896,12)="gads_mariage","Google Search – Mariage et privé",IF(LEFT(Z896,10)="gads_corpo","Google Search – Corporatif",IF(LEFT(Z896,5)="meta_","Meta – Leads",IF(LEFT(Z896,5)="msft_","Microsoft Ads",IF(LEFT(Z896,8)="chatgpt_","ChatGPT Ads – Test",IF(X896="gbp","Fiche Google (organique)","Autre / non payé")))))))))</f>
        <v/>
      </c>
      <c r="AR896" s="7">
        <f>IF(K896="","",IFERROR(VLOOKUP(K896,Listes!$F$3:$H$8,3,FALSE),""))</f>
        <v/>
      </c>
      <c r="AS896" s="7">
        <f>IF(O896="","",IF(AND(M896="Autre (plus de 40 km)",OR(O896="lt600",O896="600_999",O896="1000_2499")),"D",IF(OR(O896="lt600",AND(O896="600_999",K896&lt;&gt;"mariage",K896&lt;&gt;"prive")),"C",IF(OR(O896="2500_4999",O896="5000p",J896="entreprise",J896="organisme",J896="agence"),"A",IF(OR(O896="1000_2499",O896="600_999"),"B",IF(O896="inconnu",IF(OR(N896="75_149",N896="150p"),"A","B"),""))))))</f>
        <v/>
      </c>
      <c r="AT896" s="7">
        <f>IF(A896="","",IF(P896&lt;&gt;"",P896,AS896))</f>
        <v/>
      </c>
      <c r="AU896" s="7">
        <f>IF(A896="","",IF(OR(AT896="A",AT896="B"),1,0))</f>
        <v/>
      </c>
      <c r="AV896" s="7">
        <f>IF(A896="","",IF(OR(R896="Dépôt payé (gagné)",R896="Événement livré",R896="Avis obtenu"),1,0))</f>
        <v/>
      </c>
      <c r="AW896" s="7">
        <f>IF(A896="","",IF(Q896&gt;70,"Immédiat – propriétaire",IF(Q896&gt;=40,"15 min – personne de garde","Selon la route")))</f>
        <v/>
      </c>
      <c r="AX896" s="11">
        <f>IF(A896="","",IF(AT896="A",400,IF(AT896="B",150,0)))</f>
        <v/>
      </c>
      <c r="AY896" s="11">
        <f>IF(A896="","",IF(AV896=1,N(V896),IF(N(U896)&gt;0,ROUND(N(U896)*IFERROR(VLOOKUP(R896,Listes!$AE$3:$AG$12,2,FALSE),0),0),0)))</f>
        <v/>
      </c>
      <c r="AZ896" s="7">
        <f>IF(LEFT(A896,7)="EXEMPLE",1,0)</f>
        <v/>
      </c>
      <c r="BA896" s="7">
        <f>IF(AND(AV896=1,AZ896=0,AC896&lt;&gt;"",W896&lt;&gt;"",N(V896)&gt;0),COUNTIFS($AV$3:AV896,1,$AZ$3:AZ896,0,$AC$3:AC896,"&lt;&gt;",$W$3:W896,"&lt;&gt;",$V$3:V896,"&gt;0"),"")</f>
        <v/>
      </c>
    </row>
    <row r="897">
      <c r="A897" s="12" t="n"/>
      <c r="B897" s="13" t="n"/>
      <c r="C897" s="13" t="n"/>
      <c r="D897" s="7">
        <f>IF(OR(B897="",C897=""),"",ROUND((C897-B897)*1440,0))</f>
        <v/>
      </c>
      <c r="E897" s="12" t="n"/>
      <c r="F897" s="12" t="n"/>
      <c r="G897" s="12" t="n"/>
      <c r="H897" s="12" t="n"/>
      <c r="I897" s="12" t="n"/>
      <c r="J897" s="12" t="n"/>
      <c r="K897" s="12" t="n"/>
      <c r="L897" s="14" t="n"/>
      <c r="M897" s="12" t="n"/>
      <c r="N897" s="12" t="n"/>
      <c r="O897" s="12" t="n"/>
      <c r="P897" s="12" t="n"/>
      <c r="Q897" s="7">
        <f>IF(A897="","",IFERROR(VLOOKUP(O897,Listes!$R$3:$T$8,2,FALSE),0)+IFERROR(VLOOKUP(J897,Listes!$J$3:$L$6,2,FALSE),0)+IFERROR(VLOOKUP(N897,Listes!$N$3:$P$6,2,FALSE),0)+IF(OR(L897="",B897=""),0,IF(L897-INT(B897)&lt;10,8,IF(L897-INT(B897)&lt;=90,10,5)))+IFERROR(VLOOKUP(AN897,Listes!$V$3:$W$5,2,FALSE),0)+IFERROR(VLOOKUP(AO897,Listes!$Y$3:$Z$5,2,FALSE),0))</f>
        <v/>
      </c>
      <c r="R897" s="12" t="n"/>
      <c r="S897" s="12" t="n"/>
      <c r="T897" s="12" t="n"/>
      <c r="U897" s="15" t="n"/>
      <c r="V897" s="15" t="n"/>
      <c r="W897" s="13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3" t="n"/>
      <c r="AK897" s="12" t="n"/>
      <c r="AL897" s="12" t="n"/>
      <c r="AM897" s="12" t="n"/>
      <c r="AN897" s="12" t="n"/>
      <c r="AO897" s="12" t="n"/>
      <c r="AP897" s="12" t="n"/>
      <c r="AQ897" s="7">
        <f>IF(A897="","",IF(AP897&lt;&gt;"",AP897,IF(LEFT(Z897,11)="gads_marque","Google Search – Marque",IF(LEFT(Z897,12)="gads_mariage","Google Search – Mariage et privé",IF(LEFT(Z897,10)="gads_corpo","Google Search – Corporatif",IF(LEFT(Z897,5)="meta_","Meta – Leads",IF(LEFT(Z897,5)="msft_","Microsoft Ads",IF(LEFT(Z897,8)="chatgpt_","ChatGPT Ads – Test",IF(X897="gbp","Fiche Google (organique)","Autre / non payé")))))))))</f>
        <v/>
      </c>
      <c r="AR897" s="7">
        <f>IF(K897="","",IFERROR(VLOOKUP(K897,Listes!$F$3:$H$8,3,FALSE),""))</f>
        <v/>
      </c>
      <c r="AS897" s="7">
        <f>IF(O897="","",IF(AND(M897="Autre (plus de 40 km)",OR(O897="lt600",O897="600_999",O897="1000_2499")),"D",IF(OR(O897="lt600",AND(O897="600_999",K897&lt;&gt;"mariage",K897&lt;&gt;"prive")),"C",IF(OR(O897="2500_4999",O897="5000p",J897="entreprise",J897="organisme",J897="agence"),"A",IF(OR(O897="1000_2499",O897="600_999"),"B",IF(O897="inconnu",IF(OR(N897="75_149",N897="150p"),"A","B"),""))))))</f>
        <v/>
      </c>
      <c r="AT897" s="7">
        <f>IF(A897="","",IF(P897&lt;&gt;"",P897,AS897))</f>
        <v/>
      </c>
      <c r="AU897" s="7">
        <f>IF(A897="","",IF(OR(AT897="A",AT897="B"),1,0))</f>
        <v/>
      </c>
      <c r="AV897" s="7">
        <f>IF(A897="","",IF(OR(R897="Dépôt payé (gagné)",R897="Événement livré",R897="Avis obtenu"),1,0))</f>
        <v/>
      </c>
      <c r="AW897" s="7">
        <f>IF(A897="","",IF(Q897&gt;70,"Immédiat – propriétaire",IF(Q897&gt;=40,"15 min – personne de garde","Selon la route")))</f>
        <v/>
      </c>
      <c r="AX897" s="11">
        <f>IF(A897="","",IF(AT897="A",400,IF(AT897="B",150,0)))</f>
        <v/>
      </c>
      <c r="AY897" s="11">
        <f>IF(A897="","",IF(AV897=1,N(V897),IF(N(U897)&gt;0,ROUND(N(U897)*IFERROR(VLOOKUP(R897,Listes!$AE$3:$AG$12,2,FALSE),0),0),0)))</f>
        <v/>
      </c>
      <c r="AZ897" s="7">
        <f>IF(LEFT(A897,7)="EXEMPLE",1,0)</f>
        <v/>
      </c>
      <c r="BA897" s="7">
        <f>IF(AND(AV897=1,AZ897=0,AC897&lt;&gt;"",W897&lt;&gt;"",N(V897)&gt;0),COUNTIFS($AV$3:AV897,1,$AZ$3:AZ897,0,$AC$3:AC897,"&lt;&gt;",$W$3:W897,"&lt;&gt;",$V$3:V897,"&gt;0"),"")</f>
        <v/>
      </c>
    </row>
    <row r="898">
      <c r="A898" s="12" t="n"/>
      <c r="B898" s="13" t="n"/>
      <c r="C898" s="13" t="n"/>
      <c r="D898" s="7">
        <f>IF(OR(B898="",C898=""),"",ROUND((C898-B898)*1440,0))</f>
        <v/>
      </c>
      <c r="E898" s="12" t="n"/>
      <c r="F898" s="12" t="n"/>
      <c r="G898" s="12" t="n"/>
      <c r="H898" s="12" t="n"/>
      <c r="I898" s="12" t="n"/>
      <c r="J898" s="12" t="n"/>
      <c r="K898" s="12" t="n"/>
      <c r="L898" s="14" t="n"/>
      <c r="M898" s="12" t="n"/>
      <c r="N898" s="12" t="n"/>
      <c r="O898" s="12" t="n"/>
      <c r="P898" s="12" t="n"/>
      <c r="Q898" s="7">
        <f>IF(A898="","",IFERROR(VLOOKUP(O898,Listes!$R$3:$T$8,2,FALSE),0)+IFERROR(VLOOKUP(J898,Listes!$J$3:$L$6,2,FALSE),0)+IFERROR(VLOOKUP(N898,Listes!$N$3:$P$6,2,FALSE),0)+IF(OR(L898="",B898=""),0,IF(L898-INT(B898)&lt;10,8,IF(L898-INT(B898)&lt;=90,10,5)))+IFERROR(VLOOKUP(AN898,Listes!$V$3:$W$5,2,FALSE),0)+IFERROR(VLOOKUP(AO898,Listes!$Y$3:$Z$5,2,FALSE),0))</f>
        <v/>
      </c>
      <c r="R898" s="12" t="n"/>
      <c r="S898" s="12" t="n"/>
      <c r="T898" s="12" t="n"/>
      <c r="U898" s="15" t="n"/>
      <c r="V898" s="15" t="n"/>
      <c r="W898" s="13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3" t="n"/>
      <c r="AK898" s="12" t="n"/>
      <c r="AL898" s="12" t="n"/>
      <c r="AM898" s="12" t="n"/>
      <c r="AN898" s="12" t="n"/>
      <c r="AO898" s="12" t="n"/>
      <c r="AP898" s="12" t="n"/>
      <c r="AQ898" s="7">
        <f>IF(A898="","",IF(AP898&lt;&gt;"",AP898,IF(LEFT(Z898,11)="gads_marque","Google Search – Marque",IF(LEFT(Z898,12)="gads_mariage","Google Search – Mariage et privé",IF(LEFT(Z898,10)="gads_corpo","Google Search – Corporatif",IF(LEFT(Z898,5)="meta_","Meta – Leads",IF(LEFT(Z898,5)="msft_","Microsoft Ads",IF(LEFT(Z898,8)="chatgpt_","ChatGPT Ads – Test",IF(X898="gbp","Fiche Google (organique)","Autre / non payé")))))))))</f>
        <v/>
      </c>
      <c r="AR898" s="7">
        <f>IF(K898="","",IFERROR(VLOOKUP(K898,Listes!$F$3:$H$8,3,FALSE),""))</f>
        <v/>
      </c>
      <c r="AS898" s="7">
        <f>IF(O898="","",IF(AND(M898="Autre (plus de 40 km)",OR(O898="lt600",O898="600_999",O898="1000_2499")),"D",IF(OR(O898="lt600",AND(O898="600_999",K898&lt;&gt;"mariage",K898&lt;&gt;"prive")),"C",IF(OR(O898="2500_4999",O898="5000p",J898="entreprise",J898="organisme",J898="agence"),"A",IF(OR(O898="1000_2499",O898="600_999"),"B",IF(O898="inconnu",IF(OR(N898="75_149",N898="150p"),"A","B"),""))))))</f>
        <v/>
      </c>
      <c r="AT898" s="7">
        <f>IF(A898="","",IF(P898&lt;&gt;"",P898,AS898))</f>
        <v/>
      </c>
      <c r="AU898" s="7">
        <f>IF(A898="","",IF(OR(AT898="A",AT898="B"),1,0))</f>
        <v/>
      </c>
      <c r="AV898" s="7">
        <f>IF(A898="","",IF(OR(R898="Dépôt payé (gagné)",R898="Événement livré",R898="Avis obtenu"),1,0))</f>
        <v/>
      </c>
      <c r="AW898" s="7">
        <f>IF(A898="","",IF(Q898&gt;70,"Immédiat – propriétaire",IF(Q898&gt;=40,"15 min – personne de garde","Selon la route")))</f>
        <v/>
      </c>
      <c r="AX898" s="11">
        <f>IF(A898="","",IF(AT898="A",400,IF(AT898="B",150,0)))</f>
        <v/>
      </c>
      <c r="AY898" s="11">
        <f>IF(A898="","",IF(AV898=1,N(V898),IF(N(U898)&gt;0,ROUND(N(U898)*IFERROR(VLOOKUP(R898,Listes!$AE$3:$AG$12,2,FALSE),0),0),0)))</f>
        <v/>
      </c>
      <c r="AZ898" s="7">
        <f>IF(LEFT(A898,7)="EXEMPLE",1,0)</f>
        <v/>
      </c>
      <c r="BA898" s="7">
        <f>IF(AND(AV898=1,AZ898=0,AC898&lt;&gt;"",W898&lt;&gt;"",N(V898)&gt;0),COUNTIFS($AV$3:AV898,1,$AZ$3:AZ898,0,$AC$3:AC898,"&lt;&gt;",$W$3:W898,"&lt;&gt;",$V$3:V898,"&gt;0"),"")</f>
        <v/>
      </c>
    </row>
    <row r="899">
      <c r="A899" s="12" t="n"/>
      <c r="B899" s="13" t="n"/>
      <c r="C899" s="13" t="n"/>
      <c r="D899" s="7">
        <f>IF(OR(B899="",C899=""),"",ROUND((C899-B899)*1440,0))</f>
        <v/>
      </c>
      <c r="E899" s="12" t="n"/>
      <c r="F899" s="12" t="n"/>
      <c r="G899" s="12" t="n"/>
      <c r="H899" s="12" t="n"/>
      <c r="I899" s="12" t="n"/>
      <c r="J899" s="12" t="n"/>
      <c r="K899" s="12" t="n"/>
      <c r="L899" s="14" t="n"/>
      <c r="M899" s="12" t="n"/>
      <c r="N899" s="12" t="n"/>
      <c r="O899" s="12" t="n"/>
      <c r="P899" s="12" t="n"/>
      <c r="Q899" s="7">
        <f>IF(A899="","",IFERROR(VLOOKUP(O899,Listes!$R$3:$T$8,2,FALSE),0)+IFERROR(VLOOKUP(J899,Listes!$J$3:$L$6,2,FALSE),0)+IFERROR(VLOOKUP(N899,Listes!$N$3:$P$6,2,FALSE),0)+IF(OR(L899="",B899=""),0,IF(L899-INT(B899)&lt;10,8,IF(L899-INT(B899)&lt;=90,10,5)))+IFERROR(VLOOKUP(AN899,Listes!$V$3:$W$5,2,FALSE),0)+IFERROR(VLOOKUP(AO899,Listes!$Y$3:$Z$5,2,FALSE),0))</f>
        <v/>
      </c>
      <c r="R899" s="12" t="n"/>
      <c r="S899" s="12" t="n"/>
      <c r="T899" s="12" t="n"/>
      <c r="U899" s="15" t="n"/>
      <c r="V899" s="15" t="n"/>
      <c r="W899" s="13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3" t="n"/>
      <c r="AK899" s="12" t="n"/>
      <c r="AL899" s="12" t="n"/>
      <c r="AM899" s="12" t="n"/>
      <c r="AN899" s="12" t="n"/>
      <c r="AO899" s="12" t="n"/>
      <c r="AP899" s="12" t="n"/>
      <c r="AQ899" s="7">
        <f>IF(A899="","",IF(AP899&lt;&gt;"",AP899,IF(LEFT(Z899,11)="gads_marque","Google Search – Marque",IF(LEFT(Z899,12)="gads_mariage","Google Search – Mariage et privé",IF(LEFT(Z899,10)="gads_corpo","Google Search – Corporatif",IF(LEFT(Z899,5)="meta_","Meta – Leads",IF(LEFT(Z899,5)="msft_","Microsoft Ads",IF(LEFT(Z899,8)="chatgpt_","ChatGPT Ads – Test",IF(X899="gbp","Fiche Google (organique)","Autre / non payé")))))))))</f>
        <v/>
      </c>
      <c r="AR899" s="7">
        <f>IF(K899="","",IFERROR(VLOOKUP(K899,Listes!$F$3:$H$8,3,FALSE),""))</f>
        <v/>
      </c>
      <c r="AS899" s="7">
        <f>IF(O899="","",IF(AND(M899="Autre (plus de 40 km)",OR(O899="lt600",O899="600_999",O899="1000_2499")),"D",IF(OR(O899="lt600",AND(O899="600_999",K899&lt;&gt;"mariage",K899&lt;&gt;"prive")),"C",IF(OR(O899="2500_4999",O899="5000p",J899="entreprise",J899="organisme",J899="agence"),"A",IF(OR(O899="1000_2499",O899="600_999"),"B",IF(O899="inconnu",IF(OR(N899="75_149",N899="150p"),"A","B"),""))))))</f>
        <v/>
      </c>
      <c r="AT899" s="7">
        <f>IF(A899="","",IF(P899&lt;&gt;"",P899,AS899))</f>
        <v/>
      </c>
      <c r="AU899" s="7">
        <f>IF(A899="","",IF(OR(AT899="A",AT899="B"),1,0))</f>
        <v/>
      </c>
      <c r="AV899" s="7">
        <f>IF(A899="","",IF(OR(R899="Dépôt payé (gagné)",R899="Événement livré",R899="Avis obtenu"),1,0))</f>
        <v/>
      </c>
      <c r="AW899" s="7">
        <f>IF(A899="","",IF(Q899&gt;70,"Immédiat – propriétaire",IF(Q899&gt;=40,"15 min – personne de garde","Selon la route")))</f>
        <v/>
      </c>
      <c r="AX899" s="11">
        <f>IF(A899="","",IF(AT899="A",400,IF(AT899="B",150,0)))</f>
        <v/>
      </c>
      <c r="AY899" s="11">
        <f>IF(A899="","",IF(AV899=1,N(V899),IF(N(U899)&gt;0,ROUND(N(U899)*IFERROR(VLOOKUP(R899,Listes!$AE$3:$AG$12,2,FALSE),0),0),0)))</f>
        <v/>
      </c>
      <c r="AZ899" s="7">
        <f>IF(LEFT(A899,7)="EXEMPLE",1,0)</f>
        <v/>
      </c>
      <c r="BA899" s="7">
        <f>IF(AND(AV899=1,AZ899=0,AC899&lt;&gt;"",W899&lt;&gt;"",N(V899)&gt;0),COUNTIFS($AV$3:AV899,1,$AZ$3:AZ899,0,$AC$3:AC899,"&lt;&gt;",$W$3:W899,"&lt;&gt;",$V$3:V899,"&gt;0"),"")</f>
        <v/>
      </c>
    </row>
    <row r="900">
      <c r="A900" s="12" t="n"/>
      <c r="B900" s="13" t="n"/>
      <c r="C900" s="13" t="n"/>
      <c r="D900" s="7">
        <f>IF(OR(B900="",C900=""),"",ROUND((C900-B900)*1440,0))</f>
        <v/>
      </c>
      <c r="E900" s="12" t="n"/>
      <c r="F900" s="12" t="n"/>
      <c r="G900" s="12" t="n"/>
      <c r="H900" s="12" t="n"/>
      <c r="I900" s="12" t="n"/>
      <c r="J900" s="12" t="n"/>
      <c r="K900" s="12" t="n"/>
      <c r="L900" s="14" t="n"/>
      <c r="M900" s="12" t="n"/>
      <c r="N900" s="12" t="n"/>
      <c r="O900" s="12" t="n"/>
      <c r="P900" s="12" t="n"/>
      <c r="Q900" s="7">
        <f>IF(A900="","",IFERROR(VLOOKUP(O900,Listes!$R$3:$T$8,2,FALSE),0)+IFERROR(VLOOKUP(J900,Listes!$J$3:$L$6,2,FALSE),0)+IFERROR(VLOOKUP(N900,Listes!$N$3:$P$6,2,FALSE),0)+IF(OR(L900="",B900=""),0,IF(L900-INT(B900)&lt;10,8,IF(L900-INT(B900)&lt;=90,10,5)))+IFERROR(VLOOKUP(AN900,Listes!$V$3:$W$5,2,FALSE),0)+IFERROR(VLOOKUP(AO900,Listes!$Y$3:$Z$5,2,FALSE),0))</f>
        <v/>
      </c>
      <c r="R900" s="12" t="n"/>
      <c r="S900" s="12" t="n"/>
      <c r="T900" s="12" t="n"/>
      <c r="U900" s="15" t="n"/>
      <c r="V900" s="15" t="n"/>
      <c r="W900" s="13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3" t="n"/>
      <c r="AK900" s="12" t="n"/>
      <c r="AL900" s="12" t="n"/>
      <c r="AM900" s="12" t="n"/>
      <c r="AN900" s="12" t="n"/>
      <c r="AO900" s="12" t="n"/>
      <c r="AP900" s="12" t="n"/>
      <c r="AQ900" s="7">
        <f>IF(A900="","",IF(AP900&lt;&gt;"",AP900,IF(LEFT(Z900,11)="gads_marque","Google Search – Marque",IF(LEFT(Z900,12)="gads_mariage","Google Search – Mariage et privé",IF(LEFT(Z900,10)="gads_corpo","Google Search – Corporatif",IF(LEFT(Z900,5)="meta_","Meta – Leads",IF(LEFT(Z900,5)="msft_","Microsoft Ads",IF(LEFT(Z900,8)="chatgpt_","ChatGPT Ads – Test",IF(X900="gbp","Fiche Google (organique)","Autre / non payé")))))))))</f>
        <v/>
      </c>
      <c r="AR900" s="7">
        <f>IF(K900="","",IFERROR(VLOOKUP(K900,Listes!$F$3:$H$8,3,FALSE),""))</f>
        <v/>
      </c>
      <c r="AS900" s="7">
        <f>IF(O900="","",IF(AND(M900="Autre (plus de 40 km)",OR(O900="lt600",O900="600_999",O900="1000_2499")),"D",IF(OR(O900="lt600",AND(O900="600_999",K900&lt;&gt;"mariage",K900&lt;&gt;"prive")),"C",IF(OR(O900="2500_4999",O900="5000p",J900="entreprise",J900="organisme",J900="agence"),"A",IF(OR(O900="1000_2499",O900="600_999"),"B",IF(O900="inconnu",IF(OR(N900="75_149",N900="150p"),"A","B"),""))))))</f>
        <v/>
      </c>
      <c r="AT900" s="7">
        <f>IF(A900="","",IF(P900&lt;&gt;"",P900,AS900))</f>
        <v/>
      </c>
      <c r="AU900" s="7">
        <f>IF(A900="","",IF(OR(AT900="A",AT900="B"),1,0))</f>
        <v/>
      </c>
      <c r="AV900" s="7">
        <f>IF(A900="","",IF(OR(R900="Dépôt payé (gagné)",R900="Événement livré",R900="Avis obtenu"),1,0))</f>
        <v/>
      </c>
      <c r="AW900" s="7">
        <f>IF(A900="","",IF(Q900&gt;70,"Immédiat – propriétaire",IF(Q900&gt;=40,"15 min – personne de garde","Selon la route")))</f>
        <v/>
      </c>
      <c r="AX900" s="11">
        <f>IF(A900="","",IF(AT900="A",400,IF(AT900="B",150,0)))</f>
        <v/>
      </c>
      <c r="AY900" s="11">
        <f>IF(A900="","",IF(AV900=1,N(V900),IF(N(U900)&gt;0,ROUND(N(U900)*IFERROR(VLOOKUP(R900,Listes!$AE$3:$AG$12,2,FALSE),0),0),0)))</f>
        <v/>
      </c>
      <c r="AZ900" s="7">
        <f>IF(LEFT(A900,7)="EXEMPLE",1,0)</f>
        <v/>
      </c>
      <c r="BA900" s="7">
        <f>IF(AND(AV900=1,AZ900=0,AC900&lt;&gt;"",W900&lt;&gt;"",N(V900)&gt;0),COUNTIFS($AV$3:AV900,1,$AZ$3:AZ900,0,$AC$3:AC900,"&lt;&gt;",$W$3:W900,"&lt;&gt;",$V$3:V900,"&gt;0"),"")</f>
        <v/>
      </c>
    </row>
    <row r="901">
      <c r="A901" s="12" t="n"/>
      <c r="B901" s="13" t="n"/>
      <c r="C901" s="13" t="n"/>
      <c r="D901" s="7">
        <f>IF(OR(B901="",C901=""),"",ROUND((C901-B901)*1440,0))</f>
        <v/>
      </c>
      <c r="E901" s="12" t="n"/>
      <c r="F901" s="12" t="n"/>
      <c r="G901" s="12" t="n"/>
      <c r="H901" s="12" t="n"/>
      <c r="I901" s="12" t="n"/>
      <c r="J901" s="12" t="n"/>
      <c r="K901" s="12" t="n"/>
      <c r="L901" s="14" t="n"/>
      <c r="M901" s="12" t="n"/>
      <c r="N901" s="12" t="n"/>
      <c r="O901" s="12" t="n"/>
      <c r="P901" s="12" t="n"/>
      <c r="Q901" s="7">
        <f>IF(A901="","",IFERROR(VLOOKUP(O901,Listes!$R$3:$T$8,2,FALSE),0)+IFERROR(VLOOKUP(J901,Listes!$J$3:$L$6,2,FALSE),0)+IFERROR(VLOOKUP(N901,Listes!$N$3:$P$6,2,FALSE),0)+IF(OR(L901="",B901=""),0,IF(L901-INT(B901)&lt;10,8,IF(L901-INT(B901)&lt;=90,10,5)))+IFERROR(VLOOKUP(AN901,Listes!$V$3:$W$5,2,FALSE),0)+IFERROR(VLOOKUP(AO901,Listes!$Y$3:$Z$5,2,FALSE),0))</f>
        <v/>
      </c>
      <c r="R901" s="12" t="n"/>
      <c r="S901" s="12" t="n"/>
      <c r="T901" s="12" t="n"/>
      <c r="U901" s="15" t="n"/>
      <c r="V901" s="15" t="n"/>
      <c r="W901" s="13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3" t="n"/>
      <c r="AK901" s="12" t="n"/>
      <c r="AL901" s="12" t="n"/>
      <c r="AM901" s="12" t="n"/>
      <c r="AN901" s="12" t="n"/>
      <c r="AO901" s="12" t="n"/>
      <c r="AP901" s="12" t="n"/>
      <c r="AQ901" s="7">
        <f>IF(A901="","",IF(AP901&lt;&gt;"",AP901,IF(LEFT(Z901,11)="gads_marque","Google Search – Marque",IF(LEFT(Z901,12)="gads_mariage","Google Search – Mariage et privé",IF(LEFT(Z901,10)="gads_corpo","Google Search – Corporatif",IF(LEFT(Z901,5)="meta_","Meta – Leads",IF(LEFT(Z901,5)="msft_","Microsoft Ads",IF(LEFT(Z901,8)="chatgpt_","ChatGPT Ads – Test",IF(X901="gbp","Fiche Google (organique)","Autre / non payé")))))))))</f>
        <v/>
      </c>
      <c r="AR901" s="7">
        <f>IF(K901="","",IFERROR(VLOOKUP(K901,Listes!$F$3:$H$8,3,FALSE),""))</f>
        <v/>
      </c>
      <c r="AS901" s="7">
        <f>IF(O901="","",IF(AND(M901="Autre (plus de 40 km)",OR(O901="lt600",O901="600_999",O901="1000_2499")),"D",IF(OR(O901="lt600",AND(O901="600_999",K901&lt;&gt;"mariage",K901&lt;&gt;"prive")),"C",IF(OR(O901="2500_4999",O901="5000p",J901="entreprise",J901="organisme",J901="agence"),"A",IF(OR(O901="1000_2499",O901="600_999"),"B",IF(O901="inconnu",IF(OR(N901="75_149",N901="150p"),"A","B"),""))))))</f>
        <v/>
      </c>
      <c r="AT901" s="7">
        <f>IF(A901="","",IF(P901&lt;&gt;"",P901,AS901))</f>
        <v/>
      </c>
      <c r="AU901" s="7">
        <f>IF(A901="","",IF(OR(AT901="A",AT901="B"),1,0))</f>
        <v/>
      </c>
      <c r="AV901" s="7">
        <f>IF(A901="","",IF(OR(R901="Dépôt payé (gagné)",R901="Événement livré",R901="Avis obtenu"),1,0))</f>
        <v/>
      </c>
      <c r="AW901" s="7">
        <f>IF(A901="","",IF(Q901&gt;70,"Immédiat – propriétaire",IF(Q901&gt;=40,"15 min – personne de garde","Selon la route")))</f>
        <v/>
      </c>
      <c r="AX901" s="11">
        <f>IF(A901="","",IF(AT901="A",400,IF(AT901="B",150,0)))</f>
        <v/>
      </c>
      <c r="AY901" s="11">
        <f>IF(A901="","",IF(AV901=1,N(V901),IF(N(U901)&gt;0,ROUND(N(U901)*IFERROR(VLOOKUP(R901,Listes!$AE$3:$AG$12,2,FALSE),0),0),0)))</f>
        <v/>
      </c>
      <c r="AZ901" s="7">
        <f>IF(LEFT(A901,7)="EXEMPLE",1,0)</f>
        <v/>
      </c>
      <c r="BA901" s="7">
        <f>IF(AND(AV901=1,AZ901=0,AC901&lt;&gt;"",W901&lt;&gt;"",N(V901)&gt;0),COUNTIFS($AV$3:AV901,1,$AZ$3:AZ901,0,$AC$3:AC901,"&lt;&gt;",$W$3:W901,"&lt;&gt;",$V$3:V901,"&gt;0"),"")</f>
        <v/>
      </c>
    </row>
    <row r="902">
      <c r="A902" s="12" t="n"/>
      <c r="B902" s="13" t="n"/>
      <c r="C902" s="13" t="n"/>
      <c r="D902" s="7">
        <f>IF(OR(B902="",C902=""),"",ROUND((C902-B902)*1440,0))</f>
        <v/>
      </c>
      <c r="E902" s="12" t="n"/>
      <c r="F902" s="12" t="n"/>
      <c r="G902" s="12" t="n"/>
      <c r="H902" s="12" t="n"/>
      <c r="I902" s="12" t="n"/>
      <c r="J902" s="12" t="n"/>
      <c r="K902" s="12" t="n"/>
      <c r="L902" s="14" t="n"/>
      <c r="M902" s="12" t="n"/>
      <c r="N902" s="12" t="n"/>
      <c r="O902" s="12" t="n"/>
      <c r="P902" s="12" t="n"/>
      <c r="Q902" s="7">
        <f>IF(A902="","",IFERROR(VLOOKUP(O902,Listes!$R$3:$T$8,2,FALSE),0)+IFERROR(VLOOKUP(J902,Listes!$J$3:$L$6,2,FALSE),0)+IFERROR(VLOOKUP(N902,Listes!$N$3:$P$6,2,FALSE),0)+IF(OR(L902="",B902=""),0,IF(L902-INT(B902)&lt;10,8,IF(L902-INT(B902)&lt;=90,10,5)))+IFERROR(VLOOKUP(AN902,Listes!$V$3:$W$5,2,FALSE),0)+IFERROR(VLOOKUP(AO902,Listes!$Y$3:$Z$5,2,FALSE),0))</f>
        <v/>
      </c>
      <c r="R902" s="12" t="n"/>
      <c r="S902" s="12" t="n"/>
      <c r="T902" s="12" t="n"/>
      <c r="U902" s="15" t="n"/>
      <c r="V902" s="15" t="n"/>
      <c r="W902" s="13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3" t="n"/>
      <c r="AK902" s="12" t="n"/>
      <c r="AL902" s="12" t="n"/>
      <c r="AM902" s="12" t="n"/>
      <c r="AN902" s="12" t="n"/>
      <c r="AO902" s="12" t="n"/>
      <c r="AP902" s="12" t="n"/>
      <c r="AQ902" s="7">
        <f>IF(A902="","",IF(AP902&lt;&gt;"",AP902,IF(LEFT(Z902,11)="gads_marque","Google Search – Marque",IF(LEFT(Z902,12)="gads_mariage","Google Search – Mariage et privé",IF(LEFT(Z902,10)="gads_corpo","Google Search – Corporatif",IF(LEFT(Z902,5)="meta_","Meta – Leads",IF(LEFT(Z902,5)="msft_","Microsoft Ads",IF(LEFT(Z902,8)="chatgpt_","ChatGPT Ads – Test",IF(X902="gbp","Fiche Google (organique)","Autre / non payé")))))))))</f>
        <v/>
      </c>
      <c r="AR902" s="7">
        <f>IF(K902="","",IFERROR(VLOOKUP(K902,Listes!$F$3:$H$8,3,FALSE),""))</f>
        <v/>
      </c>
      <c r="AS902" s="7">
        <f>IF(O902="","",IF(AND(M902="Autre (plus de 40 km)",OR(O902="lt600",O902="600_999",O902="1000_2499")),"D",IF(OR(O902="lt600",AND(O902="600_999",K902&lt;&gt;"mariage",K902&lt;&gt;"prive")),"C",IF(OR(O902="2500_4999",O902="5000p",J902="entreprise",J902="organisme",J902="agence"),"A",IF(OR(O902="1000_2499",O902="600_999"),"B",IF(O902="inconnu",IF(OR(N902="75_149",N902="150p"),"A","B"),""))))))</f>
        <v/>
      </c>
      <c r="AT902" s="7">
        <f>IF(A902="","",IF(P902&lt;&gt;"",P902,AS902))</f>
        <v/>
      </c>
      <c r="AU902" s="7">
        <f>IF(A902="","",IF(OR(AT902="A",AT902="B"),1,0))</f>
        <v/>
      </c>
      <c r="AV902" s="7">
        <f>IF(A902="","",IF(OR(R902="Dépôt payé (gagné)",R902="Événement livré",R902="Avis obtenu"),1,0))</f>
        <v/>
      </c>
      <c r="AW902" s="7">
        <f>IF(A902="","",IF(Q902&gt;70,"Immédiat – propriétaire",IF(Q902&gt;=40,"15 min – personne de garde","Selon la route")))</f>
        <v/>
      </c>
      <c r="AX902" s="11">
        <f>IF(A902="","",IF(AT902="A",400,IF(AT902="B",150,0)))</f>
        <v/>
      </c>
      <c r="AY902" s="11">
        <f>IF(A902="","",IF(AV902=1,N(V902),IF(N(U902)&gt;0,ROUND(N(U902)*IFERROR(VLOOKUP(R902,Listes!$AE$3:$AG$12,2,FALSE),0),0),0)))</f>
        <v/>
      </c>
      <c r="AZ902" s="7">
        <f>IF(LEFT(A902,7)="EXEMPLE",1,0)</f>
        <v/>
      </c>
      <c r="BA902" s="7">
        <f>IF(AND(AV902=1,AZ902=0,AC902&lt;&gt;"",W902&lt;&gt;"",N(V902)&gt;0),COUNTIFS($AV$3:AV902,1,$AZ$3:AZ902,0,$AC$3:AC902,"&lt;&gt;",$W$3:W902,"&lt;&gt;",$V$3:V902,"&gt;0"),"")</f>
        <v/>
      </c>
    </row>
    <row r="903">
      <c r="A903" s="12" t="n"/>
      <c r="B903" s="13" t="n"/>
      <c r="C903" s="13" t="n"/>
      <c r="D903" s="7">
        <f>IF(OR(B903="",C903=""),"",ROUND((C903-B903)*1440,0))</f>
        <v/>
      </c>
      <c r="E903" s="12" t="n"/>
      <c r="F903" s="12" t="n"/>
      <c r="G903" s="12" t="n"/>
      <c r="H903" s="12" t="n"/>
      <c r="I903" s="12" t="n"/>
      <c r="J903" s="12" t="n"/>
      <c r="K903" s="12" t="n"/>
      <c r="L903" s="14" t="n"/>
      <c r="M903" s="12" t="n"/>
      <c r="N903" s="12" t="n"/>
      <c r="O903" s="12" t="n"/>
      <c r="P903" s="12" t="n"/>
      <c r="Q903" s="7">
        <f>IF(A903="","",IFERROR(VLOOKUP(O903,Listes!$R$3:$T$8,2,FALSE),0)+IFERROR(VLOOKUP(J903,Listes!$J$3:$L$6,2,FALSE),0)+IFERROR(VLOOKUP(N903,Listes!$N$3:$P$6,2,FALSE),0)+IF(OR(L903="",B903=""),0,IF(L903-INT(B903)&lt;10,8,IF(L903-INT(B903)&lt;=90,10,5)))+IFERROR(VLOOKUP(AN903,Listes!$V$3:$W$5,2,FALSE),0)+IFERROR(VLOOKUP(AO903,Listes!$Y$3:$Z$5,2,FALSE),0))</f>
        <v/>
      </c>
      <c r="R903" s="12" t="n"/>
      <c r="S903" s="12" t="n"/>
      <c r="T903" s="12" t="n"/>
      <c r="U903" s="15" t="n"/>
      <c r="V903" s="15" t="n"/>
      <c r="W903" s="13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3" t="n"/>
      <c r="AK903" s="12" t="n"/>
      <c r="AL903" s="12" t="n"/>
      <c r="AM903" s="12" t="n"/>
      <c r="AN903" s="12" t="n"/>
      <c r="AO903" s="12" t="n"/>
      <c r="AP903" s="12" t="n"/>
      <c r="AQ903" s="7">
        <f>IF(A903="","",IF(AP903&lt;&gt;"",AP903,IF(LEFT(Z903,11)="gads_marque","Google Search – Marque",IF(LEFT(Z903,12)="gads_mariage","Google Search – Mariage et privé",IF(LEFT(Z903,10)="gads_corpo","Google Search – Corporatif",IF(LEFT(Z903,5)="meta_","Meta – Leads",IF(LEFT(Z903,5)="msft_","Microsoft Ads",IF(LEFT(Z903,8)="chatgpt_","ChatGPT Ads – Test",IF(X903="gbp","Fiche Google (organique)","Autre / non payé")))))))))</f>
        <v/>
      </c>
      <c r="AR903" s="7">
        <f>IF(K903="","",IFERROR(VLOOKUP(K903,Listes!$F$3:$H$8,3,FALSE),""))</f>
        <v/>
      </c>
      <c r="AS903" s="7">
        <f>IF(O903="","",IF(AND(M903="Autre (plus de 40 km)",OR(O903="lt600",O903="600_999",O903="1000_2499")),"D",IF(OR(O903="lt600",AND(O903="600_999",K903&lt;&gt;"mariage",K903&lt;&gt;"prive")),"C",IF(OR(O903="2500_4999",O903="5000p",J903="entreprise",J903="organisme",J903="agence"),"A",IF(OR(O903="1000_2499",O903="600_999"),"B",IF(O903="inconnu",IF(OR(N903="75_149",N903="150p"),"A","B"),""))))))</f>
        <v/>
      </c>
      <c r="AT903" s="7">
        <f>IF(A903="","",IF(P903&lt;&gt;"",P903,AS903))</f>
        <v/>
      </c>
      <c r="AU903" s="7">
        <f>IF(A903="","",IF(OR(AT903="A",AT903="B"),1,0))</f>
        <v/>
      </c>
      <c r="AV903" s="7">
        <f>IF(A903="","",IF(OR(R903="Dépôt payé (gagné)",R903="Événement livré",R903="Avis obtenu"),1,0))</f>
        <v/>
      </c>
      <c r="AW903" s="7">
        <f>IF(A903="","",IF(Q903&gt;70,"Immédiat – propriétaire",IF(Q903&gt;=40,"15 min – personne de garde","Selon la route")))</f>
        <v/>
      </c>
      <c r="AX903" s="11">
        <f>IF(A903="","",IF(AT903="A",400,IF(AT903="B",150,0)))</f>
        <v/>
      </c>
      <c r="AY903" s="11">
        <f>IF(A903="","",IF(AV903=1,N(V903),IF(N(U903)&gt;0,ROUND(N(U903)*IFERROR(VLOOKUP(R903,Listes!$AE$3:$AG$12,2,FALSE),0),0),0)))</f>
        <v/>
      </c>
      <c r="AZ903" s="7">
        <f>IF(LEFT(A903,7)="EXEMPLE",1,0)</f>
        <v/>
      </c>
      <c r="BA903" s="7">
        <f>IF(AND(AV903=1,AZ903=0,AC903&lt;&gt;"",W903&lt;&gt;"",N(V903)&gt;0),COUNTIFS($AV$3:AV903,1,$AZ$3:AZ903,0,$AC$3:AC903,"&lt;&gt;",$W$3:W903,"&lt;&gt;",$V$3:V903,"&gt;0"),"")</f>
        <v/>
      </c>
    </row>
    <row r="904">
      <c r="A904" s="12" t="n"/>
      <c r="B904" s="13" t="n"/>
      <c r="C904" s="13" t="n"/>
      <c r="D904" s="7">
        <f>IF(OR(B904="",C904=""),"",ROUND((C904-B904)*1440,0))</f>
        <v/>
      </c>
      <c r="E904" s="12" t="n"/>
      <c r="F904" s="12" t="n"/>
      <c r="G904" s="12" t="n"/>
      <c r="H904" s="12" t="n"/>
      <c r="I904" s="12" t="n"/>
      <c r="J904" s="12" t="n"/>
      <c r="K904" s="12" t="n"/>
      <c r="L904" s="14" t="n"/>
      <c r="M904" s="12" t="n"/>
      <c r="N904" s="12" t="n"/>
      <c r="O904" s="12" t="n"/>
      <c r="P904" s="12" t="n"/>
      <c r="Q904" s="7">
        <f>IF(A904="","",IFERROR(VLOOKUP(O904,Listes!$R$3:$T$8,2,FALSE),0)+IFERROR(VLOOKUP(J904,Listes!$J$3:$L$6,2,FALSE),0)+IFERROR(VLOOKUP(N904,Listes!$N$3:$P$6,2,FALSE),0)+IF(OR(L904="",B904=""),0,IF(L904-INT(B904)&lt;10,8,IF(L904-INT(B904)&lt;=90,10,5)))+IFERROR(VLOOKUP(AN904,Listes!$V$3:$W$5,2,FALSE),0)+IFERROR(VLOOKUP(AO904,Listes!$Y$3:$Z$5,2,FALSE),0))</f>
        <v/>
      </c>
      <c r="R904" s="12" t="n"/>
      <c r="S904" s="12" t="n"/>
      <c r="T904" s="12" t="n"/>
      <c r="U904" s="15" t="n"/>
      <c r="V904" s="15" t="n"/>
      <c r="W904" s="13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3" t="n"/>
      <c r="AK904" s="12" t="n"/>
      <c r="AL904" s="12" t="n"/>
      <c r="AM904" s="12" t="n"/>
      <c r="AN904" s="12" t="n"/>
      <c r="AO904" s="12" t="n"/>
      <c r="AP904" s="12" t="n"/>
      <c r="AQ904" s="7">
        <f>IF(A904="","",IF(AP904&lt;&gt;"",AP904,IF(LEFT(Z904,11)="gads_marque","Google Search – Marque",IF(LEFT(Z904,12)="gads_mariage","Google Search – Mariage et privé",IF(LEFT(Z904,10)="gads_corpo","Google Search – Corporatif",IF(LEFT(Z904,5)="meta_","Meta – Leads",IF(LEFT(Z904,5)="msft_","Microsoft Ads",IF(LEFT(Z904,8)="chatgpt_","ChatGPT Ads – Test",IF(X904="gbp","Fiche Google (organique)","Autre / non payé")))))))))</f>
        <v/>
      </c>
      <c r="AR904" s="7">
        <f>IF(K904="","",IFERROR(VLOOKUP(K904,Listes!$F$3:$H$8,3,FALSE),""))</f>
        <v/>
      </c>
      <c r="AS904" s="7">
        <f>IF(O904="","",IF(AND(M904="Autre (plus de 40 km)",OR(O904="lt600",O904="600_999",O904="1000_2499")),"D",IF(OR(O904="lt600",AND(O904="600_999",K904&lt;&gt;"mariage",K904&lt;&gt;"prive")),"C",IF(OR(O904="2500_4999",O904="5000p",J904="entreprise",J904="organisme",J904="agence"),"A",IF(OR(O904="1000_2499",O904="600_999"),"B",IF(O904="inconnu",IF(OR(N904="75_149",N904="150p"),"A","B"),""))))))</f>
        <v/>
      </c>
      <c r="AT904" s="7">
        <f>IF(A904="","",IF(P904&lt;&gt;"",P904,AS904))</f>
        <v/>
      </c>
      <c r="AU904" s="7">
        <f>IF(A904="","",IF(OR(AT904="A",AT904="B"),1,0))</f>
        <v/>
      </c>
      <c r="AV904" s="7">
        <f>IF(A904="","",IF(OR(R904="Dépôt payé (gagné)",R904="Événement livré",R904="Avis obtenu"),1,0))</f>
        <v/>
      </c>
      <c r="AW904" s="7">
        <f>IF(A904="","",IF(Q904&gt;70,"Immédiat – propriétaire",IF(Q904&gt;=40,"15 min – personne de garde","Selon la route")))</f>
        <v/>
      </c>
      <c r="AX904" s="11">
        <f>IF(A904="","",IF(AT904="A",400,IF(AT904="B",150,0)))</f>
        <v/>
      </c>
      <c r="AY904" s="11">
        <f>IF(A904="","",IF(AV904=1,N(V904),IF(N(U904)&gt;0,ROUND(N(U904)*IFERROR(VLOOKUP(R904,Listes!$AE$3:$AG$12,2,FALSE),0),0),0)))</f>
        <v/>
      </c>
      <c r="AZ904" s="7">
        <f>IF(LEFT(A904,7)="EXEMPLE",1,0)</f>
        <v/>
      </c>
      <c r="BA904" s="7">
        <f>IF(AND(AV904=1,AZ904=0,AC904&lt;&gt;"",W904&lt;&gt;"",N(V904)&gt;0),COUNTIFS($AV$3:AV904,1,$AZ$3:AZ904,0,$AC$3:AC904,"&lt;&gt;",$W$3:W904,"&lt;&gt;",$V$3:V904,"&gt;0"),"")</f>
        <v/>
      </c>
    </row>
    <row r="905">
      <c r="A905" s="12" t="n"/>
      <c r="B905" s="13" t="n"/>
      <c r="C905" s="13" t="n"/>
      <c r="D905" s="7">
        <f>IF(OR(B905="",C905=""),"",ROUND((C905-B905)*1440,0))</f>
        <v/>
      </c>
      <c r="E905" s="12" t="n"/>
      <c r="F905" s="12" t="n"/>
      <c r="G905" s="12" t="n"/>
      <c r="H905" s="12" t="n"/>
      <c r="I905" s="12" t="n"/>
      <c r="J905" s="12" t="n"/>
      <c r="K905" s="12" t="n"/>
      <c r="L905" s="14" t="n"/>
      <c r="M905" s="12" t="n"/>
      <c r="N905" s="12" t="n"/>
      <c r="O905" s="12" t="n"/>
      <c r="P905" s="12" t="n"/>
      <c r="Q905" s="7">
        <f>IF(A905="","",IFERROR(VLOOKUP(O905,Listes!$R$3:$T$8,2,FALSE),0)+IFERROR(VLOOKUP(J905,Listes!$J$3:$L$6,2,FALSE),0)+IFERROR(VLOOKUP(N905,Listes!$N$3:$P$6,2,FALSE),0)+IF(OR(L905="",B905=""),0,IF(L905-INT(B905)&lt;10,8,IF(L905-INT(B905)&lt;=90,10,5)))+IFERROR(VLOOKUP(AN905,Listes!$V$3:$W$5,2,FALSE),0)+IFERROR(VLOOKUP(AO905,Listes!$Y$3:$Z$5,2,FALSE),0))</f>
        <v/>
      </c>
      <c r="R905" s="12" t="n"/>
      <c r="S905" s="12" t="n"/>
      <c r="T905" s="12" t="n"/>
      <c r="U905" s="15" t="n"/>
      <c r="V905" s="15" t="n"/>
      <c r="W905" s="13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3" t="n"/>
      <c r="AK905" s="12" t="n"/>
      <c r="AL905" s="12" t="n"/>
      <c r="AM905" s="12" t="n"/>
      <c r="AN905" s="12" t="n"/>
      <c r="AO905" s="12" t="n"/>
      <c r="AP905" s="12" t="n"/>
      <c r="AQ905" s="7">
        <f>IF(A905="","",IF(AP905&lt;&gt;"",AP905,IF(LEFT(Z905,11)="gads_marque","Google Search – Marque",IF(LEFT(Z905,12)="gads_mariage","Google Search – Mariage et privé",IF(LEFT(Z905,10)="gads_corpo","Google Search – Corporatif",IF(LEFT(Z905,5)="meta_","Meta – Leads",IF(LEFT(Z905,5)="msft_","Microsoft Ads",IF(LEFT(Z905,8)="chatgpt_","ChatGPT Ads – Test",IF(X905="gbp","Fiche Google (organique)","Autre / non payé")))))))))</f>
        <v/>
      </c>
      <c r="AR905" s="7">
        <f>IF(K905="","",IFERROR(VLOOKUP(K905,Listes!$F$3:$H$8,3,FALSE),""))</f>
        <v/>
      </c>
      <c r="AS905" s="7">
        <f>IF(O905="","",IF(AND(M905="Autre (plus de 40 km)",OR(O905="lt600",O905="600_999",O905="1000_2499")),"D",IF(OR(O905="lt600",AND(O905="600_999",K905&lt;&gt;"mariage",K905&lt;&gt;"prive")),"C",IF(OR(O905="2500_4999",O905="5000p",J905="entreprise",J905="organisme",J905="agence"),"A",IF(OR(O905="1000_2499",O905="600_999"),"B",IF(O905="inconnu",IF(OR(N905="75_149",N905="150p"),"A","B"),""))))))</f>
        <v/>
      </c>
      <c r="AT905" s="7">
        <f>IF(A905="","",IF(P905&lt;&gt;"",P905,AS905))</f>
        <v/>
      </c>
      <c r="AU905" s="7">
        <f>IF(A905="","",IF(OR(AT905="A",AT905="B"),1,0))</f>
        <v/>
      </c>
      <c r="AV905" s="7">
        <f>IF(A905="","",IF(OR(R905="Dépôt payé (gagné)",R905="Événement livré",R905="Avis obtenu"),1,0))</f>
        <v/>
      </c>
      <c r="AW905" s="7">
        <f>IF(A905="","",IF(Q905&gt;70,"Immédiat – propriétaire",IF(Q905&gt;=40,"15 min – personne de garde","Selon la route")))</f>
        <v/>
      </c>
      <c r="AX905" s="11">
        <f>IF(A905="","",IF(AT905="A",400,IF(AT905="B",150,0)))</f>
        <v/>
      </c>
      <c r="AY905" s="11">
        <f>IF(A905="","",IF(AV905=1,N(V905),IF(N(U905)&gt;0,ROUND(N(U905)*IFERROR(VLOOKUP(R905,Listes!$AE$3:$AG$12,2,FALSE),0),0),0)))</f>
        <v/>
      </c>
      <c r="AZ905" s="7">
        <f>IF(LEFT(A905,7)="EXEMPLE",1,0)</f>
        <v/>
      </c>
      <c r="BA905" s="7">
        <f>IF(AND(AV905=1,AZ905=0,AC905&lt;&gt;"",W905&lt;&gt;"",N(V905)&gt;0),COUNTIFS($AV$3:AV905,1,$AZ$3:AZ905,0,$AC$3:AC905,"&lt;&gt;",$W$3:W905,"&lt;&gt;",$V$3:V905,"&gt;0"),"")</f>
        <v/>
      </c>
    </row>
    <row r="906">
      <c r="A906" s="12" t="n"/>
      <c r="B906" s="13" t="n"/>
      <c r="C906" s="13" t="n"/>
      <c r="D906" s="7">
        <f>IF(OR(B906="",C906=""),"",ROUND((C906-B906)*1440,0))</f>
        <v/>
      </c>
      <c r="E906" s="12" t="n"/>
      <c r="F906" s="12" t="n"/>
      <c r="G906" s="12" t="n"/>
      <c r="H906" s="12" t="n"/>
      <c r="I906" s="12" t="n"/>
      <c r="J906" s="12" t="n"/>
      <c r="K906" s="12" t="n"/>
      <c r="L906" s="14" t="n"/>
      <c r="M906" s="12" t="n"/>
      <c r="N906" s="12" t="n"/>
      <c r="O906" s="12" t="n"/>
      <c r="P906" s="12" t="n"/>
      <c r="Q906" s="7">
        <f>IF(A906="","",IFERROR(VLOOKUP(O906,Listes!$R$3:$T$8,2,FALSE),0)+IFERROR(VLOOKUP(J906,Listes!$J$3:$L$6,2,FALSE),0)+IFERROR(VLOOKUP(N906,Listes!$N$3:$P$6,2,FALSE),0)+IF(OR(L906="",B906=""),0,IF(L906-INT(B906)&lt;10,8,IF(L906-INT(B906)&lt;=90,10,5)))+IFERROR(VLOOKUP(AN906,Listes!$V$3:$W$5,2,FALSE),0)+IFERROR(VLOOKUP(AO906,Listes!$Y$3:$Z$5,2,FALSE),0))</f>
        <v/>
      </c>
      <c r="R906" s="12" t="n"/>
      <c r="S906" s="12" t="n"/>
      <c r="T906" s="12" t="n"/>
      <c r="U906" s="15" t="n"/>
      <c r="V906" s="15" t="n"/>
      <c r="W906" s="13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3" t="n"/>
      <c r="AK906" s="12" t="n"/>
      <c r="AL906" s="12" t="n"/>
      <c r="AM906" s="12" t="n"/>
      <c r="AN906" s="12" t="n"/>
      <c r="AO906" s="12" t="n"/>
      <c r="AP906" s="12" t="n"/>
      <c r="AQ906" s="7">
        <f>IF(A906="","",IF(AP906&lt;&gt;"",AP906,IF(LEFT(Z906,11)="gads_marque","Google Search – Marque",IF(LEFT(Z906,12)="gads_mariage","Google Search – Mariage et privé",IF(LEFT(Z906,10)="gads_corpo","Google Search – Corporatif",IF(LEFT(Z906,5)="meta_","Meta – Leads",IF(LEFT(Z906,5)="msft_","Microsoft Ads",IF(LEFT(Z906,8)="chatgpt_","ChatGPT Ads – Test",IF(X906="gbp","Fiche Google (organique)","Autre / non payé")))))))))</f>
        <v/>
      </c>
      <c r="AR906" s="7">
        <f>IF(K906="","",IFERROR(VLOOKUP(K906,Listes!$F$3:$H$8,3,FALSE),""))</f>
        <v/>
      </c>
      <c r="AS906" s="7">
        <f>IF(O906="","",IF(AND(M906="Autre (plus de 40 km)",OR(O906="lt600",O906="600_999",O906="1000_2499")),"D",IF(OR(O906="lt600",AND(O906="600_999",K906&lt;&gt;"mariage",K906&lt;&gt;"prive")),"C",IF(OR(O906="2500_4999",O906="5000p",J906="entreprise",J906="organisme",J906="agence"),"A",IF(OR(O906="1000_2499",O906="600_999"),"B",IF(O906="inconnu",IF(OR(N906="75_149",N906="150p"),"A","B"),""))))))</f>
        <v/>
      </c>
      <c r="AT906" s="7">
        <f>IF(A906="","",IF(P906&lt;&gt;"",P906,AS906))</f>
        <v/>
      </c>
      <c r="AU906" s="7">
        <f>IF(A906="","",IF(OR(AT906="A",AT906="B"),1,0))</f>
        <v/>
      </c>
      <c r="AV906" s="7">
        <f>IF(A906="","",IF(OR(R906="Dépôt payé (gagné)",R906="Événement livré",R906="Avis obtenu"),1,0))</f>
        <v/>
      </c>
      <c r="AW906" s="7">
        <f>IF(A906="","",IF(Q906&gt;70,"Immédiat – propriétaire",IF(Q906&gt;=40,"15 min – personne de garde","Selon la route")))</f>
        <v/>
      </c>
      <c r="AX906" s="11">
        <f>IF(A906="","",IF(AT906="A",400,IF(AT906="B",150,0)))</f>
        <v/>
      </c>
      <c r="AY906" s="11">
        <f>IF(A906="","",IF(AV906=1,N(V906),IF(N(U906)&gt;0,ROUND(N(U906)*IFERROR(VLOOKUP(R906,Listes!$AE$3:$AG$12,2,FALSE),0),0),0)))</f>
        <v/>
      </c>
      <c r="AZ906" s="7">
        <f>IF(LEFT(A906,7)="EXEMPLE",1,0)</f>
        <v/>
      </c>
      <c r="BA906" s="7">
        <f>IF(AND(AV906=1,AZ906=0,AC906&lt;&gt;"",W906&lt;&gt;"",N(V906)&gt;0),COUNTIFS($AV$3:AV906,1,$AZ$3:AZ906,0,$AC$3:AC906,"&lt;&gt;",$W$3:W906,"&lt;&gt;",$V$3:V906,"&gt;0"),"")</f>
        <v/>
      </c>
    </row>
    <row r="907">
      <c r="A907" s="12" t="n"/>
      <c r="B907" s="13" t="n"/>
      <c r="C907" s="13" t="n"/>
      <c r="D907" s="7">
        <f>IF(OR(B907="",C907=""),"",ROUND((C907-B907)*1440,0))</f>
        <v/>
      </c>
      <c r="E907" s="12" t="n"/>
      <c r="F907" s="12" t="n"/>
      <c r="G907" s="12" t="n"/>
      <c r="H907" s="12" t="n"/>
      <c r="I907" s="12" t="n"/>
      <c r="J907" s="12" t="n"/>
      <c r="K907" s="12" t="n"/>
      <c r="L907" s="14" t="n"/>
      <c r="M907" s="12" t="n"/>
      <c r="N907" s="12" t="n"/>
      <c r="O907" s="12" t="n"/>
      <c r="P907" s="12" t="n"/>
      <c r="Q907" s="7">
        <f>IF(A907="","",IFERROR(VLOOKUP(O907,Listes!$R$3:$T$8,2,FALSE),0)+IFERROR(VLOOKUP(J907,Listes!$J$3:$L$6,2,FALSE),0)+IFERROR(VLOOKUP(N907,Listes!$N$3:$P$6,2,FALSE),0)+IF(OR(L907="",B907=""),0,IF(L907-INT(B907)&lt;10,8,IF(L907-INT(B907)&lt;=90,10,5)))+IFERROR(VLOOKUP(AN907,Listes!$V$3:$W$5,2,FALSE),0)+IFERROR(VLOOKUP(AO907,Listes!$Y$3:$Z$5,2,FALSE),0))</f>
        <v/>
      </c>
      <c r="R907" s="12" t="n"/>
      <c r="S907" s="12" t="n"/>
      <c r="T907" s="12" t="n"/>
      <c r="U907" s="15" t="n"/>
      <c r="V907" s="15" t="n"/>
      <c r="W907" s="13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3" t="n"/>
      <c r="AK907" s="12" t="n"/>
      <c r="AL907" s="12" t="n"/>
      <c r="AM907" s="12" t="n"/>
      <c r="AN907" s="12" t="n"/>
      <c r="AO907" s="12" t="n"/>
      <c r="AP907" s="12" t="n"/>
      <c r="AQ907" s="7">
        <f>IF(A907="","",IF(AP907&lt;&gt;"",AP907,IF(LEFT(Z907,11)="gads_marque","Google Search – Marque",IF(LEFT(Z907,12)="gads_mariage","Google Search – Mariage et privé",IF(LEFT(Z907,10)="gads_corpo","Google Search – Corporatif",IF(LEFT(Z907,5)="meta_","Meta – Leads",IF(LEFT(Z907,5)="msft_","Microsoft Ads",IF(LEFT(Z907,8)="chatgpt_","ChatGPT Ads – Test",IF(X907="gbp","Fiche Google (organique)","Autre / non payé")))))))))</f>
        <v/>
      </c>
      <c r="AR907" s="7">
        <f>IF(K907="","",IFERROR(VLOOKUP(K907,Listes!$F$3:$H$8,3,FALSE),""))</f>
        <v/>
      </c>
      <c r="AS907" s="7">
        <f>IF(O907="","",IF(AND(M907="Autre (plus de 40 km)",OR(O907="lt600",O907="600_999",O907="1000_2499")),"D",IF(OR(O907="lt600",AND(O907="600_999",K907&lt;&gt;"mariage",K907&lt;&gt;"prive")),"C",IF(OR(O907="2500_4999",O907="5000p",J907="entreprise",J907="organisme",J907="agence"),"A",IF(OR(O907="1000_2499",O907="600_999"),"B",IF(O907="inconnu",IF(OR(N907="75_149",N907="150p"),"A","B"),""))))))</f>
        <v/>
      </c>
      <c r="AT907" s="7">
        <f>IF(A907="","",IF(P907&lt;&gt;"",P907,AS907))</f>
        <v/>
      </c>
      <c r="AU907" s="7">
        <f>IF(A907="","",IF(OR(AT907="A",AT907="B"),1,0))</f>
        <v/>
      </c>
      <c r="AV907" s="7">
        <f>IF(A907="","",IF(OR(R907="Dépôt payé (gagné)",R907="Événement livré",R907="Avis obtenu"),1,0))</f>
        <v/>
      </c>
      <c r="AW907" s="7">
        <f>IF(A907="","",IF(Q907&gt;70,"Immédiat – propriétaire",IF(Q907&gt;=40,"15 min – personne de garde","Selon la route")))</f>
        <v/>
      </c>
      <c r="AX907" s="11">
        <f>IF(A907="","",IF(AT907="A",400,IF(AT907="B",150,0)))</f>
        <v/>
      </c>
      <c r="AY907" s="11">
        <f>IF(A907="","",IF(AV907=1,N(V907),IF(N(U907)&gt;0,ROUND(N(U907)*IFERROR(VLOOKUP(R907,Listes!$AE$3:$AG$12,2,FALSE),0),0),0)))</f>
        <v/>
      </c>
      <c r="AZ907" s="7">
        <f>IF(LEFT(A907,7)="EXEMPLE",1,0)</f>
        <v/>
      </c>
      <c r="BA907" s="7">
        <f>IF(AND(AV907=1,AZ907=0,AC907&lt;&gt;"",W907&lt;&gt;"",N(V907)&gt;0),COUNTIFS($AV$3:AV907,1,$AZ$3:AZ907,0,$AC$3:AC907,"&lt;&gt;",$W$3:W907,"&lt;&gt;",$V$3:V907,"&gt;0"),"")</f>
        <v/>
      </c>
    </row>
    <row r="908">
      <c r="A908" s="12" t="n"/>
      <c r="B908" s="13" t="n"/>
      <c r="C908" s="13" t="n"/>
      <c r="D908" s="7">
        <f>IF(OR(B908="",C908=""),"",ROUND((C908-B908)*1440,0))</f>
        <v/>
      </c>
      <c r="E908" s="12" t="n"/>
      <c r="F908" s="12" t="n"/>
      <c r="G908" s="12" t="n"/>
      <c r="H908" s="12" t="n"/>
      <c r="I908" s="12" t="n"/>
      <c r="J908" s="12" t="n"/>
      <c r="K908" s="12" t="n"/>
      <c r="L908" s="14" t="n"/>
      <c r="M908" s="12" t="n"/>
      <c r="N908" s="12" t="n"/>
      <c r="O908" s="12" t="n"/>
      <c r="P908" s="12" t="n"/>
      <c r="Q908" s="7">
        <f>IF(A908="","",IFERROR(VLOOKUP(O908,Listes!$R$3:$T$8,2,FALSE),0)+IFERROR(VLOOKUP(J908,Listes!$J$3:$L$6,2,FALSE),0)+IFERROR(VLOOKUP(N908,Listes!$N$3:$P$6,2,FALSE),0)+IF(OR(L908="",B908=""),0,IF(L908-INT(B908)&lt;10,8,IF(L908-INT(B908)&lt;=90,10,5)))+IFERROR(VLOOKUP(AN908,Listes!$V$3:$W$5,2,FALSE),0)+IFERROR(VLOOKUP(AO908,Listes!$Y$3:$Z$5,2,FALSE),0))</f>
        <v/>
      </c>
      <c r="R908" s="12" t="n"/>
      <c r="S908" s="12" t="n"/>
      <c r="T908" s="12" t="n"/>
      <c r="U908" s="15" t="n"/>
      <c r="V908" s="15" t="n"/>
      <c r="W908" s="13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3" t="n"/>
      <c r="AK908" s="12" t="n"/>
      <c r="AL908" s="12" t="n"/>
      <c r="AM908" s="12" t="n"/>
      <c r="AN908" s="12" t="n"/>
      <c r="AO908" s="12" t="n"/>
      <c r="AP908" s="12" t="n"/>
      <c r="AQ908" s="7">
        <f>IF(A908="","",IF(AP908&lt;&gt;"",AP908,IF(LEFT(Z908,11)="gads_marque","Google Search – Marque",IF(LEFT(Z908,12)="gads_mariage","Google Search – Mariage et privé",IF(LEFT(Z908,10)="gads_corpo","Google Search – Corporatif",IF(LEFT(Z908,5)="meta_","Meta – Leads",IF(LEFT(Z908,5)="msft_","Microsoft Ads",IF(LEFT(Z908,8)="chatgpt_","ChatGPT Ads – Test",IF(X908="gbp","Fiche Google (organique)","Autre / non payé")))))))))</f>
        <v/>
      </c>
      <c r="AR908" s="7">
        <f>IF(K908="","",IFERROR(VLOOKUP(K908,Listes!$F$3:$H$8,3,FALSE),""))</f>
        <v/>
      </c>
      <c r="AS908" s="7">
        <f>IF(O908="","",IF(AND(M908="Autre (plus de 40 km)",OR(O908="lt600",O908="600_999",O908="1000_2499")),"D",IF(OR(O908="lt600",AND(O908="600_999",K908&lt;&gt;"mariage",K908&lt;&gt;"prive")),"C",IF(OR(O908="2500_4999",O908="5000p",J908="entreprise",J908="organisme",J908="agence"),"A",IF(OR(O908="1000_2499",O908="600_999"),"B",IF(O908="inconnu",IF(OR(N908="75_149",N908="150p"),"A","B"),""))))))</f>
        <v/>
      </c>
      <c r="AT908" s="7">
        <f>IF(A908="","",IF(P908&lt;&gt;"",P908,AS908))</f>
        <v/>
      </c>
      <c r="AU908" s="7">
        <f>IF(A908="","",IF(OR(AT908="A",AT908="B"),1,0))</f>
        <v/>
      </c>
      <c r="AV908" s="7">
        <f>IF(A908="","",IF(OR(R908="Dépôt payé (gagné)",R908="Événement livré",R908="Avis obtenu"),1,0))</f>
        <v/>
      </c>
      <c r="AW908" s="7">
        <f>IF(A908="","",IF(Q908&gt;70,"Immédiat – propriétaire",IF(Q908&gt;=40,"15 min – personne de garde","Selon la route")))</f>
        <v/>
      </c>
      <c r="AX908" s="11">
        <f>IF(A908="","",IF(AT908="A",400,IF(AT908="B",150,0)))</f>
        <v/>
      </c>
      <c r="AY908" s="11">
        <f>IF(A908="","",IF(AV908=1,N(V908),IF(N(U908)&gt;0,ROUND(N(U908)*IFERROR(VLOOKUP(R908,Listes!$AE$3:$AG$12,2,FALSE),0),0),0)))</f>
        <v/>
      </c>
      <c r="AZ908" s="7">
        <f>IF(LEFT(A908,7)="EXEMPLE",1,0)</f>
        <v/>
      </c>
      <c r="BA908" s="7">
        <f>IF(AND(AV908=1,AZ908=0,AC908&lt;&gt;"",W908&lt;&gt;"",N(V908)&gt;0),COUNTIFS($AV$3:AV908,1,$AZ$3:AZ908,0,$AC$3:AC908,"&lt;&gt;",$W$3:W908,"&lt;&gt;",$V$3:V908,"&gt;0"),"")</f>
        <v/>
      </c>
    </row>
    <row r="909">
      <c r="A909" s="12" t="n"/>
      <c r="B909" s="13" t="n"/>
      <c r="C909" s="13" t="n"/>
      <c r="D909" s="7">
        <f>IF(OR(B909="",C909=""),"",ROUND((C909-B909)*1440,0))</f>
        <v/>
      </c>
      <c r="E909" s="12" t="n"/>
      <c r="F909" s="12" t="n"/>
      <c r="G909" s="12" t="n"/>
      <c r="H909" s="12" t="n"/>
      <c r="I909" s="12" t="n"/>
      <c r="J909" s="12" t="n"/>
      <c r="K909" s="12" t="n"/>
      <c r="L909" s="14" t="n"/>
      <c r="M909" s="12" t="n"/>
      <c r="N909" s="12" t="n"/>
      <c r="O909" s="12" t="n"/>
      <c r="P909" s="12" t="n"/>
      <c r="Q909" s="7">
        <f>IF(A909="","",IFERROR(VLOOKUP(O909,Listes!$R$3:$T$8,2,FALSE),0)+IFERROR(VLOOKUP(J909,Listes!$J$3:$L$6,2,FALSE),0)+IFERROR(VLOOKUP(N909,Listes!$N$3:$P$6,2,FALSE),0)+IF(OR(L909="",B909=""),0,IF(L909-INT(B909)&lt;10,8,IF(L909-INT(B909)&lt;=90,10,5)))+IFERROR(VLOOKUP(AN909,Listes!$V$3:$W$5,2,FALSE),0)+IFERROR(VLOOKUP(AO909,Listes!$Y$3:$Z$5,2,FALSE),0))</f>
        <v/>
      </c>
      <c r="R909" s="12" t="n"/>
      <c r="S909" s="12" t="n"/>
      <c r="T909" s="12" t="n"/>
      <c r="U909" s="15" t="n"/>
      <c r="V909" s="15" t="n"/>
      <c r="W909" s="13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3" t="n"/>
      <c r="AK909" s="12" t="n"/>
      <c r="AL909" s="12" t="n"/>
      <c r="AM909" s="12" t="n"/>
      <c r="AN909" s="12" t="n"/>
      <c r="AO909" s="12" t="n"/>
      <c r="AP909" s="12" t="n"/>
      <c r="AQ909" s="7">
        <f>IF(A909="","",IF(AP909&lt;&gt;"",AP909,IF(LEFT(Z909,11)="gads_marque","Google Search – Marque",IF(LEFT(Z909,12)="gads_mariage","Google Search – Mariage et privé",IF(LEFT(Z909,10)="gads_corpo","Google Search – Corporatif",IF(LEFT(Z909,5)="meta_","Meta – Leads",IF(LEFT(Z909,5)="msft_","Microsoft Ads",IF(LEFT(Z909,8)="chatgpt_","ChatGPT Ads – Test",IF(X909="gbp","Fiche Google (organique)","Autre / non payé")))))))))</f>
        <v/>
      </c>
      <c r="AR909" s="7">
        <f>IF(K909="","",IFERROR(VLOOKUP(K909,Listes!$F$3:$H$8,3,FALSE),""))</f>
        <v/>
      </c>
      <c r="AS909" s="7">
        <f>IF(O909="","",IF(AND(M909="Autre (plus de 40 km)",OR(O909="lt600",O909="600_999",O909="1000_2499")),"D",IF(OR(O909="lt600",AND(O909="600_999",K909&lt;&gt;"mariage",K909&lt;&gt;"prive")),"C",IF(OR(O909="2500_4999",O909="5000p",J909="entreprise",J909="organisme",J909="agence"),"A",IF(OR(O909="1000_2499",O909="600_999"),"B",IF(O909="inconnu",IF(OR(N909="75_149",N909="150p"),"A","B"),""))))))</f>
        <v/>
      </c>
      <c r="AT909" s="7">
        <f>IF(A909="","",IF(P909&lt;&gt;"",P909,AS909))</f>
        <v/>
      </c>
      <c r="AU909" s="7">
        <f>IF(A909="","",IF(OR(AT909="A",AT909="B"),1,0))</f>
        <v/>
      </c>
      <c r="AV909" s="7">
        <f>IF(A909="","",IF(OR(R909="Dépôt payé (gagné)",R909="Événement livré",R909="Avis obtenu"),1,0))</f>
        <v/>
      </c>
      <c r="AW909" s="7">
        <f>IF(A909="","",IF(Q909&gt;70,"Immédiat – propriétaire",IF(Q909&gt;=40,"15 min – personne de garde","Selon la route")))</f>
        <v/>
      </c>
      <c r="AX909" s="11">
        <f>IF(A909="","",IF(AT909="A",400,IF(AT909="B",150,0)))</f>
        <v/>
      </c>
      <c r="AY909" s="11">
        <f>IF(A909="","",IF(AV909=1,N(V909),IF(N(U909)&gt;0,ROUND(N(U909)*IFERROR(VLOOKUP(R909,Listes!$AE$3:$AG$12,2,FALSE),0),0),0)))</f>
        <v/>
      </c>
      <c r="AZ909" s="7">
        <f>IF(LEFT(A909,7)="EXEMPLE",1,0)</f>
        <v/>
      </c>
      <c r="BA909" s="7">
        <f>IF(AND(AV909=1,AZ909=0,AC909&lt;&gt;"",W909&lt;&gt;"",N(V909)&gt;0),COUNTIFS($AV$3:AV909,1,$AZ$3:AZ909,0,$AC$3:AC909,"&lt;&gt;",$W$3:W909,"&lt;&gt;",$V$3:V909,"&gt;0"),"")</f>
        <v/>
      </c>
    </row>
    <row r="910">
      <c r="A910" s="12" t="n"/>
      <c r="B910" s="13" t="n"/>
      <c r="C910" s="13" t="n"/>
      <c r="D910" s="7">
        <f>IF(OR(B910="",C910=""),"",ROUND((C910-B910)*1440,0))</f>
        <v/>
      </c>
      <c r="E910" s="12" t="n"/>
      <c r="F910" s="12" t="n"/>
      <c r="G910" s="12" t="n"/>
      <c r="H910" s="12" t="n"/>
      <c r="I910" s="12" t="n"/>
      <c r="J910" s="12" t="n"/>
      <c r="K910" s="12" t="n"/>
      <c r="L910" s="14" t="n"/>
      <c r="M910" s="12" t="n"/>
      <c r="N910" s="12" t="n"/>
      <c r="O910" s="12" t="n"/>
      <c r="P910" s="12" t="n"/>
      <c r="Q910" s="7">
        <f>IF(A910="","",IFERROR(VLOOKUP(O910,Listes!$R$3:$T$8,2,FALSE),0)+IFERROR(VLOOKUP(J910,Listes!$J$3:$L$6,2,FALSE),0)+IFERROR(VLOOKUP(N910,Listes!$N$3:$P$6,2,FALSE),0)+IF(OR(L910="",B910=""),0,IF(L910-INT(B910)&lt;10,8,IF(L910-INT(B910)&lt;=90,10,5)))+IFERROR(VLOOKUP(AN910,Listes!$V$3:$W$5,2,FALSE),0)+IFERROR(VLOOKUP(AO910,Listes!$Y$3:$Z$5,2,FALSE),0))</f>
        <v/>
      </c>
      <c r="R910" s="12" t="n"/>
      <c r="S910" s="12" t="n"/>
      <c r="T910" s="12" t="n"/>
      <c r="U910" s="15" t="n"/>
      <c r="V910" s="15" t="n"/>
      <c r="W910" s="13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3" t="n"/>
      <c r="AK910" s="12" t="n"/>
      <c r="AL910" s="12" t="n"/>
      <c r="AM910" s="12" t="n"/>
      <c r="AN910" s="12" t="n"/>
      <c r="AO910" s="12" t="n"/>
      <c r="AP910" s="12" t="n"/>
      <c r="AQ910" s="7">
        <f>IF(A910="","",IF(AP910&lt;&gt;"",AP910,IF(LEFT(Z910,11)="gads_marque","Google Search – Marque",IF(LEFT(Z910,12)="gads_mariage","Google Search – Mariage et privé",IF(LEFT(Z910,10)="gads_corpo","Google Search – Corporatif",IF(LEFT(Z910,5)="meta_","Meta – Leads",IF(LEFT(Z910,5)="msft_","Microsoft Ads",IF(LEFT(Z910,8)="chatgpt_","ChatGPT Ads – Test",IF(X910="gbp","Fiche Google (organique)","Autre / non payé")))))))))</f>
        <v/>
      </c>
      <c r="AR910" s="7">
        <f>IF(K910="","",IFERROR(VLOOKUP(K910,Listes!$F$3:$H$8,3,FALSE),""))</f>
        <v/>
      </c>
      <c r="AS910" s="7">
        <f>IF(O910="","",IF(AND(M910="Autre (plus de 40 km)",OR(O910="lt600",O910="600_999",O910="1000_2499")),"D",IF(OR(O910="lt600",AND(O910="600_999",K910&lt;&gt;"mariage",K910&lt;&gt;"prive")),"C",IF(OR(O910="2500_4999",O910="5000p",J910="entreprise",J910="organisme",J910="agence"),"A",IF(OR(O910="1000_2499",O910="600_999"),"B",IF(O910="inconnu",IF(OR(N910="75_149",N910="150p"),"A","B"),""))))))</f>
        <v/>
      </c>
      <c r="AT910" s="7">
        <f>IF(A910="","",IF(P910&lt;&gt;"",P910,AS910))</f>
        <v/>
      </c>
      <c r="AU910" s="7">
        <f>IF(A910="","",IF(OR(AT910="A",AT910="B"),1,0))</f>
        <v/>
      </c>
      <c r="AV910" s="7">
        <f>IF(A910="","",IF(OR(R910="Dépôt payé (gagné)",R910="Événement livré",R910="Avis obtenu"),1,0))</f>
        <v/>
      </c>
      <c r="AW910" s="7">
        <f>IF(A910="","",IF(Q910&gt;70,"Immédiat – propriétaire",IF(Q910&gt;=40,"15 min – personne de garde","Selon la route")))</f>
        <v/>
      </c>
      <c r="AX910" s="11">
        <f>IF(A910="","",IF(AT910="A",400,IF(AT910="B",150,0)))</f>
        <v/>
      </c>
      <c r="AY910" s="11">
        <f>IF(A910="","",IF(AV910=1,N(V910),IF(N(U910)&gt;0,ROUND(N(U910)*IFERROR(VLOOKUP(R910,Listes!$AE$3:$AG$12,2,FALSE),0),0),0)))</f>
        <v/>
      </c>
      <c r="AZ910" s="7">
        <f>IF(LEFT(A910,7)="EXEMPLE",1,0)</f>
        <v/>
      </c>
      <c r="BA910" s="7">
        <f>IF(AND(AV910=1,AZ910=0,AC910&lt;&gt;"",W910&lt;&gt;"",N(V910)&gt;0),COUNTIFS($AV$3:AV910,1,$AZ$3:AZ910,0,$AC$3:AC910,"&lt;&gt;",$W$3:W910,"&lt;&gt;",$V$3:V910,"&gt;0"),"")</f>
        <v/>
      </c>
    </row>
    <row r="911">
      <c r="A911" s="12" t="n"/>
      <c r="B911" s="13" t="n"/>
      <c r="C911" s="13" t="n"/>
      <c r="D911" s="7">
        <f>IF(OR(B911="",C911=""),"",ROUND((C911-B911)*1440,0))</f>
        <v/>
      </c>
      <c r="E911" s="12" t="n"/>
      <c r="F911" s="12" t="n"/>
      <c r="G911" s="12" t="n"/>
      <c r="H911" s="12" t="n"/>
      <c r="I911" s="12" t="n"/>
      <c r="J911" s="12" t="n"/>
      <c r="K911" s="12" t="n"/>
      <c r="L911" s="14" t="n"/>
      <c r="M911" s="12" t="n"/>
      <c r="N911" s="12" t="n"/>
      <c r="O911" s="12" t="n"/>
      <c r="P911" s="12" t="n"/>
      <c r="Q911" s="7">
        <f>IF(A911="","",IFERROR(VLOOKUP(O911,Listes!$R$3:$T$8,2,FALSE),0)+IFERROR(VLOOKUP(J911,Listes!$J$3:$L$6,2,FALSE),0)+IFERROR(VLOOKUP(N911,Listes!$N$3:$P$6,2,FALSE),0)+IF(OR(L911="",B911=""),0,IF(L911-INT(B911)&lt;10,8,IF(L911-INT(B911)&lt;=90,10,5)))+IFERROR(VLOOKUP(AN911,Listes!$V$3:$W$5,2,FALSE),0)+IFERROR(VLOOKUP(AO911,Listes!$Y$3:$Z$5,2,FALSE),0))</f>
        <v/>
      </c>
      <c r="R911" s="12" t="n"/>
      <c r="S911" s="12" t="n"/>
      <c r="T911" s="12" t="n"/>
      <c r="U911" s="15" t="n"/>
      <c r="V911" s="15" t="n"/>
      <c r="W911" s="13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3" t="n"/>
      <c r="AK911" s="12" t="n"/>
      <c r="AL911" s="12" t="n"/>
      <c r="AM911" s="12" t="n"/>
      <c r="AN911" s="12" t="n"/>
      <c r="AO911" s="12" t="n"/>
      <c r="AP911" s="12" t="n"/>
      <c r="AQ911" s="7">
        <f>IF(A911="","",IF(AP911&lt;&gt;"",AP911,IF(LEFT(Z911,11)="gads_marque","Google Search – Marque",IF(LEFT(Z911,12)="gads_mariage","Google Search – Mariage et privé",IF(LEFT(Z911,10)="gads_corpo","Google Search – Corporatif",IF(LEFT(Z911,5)="meta_","Meta – Leads",IF(LEFT(Z911,5)="msft_","Microsoft Ads",IF(LEFT(Z911,8)="chatgpt_","ChatGPT Ads – Test",IF(X911="gbp","Fiche Google (organique)","Autre / non payé")))))))))</f>
        <v/>
      </c>
      <c r="AR911" s="7">
        <f>IF(K911="","",IFERROR(VLOOKUP(K911,Listes!$F$3:$H$8,3,FALSE),""))</f>
        <v/>
      </c>
      <c r="AS911" s="7">
        <f>IF(O911="","",IF(AND(M911="Autre (plus de 40 km)",OR(O911="lt600",O911="600_999",O911="1000_2499")),"D",IF(OR(O911="lt600",AND(O911="600_999",K911&lt;&gt;"mariage",K911&lt;&gt;"prive")),"C",IF(OR(O911="2500_4999",O911="5000p",J911="entreprise",J911="organisme",J911="agence"),"A",IF(OR(O911="1000_2499",O911="600_999"),"B",IF(O911="inconnu",IF(OR(N911="75_149",N911="150p"),"A","B"),""))))))</f>
        <v/>
      </c>
      <c r="AT911" s="7">
        <f>IF(A911="","",IF(P911&lt;&gt;"",P911,AS911))</f>
        <v/>
      </c>
      <c r="AU911" s="7">
        <f>IF(A911="","",IF(OR(AT911="A",AT911="B"),1,0))</f>
        <v/>
      </c>
      <c r="AV911" s="7">
        <f>IF(A911="","",IF(OR(R911="Dépôt payé (gagné)",R911="Événement livré",R911="Avis obtenu"),1,0))</f>
        <v/>
      </c>
      <c r="AW911" s="7">
        <f>IF(A911="","",IF(Q911&gt;70,"Immédiat – propriétaire",IF(Q911&gt;=40,"15 min – personne de garde","Selon la route")))</f>
        <v/>
      </c>
      <c r="AX911" s="11">
        <f>IF(A911="","",IF(AT911="A",400,IF(AT911="B",150,0)))</f>
        <v/>
      </c>
      <c r="AY911" s="11">
        <f>IF(A911="","",IF(AV911=1,N(V911),IF(N(U911)&gt;0,ROUND(N(U911)*IFERROR(VLOOKUP(R911,Listes!$AE$3:$AG$12,2,FALSE),0),0),0)))</f>
        <v/>
      </c>
      <c r="AZ911" s="7">
        <f>IF(LEFT(A911,7)="EXEMPLE",1,0)</f>
        <v/>
      </c>
      <c r="BA911" s="7">
        <f>IF(AND(AV911=1,AZ911=0,AC911&lt;&gt;"",W911&lt;&gt;"",N(V911)&gt;0),COUNTIFS($AV$3:AV911,1,$AZ$3:AZ911,0,$AC$3:AC911,"&lt;&gt;",$W$3:W911,"&lt;&gt;",$V$3:V911,"&gt;0"),"")</f>
        <v/>
      </c>
    </row>
    <row r="912">
      <c r="A912" s="12" t="n"/>
      <c r="B912" s="13" t="n"/>
      <c r="C912" s="13" t="n"/>
      <c r="D912" s="7">
        <f>IF(OR(B912="",C912=""),"",ROUND((C912-B912)*1440,0))</f>
        <v/>
      </c>
      <c r="E912" s="12" t="n"/>
      <c r="F912" s="12" t="n"/>
      <c r="G912" s="12" t="n"/>
      <c r="H912" s="12" t="n"/>
      <c r="I912" s="12" t="n"/>
      <c r="J912" s="12" t="n"/>
      <c r="K912" s="12" t="n"/>
      <c r="L912" s="14" t="n"/>
      <c r="M912" s="12" t="n"/>
      <c r="N912" s="12" t="n"/>
      <c r="O912" s="12" t="n"/>
      <c r="P912" s="12" t="n"/>
      <c r="Q912" s="7">
        <f>IF(A912="","",IFERROR(VLOOKUP(O912,Listes!$R$3:$T$8,2,FALSE),0)+IFERROR(VLOOKUP(J912,Listes!$J$3:$L$6,2,FALSE),0)+IFERROR(VLOOKUP(N912,Listes!$N$3:$P$6,2,FALSE),0)+IF(OR(L912="",B912=""),0,IF(L912-INT(B912)&lt;10,8,IF(L912-INT(B912)&lt;=90,10,5)))+IFERROR(VLOOKUP(AN912,Listes!$V$3:$W$5,2,FALSE),0)+IFERROR(VLOOKUP(AO912,Listes!$Y$3:$Z$5,2,FALSE),0))</f>
        <v/>
      </c>
      <c r="R912" s="12" t="n"/>
      <c r="S912" s="12" t="n"/>
      <c r="T912" s="12" t="n"/>
      <c r="U912" s="15" t="n"/>
      <c r="V912" s="15" t="n"/>
      <c r="W912" s="13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3" t="n"/>
      <c r="AK912" s="12" t="n"/>
      <c r="AL912" s="12" t="n"/>
      <c r="AM912" s="12" t="n"/>
      <c r="AN912" s="12" t="n"/>
      <c r="AO912" s="12" t="n"/>
      <c r="AP912" s="12" t="n"/>
      <c r="AQ912" s="7">
        <f>IF(A912="","",IF(AP912&lt;&gt;"",AP912,IF(LEFT(Z912,11)="gads_marque","Google Search – Marque",IF(LEFT(Z912,12)="gads_mariage","Google Search – Mariage et privé",IF(LEFT(Z912,10)="gads_corpo","Google Search – Corporatif",IF(LEFT(Z912,5)="meta_","Meta – Leads",IF(LEFT(Z912,5)="msft_","Microsoft Ads",IF(LEFT(Z912,8)="chatgpt_","ChatGPT Ads – Test",IF(X912="gbp","Fiche Google (organique)","Autre / non payé")))))))))</f>
        <v/>
      </c>
      <c r="AR912" s="7">
        <f>IF(K912="","",IFERROR(VLOOKUP(K912,Listes!$F$3:$H$8,3,FALSE),""))</f>
        <v/>
      </c>
      <c r="AS912" s="7">
        <f>IF(O912="","",IF(AND(M912="Autre (plus de 40 km)",OR(O912="lt600",O912="600_999",O912="1000_2499")),"D",IF(OR(O912="lt600",AND(O912="600_999",K912&lt;&gt;"mariage",K912&lt;&gt;"prive")),"C",IF(OR(O912="2500_4999",O912="5000p",J912="entreprise",J912="organisme",J912="agence"),"A",IF(OR(O912="1000_2499",O912="600_999"),"B",IF(O912="inconnu",IF(OR(N912="75_149",N912="150p"),"A","B"),""))))))</f>
        <v/>
      </c>
      <c r="AT912" s="7">
        <f>IF(A912="","",IF(P912&lt;&gt;"",P912,AS912))</f>
        <v/>
      </c>
      <c r="AU912" s="7">
        <f>IF(A912="","",IF(OR(AT912="A",AT912="B"),1,0))</f>
        <v/>
      </c>
      <c r="AV912" s="7">
        <f>IF(A912="","",IF(OR(R912="Dépôt payé (gagné)",R912="Événement livré",R912="Avis obtenu"),1,0))</f>
        <v/>
      </c>
      <c r="AW912" s="7">
        <f>IF(A912="","",IF(Q912&gt;70,"Immédiat – propriétaire",IF(Q912&gt;=40,"15 min – personne de garde","Selon la route")))</f>
        <v/>
      </c>
      <c r="AX912" s="11">
        <f>IF(A912="","",IF(AT912="A",400,IF(AT912="B",150,0)))</f>
        <v/>
      </c>
      <c r="AY912" s="11">
        <f>IF(A912="","",IF(AV912=1,N(V912),IF(N(U912)&gt;0,ROUND(N(U912)*IFERROR(VLOOKUP(R912,Listes!$AE$3:$AG$12,2,FALSE),0),0),0)))</f>
        <v/>
      </c>
      <c r="AZ912" s="7">
        <f>IF(LEFT(A912,7)="EXEMPLE",1,0)</f>
        <v/>
      </c>
      <c r="BA912" s="7">
        <f>IF(AND(AV912=1,AZ912=0,AC912&lt;&gt;"",W912&lt;&gt;"",N(V912)&gt;0),COUNTIFS($AV$3:AV912,1,$AZ$3:AZ912,0,$AC$3:AC912,"&lt;&gt;",$W$3:W912,"&lt;&gt;",$V$3:V912,"&gt;0"),"")</f>
        <v/>
      </c>
    </row>
    <row r="913">
      <c r="A913" s="12" t="n"/>
      <c r="B913" s="13" t="n"/>
      <c r="C913" s="13" t="n"/>
      <c r="D913" s="7">
        <f>IF(OR(B913="",C913=""),"",ROUND((C913-B913)*1440,0))</f>
        <v/>
      </c>
      <c r="E913" s="12" t="n"/>
      <c r="F913" s="12" t="n"/>
      <c r="G913" s="12" t="n"/>
      <c r="H913" s="12" t="n"/>
      <c r="I913" s="12" t="n"/>
      <c r="J913" s="12" t="n"/>
      <c r="K913" s="12" t="n"/>
      <c r="L913" s="14" t="n"/>
      <c r="M913" s="12" t="n"/>
      <c r="N913" s="12" t="n"/>
      <c r="O913" s="12" t="n"/>
      <c r="P913" s="12" t="n"/>
      <c r="Q913" s="7">
        <f>IF(A913="","",IFERROR(VLOOKUP(O913,Listes!$R$3:$T$8,2,FALSE),0)+IFERROR(VLOOKUP(J913,Listes!$J$3:$L$6,2,FALSE),0)+IFERROR(VLOOKUP(N913,Listes!$N$3:$P$6,2,FALSE),0)+IF(OR(L913="",B913=""),0,IF(L913-INT(B913)&lt;10,8,IF(L913-INT(B913)&lt;=90,10,5)))+IFERROR(VLOOKUP(AN913,Listes!$V$3:$W$5,2,FALSE),0)+IFERROR(VLOOKUP(AO913,Listes!$Y$3:$Z$5,2,FALSE),0))</f>
        <v/>
      </c>
      <c r="R913" s="12" t="n"/>
      <c r="S913" s="12" t="n"/>
      <c r="T913" s="12" t="n"/>
      <c r="U913" s="15" t="n"/>
      <c r="V913" s="15" t="n"/>
      <c r="W913" s="13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3" t="n"/>
      <c r="AK913" s="12" t="n"/>
      <c r="AL913" s="12" t="n"/>
      <c r="AM913" s="12" t="n"/>
      <c r="AN913" s="12" t="n"/>
      <c r="AO913" s="12" t="n"/>
      <c r="AP913" s="12" t="n"/>
      <c r="AQ913" s="7">
        <f>IF(A913="","",IF(AP913&lt;&gt;"",AP913,IF(LEFT(Z913,11)="gads_marque","Google Search – Marque",IF(LEFT(Z913,12)="gads_mariage","Google Search – Mariage et privé",IF(LEFT(Z913,10)="gads_corpo","Google Search – Corporatif",IF(LEFT(Z913,5)="meta_","Meta – Leads",IF(LEFT(Z913,5)="msft_","Microsoft Ads",IF(LEFT(Z913,8)="chatgpt_","ChatGPT Ads – Test",IF(X913="gbp","Fiche Google (organique)","Autre / non payé")))))))))</f>
        <v/>
      </c>
      <c r="AR913" s="7">
        <f>IF(K913="","",IFERROR(VLOOKUP(K913,Listes!$F$3:$H$8,3,FALSE),""))</f>
        <v/>
      </c>
      <c r="AS913" s="7">
        <f>IF(O913="","",IF(AND(M913="Autre (plus de 40 km)",OR(O913="lt600",O913="600_999",O913="1000_2499")),"D",IF(OR(O913="lt600",AND(O913="600_999",K913&lt;&gt;"mariage",K913&lt;&gt;"prive")),"C",IF(OR(O913="2500_4999",O913="5000p",J913="entreprise",J913="organisme",J913="agence"),"A",IF(OR(O913="1000_2499",O913="600_999"),"B",IF(O913="inconnu",IF(OR(N913="75_149",N913="150p"),"A","B"),""))))))</f>
        <v/>
      </c>
      <c r="AT913" s="7">
        <f>IF(A913="","",IF(P913&lt;&gt;"",P913,AS913))</f>
        <v/>
      </c>
      <c r="AU913" s="7">
        <f>IF(A913="","",IF(OR(AT913="A",AT913="B"),1,0))</f>
        <v/>
      </c>
      <c r="AV913" s="7">
        <f>IF(A913="","",IF(OR(R913="Dépôt payé (gagné)",R913="Événement livré",R913="Avis obtenu"),1,0))</f>
        <v/>
      </c>
      <c r="AW913" s="7">
        <f>IF(A913="","",IF(Q913&gt;70,"Immédiat – propriétaire",IF(Q913&gt;=40,"15 min – personne de garde","Selon la route")))</f>
        <v/>
      </c>
      <c r="AX913" s="11">
        <f>IF(A913="","",IF(AT913="A",400,IF(AT913="B",150,0)))</f>
        <v/>
      </c>
      <c r="AY913" s="11">
        <f>IF(A913="","",IF(AV913=1,N(V913),IF(N(U913)&gt;0,ROUND(N(U913)*IFERROR(VLOOKUP(R913,Listes!$AE$3:$AG$12,2,FALSE),0),0),0)))</f>
        <v/>
      </c>
      <c r="AZ913" s="7">
        <f>IF(LEFT(A913,7)="EXEMPLE",1,0)</f>
        <v/>
      </c>
      <c r="BA913" s="7">
        <f>IF(AND(AV913=1,AZ913=0,AC913&lt;&gt;"",W913&lt;&gt;"",N(V913)&gt;0),COUNTIFS($AV$3:AV913,1,$AZ$3:AZ913,0,$AC$3:AC913,"&lt;&gt;",$W$3:W913,"&lt;&gt;",$V$3:V913,"&gt;0"),"")</f>
        <v/>
      </c>
    </row>
    <row r="914">
      <c r="A914" s="12" t="n"/>
      <c r="B914" s="13" t="n"/>
      <c r="C914" s="13" t="n"/>
      <c r="D914" s="7">
        <f>IF(OR(B914="",C914=""),"",ROUND((C914-B914)*1440,0))</f>
        <v/>
      </c>
      <c r="E914" s="12" t="n"/>
      <c r="F914" s="12" t="n"/>
      <c r="G914" s="12" t="n"/>
      <c r="H914" s="12" t="n"/>
      <c r="I914" s="12" t="n"/>
      <c r="J914" s="12" t="n"/>
      <c r="K914" s="12" t="n"/>
      <c r="L914" s="14" t="n"/>
      <c r="M914" s="12" t="n"/>
      <c r="N914" s="12" t="n"/>
      <c r="O914" s="12" t="n"/>
      <c r="P914" s="12" t="n"/>
      <c r="Q914" s="7">
        <f>IF(A914="","",IFERROR(VLOOKUP(O914,Listes!$R$3:$T$8,2,FALSE),0)+IFERROR(VLOOKUP(J914,Listes!$J$3:$L$6,2,FALSE),0)+IFERROR(VLOOKUP(N914,Listes!$N$3:$P$6,2,FALSE),0)+IF(OR(L914="",B914=""),0,IF(L914-INT(B914)&lt;10,8,IF(L914-INT(B914)&lt;=90,10,5)))+IFERROR(VLOOKUP(AN914,Listes!$V$3:$W$5,2,FALSE),0)+IFERROR(VLOOKUP(AO914,Listes!$Y$3:$Z$5,2,FALSE),0))</f>
        <v/>
      </c>
      <c r="R914" s="12" t="n"/>
      <c r="S914" s="12" t="n"/>
      <c r="T914" s="12" t="n"/>
      <c r="U914" s="15" t="n"/>
      <c r="V914" s="15" t="n"/>
      <c r="W914" s="13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3" t="n"/>
      <c r="AK914" s="12" t="n"/>
      <c r="AL914" s="12" t="n"/>
      <c r="AM914" s="12" t="n"/>
      <c r="AN914" s="12" t="n"/>
      <c r="AO914" s="12" t="n"/>
      <c r="AP914" s="12" t="n"/>
      <c r="AQ914" s="7">
        <f>IF(A914="","",IF(AP914&lt;&gt;"",AP914,IF(LEFT(Z914,11)="gads_marque","Google Search – Marque",IF(LEFT(Z914,12)="gads_mariage","Google Search – Mariage et privé",IF(LEFT(Z914,10)="gads_corpo","Google Search – Corporatif",IF(LEFT(Z914,5)="meta_","Meta – Leads",IF(LEFT(Z914,5)="msft_","Microsoft Ads",IF(LEFT(Z914,8)="chatgpt_","ChatGPT Ads – Test",IF(X914="gbp","Fiche Google (organique)","Autre / non payé")))))))))</f>
        <v/>
      </c>
      <c r="AR914" s="7">
        <f>IF(K914="","",IFERROR(VLOOKUP(K914,Listes!$F$3:$H$8,3,FALSE),""))</f>
        <v/>
      </c>
      <c r="AS914" s="7">
        <f>IF(O914="","",IF(AND(M914="Autre (plus de 40 km)",OR(O914="lt600",O914="600_999",O914="1000_2499")),"D",IF(OR(O914="lt600",AND(O914="600_999",K914&lt;&gt;"mariage",K914&lt;&gt;"prive")),"C",IF(OR(O914="2500_4999",O914="5000p",J914="entreprise",J914="organisme",J914="agence"),"A",IF(OR(O914="1000_2499",O914="600_999"),"B",IF(O914="inconnu",IF(OR(N914="75_149",N914="150p"),"A","B"),""))))))</f>
        <v/>
      </c>
      <c r="AT914" s="7">
        <f>IF(A914="","",IF(P914&lt;&gt;"",P914,AS914))</f>
        <v/>
      </c>
      <c r="AU914" s="7">
        <f>IF(A914="","",IF(OR(AT914="A",AT914="B"),1,0))</f>
        <v/>
      </c>
      <c r="AV914" s="7">
        <f>IF(A914="","",IF(OR(R914="Dépôt payé (gagné)",R914="Événement livré",R914="Avis obtenu"),1,0))</f>
        <v/>
      </c>
      <c r="AW914" s="7">
        <f>IF(A914="","",IF(Q914&gt;70,"Immédiat – propriétaire",IF(Q914&gt;=40,"15 min – personne de garde","Selon la route")))</f>
        <v/>
      </c>
      <c r="AX914" s="11">
        <f>IF(A914="","",IF(AT914="A",400,IF(AT914="B",150,0)))</f>
        <v/>
      </c>
      <c r="AY914" s="11">
        <f>IF(A914="","",IF(AV914=1,N(V914),IF(N(U914)&gt;0,ROUND(N(U914)*IFERROR(VLOOKUP(R914,Listes!$AE$3:$AG$12,2,FALSE),0),0),0)))</f>
        <v/>
      </c>
      <c r="AZ914" s="7">
        <f>IF(LEFT(A914,7)="EXEMPLE",1,0)</f>
        <v/>
      </c>
      <c r="BA914" s="7">
        <f>IF(AND(AV914=1,AZ914=0,AC914&lt;&gt;"",W914&lt;&gt;"",N(V914)&gt;0),COUNTIFS($AV$3:AV914,1,$AZ$3:AZ914,0,$AC$3:AC914,"&lt;&gt;",$W$3:W914,"&lt;&gt;",$V$3:V914,"&gt;0"),"")</f>
        <v/>
      </c>
    </row>
    <row r="915">
      <c r="A915" s="12" t="n"/>
      <c r="B915" s="13" t="n"/>
      <c r="C915" s="13" t="n"/>
      <c r="D915" s="7">
        <f>IF(OR(B915="",C915=""),"",ROUND((C915-B915)*1440,0))</f>
        <v/>
      </c>
      <c r="E915" s="12" t="n"/>
      <c r="F915" s="12" t="n"/>
      <c r="G915" s="12" t="n"/>
      <c r="H915" s="12" t="n"/>
      <c r="I915" s="12" t="n"/>
      <c r="J915" s="12" t="n"/>
      <c r="K915" s="12" t="n"/>
      <c r="L915" s="14" t="n"/>
      <c r="M915" s="12" t="n"/>
      <c r="N915" s="12" t="n"/>
      <c r="O915" s="12" t="n"/>
      <c r="P915" s="12" t="n"/>
      <c r="Q915" s="7">
        <f>IF(A915="","",IFERROR(VLOOKUP(O915,Listes!$R$3:$T$8,2,FALSE),0)+IFERROR(VLOOKUP(J915,Listes!$J$3:$L$6,2,FALSE),0)+IFERROR(VLOOKUP(N915,Listes!$N$3:$P$6,2,FALSE),0)+IF(OR(L915="",B915=""),0,IF(L915-INT(B915)&lt;10,8,IF(L915-INT(B915)&lt;=90,10,5)))+IFERROR(VLOOKUP(AN915,Listes!$V$3:$W$5,2,FALSE),0)+IFERROR(VLOOKUP(AO915,Listes!$Y$3:$Z$5,2,FALSE),0))</f>
        <v/>
      </c>
      <c r="R915" s="12" t="n"/>
      <c r="S915" s="12" t="n"/>
      <c r="T915" s="12" t="n"/>
      <c r="U915" s="15" t="n"/>
      <c r="V915" s="15" t="n"/>
      <c r="W915" s="13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3" t="n"/>
      <c r="AK915" s="12" t="n"/>
      <c r="AL915" s="12" t="n"/>
      <c r="AM915" s="12" t="n"/>
      <c r="AN915" s="12" t="n"/>
      <c r="AO915" s="12" t="n"/>
      <c r="AP915" s="12" t="n"/>
      <c r="AQ915" s="7">
        <f>IF(A915="","",IF(AP915&lt;&gt;"",AP915,IF(LEFT(Z915,11)="gads_marque","Google Search – Marque",IF(LEFT(Z915,12)="gads_mariage","Google Search – Mariage et privé",IF(LEFT(Z915,10)="gads_corpo","Google Search – Corporatif",IF(LEFT(Z915,5)="meta_","Meta – Leads",IF(LEFT(Z915,5)="msft_","Microsoft Ads",IF(LEFT(Z915,8)="chatgpt_","ChatGPT Ads – Test",IF(X915="gbp","Fiche Google (organique)","Autre / non payé")))))))))</f>
        <v/>
      </c>
      <c r="AR915" s="7">
        <f>IF(K915="","",IFERROR(VLOOKUP(K915,Listes!$F$3:$H$8,3,FALSE),""))</f>
        <v/>
      </c>
      <c r="AS915" s="7">
        <f>IF(O915="","",IF(AND(M915="Autre (plus de 40 km)",OR(O915="lt600",O915="600_999",O915="1000_2499")),"D",IF(OR(O915="lt600",AND(O915="600_999",K915&lt;&gt;"mariage",K915&lt;&gt;"prive")),"C",IF(OR(O915="2500_4999",O915="5000p",J915="entreprise",J915="organisme",J915="agence"),"A",IF(OR(O915="1000_2499",O915="600_999"),"B",IF(O915="inconnu",IF(OR(N915="75_149",N915="150p"),"A","B"),""))))))</f>
        <v/>
      </c>
      <c r="AT915" s="7">
        <f>IF(A915="","",IF(P915&lt;&gt;"",P915,AS915))</f>
        <v/>
      </c>
      <c r="AU915" s="7">
        <f>IF(A915="","",IF(OR(AT915="A",AT915="B"),1,0))</f>
        <v/>
      </c>
      <c r="AV915" s="7">
        <f>IF(A915="","",IF(OR(R915="Dépôt payé (gagné)",R915="Événement livré",R915="Avis obtenu"),1,0))</f>
        <v/>
      </c>
      <c r="AW915" s="7">
        <f>IF(A915="","",IF(Q915&gt;70,"Immédiat – propriétaire",IF(Q915&gt;=40,"15 min – personne de garde","Selon la route")))</f>
        <v/>
      </c>
      <c r="AX915" s="11">
        <f>IF(A915="","",IF(AT915="A",400,IF(AT915="B",150,0)))</f>
        <v/>
      </c>
      <c r="AY915" s="11">
        <f>IF(A915="","",IF(AV915=1,N(V915),IF(N(U915)&gt;0,ROUND(N(U915)*IFERROR(VLOOKUP(R915,Listes!$AE$3:$AG$12,2,FALSE),0),0),0)))</f>
        <v/>
      </c>
      <c r="AZ915" s="7">
        <f>IF(LEFT(A915,7)="EXEMPLE",1,0)</f>
        <v/>
      </c>
      <c r="BA915" s="7">
        <f>IF(AND(AV915=1,AZ915=0,AC915&lt;&gt;"",W915&lt;&gt;"",N(V915)&gt;0),COUNTIFS($AV$3:AV915,1,$AZ$3:AZ915,0,$AC$3:AC915,"&lt;&gt;",$W$3:W915,"&lt;&gt;",$V$3:V915,"&gt;0"),"")</f>
        <v/>
      </c>
    </row>
    <row r="916">
      <c r="A916" s="12" t="n"/>
      <c r="B916" s="13" t="n"/>
      <c r="C916" s="13" t="n"/>
      <c r="D916" s="7">
        <f>IF(OR(B916="",C916=""),"",ROUND((C916-B916)*1440,0))</f>
        <v/>
      </c>
      <c r="E916" s="12" t="n"/>
      <c r="F916" s="12" t="n"/>
      <c r="G916" s="12" t="n"/>
      <c r="H916" s="12" t="n"/>
      <c r="I916" s="12" t="n"/>
      <c r="J916" s="12" t="n"/>
      <c r="K916" s="12" t="n"/>
      <c r="L916" s="14" t="n"/>
      <c r="M916" s="12" t="n"/>
      <c r="N916" s="12" t="n"/>
      <c r="O916" s="12" t="n"/>
      <c r="P916" s="12" t="n"/>
      <c r="Q916" s="7">
        <f>IF(A916="","",IFERROR(VLOOKUP(O916,Listes!$R$3:$T$8,2,FALSE),0)+IFERROR(VLOOKUP(J916,Listes!$J$3:$L$6,2,FALSE),0)+IFERROR(VLOOKUP(N916,Listes!$N$3:$P$6,2,FALSE),0)+IF(OR(L916="",B916=""),0,IF(L916-INT(B916)&lt;10,8,IF(L916-INT(B916)&lt;=90,10,5)))+IFERROR(VLOOKUP(AN916,Listes!$V$3:$W$5,2,FALSE),0)+IFERROR(VLOOKUP(AO916,Listes!$Y$3:$Z$5,2,FALSE),0))</f>
        <v/>
      </c>
      <c r="R916" s="12" t="n"/>
      <c r="S916" s="12" t="n"/>
      <c r="T916" s="12" t="n"/>
      <c r="U916" s="15" t="n"/>
      <c r="V916" s="15" t="n"/>
      <c r="W916" s="13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3" t="n"/>
      <c r="AK916" s="12" t="n"/>
      <c r="AL916" s="12" t="n"/>
      <c r="AM916" s="12" t="n"/>
      <c r="AN916" s="12" t="n"/>
      <c r="AO916" s="12" t="n"/>
      <c r="AP916" s="12" t="n"/>
      <c r="AQ916" s="7">
        <f>IF(A916="","",IF(AP916&lt;&gt;"",AP916,IF(LEFT(Z916,11)="gads_marque","Google Search – Marque",IF(LEFT(Z916,12)="gads_mariage","Google Search – Mariage et privé",IF(LEFT(Z916,10)="gads_corpo","Google Search – Corporatif",IF(LEFT(Z916,5)="meta_","Meta – Leads",IF(LEFT(Z916,5)="msft_","Microsoft Ads",IF(LEFT(Z916,8)="chatgpt_","ChatGPT Ads – Test",IF(X916="gbp","Fiche Google (organique)","Autre / non payé")))))))))</f>
        <v/>
      </c>
      <c r="AR916" s="7">
        <f>IF(K916="","",IFERROR(VLOOKUP(K916,Listes!$F$3:$H$8,3,FALSE),""))</f>
        <v/>
      </c>
      <c r="AS916" s="7">
        <f>IF(O916="","",IF(AND(M916="Autre (plus de 40 km)",OR(O916="lt600",O916="600_999",O916="1000_2499")),"D",IF(OR(O916="lt600",AND(O916="600_999",K916&lt;&gt;"mariage",K916&lt;&gt;"prive")),"C",IF(OR(O916="2500_4999",O916="5000p",J916="entreprise",J916="organisme",J916="agence"),"A",IF(OR(O916="1000_2499",O916="600_999"),"B",IF(O916="inconnu",IF(OR(N916="75_149",N916="150p"),"A","B"),""))))))</f>
        <v/>
      </c>
      <c r="AT916" s="7">
        <f>IF(A916="","",IF(P916&lt;&gt;"",P916,AS916))</f>
        <v/>
      </c>
      <c r="AU916" s="7">
        <f>IF(A916="","",IF(OR(AT916="A",AT916="B"),1,0))</f>
        <v/>
      </c>
      <c r="AV916" s="7">
        <f>IF(A916="","",IF(OR(R916="Dépôt payé (gagné)",R916="Événement livré",R916="Avis obtenu"),1,0))</f>
        <v/>
      </c>
      <c r="AW916" s="7">
        <f>IF(A916="","",IF(Q916&gt;70,"Immédiat – propriétaire",IF(Q916&gt;=40,"15 min – personne de garde","Selon la route")))</f>
        <v/>
      </c>
      <c r="AX916" s="11">
        <f>IF(A916="","",IF(AT916="A",400,IF(AT916="B",150,0)))</f>
        <v/>
      </c>
      <c r="AY916" s="11">
        <f>IF(A916="","",IF(AV916=1,N(V916),IF(N(U916)&gt;0,ROUND(N(U916)*IFERROR(VLOOKUP(R916,Listes!$AE$3:$AG$12,2,FALSE),0),0),0)))</f>
        <v/>
      </c>
      <c r="AZ916" s="7">
        <f>IF(LEFT(A916,7)="EXEMPLE",1,0)</f>
        <v/>
      </c>
      <c r="BA916" s="7">
        <f>IF(AND(AV916=1,AZ916=0,AC916&lt;&gt;"",W916&lt;&gt;"",N(V916)&gt;0),COUNTIFS($AV$3:AV916,1,$AZ$3:AZ916,0,$AC$3:AC916,"&lt;&gt;",$W$3:W916,"&lt;&gt;",$V$3:V916,"&gt;0"),"")</f>
        <v/>
      </c>
    </row>
    <row r="917">
      <c r="A917" s="12" t="n"/>
      <c r="B917" s="13" t="n"/>
      <c r="C917" s="13" t="n"/>
      <c r="D917" s="7">
        <f>IF(OR(B917="",C917=""),"",ROUND((C917-B917)*1440,0))</f>
        <v/>
      </c>
      <c r="E917" s="12" t="n"/>
      <c r="F917" s="12" t="n"/>
      <c r="G917" s="12" t="n"/>
      <c r="H917" s="12" t="n"/>
      <c r="I917" s="12" t="n"/>
      <c r="J917" s="12" t="n"/>
      <c r="K917" s="12" t="n"/>
      <c r="L917" s="14" t="n"/>
      <c r="M917" s="12" t="n"/>
      <c r="N917" s="12" t="n"/>
      <c r="O917" s="12" t="n"/>
      <c r="P917" s="12" t="n"/>
      <c r="Q917" s="7">
        <f>IF(A917="","",IFERROR(VLOOKUP(O917,Listes!$R$3:$T$8,2,FALSE),0)+IFERROR(VLOOKUP(J917,Listes!$J$3:$L$6,2,FALSE),0)+IFERROR(VLOOKUP(N917,Listes!$N$3:$P$6,2,FALSE),0)+IF(OR(L917="",B917=""),0,IF(L917-INT(B917)&lt;10,8,IF(L917-INT(B917)&lt;=90,10,5)))+IFERROR(VLOOKUP(AN917,Listes!$V$3:$W$5,2,FALSE),0)+IFERROR(VLOOKUP(AO917,Listes!$Y$3:$Z$5,2,FALSE),0))</f>
        <v/>
      </c>
      <c r="R917" s="12" t="n"/>
      <c r="S917" s="12" t="n"/>
      <c r="T917" s="12" t="n"/>
      <c r="U917" s="15" t="n"/>
      <c r="V917" s="15" t="n"/>
      <c r="W917" s="13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3" t="n"/>
      <c r="AK917" s="12" t="n"/>
      <c r="AL917" s="12" t="n"/>
      <c r="AM917" s="12" t="n"/>
      <c r="AN917" s="12" t="n"/>
      <c r="AO917" s="12" t="n"/>
      <c r="AP917" s="12" t="n"/>
      <c r="AQ917" s="7">
        <f>IF(A917="","",IF(AP917&lt;&gt;"",AP917,IF(LEFT(Z917,11)="gads_marque","Google Search – Marque",IF(LEFT(Z917,12)="gads_mariage","Google Search – Mariage et privé",IF(LEFT(Z917,10)="gads_corpo","Google Search – Corporatif",IF(LEFT(Z917,5)="meta_","Meta – Leads",IF(LEFT(Z917,5)="msft_","Microsoft Ads",IF(LEFT(Z917,8)="chatgpt_","ChatGPT Ads – Test",IF(X917="gbp","Fiche Google (organique)","Autre / non payé")))))))))</f>
        <v/>
      </c>
      <c r="AR917" s="7">
        <f>IF(K917="","",IFERROR(VLOOKUP(K917,Listes!$F$3:$H$8,3,FALSE),""))</f>
        <v/>
      </c>
      <c r="AS917" s="7">
        <f>IF(O917="","",IF(AND(M917="Autre (plus de 40 km)",OR(O917="lt600",O917="600_999",O917="1000_2499")),"D",IF(OR(O917="lt600",AND(O917="600_999",K917&lt;&gt;"mariage",K917&lt;&gt;"prive")),"C",IF(OR(O917="2500_4999",O917="5000p",J917="entreprise",J917="organisme",J917="agence"),"A",IF(OR(O917="1000_2499",O917="600_999"),"B",IF(O917="inconnu",IF(OR(N917="75_149",N917="150p"),"A","B"),""))))))</f>
        <v/>
      </c>
      <c r="AT917" s="7">
        <f>IF(A917="","",IF(P917&lt;&gt;"",P917,AS917))</f>
        <v/>
      </c>
      <c r="AU917" s="7">
        <f>IF(A917="","",IF(OR(AT917="A",AT917="B"),1,0))</f>
        <v/>
      </c>
      <c r="AV917" s="7">
        <f>IF(A917="","",IF(OR(R917="Dépôt payé (gagné)",R917="Événement livré",R917="Avis obtenu"),1,0))</f>
        <v/>
      </c>
      <c r="AW917" s="7">
        <f>IF(A917="","",IF(Q917&gt;70,"Immédiat – propriétaire",IF(Q917&gt;=40,"15 min – personne de garde","Selon la route")))</f>
        <v/>
      </c>
      <c r="AX917" s="11">
        <f>IF(A917="","",IF(AT917="A",400,IF(AT917="B",150,0)))</f>
        <v/>
      </c>
      <c r="AY917" s="11">
        <f>IF(A917="","",IF(AV917=1,N(V917),IF(N(U917)&gt;0,ROUND(N(U917)*IFERROR(VLOOKUP(R917,Listes!$AE$3:$AG$12,2,FALSE),0),0),0)))</f>
        <v/>
      </c>
      <c r="AZ917" s="7">
        <f>IF(LEFT(A917,7)="EXEMPLE",1,0)</f>
        <v/>
      </c>
      <c r="BA917" s="7">
        <f>IF(AND(AV917=1,AZ917=0,AC917&lt;&gt;"",W917&lt;&gt;"",N(V917)&gt;0),COUNTIFS($AV$3:AV917,1,$AZ$3:AZ917,0,$AC$3:AC917,"&lt;&gt;",$W$3:W917,"&lt;&gt;",$V$3:V917,"&gt;0"),"")</f>
        <v/>
      </c>
    </row>
    <row r="918">
      <c r="A918" s="12" t="n"/>
      <c r="B918" s="13" t="n"/>
      <c r="C918" s="13" t="n"/>
      <c r="D918" s="7">
        <f>IF(OR(B918="",C918=""),"",ROUND((C918-B918)*1440,0))</f>
        <v/>
      </c>
      <c r="E918" s="12" t="n"/>
      <c r="F918" s="12" t="n"/>
      <c r="G918" s="12" t="n"/>
      <c r="H918" s="12" t="n"/>
      <c r="I918" s="12" t="n"/>
      <c r="J918" s="12" t="n"/>
      <c r="K918" s="12" t="n"/>
      <c r="L918" s="14" t="n"/>
      <c r="M918" s="12" t="n"/>
      <c r="N918" s="12" t="n"/>
      <c r="O918" s="12" t="n"/>
      <c r="P918" s="12" t="n"/>
      <c r="Q918" s="7">
        <f>IF(A918="","",IFERROR(VLOOKUP(O918,Listes!$R$3:$T$8,2,FALSE),0)+IFERROR(VLOOKUP(J918,Listes!$J$3:$L$6,2,FALSE),0)+IFERROR(VLOOKUP(N918,Listes!$N$3:$P$6,2,FALSE),0)+IF(OR(L918="",B918=""),0,IF(L918-INT(B918)&lt;10,8,IF(L918-INT(B918)&lt;=90,10,5)))+IFERROR(VLOOKUP(AN918,Listes!$V$3:$W$5,2,FALSE),0)+IFERROR(VLOOKUP(AO918,Listes!$Y$3:$Z$5,2,FALSE),0))</f>
        <v/>
      </c>
      <c r="R918" s="12" t="n"/>
      <c r="S918" s="12" t="n"/>
      <c r="T918" s="12" t="n"/>
      <c r="U918" s="15" t="n"/>
      <c r="V918" s="15" t="n"/>
      <c r="W918" s="13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3" t="n"/>
      <c r="AK918" s="12" t="n"/>
      <c r="AL918" s="12" t="n"/>
      <c r="AM918" s="12" t="n"/>
      <c r="AN918" s="12" t="n"/>
      <c r="AO918" s="12" t="n"/>
      <c r="AP918" s="12" t="n"/>
      <c r="AQ918" s="7">
        <f>IF(A918="","",IF(AP918&lt;&gt;"",AP918,IF(LEFT(Z918,11)="gads_marque","Google Search – Marque",IF(LEFT(Z918,12)="gads_mariage","Google Search – Mariage et privé",IF(LEFT(Z918,10)="gads_corpo","Google Search – Corporatif",IF(LEFT(Z918,5)="meta_","Meta – Leads",IF(LEFT(Z918,5)="msft_","Microsoft Ads",IF(LEFT(Z918,8)="chatgpt_","ChatGPT Ads – Test",IF(X918="gbp","Fiche Google (organique)","Autre / non payé")))))))))</f>
        <v/>
      </c>
      <c r="AR918" s="7">
        <f>IF(K918="","",IFERROR(VLOOKUP(K918,Listes!$F$3:$H$8,3,FALSE),""))</f>
        <v/>
      </c>
      <c r="AS918" s="7">
        <f>IF(O918="","",IF(AND(M918="Autre (plus de 40 km)",OR(O918="lt600",O918="600_999",O918="1000_2499")),"D",IF(OR(O918="lt600",AND(O918="600_999",K918&lt;&gt;"mariage",K918&lt;&gt;"prive")),"C",IF(OR(O918="2500_4999",O918="5000p",J918="entreprise",J918="organisme",J918="agence"),"A",IF(OR(O918="1000_2499",O918="600_999"),"B",IF(O918="inconnu",IF(OR(N918="75_149",N918="150p"),"A","B"),""))))))</f>
        <v/>
      </c>
      <c r="AT918" s="7">
        <f>IF(A918="","",IF(P918&lt;&gt;"",P918,AS918))</f>
        <v/>
      </c>
      <c r="AU918" s="7">
        <f>IF(A918="","",IF(OR(AT918="A",AT918="B"),1,0))</f>
        <v/>
      </c>
      <c r="AV918" s="7">
        <f>IF(A918="","",IF(OR(R918="Dépôt payé (gagné)",R918="Événement livré",R918="Avis obtenu"),1,0))</f>
        <v/>
      </c>
      <c r="AW918" s="7">
        <f>IF(A918="","",IF(Q918&gt;70,"Immédiat – propriétaire",IF(Q918&gt;=40,"15 min – personne de garde","Selon la route")))</f>
        <v/>
      </c>
      <c r="AX918" s="11">
        <f>IF(A918="","",IF(AT918="A",400,IF(AT918="B",150,0)))</f>
        <v/>
      </c>
      <c r="AY918" s="11">
        <f>IF(A918="","",IF(AV918=1,N(V918),IF(N(U918)&gt;0,ROUND(N(U918)*IFERROR(VLOOKUP(R918,Listes!$AE$3:$AG$12,2,FALSE),0),0),0)))</f>
        <v/>
      </c>
      <c r="AZ918" s="7">
        <f>IF(LEFT(A918,7)="EXEMPLE",1,0)</f>
        <v/>
      </c>
      <c r="BA918" s="7">
        <f>IF(AND(AV918=1,AZ918=0,AC918&lt;&gt;"",W918&lt;&gt;"",N(V918)&gt;0),COUNTIFS($AV$3:AV918,1,$AZ$3:AZ918,0,$AC$3:AC918,"&lt;&gt;",$W$3:W918,"&lt;&gt;",$V$3:V918,"&gt;0"),"")</f>
        <v/>
      </c>
    </row>
    <row r="919">
      <c r="A919" s="12" t="n"/>
      <c r="B919" s="13" t="n"/>
      <c r="C919" s="13" t="n"/>
      <c r="D919" s="7">
        <f>IF(OR(B919="",C919=""),"",ROUND((C919-B919)*1440,0))</f>
        <v/>
      </c>
      <c r="E919" s="12" t="n"/>
      <c r="F919" s="12" t="n"/>
      <c r="G919" s="12" t="n"/>
      <c r="H919" s="12" t="n"/>
      <c r="I919" s="12" t="n"/>
      <c r="J919" s="12" t="n"/>
      <c r="K919" s="12" t="n"/>
      <c r="L919" s="14" t="n"/>
      <c r="M919" s="12" t="n"/>
      <c r="N919" s="12" t="n"/>
      <c r="O919" s="12" t="n"/>
      <c r="P919" s="12" t="n"/>
      <c r="Q919" s="7">
        <f>IF(A919="","",IFERROR(VLOOKUP(O919,Listes!$R$3:$T$8,2,FALSE),0)+IFERROR(VLOOKUP(J919,Listes!$J$3:$L$6,2,FALSE),0)+IFERROR(VLOOKUP(N919,Listes!$N$3:$P$6,2,FALSE),0)+IF(OR(L919="",B919=""),0,IF(L919-INT(B919)&lt;10,8,IF(L919-INT(B919)&lt;=90,10,5)))+IFERROR(VLOOKUP(AN919,Listes!$V$3:$W$5,2,FALSE),0)+IFERROR(VLOOKUP(AO919,Listes!$Y$3:$Z$5,2,FALSE),0))</f>
        <v/>
      </c>
      <c r="R919" s="12" t="n"/>
      <c r="S919" s="12" t="n"/>
      <c r="T919" s="12" t="n"/>
      <c r="U919" s="15" t="n"/>
      <c r="V919" s="15" t="n"/>
      <c r="W919" s="13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3" t="n"/>
      <c r="AK919" s="12" t="n"/>
      <c r="AL919" s="12" t="n"/>
      <c r="AM919" s="12" t="n"/>
      <c r="AN919" s="12" t="n"/>
      <c r="AO919" s="12" t="n"/>
      <c r="AP919" s="12" t="n"/>
      <c r="AQ919" s="7">
        <f>IF(A919="","",IF(AP919&lt;&gt;"",AP919,IF(LEFT(Z919,11)="gads_marque","Google Search – Marque",IF(LEFT(Z919,12)="gads_mariage","Google Search – Mariage et privé",IF(LEFT(Z919,10)="gads_corpo","Google Search – Corporatif",IF(LEFT(Z919,5)="meta_","Meta – Leads",IF(LEFT(Z919,5)="msft_","Microsoft Ads",IF(LEFT(Z919,8)="chatgpt_","ChatGPT Ads – Test",IF(X919="gbp","Fiche Google (organique)","Autre / non payé")))))))))</f>
        <v/>
      </c>
      <c r="AR919" s="7">
        <f>IF(K919="","",IFERROR(VLOOKUP(K919,Listes!$F$3:$H$8,3,FALSE),""))</f>
        <v/>
      </c>
      <c r="AS919" s="7">
        <f>IF(O919="","",IF(AND(M919="Autre (plus de 40 km)",OR(O919="lt600",O919="600_999",O919="1000_2499")),"D",IF(OR(O919="lt600",AND(O919="600_999",K919&lt;&gt;"mariage",K919&lt;&gt;"prive")),"C",IF(OR(O919="2500_4999",O919="5000p",J919="entreprise",J919="organisme",J919="agence"),"A",IF(OR(O919="1000_2499",O919="600_999"),"B",IF(O919="inconnu",IF(OR(N919="75_149",N919="150p"),"A","B"),""))))))</f>
        <v/>
      </c>
      <c r="AT919" s="7">
        <f>IF(A919="","",IF(P919&lt;&gt;"",P919,AS919))</f>
        <v/>
      </c>
      <c r="AU919" s="7">
        <f>IF(A919="","",IF(OR(AT919="A",AT919="B"),1,0))</f>
        <v/>
      </c>
      <c r="AV919" s="7">
        <f>IF(A919="","",IF(OR(R919="Dépôt payé (gagné)",R919="Événement livré",R919="Avis obtenu"),1,0))</f>
        <v/>
      </c>
      <c r="AW919" s="7">
        <f>IF(A919="","",IF(Q919&gt;70,"Immédiat – propriétaire",IF(Q919&gt;=40,"15 min – personne de garde","Selon la route")))</f>
        <v/>
      </c>
      <c r="AX919" s="11">
        <f>IF(A919="","",IF(AT919="A",400,IF(AT919="B",150,0)))</f>
        <v/>
      </c>
      <c r="AY919" s="11">
        <f>IF(A919="","",IF(AV919=1,N(V919),IF(N(U919)&gt;0,ROUND(N(U919)*IFERROR(VLOOKUP(R919,Listes!$AE$3:$AG$12,2,FALSE),0),0),0)))</f>
        <v/>
      </c>
      <c r="AZ919" s="7">
        <f>IF(LEFT(A919,7)="EXEMPLE",1,0)</f>
        <v/>
      </c>
      <c r="BA919" s="7">
        <f>IF(AND(AV919=1,AZ919=0,AC919&lt;&gt;"",W919&lt;&gt;"",N(V919)&gt;0),COUNTIFS($AV$3:AV919,1,$AZ$3:AZ919,0,$AC$3:AC919,"&lt;&gt;",$W$3:W919,"&lt;&gt;",$V$3:V919,"&gt;0"),"")</f>
        <v/>
      </c>
    </row>
    <row r="920">
      <c r="A920" s="12" t="n"/>
      <c r="B920" s="13" t="n"/>
      <c r="C920" s="13" t="n"/>
      <c r="D920" s="7">
        <f>IF(OR(B920="",C920=""),"",ROUND((C920-B920)*1440,0))</f>
        <v/>
      </c>
      <c r="E920" s="12" t="n"/>
      <c r="F920" s="12" t="n"/>
      <c r="G920" s="12" t="n"/>
      <c r="H920" s="12" t="n"/>
      <c r="I920" s="12" t="n"/>
      <c r="J920" s="12" t="n"/>
      <c r="K920" s="12" t="n"/>
      <c r="L920" s="14" t="n"/>
      <c r="M920" s="12" t="n"/>
      <c r="N920" s="12" t="n"/>
      <c r="O920" s="12" t="n"/>
      <c r="P920" s="12" t="n"/>
      <c r="Q920" s="7">
        <f>IF(A920="","",IFERROR(VLOOKUP(O920,Listes!$R$3:$T$8,2,FALSE),0)+IFERROR(VLOOKUP(J920,Listes!$J$3:$L$6,2,FALSE),0)+IFERROR(VLOOKUP(N920,Listes!$N$3:$P$6,2,FALSE),0)+IF(OR(L920="",B920=""),0,IF(L920-INT(B920)&lt;10,8,IF(L920-INT(B920)&lt;=90,10,5)))+IFERROR(VLOOKUP(AN920,Listes!$V$3:$W$5,2,FALSE),0)+IFERROR(VLOOKUP(AO920,Listes!$Y$3:$Z$5,2,FALSE),0))</f>
        <v/>
      </c>
      <c r="R920" s="12" t="n"/>
      <c r="S920" s="12" t="n"/>
      <c r="T920" s="12" t="n"/>
      <c r="U920" s="15" t="n"/>
      <c r="V920" s="15" t="n"/>
      <c r="W920" s="13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3" t="n"/>
      <c r="AK920" s="12" t="n"/>
      <c r="AL920" s="12" t="n"/>
      <c r="AM920" s="12" t="n"/>
      <c r="AN920" s="12" t="n"/>
      <c r="AO920" s="12" t="n"/>
      <c r="AP920" s="12" t="n"/>
      <c r="AQ920" s="7">
        <f>IF(A920="","",IF(AP920&lt;&gt;"",AP920,IF(LEFT(Z920,11)="gads_marque","Google Search – Marque",IF(LEFT(Z920,12)="gads_mariage","Google Search – Mariage et privé",IF(LEFT(Z920,10)="gads_corpo","Google Search – Corporatif",IF(LEFT(Z920,5)="meta_","Meta – Leads",IF(LEFT(Z920,5)="msft_","Microsoft Ads",IF(LEFT(Z920,8)="chatgpt_","ChatGPT Ads – Test",IF(X920="gbp","Fiche Google (organique)","Autre / non payé")))))))))</f>
        <v/>
      </c>
      <c r="AR920" s="7">
        <f>IF(K920="","",IFERROR(VLOOKUP(K920,Listes!$F$3:$H$8,3,FALSE),""))</f>
        <v/>
      </c>
      <c r="AS920" s="7">
        <f>IF(O920="","",IF(AND(M920="Autre (plus de 40 km)",OR(O920="lt600",O920="600_999",O920="1000_2499")),"D",IF(OR(O920="lt600",AND(O920="600_999",K920&lt;&gt;"mariage",K920&lt;&gt;"prive")),"C",IF(OR(O920="2500_4999",O920="5000p",J920="entreprise",J920="organisme",J920="agence"),"A",IF(OR(O920="1000_2499",O920="600_999"),"B",IF(O920="inconnu",IF(OR(N920="75_149",N920="150p"),"A","B"),""))))))</f>
        <v/>
      </c>
      <c r="AT920" s="7">
        <f>IF(A920="","",IF(P920&lt;&gt;"",P920,AS920))</f>
        <v/>
      </c>
      <c r="AU920" s="7">
        <f>IF(A920="","",IF(OR(AT920="A",AT920="B"),1,0))</f>
        <v/>
      </c>
      <c r="AV920" s="7">
        <f>IF(A920="","",IF(OR(R920="Dépôt payé (gagné)",R920="Événement livré",R920="Avis obtenu"),1,0))</f>
        <v/>
      </c>
      <c r="AW920" s="7">
        <f>IF(A920="","",IF(Q920&gt;70,"Immédiat – propriétaire",IF(Q920&gt;=40,"15 min – personne de garde","Selon la route")))</f>
        <v/>
      </c>
      <c r="AX920" s="11">
        <f>IF(A920="","",IF(AT920="A",400,IF(AT920="B",150,0)))</f>
        <v/>
      </c>
      <c r="AY920" s="11">
        <f>IF(A920="","",IF(AV920=1,N(V920),IF(N(U920)&gt;0,ROUND(N(U920)*IFERROR(VLOOKUP(R920,Listes!$AE$3:$AG$12,2,FALSE),0),0),0)))</f>
        <v/>
      </c>
      <c r="AZ920" s="7">
        <f>IF(LEFT(A920,7)="EXEMPLE",1,0)</f>
        <v/>
      </c>
      <c r="BA920" s="7">
        <f>IF(AND(AV920=1,AZ920=0,AC920&lt;&gt;"",W920&lt;&gt;"",N(V920)&gt;0),COUNTIFS($AV$3:AV920,1,$AZ$3:AZ920,0,$AC$3:AC920,"&lt;&gt;",$W$3:W920,"&lt;&gt;",$V$3:V920,"&gt;0"),"")</f>
        <v/>
      </c>
    </row>
    <row r="921">
      <c r="A921" s="12" t="n"/>
      <c r="B921" s="13" t="n"/>
      <c r="C921" s="13" t="n"/>
      <c r="D921" s="7">
        <f>IF(OR(B921="",C921=""),"",ROUND((C921-B921)*1440,0))</f>
        <v/>
      </c>
      <c r="E921" s="12" t="n"/>
      <c r="F921" s="12" t="n"/>
      <c r="G921" s="12" t="n"/>
      <c r="H921" s="12" t="n"/>
      <c r="I921" s="12" t="n"/>
      <c r="J921" s="12" t="n"/>
      <c r="K921" s="12" t="n"/>
      <c r="L921" s="14" t="n"/>
      <c r="M921" s="12" t="n"/>
      <c r="N921" s="12" t="n"/>
      <c r="O921" s="12" t="n"/>
      <c r="P921" s="12" t="n"/>
      <c r="Q921" s="7">
        <f>IF(A921="","",IFERROR(VLOOKUP(O921,Listes!$R$3:$T$8,2,FALSE),0)+IFERROR(VLOOKUP(J921,Listes!$J$3:$L$6,2,FALSE),0)+IFERROR(VLOOKUP(N921,Listes!$N$3:$P$6,2,FALSE),0)+IF(OR(L921="",B921=""),0,IF(L921-INT(B921)&lt;10,8,IF(L921-INT(B921)&lt;=90,10,5)))+IFERROR(VLOOKUP(AN921,Listes!$V$3:$W$5,2,FALSE),0)+IFERROR(VLOOKUP(AO921,Listes!$Y$3:$Z$5,2,FALSE),0))</f>
        <v/>
      </c>
      <c r="R921" s="12" t="n"/>
      <c r="S921" s="12" t="n"/>
      <c r="T921" s="12" t="n"/>
      <c r="U921" s="15" t="n"/>
      <c r="V921" s="15" t="n"/>
      <c r="W921" s="13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3" t="n"/>
      <c r="AK921" s="12" t="n"/>
      <c r="AL921" s="12" t="n"/>
      <c r="AM921" s="12" t="n"/>
      <c r="AN921" s="12" t="n"/>
      <c r="AO921" s="12" t="n"/>
      <c r="AP921" s="12" t="n"/>
      <c r="AQ921" s="7">
        <f>IF(A921="","",IF(AP921&lt;&gt;"",AP921,IF(LEFT(Z921,11)="gads_marque","Google Search – Marque",IF(LEFT(Z921,12)="gads_mariage","Google Search – Mariage et privé",IF(LEFT(Z921,10)="gads_corpo","Google Search – Corporatif",IF(LEFT(Z921,5)="meta_","Meta – Leads",IF(LEFT(Z921,5)="msft_","Microsoft Ads",IF(LEFT(Z921,8)="chatgpt_","ChatGPT Ads – Test",IF(X921="gbp","Fiche Google (organique)","Autre / non payé")))))))))</f>
        <v/>
      </c>
      <c r="AR921" s="7">
        <f>IF(K921="","",IFERROR(VLOOKUP(K921,Listes!$F$3:$H$8,3,FALSE),""))</f>
        <v/>
      </c>
      <c r="AS921" s="7">
        <f>IF(O921="","",IF(AND(M921="Autre (plus de 40 km)",OR(O921="lt600",O921="600_999",O921="1000_2499")),"D",IF(OR(O921="lt600",AND(O921="600_999",K921&lt;&gt;"mariage",K921&lt;&gt;"prive")),"C",IF(OR(O921="2500_4999",O921="5000p",J921="entreprise",J921="organisme",J921="agence"),"A",IF(OR(O921="1000_2499",O921="600_999"),"B",IF(O921="inconnu",IF(OR(N921="75_149",N921="150p"),"A","B"),""))))))</f>
        <v/>
      </c>
      <c r="AT921" s="7">
        <f>IF(A921="","",IF(P921&lt;&gt;"",P921,AS921))</f>
        <v/>
      </c>
      <c r="AU921" s="7">
        <f>IF(A921="","",IF(OR(AT921="A",AT921="B"),1,0))</f>
        <v/>
      </c>
      <c r="AV921" s="7">
        <f>IF(A921="","",IF(OR(R921="Dépôt payé (gagné)",R921="Événement livré",R921="Avis obtenu"),1,0))</f>
        <v/>
      </c>
      <c r="AW921" s="7">
        <f>IF(A921="","",IF(Q921&gt;70,"Immédiat – propriétaire",IF(Q921&gt;=40,"15 min – personne de garde","Selon la route")))</f>
        <v/>
      </c>
      <c r="AX921" s="11">
        <f>IF(A921="","",IF(AT921="A",400,IF(AT921="B",150,0)))</f>
        <v/>
      </c>
      <c r="AY921" s="11">
        <f>IF(A921="","",IF(AV921=1,N(V921),IF(N(U921)&gt;0,ROUND(N(U921)*IFERROR(VLOOKUP(R921,Listes!$AE$3:$AG$12,2,FALSE),0),0),0)))</f>
        <v/>
      </c>
      <c r="AZ921" s="7">
        <f>IF(LEFT(A921,7)="EXEMPLE",1,0)</f>
        <v/>
      </c>
      <c r="BA921" s="7">
        <f>IF(AND(AV921=1,AZ921=0,AC921&lt;&gt;"",W921&lt;&gt;"",N(V921)&gt;0),COUNTIFS($AV$3:AV921,1,$AZ$3:AZ921,0,$AC$3:AC921,"&lt;&gt;",$W$3:W921,"&lt;&gt;",$V$3:V921,"&gt;0"),"")</f>
        <v/>
      </c>
    </row>
    <row r="922">
      <c r="A922" s="12" t="n"/>
      <c r="B922" s="13" t="n"/>
      <c r="C922" s="13" t="n"/>
      <c r="D922" s="7">
        <f>IF(OR(B922="",C922=""),"",ROUND((C922-B922)*1440,0))</f>
        <v/>
      </c>
      <c r="E922" s="12" t="n"/>
      <c r="F922" s="12" t="n"/>
      <c r="G922" s="12" t="n"/>
      <c r="H922" s="12" t="n"/>
      <c r="I922" s="12" t="n"/>
      <c r="J922" s="12" t="n"/>
      <c r="K922" s="12" t="n"/>
      <c r="L922" s="14" t="n"/>
      <c r="M922" s="12" t="n"/>
      <c r="N922" s="12" t="n"/>
      <c r="O922" s="12" t="n"/>
      <c r="P922" s="12" t="n"/>
      <c r="Q922" s="7">
        <f>IF(A922="","",IFERROR(VLOOKUP(O922,Listes!$R$3:$T$8,2,FALSE),0)+IFERROR(VLOOKUP(J922,Listes!$J$3:$L$6,2,FALSE),0)+IFERROR(VLOOKUP(N922,Listes!$N$3:$P$6,2,FALSE),0)+IF(OR(L922="",B922=""),0,IF(L922-INT(B922)&lt;10,8,IF(L922-INT(B922)&lt;=90,10,5)))+IFERROR(VLOOKUP(AN922,Listes!$V$3:$W$5,2,FALSE),0)+IFERROR(VLOOKUP(AO922,Listes!$Y$3:$Z$5,2,FALSE),0))</f>
        <v/>
      </c>
      <c r="R922" s="12" t="n"/>
      <c r="S922" s="12" t="n"/>
      <c r="T922" s="12" t="n"/>
      <c r="U922" s="15" t="n"/>
      <c r="V922" s="15" t="n"/>
      <c r="W922" s="13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3" t="n"/>
      <c r="AK922" s="12" t="n"/>
      <c r="AL922" s="12" t="n"/>
      <c r="AM922" s="12" t="n"/>
      <c r="AN922" s="12" t="n"/>
      <c r="AO922" s="12" t="n"/>
      <c r="AP922" s="12" t="n"/>
      <c r="AQ922" s="7">
        <f>IF(A922="","",IF(AP922&lt;&gt;"",AP922,IF(LEFT(Z922,11)="gads_marque","Google Search – Marque",IF(LEFT(Z922,12)="gads_mariage","Google Search – Mariage et privé",IF(LEFT(Z922,10)="gads_corpo","Google Search – Corporatif",IF(LEFT(Z922,5)="meta_","Meta – Leads",IF(LEFT(Z922,5)="msft_","Microsoft Ads",IF(LEFT(Z922,8)="chatgpt_","ChatGPT Ads – Test",IF(X922="gbp","Fiche Google (organique)","Autre / non payé")))))))))</f>
        <v/>
      </c>
      <c r="AR922" s="7">
        <f>IF(K922="","",IFERROR(VLOOKUP(K922,Listes!$F$3:$H$8,3,FALSE),""))</f>
        <v/>
      </c>
      <c r="AS922" s="7">
        <f>IF(O922="","",IF(AND(M922="Autre (plus de 40 km)",OR(O922="lt600",O922="600_999",O922="1000_2499")),"D",IF(OR(O922="lt600",AND(O922="600_999",K922&lt;&gt;"mariage",K922&lt;&gt;"prive")),"C",IF(OR(O922="2500_4999",O922="5000p",J922="entreprise",J922="organisme",J922="agence"),"A",IF(OR(O922="1000_2499",O922="600_999"),"B",IF(O922="inconnu",IF(OR(N922="75_149",N922="150p"),"A","B"),""))))))</f>
        <v/>
      </c>
      <c r="AT922" s="7">
        <f>IF(A922="","",IF(P922&lt;&gt;"",P922,AS922))</f>
        <v/>
      </c>
      <c r="AU922" s="7">
        <f>IF(A922="","",IF(OR(AT922="A",AT922="B"),1,0))</f>
        <v/>
      </c>
      <c r="AV922" s="7">
        <f>IF(A922="","",IF(OR(R922="Dépôt payé (gagné)",R922="Événement livré",R922="Avis obtenu"),1,0))</f>
        <v/>
      </c>
      <c r="AW922" s="7">
        <f>IF(A922="","",IF(Q922&gt;70,"Immédiat – propriétaire",IF(Q922&gt;=40,"15 min – personne de garde","Selon la route")))</f>
        <v/>
      </c>
      <c r="AX922" s="11">
        <f>IF(A922="","",IF(AT922="A",400,IF(AT922="B",150,0)))</f>
        <v/>
      </c>
      <c r="AY922" s="11">
        <f>IF(A922="","",IF(AV922=1,N(V922),IF(N(U922)&gt;0,ROUND(N(U922)*IFERROR(VLOOKUP(R922,Listes!$AE$3:$AG$12,2,FALSE),0),0),0)))</f>
        <v/>
      </c>
      <c r="AZ922" s="7">
        <f>IF(LEFT(A922,7)="EXEMPLE",1,0)</f>
        <v/>
      </c>
      <c r="BA922" s="7">
        <f>IF(AND(AV922=1,AZ922=0,AC922&lt;&gt;"",W922&lt;&gt;"",N(V922)&gt;0),COUNTIFS($AV$3:AV922,1,$AZ$3:AZ922,0,$AC$3:AC922,"&lt;&gt;",$W$3:W922,"&lt;&gt;",$V$3:V922,"&gt;0"),"")</f>
        <v/>
      </c>
    </row>
    <row r="923">
      <c r="A923" s="12" t="n"/>
      <c r="B923" s="13" t="n"/>
      <c r="C923" s="13" t="n"/>
      <c r="D923" s="7">
        <f>IF(OR(B923="",C923=""),"",ROUND((C923-B923)*1440,0))</f>
        <v/>
      </c>
      <c r="E923" s="12" t="n"/>
      <c r="F923" s="12" t="n"/>
      <c r="G923" s="12" t="n"/>
      <c r="H923" s="12" t="n"/>
      <c r="I923" s="12" t="n"/>
      <c r="J923" s="12" t="n"/>
      <c r="K923" s="12" t="n"/>
      <c r="L923" s="14" t="n"/>
      <c r="M923" s="12" t="n"/>
      <c r="N923" s="12" t="n"/>
      <c r="O923" s="12" t="n"/>
      <c r="P923" s="12" t="n"/>
      <c r="Q923" s="7">
        <f>IF(A923="","",IFERROR(VLOOKUP(O923,Listes!$R$3:$T$8,2,FALSE),0)+IFERROR(VLOOKUP(J923,Listes!$J$3:$L$6,2,FALSE),0)+IFERROR(VLOOKUP(N923,Listes!$N$3:$P$6,2,FALSE),0)+IF(OR(L923="",B923=""),0,IF(L923-INT(B923)&lt;10,8,IF(L923-INT(B923)&lt;=90,10,5)))+IFERROR(VLOOKUP(AN923,Listes!$V$3:$W$5,2,FALSE),0)+IFERROR(VLOOKUP(AO923,Listes!$Y$3:$Z$5,2,FALSE),0))</f>
        <v/>
      </c>
      <c r="R923" s="12" t="n"/>
      <c r="S923" s="12" t="n"/>
      <c r="T923" s="12" t="n"/>
      <c r="U923" s="15" t="n"/>
      <c r="V923" s="15" t="n"/>
      <c r="W923" s="13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3" t="n"/>
      <c r="AK923" s="12" t="n"/>
      <c r="AL923" s="12" t="n"/>
      <c r="AM923" s="12" t="n"/>
      <c r="AN923" s="12" t="n"/>
      <c r="AO923" s="12" t="n"/>
      <c r="AP923" s="12" t="n"/>
      <c r="AQ923" s="7">
        <f>IF(A923="","",IF(AP923&lt;&gt;"",AP923,IF(LEFT(Z923,11)="gads_marque","Google Search – Marque",IF(LEFT(Z923,12)="gads_mariage","Google Search – Mariage et privé",IF(LEFT(Z923,10)="gads_corpo","Google Search – Corporatif",IF(LEFT(Z923,5)="meta_","Meta – Leads",IF(LEFT(Z923,5)="msft_","Microsoft Ads",IF(LEFT(Z923,8)="chatgpt_","ChatGPT Ads – Test",IF(X923="gbp","Fiche Google (organique)","Autre / non payé")))))))))</f>
        <v/>
      </c>
      <c r="AR923" s="7">
        <f>IF(K923="","",IFERROR(VLOOKUP(K923,Listes!$F$3:$H$8,3,FALSE),""))</f>
        <v/>
      </c>
      <c r="AS923" s="7">
        <f>IF(O923="","",IF(AND(M923="Autre (plus de 40 km)",OR(O923="lt600",O923="600_999",O923="1000_2499")),"D",IF(OR(O923="lt600",AND(O923="600_999",K923&lt;&gt;"mariage",K923&lt;&gt;"prive")),"C",IF(OR(O923="2500_4999",O923="5000p",J923="entreprise",J923="organisme",J923="agence"),"A",IF(OR(O923="1000_2499",O923="600_999"),"B",IF(O923="inconnu",IF(OR(N923="75_149",N923="150p"),"A","B"),""))))))</f>
        <v/>
      </c>
      <c r="AT923" s="7">
        <f>IF(A923="","",IF(P923&lt;&gt;"",P923,AS923))</f>
        <v/>
      </c>
      <c r="AU923" s="7">
        <f>IF(A923="","",IF(OR(AT923="A",AT923="B"),1,0))</f>
        <v/>
      </c>
      <c r="AV923" s="7">
        <f>IF(A923="","",IF(OR(R923="Dépôt payé (gagné)",R923="Événement livré",R923="Avis obtenu"),1,0))</f>
        <v/>
      </c>
      <c r="AW923" s="7">
        <f>IF(A923="","",IF(Q923&gt;70,"Immédiat – propriétaire",IF(Q923&gt;=40,"15 min – personne de garde","Selon la route")))</f>
        <v/>
      </c>
      <c r="AX923" s="11">
        <f>IF(A923="","",IF(AT923="A",400,IF(AT923="B",150,0)))</f>
        <v/>
      </c>
      <c r="AY923" s="11">
        <f>IF(A923="","",IF(AV923=1,N(V923),IF(N(U923)&gt;0,ROUND(N(U923)*IFERROR(VLOOKUP(R923,Listes!$AE$3:$AG$12,2,FALSE),0),0),0)))</f>
        <v/>
      </c>
      <c r="AZ923" s="7">
        <f>IF(LEFT(A923,7)="EXEMPLE",1,0)</f>
        <v/>
      </c>
      <c r="BA923" s="7">
        <f>IF(AND(AV923=1,AZ923=0,AC923&lt;&gt;"",W923&lt;&gt;"",N(V923)&gt;0),COUNTIFS($AV$3:AV923,1,$AZ$3:AZ923,0,$AC$3:AC923,"&lt;&gt;",$W$3:W923,"&lt;&gt;",$V$3:V923,"&gt;0"),"")</f>
        <v/>
      </c>
    </row>
    <row r="924">
      <c r="A924" s="12" t="n"/>
      <c r="B924" s="13" t="n"/>
      <c r="C924" s="13" t="n"/>
      <c r="D924" s="7">
        <f>IF(OR(B924="",C924=""),"",ROUND((C924-B924)*1440,0))</f>
        <v/>
      </c>
      <c r="E924" s="12" t="n"/>
      <c r="F924" s="12" t="n"/>
      <c r="G924" s="12" t="n"/>
      <c r="H924" s="12" t="n"/>
      <c r="I924" s="12" t="n"/>
      <c r="J924" s="12" t="n"/>
      <c r="K924" s="12" t="n"/>
      <c r="L924" s="14" t="n"/>
      <c r="M924" s="12" t="n"/>
      <c r="N924" s="12" t="n"/>
      <c r="O924" s="12" t="n"/>
      <c r="P924" s="12" t="n"/>
      <c r="Q924" s="7">
        <f>IF(A924="","",IFERROR(VLOOKUP(O924,Listes!$R$3:$T$8,2,FALSE),0)+IFERROR(VLOOKUP(J924,Listes!$J$3:$L$6,2,FALSE),0)+IFERROR(VLOOKUP(N924,Listes!$N$3:$P$6,2,FALSE),0)+IF(OR(L924="",B924=""),0,IF(L924-INT(B924)&lt;10,8,IF(L924-INT(B924)&lt;=90,10,5)))+IFERROR(VLOOKUP(AN924,Listes!$V$3:$W$5,2,FALSE),0)+IFERROR(VLOOKUP(AO924,Listes!$Y$3:$Z$5,2,FALSE),0))</f>
        <v/>
      </c>
      <c r="R924" s="12" t="n"/>
      <c r="S924" s="12" t="n"/>
      <c r="T924" s="12" t="n"/>
      <c r="U924" s="15" t="n"/>
      <c r="V924" s="15" t="n"/>
      <c r="W924" s="13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3" t="n"/>
      <c r="AK924" s="12" t="n"/>
      <c r="AL924" s="12" t="n"/>
      <c r="AM924" s="12" t="n"/>
      <c r="AN924" s="12" t="n"/>
      <c r="AO924" s="12" t="n"/>
      <c r="AP924" s="12" t="n"/>
      <c r="AQ924" s="7">
        <f>IF(A924="","",IF(AP924&lt;&gt;"",AP924,IF(LEFT(Z924,11)="gads_marque","Google Search – Marque",IF(LEFT(Z924,12)="gads_mariage","Google Search – Mariage et privé",IF(LEFT(Z924,10)="gads_corpo","Google Search – Corporatif",IF(LEFT(Z924,5)="meta_","Meta – Leads",IF(LEFT(Z924,5)="msft_","Microsoft Ads",IF(LEFT(Z924,8)="chatgpt_","ChatGPT Ads – Test",IF(X924="gbp","Fiche Google (organique)","Autre / non payé")))))))))</f>
        <v/>
      </c>
      <c r="AR924" s="7">
        <f>IF(K924="","",IFERROR(VLOOKUP(K924,Listes!$F$3:$H$8,3,FALSE),""))</f>
        <v/>
      </c>
      <c r="AS924" s="7">
        <f>IF(O924="","",IF(AND(M924="Autre (plus de 40 km)",OR(O924="lt600",O924="600_999",O924="1000_2499")),"D",IF(OR(O924="lt600",AND(O924="600_999",K924&lt;&gt;"mariage",K924&lt;&gt;"prive")),"C",IF(OR(O924="2500_4999",O924="5000p",J924="entreprise",J924="organisme",J924="agence"),"A",IF(OR(O924="1000_2499",O924="600_999"),"B",IF(O924="inconnu",IF(OR(N924="75_149",N924="150p"),"A","B"),""))))))</f>
        <v/>
      </c>
      <c r="AT924" s="7">
        <f>IF(A924="","",IF(P924&lt;&gt;"",P924,AS924))</f>
        <v/>
      </c>
      <c r="AU924" s="7">
        <f>IF(A924="","",IF(OR(AT924="A",AT924="B"),1,0))</f>
        <v/>
      </c>
      <c r="AV924" s="7">
        <f>IF(A924="","",IF(OR(R924="Dépôt payé (gagné)",R924="Événement livré",R924="Avis obtenu"),1,0))</f>
        <v/>
      </c>
      <c r="AW924" s="7">
        <f>IF(A924="","",IF(Q924&gt;70,"Immédiat – propriétaire",IF(Q924&gt;=40,"15 min – personne de garde","Selon la route")))</f>
        <v/>
      </c>
      <c r="AX924" s="11">
        <f>IF(A924="","",IF(AT924="A",400,IF(AT924="B",150,0)))</f>
        <v/>
      </c>
      <c r="AY924" s="11">
        <f>IF(A924="","",IF(AV924=1,N(V924),IF(N(U924)&gt;0,ROUND(N(U924)*IFERROR(VLOOKUP(R924,Listes!$AE$3:$AG$12,2,FALSE),0),0),0)))</f>
        <v/>
      </c>
      <c r="AZ924" s="7">
        <f>IF(LEFT(A924,7)="EXEMPLE",1,0)</f>
        <v/>
      </c>
      <c r="BA924" s="7">
        <f>IF(AND(AV924=1,AZ924=0,AC924&lt;&gt;"",W924&lt;&gt;"",N(V924)&gt;0),COUNTIFS($AV$3:AV924,1,$AZ$3:AZ924,0,$AC$3:AC924,"&lt;&gt;",$W$3:W924,"&lt;&gt;",$V$3:V924,"&gt;0"),"")</f>
        <v/>
      </c>
    </row>
    <row r="925">
      <c r="A925" s="12" t="n"/>
      <c r="B925" s="13" t="n"/>
      <c r="C925" s="13" t="n"/>
      <c r="D925" s="7">
        <f>IF(OR(B925="",C925=""),"",ROUND((C925-B925)*1440,0))</f>
        <v/>
      </c>
      <c r="E925" s="12" t="n"/>
      <c r="F925" s="12" t="n"/>
      <c r="G925" s="12" t="n"/>
      <c r="H925" s="12" t="n"/>
      <c r="I925" s="12" t="n"/>
      <c r="J925" s="12" t="n"/>
      <c r="K925" s="12" t="n"/>
      <c r="L925" s="14" t="n"/>
      <c r="M925" s="12" t="n"/>
      <c r="N925" s="12" t="n"/>
      <c r="O925" s="12" t="n"/>
      <c r="P925" s="12" t="n"/>
      <c r="Q925" s="7">
        <f>IF(A925="","",IFERROR(VLOOKUP(O925,Listes!$R$3:$T$8,2,FALSE),0)+IFERROR(VLOOKUP(J925,Listes!$J$3:$L$6,2,FALSE),0)+IFERROR(VLOOKUP(N925,Listes!$N$3:$P$6,2,FALSE),0)+IF(OR(L925="",B925=""),0,IF(L925-INT(B925)&lt;10,8,IF(L925-INT(B925)&lt;=90,10,5)))+IFERROR(VLOOKUP(AN925,Listes!$V$3:$W$5,2,FALSE),0)+IFERROR(VLOOKUP(AO925,Listes!$Y$3:$Z$5,2,FALSE),0))</f>
        <v/>
      </c>
      <c r="R925" s="12" t="n"/>
      <c r="S925" s="12" t="n"/>
      <c r="T925" s="12" t="n"/>
      <c r="U925" s="15" t="n"/>
      <c r="V925" s="15" t="n"/>
      <c r="W925" s="13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3" t="n"/>
      <c r="AK925" s="12" t="n"/>
      <c r="AL925" s="12" t="n"/>
      <c r="AM925" s="12" t="n"/>
      <c r="AN925" s="12" t="n"/>
      <c r="AO925" s="12" t="n"/>
      <c r="AP925" s="12" t="n"/>
      <c r="AQ925" s="7">
        <f>IF(A925="","",IF(AP925&lt;&gt;"",AP925,IF(LEFT(Z925,11)="gads_marque","Google Search – Marque",IF(LEFT(Z925,12)="gads_mariage","Google Search – Mariage et privé",IF(LEFT(Z925,10)="gads_corpo","Google Search – Corporatif",IF(LEFT(Z925,5)="meta_","Meta – Leads",IF(LEFT(Z925,5)="msft_","Microsoft Ads",IF(LEFT(Z925,8)="chatgpt_","ChatGPT Ads – Test",IF(X925="gbp","Fiche Google (organique)","Autre / non payé")))))))))</f>
        <v/>
      </c>
      <c r="AR925" s="7">
        <f>IF(K925="","",IFERROR(VLOOKUP(K925,Listes!$F$3:$H$8,3,FALSE),""))</f>
        <v/>
      </c>
      <c r="AS925" s="7">
        <f>IF(O925="","",IF(AND(M925="Autre (plus de 40 km)",OR(O925="lt600",O925="600_999",O925="1000_2499")),"D",IF(OR(O925="lt600",AND(O925="600_999",K925&lt;&gt;"mariage",K925&lt;&gt;"prive")),"C",IF(OR(O925="2500_4999",O925="5000p",J925="entreprise",J925="organisme",J925="agence"),"A",IF(OR(O925="1000_2499",O925="600_999"),"B",IF(O925="inconnu",IF(OR(N925="75_149",N925="150p"),"A","B"),""))))))</f>
        <v/>
      </c>
      <c r="AT925" s="7">
        <f>IF(A925="","",IF(P925&lt;&gt;"",P925,AS925))</f>
        <v/>
      </c>
      <c r="AU925" s="7">
        <f>IF(A925="","",IF(OR(AT925="A",AT925="B"),1,0))</f>
        <v/>
      </c>
      <c r="AV925" s="7">
        <f>IF(A925="","",IF(OR(R925="Dépôt payé (gagné)",R925="Événement livré",R925="Avis obtenu"),1,0))</f>
        <v/>
      </c>
      <c r="AW925" s="7">
        <f>IF(A925="","",IF(Q925&gt;70,"Immédiat – propriétaire",IF(Q925&gt;=40,"15 min – personne de garde","Selon la route")))</f>
        <v/>
      </c>
      <c r="AX925" s="11">
        <f>IF(A925="","",IF(AT925="A",400,IF(AT925="B",150,0)))</f>
        <v/>
      </c>
      <c r="AY925" s="11">
        <f>IF(A925="","",IF(AV925=1,N(V925),IF(N(U925)&gt;0,ROUND(N(U925)*IFERROR(VLOOKUP(R925,Listes!$AE$3:$AG$12,2,FALSE),0),0),0)))</f>
        <v/>
      </c>
      <c r="AZ925" s="7">
        <f>IF(LEFT(A925,7)="EXEMPLE",1,0)</f>
        <v/>
      </c>
      <c r="BA925" s="7">
        <f>IF(AND(AV925=1,AZ925=0,AC925&lt;&gt;"",W925&lt;&gt;"",N(V925)&gt;0),COUNTIFS($AV$3:AV925,1,$AZ$3:AZ925,0,$AC$3:AC925,"&lt;&gt;",$W$3:W925,"&lt;&gt;",$V$3:V925,"&gt;0"),"")</f>
        <v/>
      </c>
    </row>
    <row r="926">
      <c r="A926" s="12" t="n"/>
      <c r="B926" s="13" t="n"/>
      <c r="C926" s="13" t="n"/>
      <c r="D926" s="7">
        <f>IF(OR(B926="",C926=""),"",ROUND((C926-B926)*1440,0))</f>
        <v/>
      </c>
      <c r="E926" s="12" t="n"/>
      <c r="F926" s="12" t="n"/>
      <c r="G926" s="12" t="n"/>
      <c r="H926" s="12" t="n"/>
      <c r="I926" s="12" t="n"/>
      <c r="J926" s="12" t="n"/>
      <c r="K926" s="12" t="n"/>
      <c r="L926" s="14" t="n"/>
      <c r="M926" s="12" t="n"/>
      <c r="N926" s="12" t="n"/>
      <c r="O926" s="12" t="n"/>
      <c r="P926" s="12" t="n"/>
      <c r="Q926" s="7">
        <f>IF(A926="","",IFERROR(VLOOKUP(O926,Listes!$R$3:$T$8,2,FALSE),0)+IFERROR(VLOOKUP(J926,Listes!$J$3:$L$6,2,FALSE),0)+IFERROR(VLOOKUP(N926,Listes!$N$3:$P$6,2,FALSE),0)+IF(OR(L926="",B926=""),0,IF(L926-INT(B926)&lt;10,8,IF(L926-INT(B926)&lt;=90,10,5)))+IFERROR(VLOOKUP(AN926,Listes!$V$3:$W$5,2,FALSE),0)+IFERROR(VLOOKUP(AO926,Listes!$Y$3:$Z$5,2,FALSE),0))</f>
        <v/>
      </c>
      <c r="R926" s="12" t="n"/>
      <c r="S926" s="12" t="n"/>
      <c r="T926" s="12" t="n"/>
      <c r="U926" s="15" t="n"/>
      <c r="V926" s="15" t="n"/>
      <c r="W926" s="13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3" t="n"/>
      <c r="AK926" s="12" t="n"/>
      <c r="AL926" s="12" t="n"/>
      <c r="AM926" s="12" t="n"/>
      <c r="AN926" s="12" t="n"/>
      <c r="AO926" s="12" t="n"/>
      <c r="AP926" s="12" t="n"/>
      <c r="AQ926" s="7">
        <f>IF(A926="","",IF(AP926&lt;&gt;"",AP926,IF(LEFT(Z926,11)="gads_marque","Google Search – Marque",IF(LEFT(Z926,12)="gads_mariage","Google Search – Mariage et privé",IF(LEFT(Z926,10)="gads_corpo","Google Search – Corporatif",IF(LEFT(Z926,5)="meta_","Meta – Leads",IF(LEFT(Z926,5)="msft_","Microsoft Ads",IF(LEFT(Z926,8)="chatgpt_","ChatGPT Ads – Test",IF(X926="gbp","Fiche Google (organique)","Autre / non payé")))))))))</f>
        <v/>
      </c>
      <c r="AR926" s="7">
        <f>IF(K926="","",IFERROR(VLOOKUP(K926,Listes!$F$3:$H$8,3,FALSE),""))</f>
        <v/>
      </c>
      <c r="AS926" s="7">
        <f>IF(O926="","",IF(AND(M926="Autre (plus de 40 km)",OR(O926="lt600",O926="600_999",O926="1000_2499")),"D",IF(OR(O926="lt600",AND(O926="600_999",K926&lt;&gt;"mariage",K926&lt;&gt;"prive")),"C",IF(OR(O926="2500_4999",O926="5000p",J926="entreprise",J926="organisme",J926="agence"),"A",IF(OR(O926="1000_2499",O926="600_999"),"B",IF(O926="inconnu",IF(OR(N926="75_149",N926="150p"),"A","B"),""))))))</f>
        <v/>
      </c>
      <c r="AT926" s="7">
        <f>IF(A926="","",IF(P926&lt;&gt;"",P926,AS926))</f>
        <v/>
      </c>
      <c r="AU926" s="7">
        <f>IF(A926="","",IF(OR(AT926="A",AT926="B"),1,0))</f>
        <v/>
      </c>
      <c r="AV926" s="7">
        <f>IF(A926="","",IF(OR(R926="Dépôt payé (gagné)",R926="Événement livré",R926="Avis obtenu"),1,0))</f>
        <v/>
      </c>
      <c r="AW926" s="7">
        <f>IF(A926="","",IF(Q926&gt;70,"Immédiat – propriétaire",IF(Q926&gt;=40,"15 min – personne de garde","Selon la route")))</f>
        <v/>
      </c>
      <c r="AX926" s="11">
        <f>IF(A926="","",IF(AT926="A",400,IF(AT926="B",150,0)))</f>
        <v/>
      </c>
      <c r="AY926" s="11">
        <f>IF(A926="","",IF(AV926=1,N(V926),IF(N(U926)&gt;0,ROUND(N(U926)*IFERROR(VLOOKUP(R926,Listes!$AE$3:$AG$12,2,FALSE),0),0),0)))</f>
        <v/>
      </c>
      <c r="AZ926" s="7">
        <f>IF(LEFT(A926,7)="EXEMPLE",1,0)</f>
        <v/>
      </c>
      <c r="BA926" s="7">
        <f>IF(AND(AV926=1,AZ926=0,AC926&lt;&gt;"",W926&lt;&gt;"",N(V926)&gt;0),COUNTIFS($AV$3:AV926,1,$AZ$3:AZ926,0,$AC$3:AC926,"&lt;&gt;",$W$3:W926,"&lt;&gt;",$V$3:V926,"&gt;0"),"")</f>
        <v/>
      </c>
    </row>
    <row r="927">
      <c r="A927" s="12" t="n"/>
      <c r="B927" s="13" t="n"/>
      <c r="C927" s="13" t="n"/>
      <c r="D927" s="7">
        <f>IF(OR(B927="",C927=""),"",ROUND((C927-B927)*1440,0))</f>
        <v/>
      </c>
      <c r="E927" s="12" t="n"/>
      <c r="F927" s="12" t="n"/>
      <c r="G927" s="12" t="n"/>
      <c r="H927" s="12" t="n"/>
      <c r="I927" s="12" t="n"/>
      <c r="J927" s="12" t="n"/>
      <c r="K927" s="12" t="n"/>
      <c r="L927" s="14" t="n"/>
      <c r="M927" s="12" t="n"/>
      <c r="N927" s="12" t="n"/>
      <c r="O927" s="12" t="n"/>
      <c r="P927" s="12" t="n"/>
      <c r="Q927" s="7">
        <f>IF(A927="","",IFERROR(VLOOKUP(O927,Listes!$R$3:$T$8,2,FALSE),0)+IFERROR(VLOOKUP(J927,Listes!$J$3:$L$6,2,FALSE),0)+IFERROR(VLOOKUP(N927,Listes!$N$3:$P$6,2,FALSE),0)+IF(OR(L927="",B927=""),0,IF(L927-INT(B927)&lt;10,8,IF(L927-INT(B927)&lt;=90,10,5)))+IFERROR(VLOOKUP(AN927,Listes!$V$3:$W$5,2,FALSE),0)+IFERROR(VLOOKUP(AO927,Listes!$Y$3:$Z$5,2,FALSE),0))</f>
        <v/>
      </c>
      <c r="R927" s="12" t="n"/>
      <c r="S927" s="12" t="n"/>
      <c r="T927" s="12" t="n"/>
      <c r="U927" s="15" t="n"/>
      <c r="V927" s="15" t="n"/>
      <c r="W927" s="13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3" t="n"/>
      <c r="AK927" s="12" t="n"/>
      <c r="AL927" s="12" t="n"/>
      <c r="AM927" s="12" t="n"/>
      <c r="AN927" s="12" t="n"/>
      <c r="AO927" s="12" t="n"/>
      <c r="AP927" s="12" t="n"/>
      <c r="AQ927" s="7">
        <f>IF(A927="","",IF(AP927&lt;&gt;"",AP927,IF(LEFT(Z927,11)="gads_marque","Google Search – Marque",IF(LEFT(Z927,12)="gads_mariage","Google Search – Mariage et privé",IF(LEFT(Z927,10)="gads_corpo","Google Search – Corporatif",IF(LEFT(Z927,5)="meta_","Meta – Leads",IF(LEFT(Z927,5)="msft_","Microsoft Ads",IF(LEFT(Z927,8)="chatgpt_","ChatGPT Ads – Test",IF(X927="gbp","Fiche Google (organique)","Autre / non payé")))))))))</f>
        <v/>
      </c>
      <c r="AR927" s="7">
        <f>IF(K927="","",IFERROR(VLOOKUP(K927,Listes!$F$3:$H$8,3,FALSE),""))</f>
        <v/>
      </c>
      <c r="AS927" s="7">
        <f>IF(O927="","",IF(AND(M927="Autre (plus de 40 km)",OR(O927="lt600",O927="600_999",O927="1000_2499")),"D",IF(OR(O927="lt600",AND(O927="600_999",K927&lt;&gt;"mariage",K927&lt;&gt;"prive")),"C",IF(OR(O927="2500_4999",O927="5000p",J927="entreprise",J927="organisme",J927="agence"),"A",IF(OR(O927="1000_2499",O927="600_999"),"B",IF(O927="inconnu",IF(OR(N927="75_149",N927="150p"),"A","B"),""))))))</f>
        <v/>
      </c>
      <c r="AT927" s="7">
        <f>IF(A927="","",IF(P927&lt;&gt;"",P927,AS927))</f>
        <v/>
      </c>
      <c r="AU927" s="7">
        <f>IF(A927="","",IF(OR(AT927="A",AT927="B"),1,0))</f>
        <v/>
      </c>
      <c r="AV927" s="7">
        <f>IF(A927="","",IF(OR(R927="Dépôt payé (gagné)",R927="Événement livré",R927="Avis obtenu"),1,0))</f>
        <v/>
      </c>
      <c r="AW927" s="7">
        <f>IF(A927="","",IF(Q927&gt;70,"Immédiat – propriétaire",IF(Q927&gt;=40,"15 min – personne de garde","Selon la route")))</f>
        <v/>
      </c>
      <c r="AX927" s="11">
        <f>IF(A927="","",IF(AT927="A",400,IF(AT927="B",150,0)))</f>
        <v/>
      </c>
      <c r="AY927" s="11">
        <f>IF(A927="","",IF(AV927=1,N(V927),IF(N(U927)&gt;0,ROUND(N(U927)*IFERROR(VLOOKUP(R927,Listes!$AE$3:$AG$12,2,FALSE),0),0),0)))</f>
        <v/>
      </c>
      <c r="AZ927" s="7">
        <f>IF(LEFT(A927,7)="EXEMPLE",1,0)</f>
        <v/>
      </c>
      <c r="BA927" s="7">
        <f>IF(AND(AV927=1,AZ927=0,AC927&lt;&gt;"",W927&lt;&gt;"",N(V927)&gt;0),COUNTIFS($AV$3:AV927,1,$AZ$3:AZ927,0,$AC$3:AC927,"&lt;&gt;",$W$3:W927,"&lt;&gt;",$V$3:V927,"&gt;0"),"")</f>
        <v/>
      </c>
    </row>
    <row r="928">
      <c r="A928" s="12" t="n"/>
      <c r="B928" s="13" t="n"/>
      <c r="C928" s="13" t="n"/>
      <c r="D928" s="7">
        <f>IF(OR(B928="",C928=""),"",ROUND((C928-B928)*1440,0))</f>
        <v/>
      </c>
      <c r="E928" s="12" t="n"/>
      <c r="F928" s="12" t="n"/>
      <c r="G928" s="12" t="n"/>
      <c r="H928" s="12" t="n"/>
      <c r="I928" s="12" t="n"/>
      <c r="J928" s="12" t="n"/>
      <c r="K928" s="12" t="n"/>
      <c r="L928" s="14" t="n"/>
      <c r="M928" s="12" t="n"/>
      <c r="N928" s="12" t="n"/>
      <c r="O928" s="12" t="n"/>
      <c r="P928" s="12" t="n"/>
      <c r="Q928" s="7">
        <f>IF(A928="","",IFERROR(VLOOKUP(O928,Listes!$R$3:$T$8,2,FALSE),0)+IFERROR(VLOOKUP(J928,Listes!$J$3:$L$6,2,FALSE),0)+IFERROR(VLOOKUP(N928,Listes!$N$3:$P$6,2,FALSE),0)+IF(OR(L928="",B928=""),0,IF(L928-INT(B928)&lt;10,8,IF(L928-INT(B928)&lt;=90,10,5)))+IFERROR(VLOOKUP(AN928,Listes!$V$3:$W$5,2,FALSE),0)+IFERROR(VLOOKUP(AO928,Listes!$Y$3:$Z$5,2,FALSE),0))</f>
        <v/>
      </c>
      <c r="R928" s="12" t="n"/>
      <c r="S928" s="12" t="n"/>
      <c r="T928" s="12" t="n"/>
      <c r="U928" s="15" t="n"/>
      <c r="V928" s="15" t="n"/>
      <c r="W928" s="13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3" t="n"/>
      <c r="AK928" s="12" t="n"/>
      <c r="AL928" s="12" t="n"/>
      <c r="AM928" s="12" t="n"/>
      <c r="AN928" s="12" t="n"/>
      <c r="AO928" s="12" t="n"/>
      <c r="AP928" s="12" t="n"/>
      <c r="AQ928" s="7">
        <f>IF(A928="","",IF(AP928&lt;&gt;"",AP928,IF(LEFT(Z928,11)="gads_marque","Google Search – Marque",IF(LEFT(Z928,12)="gads_mariage","Google Search – Mariage et privé",IF(LEFT(Z928,10)="gads_corpo","Google Search – Corporatif",IF(LEFT(Z928,5)="meta_","Meta – Leads",IF(LEFT(Z928,5)="msft_","Microsoft Ads",IF(LEFT(Z928,8)="chatgpt_","ChatGPT Ads – Test",IF(X928="gbp","Fiche Google (organique)","Autre / non payé")))))))))</f>
        <v/>
      </c>
      <c r="AR928" s="7">
        <f>IF(K928="","",IFERROR(VLOOKUP(K928,Listes!$F$3:$H$8,3,FALSE),""))</f>
        <v/>
      </c>
      <c r="AS928" s="7">
        <f>IF(O928="","",IF(AND(M928="Autre (plus de 40 km)",OR(O928="lt600",O928="600_999",O928="1000_2499")),"D",IF(OR(O928="lt600",AND(O928="600_999",K928&lt;&gt;"mariage",K928&lt;&gt;"prive")),"C",IF(OR(O928="2500_4999",O928="5000p",J928="entreprise",J928="organisme",J928="agence"),"A",IF(OR(O928="1000_2499",O928="600_999"),"B",IF(O928="inconnu",IF(OR(N928="75_149",N928="150p"),"A","B"),""))))))</f>
        <v/>
      </c>
      <c r="AT928" s="7">
        <f>IF(A928="","",IF(P928&lt;&gt;"",P928,AS928))</f>
        <v/>
      </c>
      <c r="AU928" s="7">
        <f>IF(A928="","",IF(OR(AT928="A",AT928="B"),1,0))</f>
        <v/>
      </c>
      <c r="AV928" s="7">
        <f>IF(A928="","",IF(OR(R928="Dépôt payé (gagné)",R928="Événement livré",R928="Avis obtenu"),1,0))</f>
        <v/>
      </c>
      <c r="AW928" s="7">
        <f>IF(A928="","",IF(Q928&gt;70,"Immédiat – propriétaire",IF(Q928&gt;=40,"15 min – personne de garde","Selon la route")))</f>
        <v/>
      </c>
      <c r="AX928" s="11">
        <f>IF(A928="","",IF(AT928="A",400,IF(AT928="B",150,0)))</f>
        <v/>
      </c>
      <c r="AY928" s="11">
        <f>IF(A928="","",IF(AV928=1,N(V928),IF(N(U928)&gt;0,ROUND(N(U928)*IFERROR(VLOOKUP(R928,Listes!$AE$3:$AG$12,2,FALSE),0),0),0)))</f>
        <v/>
      </c>
      <c r="AZ928" s="7">
        <f>IF(LEFT(A928,7)="EXEMPLE",1,0)</f>
        <v/>
      </c>
      <c r="BA928" s="7">
        <f>IF(AND(AV928=1,AZ928=0,AC928&lt;&gt;"",W928&lt;&gt;"",N(V928)&gt;0),COUNTIFS($AV$3:AV928,1,$AZ$3:AZ928,0,$AC$3:AC928,"&lt;&gt;",$W$3:W928,"&lt;&gt;",$V$3:V928,"&gt;0"),"")</f>
        <v/>
      </c>
    </row>
    <row r="929">
      <c r="A929" s="12" t="n"/>
      <c r="B929" s="13" t="n"/>
      <c r="C929" s="13" t="n"/>
      <c r="D929" s="7">
        <f>IF(OR(B929="",C929=""),"",ROUND((C929-B929)*1440,0))</f>
        <v/>
      </c>
      <c r="E929" s="12" t="n"/>
      <c r="F929" s="12" t="n"/>
      <c r="G929" s="12" t="n"/>
      <c r="H929" s="12" t="n"/>
      <c r="I929" s="12" t="n"/>
      <c r="J929" s="12" t="n"/>
      <c r="K929" s="12" t="n"/>
      <c r="L929" s="14" t="n"/>
      <c r="M929" s="12" t="n"/>
      <c r="N929" s="12" t="n"/>
      <c r="O929" s="12" t="n"/>
      <c r="P929" s="12" t="n"/>
      <c r="Q929" s="7">
        <f>IF(A929="","",IFERROR(VLOOKUP(O929,Listes!$R$3:$T$8,2,FALSE),0)+IFERROR(VLOOKUP(J929,Listes!$J$3:$L$6,2,FALSE),0)+IFERROR(VLOOKUP(N929,Listes!$N$3:$P$6,2,FALSE),0)+IF(OR(L929="",B929=""),0,IF(L929-INT(B929)&lt;10,8,IF(L929-INT(B929)&lt;=90,10,5)))+IFERROR(VLOOKUP(AN929,Listes!$V$3:$W$5,2,FALSE),0)+IFERROR(VLOOKUP(AO929,Listes!$Y$3:$Z$5,2,FALSE),0))</f>
        <v/>
      </c>
      <c r="R929" s="12" t="n"/>
      <c r="S929" s="12" t="n"/>
      <c r="T929" s="12" t="n"/>
      <c r="U929" s="15" t="n"/>
      <c r="V929" s="15" t="n"/>
      <c r="W929" s="13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3" t="n"/>
      <c r="AK929" s="12" t="n"/>
      <c r="AL929" s="12" t="n"/>
      <c r="AM929" s="12" t="n"/>
      <c r="AN929" s="12" t="n"/>
      <c r="AO929" s="12" t="n"/>
      <c r="AP929" s="12" t="n"/>
      <c r="AQ929" s="7">
        <f>IF(A929="","",IF(AP929&lt;&gt;"",AP929,IF(LEFT(Z929,11)="gads_marque","Google Search – Marque",IF(LEFT(Z929,12)="gads_mariage","Google Search – Mariage et privé",IF(LEFT(Z929,10)="gads_corpo","Google Search – Corporatif",IF(LEFT(Z929,5)="meta_","Meta – Leads",IF(LEFT(Z929,5)="msft_","Microsoft Ads",IF(LEFT(Z929,8)="chatgpt_","ChatGPT Ads – Test",IF(X929="gbp","Fiche Google (organique)","Autre / non payé")))))))))</f>
        <v/>
      </c>
      <c r="AR929" s="7">
        <f>IF(K929="","",IFERROR(VLOOKUP(K929,Listes!$F$3:$H$8,3,FALSE),""))</f>
        <v/>
      </c>
      <c r="AS929" s="7">
        <f>IF(O929="","",IF(AND(M929="Autre (plus de 40 km)",OR(O929="lt600",O929="600_999",O929="1000_2499")),"D",IF(OR(O929="lt600",AND(O929="600_999",K929&lt;&gt;"mariage",K929&lt;&gt;"prive")),"C",IF(OR(O929="2500_4999",O929="5000p",J929="entreprise",J929="organisme",J929="agence"),"A",IF(OR(O929="1000_2499",O929="600_999"),"B",IF(O929="inconnu",IF(OR(N929="75_149",N929="150p"),"A","B"),""))))))</f>
        <v/>
      </c>
      <c r="AT929" s="7">
        <f>IF(A929="","",IF(P929&lt;&gt;"",P929,AS929))</f>
        <v/>
      </c>
      <c r="AU929" s="7">
        <f>IF(A929="","",IF(OR(AT929="A",AT929="B"),1,0))</f>
        <v/>
      </c>
      <c r="AV929" s="7">
        <f>IF(A929="","",IF(OR(R929="Dépôt payé (gagné)",R929="Événement livré",R929="Avis obtenu"),1,0))</f>
        <v/>
      </c>
      <c r="AW929" s="7">
        <f>IF(A929="","",IF(Q929&gt;70,"Immédiat – propriétaire",IF(Q929&gt;=40,"15 min – personne de garde","Selon la route")))</f>
        <v/>
      </c>
      <c r="AX929" s="11">
        <f>IF(A929="","",IF(AT929="A",400,IF(AT929="B",150,0)))</f>
        <v/>
      </c>
      <c r="AY929" s="11">
        <f>IF(A929="","",IF(AV929=1,N(V929),IF(N(U929)&gt;0,ROUND(N(U929)*IFERROR(VLOOKUP(R929,Listes!$AE$3:$AG$12,2,FALSE),0),0),0)))</f>
        <v/>
      </c>
      <c r="AZ929" s="7">
        <f>IF(LEFT(A929,7)="EXEMPLE",1,0)</f>
        <v/>
      </c>
      <c r="BA929" s="7">
        <f>IF(AND(AV929=1,AZ929=0,AC929&lt;&gt;"",W929&lt;&gt;"",N(V929)&gt;0),COUNTIFS($AV$3:AV929,1,$AZ$3:AZ929,0,$AC$3:AC929,"&lt;&gt;",$W$3:W929,"&lt;&gt;",$V$3:V929,"&gt;0"),"")</f>
        <v/>
      </c>
    </row>
    <row r="930">
      <c r="A930" s="12" t="n"/>
      <c r="B930" s="13" t="n"/>
      <c r="C930" s="13" t="n"/>
      <c r="D930" s="7">
        <f>IF(OR(B930="",C930=""),"",ROUND((C930-B930)*1440,0))</f>
        <v/>
      </c>
      <c r="E930" s="12" t="n"/>
      <c r="F930" s="12" t="n"/>
      <c r="G930" s="12" t="n"/>
      <c r="H930" s="12" t="n"/>
      <c r="I930" s="12" t="n"/>
      <c r="J930" s="12" t="n"/>
      <c r="K930" s="12" t="n"/>
      <c r="L930" s="14" t="n"/>
      <c r="M930" s="12" t="n"/>
      <c r="N930" s="12" t="n"/>
      <c r="O930" s="12" t="n"/>
      <c r="P930" s="12" t="n"/>
      <c r="Q930" s="7">
        <f>IF(A930="","",IFERROR(VLOOKUP(O930,Listes!$R$3:$T$8,2,FALSE),0)+IFERROR(VLOOKUP(J930,Listes!$J$3:$L$6,2,FALSE),0)+IFERROR(VLOOKUP(N930,Listes!$N$3:$P$6,2,FALSE),0)+IF(OR(L930="",B930=""),0,IF(L930-INT(B930)&lt;10,8,IF(L930-INT(B930)&lt;=90,10,5)))+IFERROR(VLOOKUP(AN930,Listes!$V$3:$W$5,2,FALSE),0)+IFERROR(VLOOKUP(AO930,Listes!$Y$3:$Z$5,2,FALSE),0))</f>
        <v/>
      </c>
      <c r="R930" s="12" t="n"/>
      <c r="S930" s="12" t="n"/>
      <c r="T930" s="12" t="n"/>
      <c r="U930" s="15" t="n"/>
      <c r="V930" s="15" t="n"/>
      <c r="W930" s="13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3" t="n"/>
      <c r="AK930" s="12" t="n"/>
      <c r="AL930" s="12" t="n"/>
      <c r="AM930" s="12" t="n"/>
      <c r="AN930" s="12" t="n"/>
      <c r="AO930" s="12" t="n"/>
      <c r="AP930" s="12" t="n"/>
      <c r="AQ930" s="7">
        <f>IF(A930="","",IF(AP930&lt;&gt;"",AP930,IF(LEFT(Z930,11)="gads_marque","Google Search – Marque",IF(LEFT(Z930,12)="gads_mariage","Google Search – Mariage et privé",IF(LEFT(Z930,10)="gads_corpo","Google Search – Corporatif",IF(LEFT(Z930,5)="meta_","Meta – Leads",IF(LEFT(Z930,5)="msft_","Microsoft Ads",IF(LEFT(Z930,8)="chatgpt_","ChatGPT Ads – Test",IF(X930="gbp","Fiche Google (organique)","Autre / non payé")))))))))</f>
        <v/>
      </c>
      <c r="AR930" s="7">
        <f>IF(K930="","",IFERROR(VLOOKUP(K930,Listes!$F$3:$H$8,3,FALSE),""))</f>
        <v/>
      </c>
      <c r="AS930" s="7">
        <f>IF(O930="","",IF(AND(M930="Autre (plus de 40 km)",OR(O930="lt600",O930="600_999",O930="1000_2499")),"D",IF(OR(O930="lt600",AND(O930="600_999",K930&lt;&gt;"mariage",K930&lt;&gt;"prive")),"C",IF(OR(O930="2500_4999",O930="5000p",J930="entreprise",J930="organisme",J930="agence"),"A",IF(OR(O930="1000_2499",O930="600_999"),"B",IF(O930="inconnu",IF(OR(N930="75_149",N930="150p"),"A","B"),""))))))</f>
        <v/>
      </c>
      <c r="AT930" s="7">
        <f>IF(A930="","",IF(P930&lt;&gt;"",P930,AS930))</f>
        <v/>
      </c>
      <c r="AU930" s="7">
        <f>IF(A930="","",IF(OR(AT930="A",AT930="B"),1,0))</f>
        <v/>
      </c>
      <c r="AV930" s="7">
        <f>IF(A930="","",IF(OR(R930="Dépôt payé (gagné)",R930="Événement livré",R930="Avis obtenu"),1,0))</f>
        <v/>
      </c>
      <c r="AW930" s="7">
        <f>IF(A930="","",IF(Q930&gt;70,"Immédiat – propriétaire",IF(Q930&gt;=40,"15 min – personne de garde","Selon la route")))</f>
        <v/>
      </c>
      <c r="AX930" s="11">
        <f>IF(A930="","",IF(AT930="A",400,IF(AT930="B",150,0)))</f>
        <v/>
      </c>
      <c r="AY930" s="11">
        <f>IF(A930="","",IF(AV930=1,N(V930),IF(N(U930)&gt;0,ROUND(N(U930)*IFERROR(VLOOKUP(R930,Listes!$AE$3:$AG$12,2,FALSE),0),0),0)))</f>
        <v/>
      </c>
      <c r="AZ930" s="7">
        <f>IF(LEFT(A930,7)="EXEMPLE",1,0)</f>
        <v/>
      </c>
      <c r="BA930" s="7">
        <f>IF(AND(AV930=1,AZ930=0,AC930&lt;&gt;"",W930&lt;&gt;"",N(V930)&gt;0),COUNTIFS($AV$3:AV930,1,$AZ$3:AZ930,0,$AC$3:AC930,"&lt;&gt;",$W$3:W930,"&lt;&gt;",$V$3:V930,"&gt;0"),"")</f>
        <v/>
      </c>
    </row>
    <row r="931">
      <c r="A931" s="12" t="n"/>
      <c r="B931" s="13" t="n"/>
      <c r="C931" s="13" t="n"/>
      <c r="D931" s="7">
        <f>IF(OR(B931="",C931=""),"",ROUND((C931-B931)*1440,0))</f>
        <v/>
      </c>
      <c r="E931" s="12" t="n"/>
      <c r="F931" s="12" t="n"/>
      <c r="G931" s="12" t="n"/>
      <c r="H931" s="12" t="n"/>
      <c r="I931" s="12" t="n"/>
      <c r="J931" s="12" t="n"/>
      <c r="K931" s="12" t="n"/>
      <c r="L931" s="14" t="n"/>
      <c r="M931" s="12" t="n"/>
      <c r="N931" s="12" t="n"/>
      <c r="O931" s="12" t="n"/>
      <c r="P931" s="12" t="n"/>
      <c r="Q931" s="7">
        <f>IF(A931="","",IFERROR(VLOOKUP(O931,Listes!$R$3:$T$8,2,FALSE),0)+IFERROR(VLOOKUP(J931,Listes!$J$3:$L$6,2,FALSE),0)+IFERROR(VLOOKUP(N931,Listes!$N$3:$P$6,2,FALSE),0)+IF(OR(L931="",B931=""),0,IF(L931-INT(B931)&lt;10,8,IF(L931-INT(B931)&lt;=90,10,5)))+IFERROR(VLOOKUP(AN931,Listes!$V$3:$W$5,2,FALSE),0)+IFERROR(VLOOKUP(AO931,Listes!$Y$3:$Z$5,2,FALSE),0))</f>
        <v/>
      </c>
      <c r="R931" s="12" t="n"/>
      <c r="S931" s="12" t="n"/>
      <c r="T931" s="12" t="n"/>
      <c r="U931" s="15" t="n"/>
      <c r="V931" s="15" t="n"/>
      <c r="W931" s="13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3" t="n"/>
      <c r="AK931" s="12" t="n"/>
      <c r="AL931" s="12" t="n"/>
      <c r="AM931" s="12" t="n"/>
      <c r="AN931" s="12" t="n"/>
      <c r="AO931" s="12" t="n"/>
      <c r="AP931" s="12" t="n"/>
      <c r="AQ931" s="7">
        <f>IF(A931="","",IF(AP931&lt;&gt;"",AP931,IF(LEFT(Z931,11)="gads_marque","Google Search – Marque",IF(LEFT(Z931,12)="gads_mariage","Google Search – Mariage et privé",IF(LEFT(Z931,10)="gads_corpo","Google Search – Corporatif",IF(LEFT(Z931,5)="meta_","Meta – Leads",IF(LEFT(Z931,5)="msft_","Microsoft Ads",IF(LEFT(Z931,8)="chatgpt_","ChatGPT Ads – Test",IF(X931="gbp","Fiche Google (organique)","Autre / non payé")))))))))</f>
        <v/>
      </c>
      <c r="AR931" s="7">
        <f>IF(K931="","",IFERROR(VLOOKUP(K931,Listes!$F$3:$H$8,3,FALSE),""))</f>
        <v/>
      </c>
      <c r="AS931" s="7">
        <f>IF(O931="","",IF(AND(M931="Autre (plus de 40 km)",OR(O931="lt600",O931="600_999",O931="1000_2499")),"D",IF(OR(O931="lt600",AND(O931="600_999",K931&lt;&gt;"mariage",K931&lt;&gt;"prive")),"C",IF(OR(O931="2500_4999",O931="5000p",J931="entreprise",J931="organisme",J931="agence"),"A",IF(OR(O931="1000_2499",O931="600_999"),"B",IF(O931="inconnu",IF(OR(N931="75_149",N931="150p"),"A","B"),""))))))</f>
        <v/>
      </c>
      <c r="AT931" s="7">
        <f>IF(A931="","",IF(P931&lt;&gt;"",P931,AS931))</f>
        <v/>
      </c>
      <c r="AU931" s="7">
        <f>IF(A931="","",IF(OR(AT931="A",AT931="B"),1,0))</f>
        <v/>
      </c>
      <c r="AV931" s="7">
        <f>IF(A931="","",IF(OR(R931="Dépôt payé (gagné)",R931="Événement livré",R931="Avis obtenu"),1,0))</f>
        <v/>
      </c>
      <c r="AW931" s="7">
        <f>IF(A931="","",IF(Q931&gt;70,"Immédiat – propriétaire",IF(Q931&gt;=40,"15 min – personne de garde","Selon la route")))</f>
        <v/>
      </c>
      <c r="AX931" s="11">
        <f>IF(A931="","",IF(AT931="A",400,IF(AT931="B",150,0)))</f>
        <v/>
      </c>
      <c r="AY931" s="11">
        <f>IF(A931="","",IF(AV931=1,N(V931),IF(N(U931)&gt;0,ROUND(N(U931)*IFERROR(VLOOKUP(R931,Listes!$AE$3:$AG$12,2,FALSE),0),0),0)))</f>
        <v/>
      </c>
      <c r="AZ931" s="7">
        <f>IF(LEFT(A931,7)="EXEMPLE",1,0)</f>
        <v/>
      </c>
      <c r="BA931" s="7">
        <f>IF(AND(AV931=1,AZ931=0,AC931&lt;&gt;"",W931&lt;&gt;"",N(V931)&gt;0),COUNTIFS($AV$3:AV931,1,$AZ$3:AZ931,0,$AC$3:AC931,"&lt;&gt;",$W$3:W931,"&lt;&gt;",$V$3:V931,"&gt;0"),"")</f>
        <v/>
      </c>
    </row>
    <row r="932">
      <c r="A932" s="12" t="n"/>
      <c r="B932" s="13" t="n"/>
      <c r="C932" s="13" t="n"/>
      <c r="D932" s="7">
        <f>IF(OR(B932="",C932=""),"",ROUND((C932-B932)*1440,0))</f>
        <v/>
      </c>
      <c r="E932" s="12" t="n"/>
      <c r="F932" s="12" t="n"/>
      <c r="G932" s="12" t="n"/>
      <c r="H932" s="12" t="n"/>
      <c r="I932" s="12" t="n"/>
      <c r="J932" s="12" t="n"/>
      <c r="K932" s="12" t="n"/>
      <c r="L932" s="14" t="n"/>
      <c r="M932" s="12" t="n"/>
      <c r="N932" s="12" t="n"/>
      <c r="O932" s="12" t="n"/>
      <c r="P932" s="12" t="n"/>
      <c r="Q932" s="7">
        <f>IF(A932="","",IFERROR(VLOOKUP(O932,Listes!$R$3:$T$8,2,FALSE),0)+IFERROR(VLOOKUP(J932,Listes!$J$3:$L$6,2,FALSE),0)+IFERROR(VLOOKUP(N932,Listes!$N$3:$P$6,2,FALSE),0)+IF(OR(L932="",B932=""),0,IF(L932-INT(B932)&lt;10,8,IF(L932-INT(B932)&lt;=90,10,5)))+IFERROR(VLOOKUP(AN932,Listes!$V$3:$W$5,2,FALSE),0)+IFERROR(VLOOKUP(AO932,Listes!$Y$3:$Z$5,2,FALSE),0))</f>
        <v/>
      </c>
      <c r="R932" s="12" t="n"/>
      <c r="S932" s="12" t="n"/>
      <c r="T932" s="12" t="n"/>
      <c r="U932" s="15" t="n"/>
      <c r="V932" s="15" t="n"/>
      <c r="W932" s="13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3" t="n"/>
      <c r="AK932" s="12" t="n"/>
      <c r="AL932" s="12" t="n"/>
      <c r="AM932" s="12" t="n"/>
      <c r="AN932" s="12" t="n"/>
      <c r="AO932" s="12" t="n"/>
      <c r="AP932" s="12" t="n"/>
      <c r="AQ932" s="7">
        <f>IF(A932="","",IF(AP932&lt;&gt;"",AP932,IF(LEFT(Z932,11)="gads_marque","Google Search – Marque",IF(LEFT(Z932,12)="gads_mariage","Google Search – Mariage et privé",IF(LEFT(Z932,10)="gads_corpo","Google Search – Corporatif",IF(LEFT(Z932,5)="meta_","Meta – Leads",IF(LEFT(Z932,5)="msft_","Microsoft Ads",IF(LEFT(Z932,8)="chatgpt_","ChatGPT Ads – Test",IF(X932="gbp","Fiche Google (organique)","Autre / non payé")))))))))</f>
        <v/>
      </c>
      <c r="AR932" s="7">
        <f>IF(K932="","",IFERROR(VLOOKUP(K932,Listes!$F$3:$H$8,3,FALSE),""))</f>
        <v/>
      </c>
      <c r="AS932" s="7">
        <f>IF(O932="","",IF(AND(M932="Autre (plus de 40 km)",OR(O932="lt600",O932="600_999",O932="1000_2499")),"D",IF(OR(O932="lt600",AND(O932="600_999",K932&lt;&gt;"mariage",K932&lt;&gt;"prive")),"C",IF(OR(O932="2500_4999",O932="5000p",J932="entreprise",J932="organisme",J932="agence"),"A",IF(OR(O932="1000_2499",O932="600_999"),"B",IF(O932="inconnu",IF(OR(N932="75_149",N932="150p"),"A","B"),""))))))</f>
        <v/>
      </c>
      <c r="AT932" s="7">
        <f>IF(A932="","",IF(P932&lt;&gt;"",P932,AS932))</f>
        <v/>
      </c>
      <c r="AU932" s="7">
        <f>IF(A932="","",IF(OR(AT932="A",AT932="B"),1,0))</f>
        <v/>
      </c>
      <c r="AV932" s="7">
        <f>IF(A932="","",IF(OR(R932="Dépôt payé (gagné)",R932="Événement livré",R932="Avis obtenu"),1,0))</f>
        <v/>
      </c>
      <c r="AW932" s="7">
        <f>IF(A932="","",IF(Q932&gt;70,"Immédiat – propriétaire",IF(Q932&gt;=40,"15 min – personne de garde","Selon la route")))</f>
        <v/>
      </c>
      <c r="AX932" s="11">
        <f>IF(A932="","",IF(AT932="A",400,IF(AT932="B",150,0)))</f>
        <v/>
      </c>
      <c r="AY932" s="11">
        <f>IF(A932="","",IF(AV932=1,N(V932),IF(N(U932)&gt;0,ROUND(N(U932)*IFERROR(VLOOKUP(R932,Listes!$AE$3:$AG$12,2,FALSE),0),0),0)))</f>
        <v/>
      </c>
      <c r="AZ932" s="7">
        <f>IF(LEFT(A932,7)="EXEMPLE",1,0)</f>
        <v/>
      </c>
      <c r="BA932" s="7">
        <f>IF(AND(AV932=1,AZ932=0,AC932&lt;&gt;"",W932&lt;&gt;"",N(V932)&gt;0),COUNTIFS($AV$3:AV932,1,$AZ$3:AZ932,0,$AC$3:AC932,"&lt;&gt;",$W$3:W932,"&lt;&gt;",$V$3:V932,"&gt;0"),"")</f>
        <v/>
      </c>
    </row>
    <row r="933">
      <c r="A933" s="12" t="n"/>
      <c r="B933" s="13" t="n"/>
      <c r="C933" s="13" t="n"/>
      <c r="D933" s="7">
        <f>IF(OR(B933="",C933=""),"",ROUND((C933-B933)*1440,0))</f>
        <v/>
      </c>
      <c r="E933" s="12" t="n"/>
      <c r="F933" s="12" t="n"/>
      <c r="G933" s="12" t="n"/>
      <c r="H933" s="12" t="n"/>
      <c r="I933" s="12" t="n"/>
      <c r="J933" s="12" t="n"/>
      <c r="K933" s="12" t="n"/>
      <c r="L933" s="14" t="n"/>
      <c r="M933" s="12" t="n"/>
      <c r="N933" s="12" t="n"/>
      <c r="O933" s="12" t="n"/>
      <c r="P933" s="12" t="n"/>
      <c r="Q933" s="7">
        <f>IF(A933="","",IFERROR(VLOOKUP(O933,Listes!$R$3:$T$8,2,FALSE),0)+IFERROR(VLOOKUP(J933,Listes!$J$3:$L$6,2,FALSE),0)+IFERROR(VLOOKUP(N933,Listes!$N$3:$P$6,2,FALSE),0)+IF(OR(L933="",B933=""),0,IF(L933-INT(B933)&lt;10,8,IF(L933-INT(B933)&lt;=90,10,5)))+IFERROR(VLOOKUP(AN933,Listes!$V$3:$W$5,2,FALSE),0)+IFERROR(VLOOKUP(AO933,Listes!$Y$3:$Z$5,2,FALSE),0))</f>
        <v/>
      </c>
      <c r="R933" s="12" t="n"/>
      <c r="S933" s="12" t="n"/>
      <c r="T933" s="12" t="n"/>
      <c r="U933" s="15" t="n"/>
      <c r="V933" s="15" t="n"/>
      <c r="W933" s="13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3" t="n"/>
      <c r="AK933" s="12" t="n"/>
      <c r="AL933" s="12" t="n"/>
      <c r="AM933" s="12" t="n"/>
      <c r="AN933" s="12" t="n"/>
      <c r="AO933" s="12" t="n"/>
      <c r="AP933" s="12" t="n"/>
      <c r="AQ933" s="7">
        <f>IF(A933="","",IF(AP933&lt;&gt;"",AP933,IF(LEFT(Z933,11)="gads_marque","Google Search – Marque",IF(LEFT(Z933,12)="gads_mariage","Google Search – Mariage et privé",IF(LEFT(Z933,10)="gads_corpo","Google Search – Corporatif",IF(LEFT(Z933,5)="meta_","Meta – Leads",IF(LEFT(Z933,5)="msft_","Microsoft Ads",IF(LEFT(Z933,8)="chatgpt_","ChatGPT Ads – Test",IF(X933="gbp","Fiche Google (organique)","Autre / non payé")))))))))</f>
        <v/>
      </c>
      <c r="AR933" s="7">
        <f>IF(K933="","",IFERROR(VLOOKUP(K933,Listes!$F$3:$H$8,3,FALSE),""))</f>
        <v/>
      </c>
      <c r="AS933" s="7">
        <f>IF(O933="","",IF(AND(M933="Autre (plus de 40 km)",OR(O933="lt600",O933="600_999",O933="1000_2499")),"D",IF(OR(O933="lt600",AND(O933="600_999",K933&lt;&gt;"mariage",K933&lt;&gt;"prive")),"C",IF(OR(O933="2500_4999",O933="5000p",J933="entreprise",J933="organisme",J933="agence"),"A",IF(OR(O933="1000_2499",O933="600_999"),"B",IF(O933="inconnu",IF(OR(N933="75_149",N933="150p"),"A","B"),""))))))</f>
        <v/>
      </c>
      <c r="AT933" s="7">
        <f>IF(A933="","",IF(P933&lt;&gt;"",P933,AS933))</f>
        <v/>
      </c>
      <c r="AU933" s="7">
        <f>IF(A933="","",IF(OR(AT933="A",AT933="B"),1,0))</f>
        <v/>
      </c>
      <c r="AV933" s="7">
        <f>IF(A933="","",IF(OR(R933="Dépôt payé (gagné)",R933="Événement livré",R933="Avis obtenu"),1,0))</f>
        <v/>
      </c>
      <c r="AW933" s="7">
        <f>IF(A933="","",IF(Q933&gt;70,"Immédiat – propriétaire",IF(Q933&gt;=40,"15 min – personne de garde","Selon la route")))</f>
        <v/>
      </c>
      <c r="AX933" s="11">
        <f>IF(A933="","",IF(AT933="A",400,IF(AT933="B",150,0)))</f>
        <v/>
      </c>
      <c r="AY933" s="11">
        <f>IF(A933="","",IF(AV933=1,N(V933),IF(N(U933)&gt;0,ROUND(N(U933)*IFERROR(VLOOKUP(R933,Listes!$AE$3:$AG$12,2,FALSE),0),0),0)))</f>
        <v/>
      </c>
      <c r="AZ933" s="7">
        <f>IF(LEFT(A933,7)="EXEMPLE",1,0)</f>
        <v/>
      </c>
      <c r="BA933" s="7">
        <f>IF(AND(AV933=1,AZ933=0,AC933&lt;&gt;"",W933&lt;&gt;"",N(V933)&gt;0),COUNTIFS($AV$3:AV933,1,$AZ$3:AZ933,0,$AC$3:AC933,"&lt;&gt;",$W$3:W933,"&lt;&gt;",$V$3:V933,"&gt;0"),"")</f>
        <v/>
      </c>
    </row>
    <row r="934">
      <c r="A934" s="12" t="n"/>
      <c r="B934" s="13" t="n"/>
      <c r="C934" s="13" t="n"/>
      <c r="D934" s="7">
        <f>IF(OR(B934="",C934=""),"",ROUND((C934-B934)*1440,0))</f>
        <v/>
      </c>
      <c r="E934" s="12" t="n"/>
      <c r="F934" s="12" t="n"/>
      <c r="G934" s="12" t="n"/>
      <c r="H934" s="12" t="n"/>
      <c r="I934" s="12" t="n"/>
      <c r="J934" s="12" t="n"/>
      <c r="K934" s="12" t="n"/>
      <c r="L934" s="14" t="n"/>
      <c r="M934" s="12" t="n"/>
      <c r="N934" s="12" t="n"/>
      <c r="O934" s="12" t="n"/>
      <c r="P934" s="12" t="n"/>
      <c r="Q934" s="7">
        <f>IF(A934="","",IFERROR(VLOOKUP(O934,Listes!$R$3:$T$8,2,FALSE),0)+IFERROR(VLOOKUP(J934,Listes!$J$3:$L$6,2,FALSE),0)+IFERROR(VLOOKUP(N934,Listes!$N$3:$P$6,2,FALSE),0)+IF(OR(L934="",B934=""),0,IF(L934-INT(B934)&lt;10,8,IF(L934-INT(B934)&lt;=90,10,5)))+IFERROR(VLOOKUP(AN934,Listes!$V$3:$W$5,2,FALSE),0)+IFERROR(VLOOKUP(AO934,Listes!$Y$3:$Z$5,2,FALSE),0))</f>
        <v/>
      </c>
      <c r="R934" s="12" t="n"/>
      <c r="S934" s="12" t="n"/>
      <c r="T934" s="12" t="n"/>
      <c r="U934" s="15" t="n"/>
      <c r="V934" s="15" t="n"/>
      <c r="W934" s="13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3" t="n"/>
      <c r="AK934" s="12" t="n"/>
      <c r="AL934" s="12" t="n"/>
      <c r="AM934" s="12" t="n"/>
      <c r="AN934" s="12" t="n"/>
      <c r="AO934" s="12" t="n"/>
      <c r="AP934" s="12" t="n"/>
      <c r="AQ934" s="7">
        <f>IF(A934="","",IF(AP934&lt;&gt;"",AP934,IF(LEFT(Z934,11)="gads_marque","Google Search – Marque",IF(LEFT(Z934,12)="gads_mariage","Google Search – Mariage et privé",IF(LEFT(Z934,10)="gads_corpo","Google Search – Corporatif",IF(LEFT(Z934,5)="meta_","Meta – Leads",IF(LEFT(Z934,5)="msft_","Microsoft Ads",IF(LEFT(Z934,8)="chatgpt_","ChatGPT Ads – Test",IF(X934="gbp","Fiche Google (organique)","Autre / non payé")))))))))</f>
        <v/>
      </c>
      <c r="AR934" s="7">
        <f>IF(K934="","",IFERROR(VLOOKUP(K934,Listes!$F$3:$H$8,3,FALSE),""))</f>
        <v/>
      </c>
      <c r="AS934" s="7">
        <f>IF(O934="","",IF(AND(M934="Autre (plus de 40 km)",OR(O934="lt600",O934="600_999",O934="1000_2499")),"D",IF(OR(O934="lt600",AND(O934="600_999",K934&lt;&gt;"mariage",K934&lt;&gt;"prive")),"C",IF(OR(O934="2500_4999",O934="5000p",J934="entreprise",J934="organisme",J934="agence"),"A",IF(OR(O934="1000_2499",O934="600_999"),"B",IF(O934="inconnu",IF(OR(N934="75_149",N934="150p"),"A","B"),""))))))</f>
        <v/>
      </c>
      <c r="AT934" s="7">
        <f>IF(A934="","",IF(P934&lt;&gt;"",P934,AS934))</f>
        <v/>
      </c>
      <c r="AU934" s="7">
        <f>IF(A934="","",IF(OR(AT934="A",AT934="B"),1,0))</f>
        <v/>
      </c>
      <c r="AV934" s="7">
        <f>IF(A934="","",IF(OR(R934="Dépôt payé (gagné)",R934="Événement livré",R934="Avis obtenu"),1,0))</f>
        <v/>
      </c>
      <c r="AW934" s="7">
        <f>IF(A934="","",IF(Q934&gt;70,"Immédiat – propriétaire",IF(Q934&gt;=40,"15 min – personne de garde","Selon la route")))</f>
        <v/>
      </c>
      <c r="AX934" s="11">
        <f>IF(A934="","",IF(AT934="A",400,IF(AT934="B",150,0)))</f>
        <v/>
      </c>
      <c r="AY934" s="11">
        <f>IF(A934="","",IF(AV934=1,N(V934),IF(N(U934)&gt;0,ROUND(N(U934)*IFERROR(VLOOKUP(R934,Listes!$AE$3:$AG$12,2,FALSE),0),0),0)))</f>
        <v/>
      </c>
      <c r="AZ934" s="7">
        <f>IF(LEFT(A934,7)="EXEMPLE",1,0)</f>
        <v/>
      </c>
      <c r="BA934" s="7">
        <f>IF(AND(AV934=1,AZ934=0,AC934&lt;&gt;"",W934&lt;&gt;"",N(V934)&gt;0),COUNTIFS($AV$3:AV934,1,$AZ$3:AZ934,0,$AC$3:AC934,"&lt;&gt;",$W$3:W934,"&lt;&gt;",$V$3:V934,"&gt;0"),"")</f>
        <v/>
      </c>
    </row>
    <row r="935">
      <c r="A935" s="12" t="n"/>
      <c r="B935" s="13" t="n"/>
      <c r="C935" s="13" t="n"/>
      <c r="D935" s="7">
        <f>IF(OR(B935="",C935=""),"",ROUND((C935-B935)*1440,0))</f>
        <v/>
      </c>
      <c r="E935" s="12" t="n"/>
      <c r="F935" s="12" t="n"/>
      <c r="G935" s="12" t="n"/>
      <c r="H935" s="12" t="n"/>
      <c r="I935" s="12" t="n"/>
      <c r="J935" s="12" t="n"/>
      <c r="K935" s="12" t="n"/>
      <c r="L935" s="14" t="n"/>
      <c r="M935" s="12" t="n"/>
      <c r="N935" s="12" t="n"/>
      <c r="O935" s="12" t="n"/>
      <c r="P935" s="12" t="n"/>
      <c r="Q935" s="7">
        <f>IF(A935="","",IFERROR(VLOOKUP(O935,Listes!$R$3:$T$8,2,FALSE),0)+IFERROR(VLOOKUP(J935,Listes!$J$3:$L$6,2,FALSE),0)+IFERROR(VLOOKUP(N935,Listes!$N$3:$P$6,2,FALSE),0)+IF(OR(L935="",B935=""),0,IF(L935-INT(B935)&lt;10,8,IF(L935-INT(B935)&lt;=90,10,5)))+IFERROR(VLOOKUP(AN935,Listes!$V$3:$W$5,2,FALSE),0)+IFERROR(VLOOKUP(AO935,Listes!$Y$3:$Z$5,2,FALSE),0))</f>
        <v/>
      </c>
      <c r="R935" s="12" t="n"/>
      <c r="S935" s="12" t="n"/>
      <c r="T935" s="12" t="n"/>
      <c r="U935" s="15" t="n"/>
      <c r="V935" s="15" t="n"/>
      <c r="W935" s="13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3" t="n"/>
      <c r="AK935" s="12" t="n"/>
      <c r="AL935" s="12" t="n"/>
      <c r="AM935" s="12" t="n"/>
      <c r="AN935" s="12" t="n"/>
      <c r="AO935" s="12" t="n"/>
      <c r="AP935" s="12" t="n"/>
      <c r="AQ935" s="7">
        <f>IF(A935="","",IF(AP935&lt;&gt;"",AP935,IF(LEFT(Z935,11)="gads_marque","Google Search – Marque",IF(LEFT(Z935,12)="gads_mariage","Google Search – Mariage et privé",IF(LEFT(Z935,10)="gads_corpo","Google Search – Corporatif",IF(LEFT(Z935,5)="meta_","Meta – Leads",IF(LEFT(Z935,5)="msft_","Microsoft Ads",IF(LEFT(Z935,8)="chatgpt_","ChatGPT Ads – Test",IF(X935="gbp","Fiche Google (organique)","Autre / non payé")))))))))</f>
        <v/>
      </c>
      <c r="AR935" s="7">
        <f>IF(K935="","",IFERROR(VLOOKUP(K935,Listes!$F$3:$H$8,3,FALSE),""))</f>
        <v/>
      </c>
      <c r="AS935" s="7">
        <f>IF(O935="","",IF(AND(M935="Autre (plus de 40 km)",OR(O935="lt600",O935="600_999",O935="1000_2499")),"D",IF(OR(O935="lt600",AND(O935="600_999",K935&lt;&gt;"mariage",K935&lt;&gt;"prive")),"C",IF(OR(O935="2500_4999",O935="5000p",J935="entreprise",J935="organisme",J935="agence"),"A",IF(OR(O935="1000_2499",O935="600_999"),"B",IF(O935="inconnu",IF(OR(N935="75_149",N935="150p"),"A","B"),""))))))</f>
        <v/>
      </c>
      <c r="AT935" s="7">
        <f>IF(A935="","",IF(P935&lt;&gt;"",P935,AS935))</f>
        <v/>
      </c>
      <c r="AU935" s="7">
        <f>IF(A935="","",IF(OR(AT935="A",AT935="B"),1,0))</f>
        <v/>
      </c>
      <c r="AV935" s="7">
        <f>IF(A935="","",IF(OR(R935="Dépôt payé (gagné)",R935="Événement livré",R935="Avis obtenu"),1,0))</f>
        <v/>
      </c>
      <c r="AW935" s="7">
        <f>IF(A935="","",IF(Q935&gt;70,"Immédiat – propriétaire",IF(Q935&gt;=40,"15 min – personne de garde","Selon la route")))</f>
        <v/>
      </c>
      <c r="AX935" s="11">
        <f>IF(A935="","",IF(AT935="A",400,IF(AT935="B",150,0)))</f>
        <v/>
      </c>
      <c r="AY935" s="11">
        <f>IF(A935="","",IF(AV935=1,N(V935),IF(N(U935)&gt;0,ROUND(N(U935)*IFERROR(VLOOKUP(R935,Listes!$AE$3:$AG$12,2,FALSE),0),0),0)))</f>
        <v/>
      </c>
      <c r="AZ935" s="7">
        <f>IF(LEFT(A935,7)="EXEMPLE",1,0)</f>
        <v/>
      </c>
      <c r="BA935" s="7">
        <f>IF(AND(AV935=1,AZ935=0,AC935&lt;&gt;"",W935&lt;&gt;"",N(V935)&gt;0),COUNTIFS($AV$3:AV935,1,$AZ$3:AZ935,0,$AC$3:AC935,"&lt;&gt;",$W$3:W935,"&lt;&gt;",$V$3:V935,"&gt;0"),"")</f>
        <v/>
      </c>
    </row>
    <row r="936">
      <c r="A936" s="12" t="n"/>
      <c r="B936" s="13" t="n"/>
      <c r="C936" s="13" t="n"/>
      <c r="D936" s="7">
        <f>IF(OR(B936="",C936=""),"",ROUND((C936-B936)*1440,0))</f>
        <v/>
      </c>
      <c r="E936" s="12" t="n"/>
      <c r="F936" s="12" t="n"/>
      <c r="G936" s="12" t="n"/>
      <c r="H936" s="12" t="n"/>
      <c r="I936" s="12" t="n"/>
      <c r="J936" s="12" t="n"/>
      <c r="K936" s="12" t="n"/>
      <c r="L936" s="14" t="n"/>
      <c r="M936" s="12" t="n"/>
      <c r="N936" s="12" t="n"/>
      <c r="O936" s="12" t="n"/>
      <c r="P936" s="12" t="n"/>
      <c r="Q936" s="7">
        <f>IF(A936="","",IFERROR(VLOOKUP(O936,Listes!$R$3:$T$8,2,FALSE),0)+IFERROR(VLOOKUP(J936,Listes!$J$3:$L$6,2,FALSE),0)+IFERROR(VLOOKUP(N936,Listes!$N$3:$P$6,2,FALSE),0)+IF(OR(L936="",B936=""),0,IF(L936-INT(B936)&lt;10,8,IF(L936-INT(B936)&lt;=90,10,5)))+IFERROR(VLOOKUP(AN936,Listes!$V$3:$W$5,2,FALSE),0)+IFERROR(VLOOKUP(AO936,Listes!$Y$3:$Z$5,2,FALSE),0))</f>
        <v/>
      </c>
      <c r="R936" s="12" t="n"/>
      <c r="S936" s="12" t="n"/>
      <c r="T936" s="12" t="n"/>
      <c r="U936" s="15" t="n"/>
      <c r="V936" s="15" t="n"/>
      <c r="W936" s="13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3" t="n"/>
      <c r="AK936" s="12" t="n"/>
      <c r="AL936" s="12" t="n"/>
      <c r="AM936" s="12" t="n"/>
      <c r="AN936" s="12" t="n"/>
      <c r="AO936" s="12" t="n"/>
      <c r="AP936" s="12" t="n"/>
      <c r="AQ936" s="7">
        <f>IF(A936="","",IF(AP936&lt;&gt;"",AP936,IF(LEFT(Z936,11)="gads_marque","Google Search – Marque",IF(LEFT(Z936,12)="gads_mariage","Google Search – Mariage et privé",IF(LEFT(Z936,10)="gads_corpo","Google Search – Corporatif",IF(LEFT(Z936,5)="meta_","Meta – Leads",IF(LEFT(Z936,5)="msft_","Microsoft Ads",IF(LEFT(Z936,8)="chatgpt_","ChatGPT Ads – Test",IF(X936="gbp","Fiche Google (organique)","Autre / non payé")))))))))</f>
        <v/>
      </c>
      <c r="AR936" s="7">
        <f>IF(K936="","",IFERROR(VLOOKUP(K936,Listes!$F$3:$H$8,3,FALSE),""))</f>
        <v/>
      </c>
      <c r="AS936" s="7">
        <f>IF(O936="","",IF(AND(M936="Autre (plus de 40 km)",OR(O936="lt600",O936="600_999",O936="1000_2499")),"D",IF(OR(O936="lt600",AND(O936="600_999",K936&lt;&gt;"mariage",K936&lt;&gt;"prive")),"C",IF(OR(O936="2500_4999",O936="5000p",J936="entreprise",J936="organisme",J936="agence"),"A",IF(OR(O936="1000_2499",O936="600_999"),"B",IF(O936="inconnu",IF(OR(N936="75_149",N936="150p"),"A","B"),""))))))</f>
        <v/>
      </c>
      <c r="AT936" s="7">
        <f>IF(A936="","",IF(P936&lt;&gt;"",P936,AS936))</f>
        <v/>
      </c>
      <c r="AU936" s="7">
        <f>IF(A936="","",IF(OR(AT936="A",AT936="B"),1,0))</f>
        <v/>
      </c>
      <c r="AV936" s="7">
        <f>IF(A936="","",IF(OR(R936="Dépôt payé (gagné)",R936="Événement livré",R936="Avis obtenu"),1,0))</f>
        <v/>
      </c>
      <c r="AW936" s="7">
        <f>IF(A936="","",IF(Q936&gt;70,"Immédiat – propriétaire",IF(Q936&gt;=40,"15 min – personne de garde","Selon la route")))</f>
        <v/>
      </c>
      <c r="AX936" s="11">
        <f>IF(A936="","",IF(AT936="A",400,IF(AT936="B",150,0)))</f>
        <v/>
      </c>
      <c r="AY936" s="11">
        <f>IF(A936="","",IF(AV936=1,N(V936),IF(N(U936)&gt;0,ROUND(N(U936)*IFERROR(VLOOKUP(R936,Listes!$AE$3:$AG$12,2,FALSE),0),0),0)))</f>
        <v/>
      </c>
      <c r="AZ936" s="7">
        <f>IF(LEFT(A936,7)="EXEMPLE",1,0)</f>
        <v/>
      </c>
      <c r="BA936" s="7">
        <f>IF(AND(AV936=1,AZ936=0,AC936&lt;&gt;"",W936&lt;&gt;"",N(V936)&gt;0),COUNTIFS($AV$3:AV936,1,$AZ$3:AZ936,0,$AC$3:AC936,"&lt;&gt;",$W$3:W936,"&lt;&gt;",$V$3:V936,"&gt;0"),"")</f>
        <v/>
      </c>
    </row>
    <row r="937">
      <c r="A937" s="12" t="n"/>
      <c r="B937" s="13" t="n"/>
      <c r="C937" s="13" t="n"/>
      <c r="D937" s="7">
        <f>IF(OR(B937="",C937=""),"",ROUND((C937-B937)*1440,0))</f>
        <v/>
      </c>
      <c r="E937" s="12" t="n"/>
      <c r="F937" s="12" t="n"/>
      <c r="G937" s="12" t="n"/>
      <c r="H937" s="12" t="n"/>
      <c r="I937" s="12" t="n"/>
      <c r="J937" s="12" t="n"/>
      <c r="K937" s="12" t="n"/>
      <c r="L937" s="14" t="n"/>
      <c r="M937" s="12" t="n"/>
      <c r="N937" s="12" t="n"/>
      <c r="O937" s="12" t="n"/>
      <c r="P937" s="12" t="n"/>
      <c r="Q937" s="7">
        <f>IF(A937="","",IFERROR(VLOOKUP(O937,Listes!$R$3:$T$8,2,FALSE),0)+IFERROR(VLOOKUP(J937,Listes!$J$3:$L$6,2,FALSE),0)+IFERROR(VLOOKUP(N937,Listes!$N$3:$P$6,2,FALSE),0)+IF(OR(L937="",B937=""),0,IF(L937-INT(B937)&lt;10,8,IF(L937-INT(B937)&lt;=90,10,5)))+IFERROR(VLOOKUP(AN937,Listes!$V$3:$W$5,2,FALSE),0)+IFERROR(VLOOKUP(AO937,Listes!$Y$3:$Z$5,2,FALSE),0))</f>
        <v/>
      </c>
      <c r="R937" s="12" t="n"/>
      <c r="S937" s="12" t="n"/>
      <c r="T937" s="12" t="n"/>
      <c r="U937" s="15" t="n"/>
      <c r="V937" s="15" t="n"/>
      <c r="W937" s="13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3" t="n"/>
      <c r="AK937" s="12" t="n"/>
      <c r="AL937" s="12" t="n"/>
      <c r="AM937" s="12" t="n"/>
      <c r="AN937" s="12" t="n"/>
      <c r="AO937" s="12" t="n"/>
      <c r="AP937" s="12" t="n"/>
      <c r="AQ937" s="7">
        <f>IF(A937="","",IF(AP937&lt;&gt;"",AP937,IF(LEFT(Z937,11)="gads_marque","Google Search – Marque",IF(LEFT(Z937,12)="gads_mariage","Google Search – Mariage et privé",IF(LEFT(Z937,10)="gads_corpo","Google Search – Corporatif",IF(LEFT(Z937,5)="meta_","Meta – Leads",IF(LEFT(Z937,5)="msft_","Microsoft Ads",IF(LEFT(Z937,8)="chatgpt_","ChatGPT Ads – Test",IF(X937="gbp","Fiche Google (organique)","Autre / non payé")))))))))</f>
        <v/>
      </c>
      <c r="AR937" s="7">
        <f>IF(K937="","",IFERROR(VLOOKUP(K937,Listes!$F$3:$H$8,3,FALSE),""))</f>
        <v/>
      </c>
      <c r="AS937" s="7">
        <f>IF(O937="","",IF(AND(M937="Autre (plus de 40 km)",OR(O937="lt600",O937="600_999",O937="1000_2499")),"D",IF(OR(O937="lt600",AND(O937="600_999",K937&lt;&gt;"mariage",K937&lt;&gt;"prive")),"C",IF(OR(O937="2500_4999",O937="5000p",J937="entreprise",J937="organisme",J937="agence"),"A",IF(OR(O937="1000_2499",O937="600_999"),"B",IF(O937="inconnu",IF(OR(N937="75_149",N937="150p"),"A","B"),""))))))</f>
        <v/>
      </c>
      <c r="AT937" s="7">
        <f>IF(A937="","",IF(P937&lt;&gt;"",P937,AS937))</f>
        <v/>
      </c>
      <c r="AU937" s="7">
        <f>IF(A937="","",IF(OR(AT937="A",AT937="B"),1,0))</f>
        <v/>
      </c>
      <c r="AV937" s="7">
        <f>IF(A937="","",IF(OR(R937="Dépôt payé (gagné)",R937="Événement livré",R937="Avis obtenu"),1,0))</f>
        <v/>
      </c>
      <c r="AW937" s="7">
        <f>IF(A937="","",IF(Q937&gt;70,"Immédiat – propriétaire",IF(Q937&gt;=40,"15 min – personne de garde","Selon la route")))</f>
        <v/>
      </c>
      <c r="AX937" s="11">
        <f>IF(A937="","",IF(AT937="A",400,IF(AT937="B",150,0)))</f>
        <v/>
      </c>
      <c r="AY937" s="11">
        <f>IF(A937="","",IF(AV937=1,N(V937),IF(N(U937)&gt;0,ROUND(N(U937)*IFERROR(VLOOKUP(R937,Listes!$AE$3:$AG$12,2,FALSE),0),0),0)))</f>
        <v/>
      </c>
      <c r="AZ937" s="7">
        <f>IF(LEFT(A937,7)="EXEMPLE",1,0)</f>
        <v/>
      </c>
      <c r="BA937" s="7">
        <f>IF(AND(AV937=1,AZ937=0,AC937&lt;&gt;"",W937&lt;&gt;"",N(V937)&gt;0),COUNTIFS($AV$3:AV937,1,$AZ$3:AZ937,0,$AC$3:AC937,"&lt;&gt;",$W$3:W937,"&lt;&gt;",$V$3:V937,"&gt;0"),"")</f>
        <v/>
      </c>
    </row>
    <row r="938">
      <c r="A938" s="12" t="n"/>
      <c r="B938" s="13" t="n"/>
      <c r="C938" s="13" t="n"/>
      <c r="D938" s="7">
        <f>IF(OR(B938="",C938=""),"",ROUND((C938-B938)*1440,0))</f>
        <v/>
      </c>
      <c r="E938" s="12" t="n"/>
      <c r="F938" s="12" t="n"/>
      <c r="G938" s="12" t="n"/>
      <c r="H938" s="12" t="n"/>
      <c r="I938" s="12" t="n"/>
      <c r="J938" s="12" t="n"/>
      <c r="K938" s="12" t="n"/>
      <c r="L938" s="14" t="n"/>
      <c r="M938" s="12" t="n"/>
      <c r="N938" s="12" t="n"/>
      <c r="O938" s="12" t="n"/>
      <c r="P938" s="12" t="n"/>
      <c r="Q938" s="7">
        <f>IF(A938="","",IFERROR(VLOOKUP(O938,Listes!$R$3:$T$8,2,FALSE),0)+IFERROR(VLOOKUP(J938,Listes!$J$3:$L$6,2,FALSE),0)+IFERROR(VLOOKUP(N938,Listes!$N$3:$P$6,2,FALSE),0)+IF(OR(L938="",B938=""),0,IF(L938-INT(B938)&lt;10,8,IF(L938-INT(B938)&lt;=90,10,5)))+IFERROR(VLOOKUP(AN938,Listes!$V$3:$W$5,2,FALSE),0)+IFERROR(VLOOKUP(AO938,Listes!$Y$3:$Z$5,2,FALSE),0))</f>
        <v/>
      </c>
      <c r="R938" s="12" t="n"/>
      <c r="S938" s="12" t="n"/>
      <c r="T938" s="12" t="n"/>
      <c r="U938" s="15" t="n"/>
      <c r="V938" s="15" t="n"/>
      <c r="W938" s="13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3" t="n"/>
      <c r="AK938" s="12" t="n"/>
      <c r="AL938" s="12" t="n"/>
      <c r="AM938" s="12" t="n"/>
      <c r="AN938" s="12" t="n"/>
      <c r="AO938" s="12" t="n"/>
      <c r="AP938" s="12" t="n"/>
      <c r="AQ938" s="7">
        <f>IF(A938="","",IF(AP938&lt;&gt;"",AP938,IF(LEFT(Z938,11)="gads_marque","Google Search – Marque",IF(LEFT(Z938,12)="gads_mariage","Google Search – Mariage et privé",IF(LEFT(Z938,10)="gads_corpo","Google Search – Corporatif",IF(LEFT(Z938,5)="meta_","Meta – Leads",IF(LEFT(Z938,5)="msft_","Microsoft Ads",IF(LEFT(Z938,8)="chatgpt_","ChatGPT Ads – Test",IF(X938="gbp","Fiche Google (organique)","Autre / non payé")))))))))</f>
        <v/>
      </c>
      <c r="AR938" s="7">
        <f>IF(K938="","",IFERROR(VLOOKUP(K938,Listes!$F$3:$H$8,3,FALSE),""))</f>
        <v/>
      </c>
      <c r="AS938" s="7">
        <f>IF(O938="","",IF(AND(M938="Autre (plus de 40 km)",OR(O938="lt600",O938="600_999",O938="1000_2499")),"D",IF(OR(O938="lt600",AND(O938="600_999",K938&lt;&gt;"mariage",K938&lt;&gt;"prive")),"C",IF(OR(O938="2500_4999",O938="5000p",J938="entreprise",J938="organisme",J938="agence"),"A",IF(OR(O938="1000_2499",O938="600_999"),"B",IF(O938="inconnu",IF(OR(N938="75_149",N938="150p"),"A","B"),""))))))</f>
        <v/>
      </c>
      <c r="AT938" s="7">
        <f>IF(A938="","",IF(P938&lt;&gt;"",P938,AS938))</f>
        <v/>
      </c>
      <c r="AU938" s="7">
        <f>IF(A938="","",IF(OR(AT938="A",AT938="B"),1,0))</f>
        <v/>
      </c>
      <c r="AV938" s="7">
        <f>IF(A938="","",IF(OR(R938="Dépôt payé (gagné)",R938="Événement livré",R938="Avis obtenu"),1,0))</f>
        <v/>
      </c>
      <c r="AW938" s="7">
        <f>IF(A938="","",IF(Q938&gt;70,"Immédiat – propriétaire",IF(Q938&gt;=40,"15 min – personne de garde","Selon la route")))</f>
        <v/>
      </c>
      <c r="AX938" s="11">
        <f>IF(A938="","",IF(AT938="A",400,IF(AT938="B",150,0)))</f>
        <v/>
      </c>
      <c r="AY938" s="11">
        <f>IF(A938="","",IF(AV938=1,N(V938),IF(N(U938)&gt;0,ROUND(N(U938)*IFERROR(VLOOKUP(R938,Listes!$AE$3:$AG$12,2,FALSE),0),0),0)))</f>
        <v/>
      </c>
      <c r="AZ938" s="7">
        <f>IF(LEFT(A938,7)="EXEMPLE",1,0)</f>
        <v/>
      </c>
      <c r="BA938" s="7">
        <f>IF(AND(AV938=1,AZ938=0,AC938&lt;&gt;"",W938&lt;&gt;"",N(V938)&gt;0),COUNTIFS($AV$3:AV938,1,$AZ$3:AZ938,0,$AC$3:AC938,"&lt;&gt;",$W$3:W938,"&lt;&gt;",$V$3:V938,"&gt;0"),"")</f>
        <v/>
      </c>
    </row>
    <row r="939">
      <c r="A939" s="12" t="n"/>
      <c r="B939" s="13" t="n"/>
      <c r="C939" s="13" t="n"/>
      <c r="D939" s="7">
        <f>IF(OR(B939="",C939=""),"",ROUND((C939-B939)*1440,0))</f>
        <v/>
      </c>
      <c r="E939" s="12" t="n"/>
      <c r="F939" s="12" t="n"/>
      <c r="G939" s="12" t="n"/>
      <c r="H939" s="12" t="n"/>
      <c r="I939" s="12" t="n"/>
      <c r="J939" s="12" t="n"/>
      <c r="K939" s="12" t="n"/>
      <c r="L939" s="14" t="n"/>
      <c r="M939" s="12" t="n"/>
      <c r="N939" s="12" t="n"/>
      <c r="O939" s="12" t="n"/>
      <c r="P939" s="12" t="n"/>
      <c r="Q939" s="7">
        <f>IF(A939="","",IFERROR(VLOOKUP(O939,Listes!$R$3:$T$8,2,FALSE),0)+IFERROR(VLOOKUP(J939,Listes!$J$3:$L$6,2,FALSE),0)+IFERROR(VLOOKUP(N939,Listes!$N$3:$P$6,2,FALSE),0)+IF(OR(L939="",B939=""),0,IF(L939-INT(B939)&lt;10,8,IF(L939-INT(B939)&lt;=90,10,5)))+IFERROR(VLOOKUP(AN939,Listes!$V$3:$W$5,2,FALSE),0)+IFERROR(VLOOKUP(AO939,Listes!$Y$3:$Z$5,2,FALSE),0))</f>
        <v/>
      </c>
      <c r="R939" s="12" t="n"/>
      <c r="S939" s="12" t="n"/>
      <c r="T939" s="12" t="n"/>
      <c r="U939" s="15" t="n"/>
      <c r="V939" s="15" t="n"/>
      <c r="W939" s="13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3" t="n"/>
      <c r="AK939" s="12" t="n"/>
      <c r="AL939" s="12" t="n"/>
      <c r="AM939" s="12" t="n"/>
      <c r="AN939" s="12" t="n"/>
      <c r="AO939" s="12" t="n"/>
      <c r="AP939" s="12" t="n"/>
      <c r="AQ939" s="7">
        <f>IF(A939="","",IF(AP939&lt;&gt;"",AP939,IF(LEFT(Z939,11)="gads_marque","Google Search – Marque",IF(LEFT(Z939,12)="gads_mariage","Google Search – Mariage et privé",IF(LEFT(Z939,10)="gads_corpo","Google Search – Corporatif",IF(LEFT(Z939,5)="meta_","Meta – Leads",IF(LEFT(Z939,5)="msft_","Microsoft Ads",IF(LEFT(Z939,8)="chatgpt_","ChatGPT Ads – Test",IF(X939="gbp","Fiche Google (organique)","Autre / non payé")))))))))</f>
        <v/>
      </c>
      <c r="AR939" s="7">
        <f>IF(K939="","",IFERROR(VLOOKUP(K939,Listes!$F$3:$H$8,3,FALSE),""))</f>
        <v/>
      </c>
      <c r="AS939" s="7">
        <f>IF(O939="","",IF(AND(M939="Autre (plus de 40 km)",OR(O939="lt600",O939="600_999",O939="1000_2499")),"D",IF(OR(O939="lt600",AND(O939="600_999",K939&lt;&gt;"mariage",K939&lt;&gt;"prive")),"C",IF(OR(O939="2500_4999",O939="5000p",J939="entreprise",J939="organisme",J939="agence"),"A",IF(OR(O939="1000_2499",O939="600_999"),"B",IF(O939="inconnu",IF(OR(N939="75_149",N939="150p"),"A","B"),""))))))</f>
        <v/>
      </c>
      <c r="AT939" s="7">
        <f>IF(A939="","",IF(P939&lt;&gt;"",P939,AS939))</f>
        <v/>
      </c>
      <c r="AU939" s="7">
        <f>IF(A939="","",IF(OR(AT939="A",AT939="B"),1,0))</f>
        <v/>
      </c>
      <c r="AV939" s="7">
        <f>IF(A939="","",IF(OR(R939="Dépôt payé (gagné)",R939="Événement livré",R939="Avis obtenu"),1,0))</f>
        <v/>
      </c>
      <c r="AW939" s="7">
        <f>IF(A939="","",IF(Q939&gt;70,"Immédiat – propriétaire",IF(Q939&gt;=40,"15 min – personne de garde","Selon la route")))</f>
        <v/>
      </c>
      <c r="AX939" s="11">
        <f>IF(A939="","",IF(AT939="A",400,IF(AT939="B",150,0)))</f>
        <v/>
      </c>
      <c r="AY939" s="11">
        <f>IF(A939="","",IF(AV939=1,N(V939),IF(N(U939)&gt;0,ROUND(N(U939)*IFERROR(VLOOKUP(R939,Listes!$AE$3:$AG$12,2,FALSE),0),0),0)))</f>
        <v/>
      </c>
      <c r="AZ939" s="7">
        <f>IF(LEFT(A939,7)="EXEMPLE",1,0)</f>
        <v/>
      </c>
      <c r="BA939" s="7">
        <f>IF(AND(AV939=1,AZ939=0,AC939&lt;&gt;"",W939&lt;&gt;"",N(V939)&gt;0),COUNTIFS($AV$3:AV939,1,$AZ$3:AZ939,0,$AC$3:AC939,"&lt;&gt;",$W$3:W939,"&lt;&gt;",$V$3:V939,"&gt;0"),"")</f>
        <v/>
      </c>
    </row>
    <row r="940">
      <c r="A940" s="12" t="n"/>
      <c r="B940" s="13" t="n"/>
      <c r="C940" s="13" t="n"/>
      <c r="D940" s="7">
        <f>IF(OR(B940="",C940=""),"",ROUND((C940-B940)*1440,0))</f>
        <v/>
      </c>
      <c r="E940" s="12" t="n"/>
      <c r="F940" s="12" t="n"/>
      <c r="G940" s="12" t="n"/>
      <c r="H940" s="12" t="n"/>
      <c r="I940" s="12" t="n"/>
      <c r="J940" s="12" t="n"/>
      <c r="K940" s="12" t="n"/>
      <c r="L940" s="14" t="n"/>
      <c r="M940" s="12" t="n"/>
      <c r="N940" s="12" t="n"/>
      <c r="O940" s="12" t="n"/>
      <c r="P940" s="12" t="n"/>
      <c r="Q940" s="7">
        <f>IF(A940="","",IFERROR(VLOOKUP(O940,Listes!$R$3:$T$8,2,FALSE),0)+IFERROR(VLOOKUP(J940,Listes!$J$3:$L$6,2,FALSE),0)+IFERROR(VLOOKUP(N940,Listes!$N$3:$P$6,2,FALSE),0)+IF(OR(L940="",B940=""),0,IF(L940-INT(B940)&lt;10,8,IF(L940-INT(B940)&lt;=90,10,5)))+IFERROR(VLOOKUP(AN940,Listes!$V$3:$W$5,2,FALSE),0)+IFERROR(VLOOKUP(AO940,Listes!$Y$3:$Z$5,2,FALSE),0))</f>
        <v/>
      </c>
      <c r="R940" s="12" t="n"/>
      <c r="S940" s="12" t="n"/>
      <c r="T940" s="12" t="n"/>
      <c r="U940" s="15" t="n"/>
      <c r="V940" s="15" t="n"/>
      <c r="W940" s="13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3" t="n"/>
      <c r="AK940" s="12" t="n"/>
      <c r="AL940" s="12" t="n"/>
      <c r="AM940" s="12" t="n"/>
      <c r="AN940" s="12" t="n"/>
      <c r="AO940" s="12" t="n"/>
      <c r="AP940" s="12" t="n"/>
      <c r="AQ940" s="7">
        <f>IF(A940="","",IF(AP940&lt;&gt;"",AP940,IF(LEFT(Z940,11)="gads_marque","Google Search – Marque",IF(LEFT(Z940,12)="gads_mariage","Google Search – Mariage et privé",IF(LEFT(Z940,10)="gads_corpo","Google Search – Corporatif",IF(LEFT(Z940,5)="meta_","Meta – Leads",IF(LEFT(Z940,5)="msft_","Microsoft Ads",IF(LEFT(Z940,8)="chatgpt_","ChatGPT Ads – Test",IF(X940="gbp","Fiche Google (organique)","Autre / non payé")))))))))</f>
        <v/>
      </c>
      <c r="AR940" s="7">
        <f>IF(K940="","",IFERROR(VLOOKUP(K940,Listes!$F$3:$H$8,3,FALSE),""))</f>
        <v/>
      </c>
      <c r="AS940" s="7">
        <f>IF(O940="","",IF(AND(M940="Autre (plus de 40 km)",OR(O940="lt600",O940="600_999",O940="1000_2499")),"D",IF(OR(O940="lt600",AND(O940="600_999",K940&lt;&gt;"mariage",K940&lt;&gt;"prive")),"C",IF(OR(O940="2500_4999",O940="5000p",J940="entreprise",J940="organisme",J940="agence"),"A",IF(OR(O940="1000_2499",O940="600_999"),"B",IF(O940="inconnu",IF(OR(N940="75_149",N940="150p"),"A","B"),""))))))</f>
        <v/>
      </c>
      <c r="AT940" s="7">
        <f>IF(A940="","",IF(P940&lt;&gt;"",P940,AS940))</f>
        <v/>
      </c>
      <c r="AU940" s="7">
        <f>IF(A940="","",IF(OR(AT940="A",AT940="B"),1,0))</f>
        <v/>
      </c>
      <c r="AV940" s="7">
        <f>IF(A940="","",IF(OR(R940="Dépôt payé (gagné)",R940="Événement livré",R940="Avis obtenu"),1,0))</f>
        <v/>
      </c>
      <c r="AW940" s="7">
        <f>IF(A940="","",IF(Q940&gt;70,"Immédiat – propriétaire",IF(Q940&gt;=40,"15 min – personne de garde","Selon la route")))</f>
        <v/>
      </c>
      <c r="AX940" s="11">
        <f>IF(A940="","",IF(AT940="A",400,IF(AT940="B",150,0)))</f>
        <v/>
      </c>
      <c r="AY940" s="11">
        <f>IF(A940="","",IF(AV940=1,N(V940),IF(N(U940)&gt;0,ROUND(N(U940)*IFERROR(VLOOKUP(R940,Listes!$AE$3:$AG$12,2,FALSE),0),0),0)))</f>
        <v/>
      </c>
      <c r="AZ940" s="7">
        <f>IF(LEFT(A940,7)="EXEMPLE",1,0)</f>
        <v/>
      </c>
      <c r="BA940" s="7">
        <f>IF(AND(AV940=1,AZ940=0,AC940&lt;&gt;"",W940&lt;&gt;"",N(V940)&gt;0),COUNTIFS($AV$3:AV940,1,$AZ$3:AZ940,0,$AC$3:AC940,"&lt;&gt;",$W$3:W940,"&lt;&gt;",$V$3:V940,"&gt;0"),"")</f>
        <v/>
      </c>
    </row>
    <row r="941">
      <c r="A941" s="12" t="n"/>
      <c r="B941" s="13" t="n"/>
      <c r="C941" s="13" t="n"/>
      <c r="D941" s="7">
        <f>IF(OR(B941="",C941=""),"",ROUND((C941-B941)*1440,0))</f>
        <v/>
      </c>
      <c r="E941" s="12" t="n"/>
      <c r="F941" s="12" t="n"/>
      <c r="G941" s="12" t="n"/>
      <c r="H941" s="12" t="n"/>
      <c r="I941" s="12" t="n"/>
      <c r="J941" s="12" t="n"/>
      <c r="K941" s="12" t="n"/>
      <c r="L941" s="14" t="n"/>
      <c r="M941" s="12" t="n"/>
      <c r="N941" s="12" t="n"/>
      <c r="O941" s="12" t="n"/>
      <c r="P941" s="12" t="n"/>
      <c r="Q941" s="7">
        <f>IF(A941="","",IFERROR(VLOOKUP(O941,Listes!$R$3:$T$8,2,FALSE),0)+IFERROR(VLOOKUP(J941,Listes!$J$3:$L$6,2,FALSE),0)+IFERROR(VLOOKUP(N941,Listes!$N$3:$P$6,2,FALSE),0)+IF(OR(L941="",B941=""),0,IF(L941-INT(B941)&lt;10,8,IF(L941-INT(B941)&lt;=90,10,5)))+IFERROR(VLOOKUP(AN941,Listes!$V$3:$W$5,2,FALSE),0)+IFERROR(VLOOKUP(AO941,Listes!$Y$3:$Z$5,2,FALSE),0))</f>
        <v/>
      </c>
      <c r="R941" s="12" t="n"/>
      <c r="S941" s="12" t="n"/>
      <c r="T941" s="12" t="n"/>
      <c r="U941" s="15" t="n"/>
      <c r="V941" s="15" t="n"/>
      <c r="W941" s="13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3" t="n"/>
      <c r="AK941" s="12" t="n"/>
      <c r="AL941" s="12" t="n"/>
      <c r="AM941" s="12" t="n"/>
      <c r="AN941" s="12" t="n"/>
      <c r="AO941" s="12" t="n"/>
      <c r="AP941" s="12" t="n"/>
      <c r="AQ941" s="7">
        <f>IF(A941="","",IF(AP941&lt;&gt;"",AP941,IF(LEFT(Z941,11)="gads_marque","Google Search – Marque",IF(LEFT(Z941,12)="gads_mariage","Google Search – Mariage et privé",IF(LEFT(Z941,10)="gads_corpo","Google Search – Corporatif",IF(LEFT(Z941,5)="meta_","Meta – Leads",IF(LEFT(Z941,5)="msft_","Microsoft Ads",IF(LEFT(Z941,8)="chatgpt_","ChatGPT Ads – Test",IF(X941="gbp","Fiche Google (organique)","Autre / non payé")))))))))</f>
        <v/>
      </c>
      <c r="AR941" s="7">
        <f>IF(K941="","",IFERROR(VLOOKUP(K941,Listes!$F$3:$H$8,3,FALSE),""))</f>
        <v/>
      </c>
      <c r="AS941" s="7">
        <f>IF(O941="","",IF(AND(M941="Autre (plus de 40 km)",OR(O941="lt600",O941="600_999",O941="1000_2499")),"D",IF(OR(O941="lt600",AND(O941="600_999",K941&lt;&gt;"mariage",K941&lt;&gt;"prive")),"C",IF(OR(O941="2500_4999",O941="5000p",J941="entreprise",J941="organisme",J941="agence"),"A",IF(OR(O941="1000_2499",O941="600_999"),"B",IF(O941="inconnu",IF(OR(N941="75_149",N941="150p"),"A","B"),""))))))</f>
        <v/>
      </c>
      <c r="AT941" s="7">
        <f>IF(A941="","",IF(P941&lt;&gt;"",P941,AS941))</f>
        <v/>
      </c>
      <c r="AU941" s="7">
        <f>IF(A941="","",IF(OR(AT941="A",AT941="B"),1,0))</f>
        <v/>
      </c>
      <c r="AV941" s="7">
        <f>IF(A941="","",IF(OR(R941="Dépôt payé (gagné)",R941="Événement livré",R941="Avis obtenu"),1,0))</f>
        <v/>
      </c>
      <c r="AW941" s="7">
        <f>IF(A941="","",IF(Q941&gt;70,"Immédiat – propriétaire",IF(Q941&gt;=40,"15 min – personne de garde","Selon la route")))</f>
        <v/>
      </c>
      <c r="AX941" s="11">
        <f>IF(A941="","",IF(AT941="A",400,IF(AT941="B",150,0)))</f>
        <v/>
      </c>
      <c r="AY941" s="11">
        <f>IF(A941="","",IF(AV941=1,N(V941),IF(N(U941)&gt;0,ROUND(N(U941)*IFERROR(VLOOKUP(R941,Listes!$AE$3:$AG$12,2,FALSE),0),0),0)))</f>
        <v/>
      </c>
      <c r="AZ941" s="7">
        <f>IF(LEFT(A941,7)="EXEMPLE",1,0)</f>
        <v/>
      </c>
      <c r="BA941" s="7">
        <f>IF(AND(AV941=1,AZ941=0,AC941&lt;&gt;"",W941&lt;&gt;"",N(V941)&gt;0),COUNTIFS($AV$3:AV941,1,$AZ$3:AZ941,0,$AC$3:AC941,"&lt;&gt;",$W$3:W941,"&lt;&gt;",$V$3:V941,"&gt;0"),"")</f>
        <v/>
      </c>
    </row>
    <row r="942">
      <c r="A942" s="12" t="n"/>
      <c r="B942" s="13" t="n"/>
      <c r="C942" s="13" t="n"/>
      <c r="D942" s="7">
        <f>IF(OR(B942="",C942=""),"",ROUND((C942-B942)*1440,0))</f>
        <v/>
      </c>
      <c r="E942" s="12" t="n"/>
      <c r="F942" s="12" t="n"/>
      <c r="G942" s="12" t="n"/>
      <c r="H942" s="12" t="n"/>
      <c r="I942" s="12" t="n"/>
      <c r="J942" s="12" t="n"/>
      <c r="K942" s="12" t="n"/>
      <c r="L942" s="14" t="n"/>
      <c r="M942" s="12" t="n"/>
      <c r="N942" s="12" t="n"/>
      <c r="O942" s="12" t="n"/>
      <c r="P942" s="12" t="n"/>
      <c r="Q942" s="7">
        <f>IF(A942="","",IFERROR(VLOOKUP(O942,Listes!$R$3:$T$8,2,FALSE),0)+IFERROR(VLOOKUP(J942,Listes!$J$3:$L$6,2,FALSE),0)+IFERROR(VLOOKUP(N942,Listes!$N$3:$P$6,2,FALSE),0)+IF(OR(L942="",B942=""),0,IF(L942-INT(B942)&lt;10,8,IF(L942-INT(B942)&lt;=90,10,5)))+IFERROR(VLOOKUP(AN942,Listes!$V$3:$W$5,2,FALSE),0)+IFERROR(VLOOKUP(AO942,Listes!$Y$3:$Z$5,2,FALSE),0))</f>
        <v/>
      </c>
      <c r="R942" s="12" t="n"/>
      <c r="S942" s="12" t="n"/>
      <c r="T942" s="12" t="n"/>
      <c r="U942" s="15" t="n"/>
      <c r="V942" s="15" t="n"/>
      <c r="W942" s="13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3" t="n"/>
      <c r="AK942" s="12" t="n"/>
      <c r="AL942" s="12" t="n"/>
      <c r="AM942" s="12" t="n"/>
      <c r="AN942" s="12" t="n"/>
      <c r="AO942" s="12" t="n"/>
      <c r="AP942" s="12" t="n"/>
      <c r="AQ942" s="7">
        <f>IF(A942="","",IF(AP942&lt;&gt;"",AP942,IF(LEFT(Z942,11)="gads_marque","Google Search – Marque",IF(LEFT(Z942,12)="gads_mariage","Google Search – Mariage et privé",IF(LEFT(Z942,10)="gads_corpo","Google Search – Corporatif",IF(LEFT(Z942,5)="meta_","Meta – Leads",IF(LEFT(Z942,5)="msft_","Microsoft Ads",IF(LEFT(Z942,8)="chatgpt_","ChatGPT Ads – Test",IF(X942="gbp","Fiche Google (organique)","Autre / non payé")))))))))</f>
        <v/>
      </c>
      <c r="AR942" s="7">
        <f>IF(K942="","",IFERROR(VLOOKUP(K942,Listes!$F$3:$H$8,3,FALSE),""))</f>
        <v/>
      </c>
      <c r="AS942" s="7">
        <f>IF(O942="","",IF(AND(M942="Autre (plus de 40 km)",OR(O942="lt600",O942="600_999",O942="1000_2499")),"D",IF(OR(O942="lt600",AND(O942="600_999",K942&lt;&gt;"mariage",K942&lt;&gt;"prive")),"C",IF(OR(O942="2500_4999",O942="5000p",J942="entreprise",J942="organisme",J942="agence"),"A",IF(OR(O942="1000_2499",O942="600_999"),"B",IF(O942="inconnu",IF(OR(N942="75_149",N942="150p"),"A","B"),""))))))</f>
        <v/>
      </c>
      <c r="AT942" s="7">
        <f>IF(A942="","",IF(P942&lt;&gt;"",P942,AS942))</f>
        <v/>
      </c>
      <c r="AU942" s="7">
        <f>IF(A942="","",IF(OR(AT942="A",AT942="B"),1,0))</f>
        <v/>
      </c>
      <c r="AV942" s="7">
        <f>IF(A942="","",IF(OR(R942="Dépôt payé (gagné)",R942="Événement livré",R942="Avis obtenu"),1,0))</f>
        <v/>
      </c>
      <c r="AW942" s="7">
        <f>IF(A942="","",IF(Q942&gt;70,"Immédiat – propriétaire",IF(Q942&gt;=40,"15 min – personne de garde","Selon la route")))</f>
        <v/>
      </c>
      <c r="AX942" s="11">
        <f>IF(A942="","",IF(AT942="A",400,IF(AT942="B",150,0)))</f>
        <v/>
      </c>
      <c r="AY942" s="11">
        <f>IF(A942="","",IF(AV942=1,N(V942),IF(N(U942)&gt;0,ROUND(N(U942)*IFERROR(VLOOKUP(R942,Listes!$AE$3:$AG$12,2,FALSE),0),0),0)))</f>
        <v/>
      </c>
      <c r="AZ942" s="7">
        <f>IF(LEFT(A942,7)="EXEMPLE",1,0)</f>
        <v/>
      </c>
      <c r="BA942" s="7">
        <f>IF(AND(AV942=1,AZ942=0,AC942&lt;&gt;"",W942&lt;&gt;"",N(V942)&gt;0),COUNTIFS($AV$3:AV942,1,$AZ$3:AZ942,0,$AC$3:AC942,"&lt;&gt;",$W$3:W942,"&lt;&gt;",$V$3:V942,"&gt;0"),"")</f>
        <v/>
      </c>
    </row>
    <row r="943">
      <c r="A943" s="12" t="n"/>
      <c r="B943" s="13" t="n"/>
      <c r="C943" s="13" t="n"/>
      <c r="D943" s="7">
        <f>IF(OR(B943="",C943=""),"",ROUND((C943-B943)*1440,0))</f>
        <v/>
      </c>
      <c r="E943" s="12" t="n"/>
      <c r="F943" s="12" t="n"/>
      <c r="G943" s="12" t="n"/>
      <c r="H943" s="12" t="n"/>
      <c r="I943" s="12" t="n"/>
      <c r="J943" s="12" t="n"/>
      <c r="K943" s="12" t="n"/>
      <c r="L943" s="14" t="n"/>
      <c r="M943" s="12" t="n"/>
      <c r="N943" s="12" t="n"/>
      <c r="O943" s="12" t="n"/>
      <c r="P943" s="12" t="n"/>
      <c r="Q943" s="7">
        <f>IF(A943="","",IFERROR(VLOOKUP(O943,Listes!$R$3:$T$8,2,FALSE),0)+IFERROR(VLOOKUP(J943,Listes!$J$3:$L$6,2,FALSE),0)+IFERROR(VLOOKUP(N943,Listes!$N$3:$P$6,2,FALSE),0)+IF(OR(L943="",B943=""),0,IF(L943-INT(B943)&lt;10,8,IF(L943-INT(B943)&lt;=90,10,5)))+IFERROR(VLOOKUP(AN943,Listes!$V$3:$W$5,2,FALSE),0)+IFERROR(VLOOKUP(AO943,Listes!$Y$3:$Z$5,2,FALSE),0))</f>
        <v/>
      </c>
      <c r="R943" s="12" t="n"/>
      <c r="S943" s="12" t="n"/>
      <c r="T943" s="12" t="n"/>
      <c r="U943" s="15" t="n"/>
      <c r="V943" s="15" t="n"/>
      <c r="W943" s="13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3" t="n"/>
      <c r="AK943" s="12" t="n"/>
      <c r="AL943" s="12" t="n"/>
      <c r="AM943" s="12" t="n"/>
      <c r="AN943" s="12" t="n"/>
      <c r="AO943" s="12" t="n"/>
      <c r="AP943" s="12" t="n"/>
      <c r="AQ943" s="7">
        <f>IF(A943="","",IF(AP943&lt;&gt;"",AP943,IF(LEFT(Z943,11)="gads_marque","Google Search – Marque",IF(LEFT(Z943,12)="gads_mariage","Google Search – Mariage et privé",IF(LEFT(Z943,10)="gads_corpo","Google Search – Corporatif",IF(LEFT(Z943,5)="meta_","Meta – Leads",IF(LEFT(Z943,5)="msft_","Microsoft Ads",IF(LEFT(Z943,8)="chatgpt_","ChatGPT Ads – Test",IF(X943="gbp","Fiche Google (organique)","Autre / non payé")))))))))</f>
        <v/>
      </c>
      <c r="AR943" s="7">
        <f>IF(K943="","",IFERROR(VLOOKUP(K943,Listes!$F$3:$H$8,3,FALSE),""))</f>
        <v/>
      </c>
      <c r="AS943" s="7">
        <f>IF(O943="","",IF(AND(M943="Autre (plus de 40 km)",OR(O943="lt600",O943="600_999",O943="1000_2499")),"D",IF(OR(O943="lt600",AND(O943="600_999",K943&lt;&gt;"mariage",K943&lt;&gt;"prive")),"C",IF(OR(O943="2500_4999",O943="5000p",J943="entreprise",J943="organisme",J943="agence"),"A",IF(OR(O943="1000_2499",O943="600_999"),"B",IF(O943="inconnu",IF(OR(N943="75_149",N943="150p"),"A","B"),""))))))</f>
        <v/>
      </c>
      <c r="AT943" s="7">
        <f>IF(A943="","",IF(P943&lt;&gt;"",P943,AS943))</f>
        <v/>
      </c>
      <c r="AU943" s="7">
        <f>IF(A943="","",IF(OR(AT943="A",AT943="B"),1,0))</f>
        <v/>
      </c>
      <c r="AV943" s="7">
        <f>IF(A943="","",IF(OR(R943="Dépôt payé (gagné)",R943="Événement livré",R943="Avis obtenu"),1,0))</f>
        <v/>
      </c>
      <c r="AW943" s="7">
        <f>IF(A943="","",IF(Q943&gt;70,"Immédiat – propriétaire",IF(Q943&gt;=40,"15 min – personne de garde","Selon la route")))</f>
        <v/>
      </c>
      <c r="AX943" s="11">
        <f>IF(A943="","",IF(AT943="A",400,IF(AT943="B",150,0)))</f>
        <v/>
      </c>
      <c r="AY943" s="11">
        <f>IF(A943="","",IF(AV943=1,N(V943),IF(N(U943)&gt;0,ROUND(N(U943)*IFERROR(VLOOKUP(R943,Listes!$AE$3:$AG$12,2,FALSE),0),0),0)))</f>
        <v/>
      </c>
      <c r="AZ943" s="7">
        <f>IF(LEFT(A943,7)="EXEMPLE",1,0)</f>
        <v/>
      </c>
      <c r="BA943" s="7">
        <f>IF(AND(AV943=1,AZ943=0,AC943&lt;&gt;"",W943&lt;&gt;"",N(V943)&gt;0),COUNTIFS($AV$3:AV943,1,$AZ$3:AZ943,0,$AC$3:AC943,"&lt;&gt;",$W$3:W943,"&lt;&gt;",$V$3:V943,"&gt;0"),"")</f>
        <v/>
      </c>
    </row>
    <row r="944">
      <c r="A944" s="12" t="n"/>
      <c r="B944" s="13" t="n"/>
      <c r="C944" s="13" t="n"/>
      <c r="D944" s="7">
        <f>IF(OR(B944="",C944=""),"",ROUND((C944-B944)*1440,0))</f>
        <v/>
      </c>
      <c r="E944" s="12" t="n"/>
      <c r="F944" s="12" t="n"/>
      <c r="G944" s="12" t="n"/>
      <c r="H944" s="12" t="n"/>
      <c r="I944" s="12" t="n"/>
      <c r="J944" s="12" t="n"/>
      <c r="K944" s="12" t="n"/>
      <c r="L944" s="14" t="n"/>
      <c r="M944" s="12" t="n"/>
      <c r="N944" s="12" t="n"/>
      <c r="O944" s="12" t="n"/>
      <c r="P944" s="12" t="n"/>
      <c r="Q944" s="7">
        <f>IF(A944="","",IFERROR(VLOOKUP(O944,Listes!$R$3:$T$8,2,FALSE),0)+IFERROR(VLOOKUP(J944,Listes!$J$3:$L$6,2,FALSE),0)+IFERROR(VLOOKUP(N944,Listes!$N$3:$P$6,2,FALSE),0)+IF(OR(L944="",B944=""),0,IF(L944-INT(B944)&lt;10,8,IF(L944-INT(B944)&lt;=90,10,5)))+IFERROR(VLOOKUP(AN944,Listes!$V$3:$W$5,2,FALSE),0)+IFERROR(VLOOKUP(AO944,Listes!$Y$3:$Z$5,2,FALSE),0))</f>
        <v/>
      </c>
      <c r="R944" s="12" t="n"/>
      <c r="S944" s="12" t="n"/>
      <c r="T944" s="12" t="n"/>
      <c r="U944" s="15" t="n"/>
      <c r="V944" s="15" t="n"/>
      <c r="W944" s="13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3" t="n"/>
      <c r="AK944" s="12" t="n"/>
      <c r="AL944" s="12" t="n"/>
      <c r="AM944" s="12" t="n"/>
      <c r="AN944" s="12" t="n"/>
      <c r="AO944" s="12" t="n"/>
      <c r="AP944" s="12" t="n"/>
      <c r="AQ944" s="7">
        <f>IF(A944="","",IF(AP944&lt;&gt;"",AP944,IF(LEFT(Z944,11)="gads_marque","Google Search – Marque",IF(LEFT(Z944,12)="gads_mariage","Google Search – Mariage et privé",IF(LEFT(Z944,10)="gads_corpo","Google Search – Corporatif",IF(LEFT(Z944,5)="meta_","Meta – Leads",IF(LEFT(Z944,5)="msft_","Microsoft Ads",IF(LEFT(Z944,8)="chatgpt_","ChatGPT Ads – Test",IF(X944="gbp","Fiche Google (organique)","Autre / non payé")))))))))</f>
        <v/>
      </c>
      <c r="AR944" s="7">
        <f>IF(K944="","",IFERROR(VLOOKUP(K944,Listes!$F$3:$H$8,3,FALSE),""))</f>
        <v/>
      </c>
      <c r="AS944" s="7">
        <f>IF(O944="","",IF(AND(M944="Autre (plus de 40 km)",OR(O944="lt600",O944="600_999",O944="1000_2499")),"D",IF(OR(O944="lt600",AND(O944="600_999",K944&lt;&gt;"mariage",K944&lt;&gt;"prive")),"C",IF(OR(O944="2500_4999",O944="5000p",J944="entreprise",J944="organisme",J944="agence"),"A",IF(OR(O944="1000_2499",O944="600_999"),"B",IF(O944="inconnu",IF(OR(N944="75_149",N944="150p"),"A","B"),""))))))</f>
        <v/>
      </c>
      <c r="AT944" s="7">
        <f>IF(A944="","",IF(P944&lt;&gt;"",P944,AS944))</f>
        <v/>
      </c>
      <c r="AU944" s="7">
        <f>IF(A944="","",IF(OR(AT944="A",AT944="B"),1,0))</f>
        <v/>
      </c>
      <c r="AV944" s="7">
        <f>IF(A944="","",IF(OR(R944="Dépôt payé (gagné)",R944="Événement livré",R944="Avis obtenu"),1,0))</f>
        <v/>
      </c>
      <c r="AW944" s="7">
        <f>IF(A944="","",IF(Q944&gt;70,"Immédiat – propriétaire",IF(Q944&gt;=40,"15 min – personne de garde","Selon la route")))</f>
        <v/>
      </c>
      <c r="AX944" s="11">
        <f>IF(A944="","",IF(AT944="A",400,IF(AT944="B",150,0)))</f>
        <v/>
      </c>
      <c r="AY944" s="11">
        <f>IF(A944="","",IF(AV944=1,N(V944),IF(N(U944)&gt;0,ROUND(N(U944)*IFERROR(VLOOKUP(R944,Listes!$AE$3:$AG$12,2,FALSE),0),0),0)))</f>
        <v/>
      </c>
      <c r="AZ944" s="7">
        <f>IF(LEFT(A944,7)="EXEMPLE",1,0)</f>
        <v/>
      </c>
      <c r="BA944" s="7">
        <f>IF(AND(AV944=1,AZ944=0,AC944&lt;&gt;"",W944&lt;&gt;"",N(V944)&gt;0),COUNTIFS($AV$3:AV944,1,$AZ$3:AZ944,0,$AC$3:AC944,"&lt;&gt;",$W$3:W944,"&lt;&gt;",$V$3:V944,"&gt;0"),"")</f>
        <v/>
      </c>
    </row>
    <row r="945">
      <c r="A945" s="12" t="n"/>
      <c r="B945" s="13" t="n"/>
      <c r="C945" s="13" t="n"/>
      <c r="D945" s="7">
        <f>IF(OR(B945="",C945=""),"",ROUND((C945-B945)*1440,0))</f>
        <v/>
      </c>
      <c r="E945" s="12" t="n"/>
      <c r="F945" s="12" t="n"/>
      <c r="G945" s="12" t="n"/>
      <c r="H945" s="12" t="n"/>
      <c r="I945" s="12" t="n"/>
      <c r="J945" s="12" t="n"/>
      <c r="K945" s="12" t="n"/>
      <c r="L945" s="14" t="n"/>
      <c r="M945" s="12" t="n"/>
      <c r="N945" s="12" t="n"/>
      <c r="O945" s="12" t="n"/>
      <c r="P945" s="12" t="n"/>
      <c r="Q945" s="7">
        <f>IF(A945="","",IFERROR(VLOOKUP(O945,Listes!$R$3:$T$8,2,FALSE),0)+IFERROR(VLOOKUP(J945,Listes!$J$3:$L$6,2,FALSE),0)+IFERROR(VLOOKUP(N945,Listes!$N$3:$P$6,2,FALSE),0)+IF(OR(L945="",B945=""),0,IF(L945-INT(B945)&lt;10,8,IF(L945-INT(B945)&lt;=90,10,5)))+IFERROR(VLOOKUP(AN945,Listes!$V$3:$W$5,2,FALSE),0)+IFERROR(VLOOKUP(AO945,Listes!$Y$3:$Z$5,2,FALSE),0))</f>
        <v/>
      </c>
      <c r="R945" s="12" t="n"/>
      <c r="S945" s="12" t="n"/>
      <c r="T945" s="12" t="n"/>
      <c r="U945" s="15" t="n"/>
      <c r="V945" s="15" t="n"/>
      <c r="W945" s="13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3" t="n"/>
      <c r="AK945" s="12" t="n"/>
      <c r="AL945" s="12" t="n"/>
      <c r="AM945" s="12" t="n"/>
      <c r="AN945" s="12" t="n"/>
      <c r="AO945" s="12" t="n"/>
      <c r="AP945" s="12" t="n"/>
      <c r="AQ945" s="7">
        <f>IF(A945="","",IF(AP945&lt;&gt;"",AP945,IF(LEFT(Z945,11)="gads_marque","Google Search – Marque",IF(LEFT(Z945,12)="gads_mariage","Google Search – Mariage et privé",IF(LEFT(Z945,10)="gads_corpo","Google Search – Corporatif",IF(LEFT(Z945,5)="meta_","Meta – Leads",IF(LEFT(Z945,5)="msft_","Microsoft Ads",IF(LEFT(Z945,8)="chatgpt_","ChatGPT Ads – Test",IF(X945="gbp","Fiche Google (organique)","Autre / non payé")))))))))</f>
        <v/>
      </c>
      <c r="AR945" s="7">
        <f>IF(K945="","",IFERROR(VLOOKUP(K945,Listes!$F$3:$H$8,3,FALSE),""))</f>
        <v/>
      </c>
      <c r="AS945" s="7">
        <f>IF(O945="","",IF(AND(M945="Autre (plus de 40 km)",OR(O945="lt600",O945="600_999",O945="1000_2499")),"D",IF(OR(O945="lt600",AND(O945="600_999",K945&lt;&gt;"mariage",K945&lt;&gt;"prive")),"C",IF(OR(O945="2500_4999",O945="5000p",J945="entreprise",J945="organisme",J945="agence"),"A",IF(OR(O945="1000_2499",O945="600_999"),"B",IF(O945="inconnu",IF(OR(N945="75_149",N945="150p"),"A","B"),""))))))</f>
        <v/>
      </c>
      <c r="AT945" s="7">
        <f>IF(A945="","",IF(P945&lt;&gt;"",P945,AS945))</f>
        <v/>
      </c>
      <c r="AU945" s="7">
        <f>IF(A945="","",IF(OR(AT945="A",AT945="B"),1,0))</f>
        <v/>
      </c>
      <c r="AV945" s="7">
        <f>IF(A945="","",IF(OR(R945="Dépôt payé (gagné)",R945="Événement livré",R945="Avis obtenu"),1,0))</f>
        <v/>
      </c>
      <c r="AW945" s="7">
        <f>IF(A945="","",IF(Q945&gt;70,"Immédiat – propriétaire",IF(Q945&gt;=40,"15 min – personne de garde","Selon la route")))</f>
        <v/>
      </c>
      <c r="AX945" s="11">
        <f>IF(A945="","",IF(AT945="A",400,IF(AT945="B",150,0)))</f>
        <v/>
      </c>
      <c r="AY945" s="11">
        <f>IF(A945="","",IF(AV945=1,N(V945),IF(N(U945)&gt;0,ROUND(N(U945)*IFERROR(VLOOKUP(R945,Listes!$AE$3:$AG$12,2,FALSE),0),0),0)))</f>
        <v/>
      </c>
      <c r="AZ945" s="7">
        <f>IF(LEFT(A945,7)="EXEMPLE",1,0)</f>
        <v/>
      </c>
      <c r="BA945" s="7">
        <f>IF(AND(AV945=1,AZ945=0,AC945&lt;&gt;"",W945&lt;&gt;"",N(V945)&gt;0),COUNTIFS($AV$3:AV945,1,$AZ$3:AZ945,0,$AC$3:AC945,"&lt;&gt;",$W$3:W945,"&lt;&gt;",$V$3:V945,"&gt;0"),"")</f>
        <v/>
      </c>
    </row>
    <row r="946">
      <c r="A946" s="12" t="n"/>
      <c r="B946" s="13" t="n"/>
      <c r="C946" s="13" t="n"/>
      <c r="D946" s="7">
        <f>IF(OR(B946="",C946=""),"",ROUND((C946-B946)*1440,0))</f>
        <v/>
      </c>
      <c r="E946" s="12" t="n"/>
      <c r="F946" s="12" t="n"/>
      <c r="G946" s="12" t="n"/>
      <c r="H946" s="12" t="n"/>
      <c r="I946" s="12" t="n"/>
      <c r="J946" s="12" t="n"/>
      <c r="K946" s="12" t="n"/>
      <c r="L946" s="14" t="n"/>
      <c r="M946" s="12" t="n"/>
      <c r="N946" s="12" t="n"/>
      <c r="O946" s="12" t="n"/>
      <c r="P946" s="12" t="n"/>
      <c r="Q946" s="7">
        <f>IF(A946="","",IFERROR(VLOOKUP(O946,Listes!$R$3:$T$8,2,FALSE),0)+IFERROR(VLOOKUP(J946,Listes!$J$3:$L$6,2,FALSE),0)+IFERROR(VLOOKUP(N946,Listes!$N$3:$P$6,2,FALSE),0)+IF(OR(L946="",B946=""),0,IF(L946-INT(B946)&lt;10,8,IF(L946-INT(B946)&lt;=90,10,5)))+IFERROR(VLOOKUP(AN946,Listes!$V$3:$W$5,2,FALSE),0)+IFERROR(VLOOKUP(AO946,Listes!$Y$3:$Z$5,2,FALSE),0))</f>
        <v/>
      </c>
      <c r="R946" s="12" t="n"/>
      <c r="S946" s="12" t="n"/>
      <c r="T946" s="12" t="n"/>
      <c r="U946" s="15" t="n"/>
      <c r="V946" s="15" t="n"/>
      <c r="W946" s="13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3" t="n"/>
      <c r="AK946" s="12" t="n"/>
      <c r="AL946" s="12" t="n"/>
      <c r="AM946" s="12" t="n"/>
      <c r="AN946" s="12" t="n"/>
      <c r="AO946" s="12" t="n"/>
      <c r="AP946" s="12" t="n"/>
      <c r="AQ946" s="7">
        <f>IF(A946="","",IF(AP946&lt;&gt;"",AP946,IF(LEFT(Z946,11)="gads_marque","Google Search – Marque",IF(LEFT(Z946,12)="gads_mariage","Google Search – Mariage et privé",IF(LEFT(Z946,10)="gads_corpo","Google Search – Corporatif",IF(LEFT(Z946,5)="meta_","Meta – Leads",IF(LEFT(Z946,5)="msft_","Microsoft Ads",IF(LEFT(Z946,8)="chatgpt_","ChatGPT Ads – Test",IF(X946="gbp","Fiche Google (organique)","Autre / non payé")))))))))</f>
        <v/>
      </c>
      <c r="AR946" s="7">
        <f>IF(K946="","",IFERROR(VLOOKUP(K946,Listes!$F$3:$H$8,3,FALSE),""))</f>
        <v/>
      </c>
      <c r="AS946" s="7">
        <f>IF(O946="","",IF(AND(M946="Autre (plus de 40 km)",OR(O946="lt600",O946="600_999",O946="1000_2499")),"D",IF(OR(O946="lt600",AND(O946="600_999",K946&lt;&gt;"mariage",K946&lt;&gt;"prive")),"C",IF(OR(O946="2500_4999",O946="5000p",J946="entreprise",J946="organisme",J946="agence"),"A",IF(OR(O946="1000_2499",O946="600_999"),"B",IF(O946="inconnu",IF(OR(N946="75_149",N946="150p"),"A","B"),""))))))</f>
        <v/>
      </c>
      <c r="AT946" s="7">
        <f>IF(A946="","",IF(P946&lt;&gt;"",P946,AS946))</f>
        <v/>
      </c>
      <c r="AU946" s="7">
        <f>IF(A946="","",IF(OR(AT946="A",AT946="B"),1,0))</f>
        <v/>
      </c>
      <c r="AV946" s="7">
        <f>IF(A946="","",IF(OR(R946="Dépôt payé (gagné)",R946="Événement livré",R946="Avis obtenu"),1,0))</f>
        <v/>
      </c>
      <c r="AW946" s="7">
        <f>IF(A946="","",IF(Q946&gt;70,"Immédiat – propriétaire",IF(Q946&gt;=40,"15 min – personne de garde","Selon la route")))</f>
        <v/>
      </c>
      <c r="AX946" s="11">
        <f>IF(A946="","",IF(AT946="A",400,IF(AT946="B",150,0)))</f>
        <v/>
      </c>
      <c r="AY946" s="11">
        <f>IF(A946="","",IF(AV946=1,N(V946),IF(N(U946)&gt;0,ROUND(N(U946)*IFERROR(VLOOKUP(R946,Listes!$AE$3:$AG$12,2,FALSE),0),0),0)))</f>
        <v/>
      </c>
      <c r="AZ946" s="7">
        <f>IF(LEFT(A946,7)="EXEMPLE",1,0)</f>
        <v/>
      </c>
      <c r="BA946" s="7">
        <f>IF(AND(AV946=1,AZ946=0,AC946&lt;&gt;"",W946&lt;&gt;"",N(V946)&gt;0),COUNTIFS($AV$3:AV946,1,$AZ$3:AZ946,0,$AC$3:AC946,"&lt;&gt;",$W$3:W946,"&lt;&gt;",$V$3:V946,"&gt;0"),"")</f>
        <v/>
      </c>
    </row>
    <row r="947">
      <c r="A947" s="12" t="n"/>
      <c r="B947" s="13" t="n"/>
      <c r="C947" s="13" t="n"/>
      <c r="D947" s="7">
        <f>IF(OR(B947="",C947=""),"",ROUND((C947-B947)*1440,0))</f>
        <v/>
      </c>
      <c r="E947" s="12" t="n"/>
      <c r="F947" s="12" t="n"/>
      <c r="G947" s="12" t="n"/>
      <c r="H947" s="12" t="n"/>
      <c r="I947" s="12" t="n"/>
      <c r="J947" s="12" t="n"/>
      <c r="K947" s="12" t="n"/>
      <c r="L947" s="14" t="n"/>
      <c r="M947" s="12" t="n"/>
      <c r="N947" s="12" t="n"/>
      <c r="O947" s="12" t="n"/>
      <c r="P947" s="12" t="n"/>
      <c r="Q947" s="7">
        <f>IF(A947="","",IFERROR(VLOOKUP(O947,Listes!$R$3:$T$8,2,FALSE),0)+IFERROR(VLOOKUP(J947,Listes!$J$3:$L$6,2,FALSE),0)+IFERROR(VLOOKUP(N947,Listes!$N$3:$P$6,2,FALSE),0)+IF(OR(L947="",B947=""),0,IF(L947-INT(B947)&lt;10,8,IF(L947-INT(B947)&lt;=90,10,5)))+IFERROR(VLOOKUP(AN947,Listes!$V$3:$W$5,2,FALSE),0)+IFERROR(VLOOKUP(AO947,Listes!$Y$3:$Z$5,2,FALSE),0))</f>
        <v/>
      </c>
      <c r="R947" s="12" t="n"/>
      <c r="S947" s="12" t="n"/>
      <c r="T947" s="12" t="n"/>
      <c r="U947" s="15" t="n"/>
      <c r="V947" s="15" t="n"/>
      <c r="W947" s="13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3" t="n"/>
      <c r="AK947" s="12" t="n"/>
      <c r="AL947" s="12" t="n"/>
      <c r="AM947" s="12" t="n"/>
      <c r="AN947" s="12" t="n"/>
      <c r="AO947" s="12" t="n"/>
      <c r="AP947" s="12" t="n"/>
      <c r="AQ947" s="7">
        <f>IF(A947="","",IF(AP947&lt;&gt;"",AP947,IF(LEFT(Z947,11)="gads_marque","Google Search – Marque",IF(LEFT(Z947,12)="gads_mariage","Google Search – Mariage et privé",IF(LEFT(Z947,10)="gads_corpo","Google Search – Corporatif",IF(LEFT(Z947,5)="meta_","Meta – Leads",IF(LEFT(Z947,5)="msft_","Microsoft Ads",IF(LEFT(Z947,8)="chatgpt_","ChatGPT Ads – Test",IF(X947="gbp","Fiche Google (organique)","Autre / non payé")))))))))</f>
        <v/>
      </c>
      <c r="AR947" s="7">
        <f>IF(K947="","",IFERROR(VLOOKUP(K947,Listes!$F$3:$H$8,3,FALSE),""))</f>
        <v/>
      </c>
      <c r="AS947" s="7">
        <f>IF(O947="","",IF(AND(M947="Autre (plus de 40 km)",OR(O947="lt600",O947="600_999",O947="1000_2499")),"D",IF(OR(O947="lt600",AND(O947="600_999",K947&lt;&gt;"mariage",K947&lt;&gt;"prive")),"C",IF(OR(O947="2500_4999",O947="5000p",J947="entreprise",J947="organisme",J947="agence"),"A",IF(OR(O947="1000_2499",O947="600_999"),"B",IF(O947="inconnu",IF(OR(N947="75_149",N947="150p"),"A","B"),""))))))</f>
        <v/>
      </c>
      <c r="AT947" s="7">
        <f>IF(A947="","",IF(P947&lt;&gt;"",P947,AS947))</f>
        <v/>
      </c>
      <c r="AU947" s="7">
        <f>IF(A947="","",IF(OR(AT947="A",AT947="B"),1,0))</f>
        <v/>
      </c>
      <c r="AV947" s="7">
        <f>IF(A947="","",IF(OR(R947="Dépôt payé (gagné)",R947="Événement livré",R947="Avis obtenu"),1,0))</f>
        <v/>
      </c>
      <c r="AW947" s="7">
        <f>IF(A947="","",IF(Q947&gt;70,"Immédiat – propriétaire",IF(Q947&gt;=40,"15 min – personne de garde","Selon la route")))</f>
        <v/>
      </c>
      <c r="AX947" s="11">
        <f>IF(A947="","",IF(AT947="A",400,IF(AT947="B",150,0)))</f>
        <v/>
      </c>
      <c r="AY947" s="11">
        <f>IF(A947="","",IF(AV947=1,N(V947),IF(N(U947)&gt;0,ROUND(N(U947)*IFERROR(VLOOKUP(R947,Listes!$AE$3:$AG$12,2,FALSE),0),0),0)))</f>
        <v/>
      </c>
      <c r="AZ947" s="7">
        <f>IF(LEFT(A947,7)="EXEMPLE",1,0)</f>
        <v/>
      </c>
      <c r="BA947" s="7">
        <f>IF(AND(AV947=1,AZ947=0,AC947&lt;&gt;"",W947&lt;&gt;"",N(V947)&gt;0),COUNTIFS($AV$3:AV947,1,$AZ$3:AZ947,0,$AC$3:AC947,"&lt;&gt;",$W$3:W947,"&lt;&gt;",$V$3:V947,"&gt;0"),"")</f>
        <v/>
      </c>
    </row>
    <row r="948">
      <c r="A948" s="12" t="n"/>
      <c r="B948" s="13" t="n"/>
      <c r="C948" s="13" t="n"/>
      <c r="D948" s="7">
        <f>IF(OR(B948="",C948=""),"",ROUND((C948-B948)*1440,0))</f>
        <v/>
      </c>
      <c r="E948" s="12" t="n"/>
      <c r="F948" s="12" t="n"/>
      <c r="G948" s="12" t="n"/>
      <c r="H948" s="12" t="n"/>
      <c r="I948" s="12" t="n"/>
      <c r="J948" s="12" t="n"/>
      <c r="K948" s="12" t="n"/>
      <c r="L948" s="14" t="n"/>
      <c r="M948" s="12" t="n"/>
      <c r="N948" s="12" t="n"/>
      <c r="O948" s="12" t="n"/>
      <c r="P948" s="12" t="n"/>
      <c r="Q948" s="7">
        <f>IF(A948="","",IFERROR(VLOOKUP(O948,Listes!$R$3:$T$8,2,FALSE),0)+IFERROR(VLOOKUP(J948,Listes!$J$3:$L$6,2,FALSE),0)+IFERROR(VLOOKUP(N948,Listes!$N$3:$P$6,2,FALSE),0)+IF(OR(L948="",B948=""),0,IF(L948-INT(B948)&lt;10,8,IF(L948-INT(B948)&lt;=90,10,5)))+IFERROR(VLOOKUP(AN948,Listes!$V$3:$W$5,2,FALSE),0)+IFERROR(VLOOKUP(AO948,Listes!$Y$3:$Z$5,2,FALSE),0))</f>
        <v/>
      </c>
      <c r="R948" s="12" t="n"/>
      <c r="S948" s="12" t="n"/>
      <c r="T948" s="12" t="n"/>
      <c r="U948" s="15" t="n"/>
      <c r="V948" s="15" t="n"/>
      <c r="W948" s="13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3" t="n"/>
      <c r="AK948" s="12" t="n"/>
      <c r="AL948" s="12" t="n"/>
      <c r="AM948" s="12" t="n"/>
      <c r="AN948" s="12" t="n"/>
      <c r="AO948" s="12" t="n"/>
      <c r="AP948" s="12" t="n"/>
      <c r="AQ948" s="7">
        <f>IF(A948="","",IF(AP948&lt;&gt;"",AP948,IF(LEFT(Z948,11)="gads_marque","Google Search – Marque",IF(LEFT(Z948,12)="gads_mariage","Google Search – Mariage et privé",IF(LEFT(Z948,10)="gads_corpo","Google Search – Corporatif",IF(LEFT(Z948,5)="meta_","Meta – Leads",IF(LEFT(Z948,5)="msft_","Microsoft Ads",IF(LEFT(Z948,8)="chatgpt_","ChatGPT Ads – Test",IF(X948="gbp","Fiche Google (organique)","Autre / non payé")))))))))</f>
        <v/>
      </c>
      <c r="AR948" s="7">
        <f>IF(K948="","",IFERROR(VLOOKUP(K948,Listes!$F$3:$H$8,3,FALSE),""))</f>
        <v/>
      </c>
      <c r="AS948" s="7">
        <f>IF(O948="","",IF(AND(M948="Autre (plus de 40 km)",OR(O948="lt600",O948="600_999",O948="1000_2499")),"D",IF(OR(O948="lt600",AND(O948="600_999",K948&lt;&gt;"mariage",K948&lt;&gt;"prive")),"C",IF(OR(O948="2500_4999",O948="5000p",J948="entreprise",J948="organisme",J948="agence"),"A",IF(OR(O948="1000_2499",O948="600_999"),"B",IF(O948="inconnu",IF(OR(N948="75_149",N948="150p"),"A","B"),""))))))</f>
        <v/>
      </c>
      <c r="AT948" s="7">
        <f>IF(A948="","",IF(P948&lt;&gt;"",P948,AS948))</f>
        <v/>
      </c>
      <c r="AU948" s="7">
        <f>IF(A948="","",IF(OR(AT948="A",AT948="B"),1,0))</f>
        <v/>
      </c>
      <c r="AV948" s="7">
        <f>IF(A948="","",IF(OR(R948="Dépôt payé (gagné)",R948="Événement livré",R948="Avis obtenu"),1,0))</f>
        <v/>
      </c>
      <c r="AW948" s="7">
        <f>IF(A948="","",IF(Q948&gt;70,"Immédiat – propriétaire",IF(Q948&gt;=40,"15 min – personne de garde","Selon la route")))</f>
        <v/>
      </c>
      <c r="AX948" s="11">
        <f>IF(A948="","",IF(AT948="A",400,IF(AT948="B",150,0)))</f>
        <v/>
      </c>
      <c r="AY948" s="11">
        <f>IF(A948="","",IF(AV948=1,N(V948),IF(N(U948)&gt;0,ROUND(N(U948)*IFERROR(VLOOKUP(R948,Listes!$AE$3:$AG$12,2,FALSE),0),0),0)))</f>
        <v/>
      </c>
      <c r="AZ948" s="7">
        <f>IF(LEFT(A948,7)="EXEMPLE",1,0)</f>
        <v/>
      </c>
      <c r="BA948" s="7">
        <f>IF(AND(AV948=1,AZ948=0,AC948&lt;&gt;"",W948&lt;&gt;"",N(V948)&gt;0),COUNTIFS($AV$3:AV948,1,$AZ$3:AZ948,0,$AC$3:AC948,"&lt;&gt;",$W$3:W948,"&lt;&gt;",$V$3:V948,"&gt;0"),"")</f>
        <v/>
      </c>
    </row>
    <row r="949">
      <c r="A949" s="12" t="n"/>
      <c r="B949" s="13" t="n"/>
      <c r="C949" s="13" t="n"/>
      <c r="D949" s="7">
        <f>IF(OR(B949="",C949=""),"",ROUND((C949-B949)*1440,0))</f>
        <v/>
      </c>
      <c r="E949" s="12" t="n"/>
      <c r="F949" s="12" t="n"/>
      <c r="G949" s="12" t="n"/>
      <c r="H949" s="12" t="n"/>
      <c r="I949" s="12" t="n"/>
      <c r="J949" s="12" t="n"/>
      <c r="K949" s="12" t="n"/>
      <c r="L949" s="14" t="n"/>
      <c r="M949" s="12" t="n"/>
      <c r="N949" s="12" t="n"/>
      <c r="O949" s="12" t="n"/>
      <c r="P949" s="12" t="n"/>
      <c r="Q949" s="7">
        <f>IF(A949="","",IFERROR(VLOOKUP(O949,Listes!$R$3:$T$8,2,FALSE),0)+IFERROR(VLOOKUP(J949,Listes!$J$3:$L$6,2,FALSE),0)+IFERROR(VLOOKUP(N949,Listes!$N$3:$P$6,2,FALSE),0)+IF(OR(L949="",B949=""),0,IF(L949-INT(B949)&lt;10,8,IF(L949-INT(B949)&lt;=90,10,5)))+IFERROR(VLOOKUP(AN949,Listes!$V$3:$W$5,2,FALSE),0)+IFERROR(VLOOKUP(AO949,Listes!$Y$3:$Z$5,2,FALSE),0))</f>
        <v/>
      </c>
      <c r="R949" s="12" t="n"/>
      <c r="S949" s="12" t="n"/>
      <c r="T949" s="12" t="n"/>
      <c r="U949" s="15" t="n"/>
      <c r="V949" s="15" t="n"/>
      <c r="W949" s="13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3" t="n"/>
      <c r="AK949" s="12" t="n"/>
      <c r="AL949" s="12" t="n"/>
      <c r="AM949" s="12" t="n"/>
      <c r="AN949" s="12" t="n"/>
      <c r="AO949" s="12" t="n"/>
      <c r="AP949" s="12" t="n"/>
      <c r="AQ949" s="7">
        <f>IF(A949="","",IF(AP949&lt;&gt;"",AP949,IF(LEFT(Z949,11)="gads_marque","Google Search – Marque",IF(LEFT(Z949,12)="gads_mariage","Google Search – Mariage et privé",IF(LEFT(Z949,10)="gads_corpo","Google Search – Corporatif",IF(LEFT(Z949,5)="meta_","Meta – Leads",IF(LEFT(Z949,5)="msft_","Microsoft Ads",IF(LEFT(Z949,8)="chatgpt_","ChatGPT Ads – Test",IF(X949="gbp","Fiche Google (organique)","Autre / non payé")))))))))</f>
        <v/>
      </c>
      <c r="AR949" s="7">
        <f>IF(K949="","",IFERROR(VLOOKUP(K949,Listes!$F$3:$H$8,3,FALSE),""))</f>
        <v/>
      </c>
      <c r="AS949" s="7">
        <f>IF(O949="","",IF(AND(M949="Autre (plus de 40 km)",OR(O949="lt600",O949="600_999",O949="1000_2499")),"D",IF(OR(O949="lt600",AND(O949="600_999",K949&lt;&gt;"mariage",K949&lt;&gt;"prive")),"C",IF(OR(O949="2500_4999",O949="5000p",J949="entreprise",J949="organisme",J949="agence"),"A",IF(OR(O949="1000_2499",O949="600_999"),"B",IF(O949="inconnu",IF(OR(N949="75_149",N949="150p"),"A","B"),""))))))</f>
        <v/>
      </c>
      <c r="AT949" s="7">
        <f>IF(A949="","",IF(P949&lt;&gt;"",P949,AS949))</f>
        <v/>
      </c>
      <c r="AU949" s="7">
        <f>IF(A949="","",IF(OR(AT949="A",AT949="B"),1,0))</f>
        <v/>
      </c>
      <c r="AV949" s="7">
        <f>IF(A949="","",IF(OR(R949="Dépôt payé (gagné)",R949="Événement livré",R949="Avis obtenu"),1,0))</f>
        <v/>
      </c>
      <c r="AW949" s="7">
        <f>IF(A949="","",IF(Q949&gt;70,"Immédiat – propriétaire",IF(Q949&gt;=40,"15 min – personne de garde","Selon la route")))</f>
        <v/>
      </c>
      <c r="AX949" s="11">
        <f>IF(A949="","",IF(AT949="A",400,IF(AT949="B",150,0)))</f>
        <v/>
      </c>
      <c r="AY949" s="11">
        <f>IF(A949="","",IF(AV949=1,N(V949),IF(N(U949)&gt;0,ROUND(N(U949)*IFERROR(VLOOKUP(R949,Listes!$AE$3:$AG$12,2,FALSE),0),0),0)))</f>
        <v/>
      </c>
      <c r="AZ949" s="7">
        <f>IF(LEFT(A949,7)="EXEMPLE",1,0)</f>
        <v/>
      </c>
      <c r="BA949" s="7">
        <f>IF(AND(AV949=1,AZ949=0,AC949&lt;&gt;"",W949&lt;&gt;"",N(V949)&gt;0),COUNTIFS($AV$3:AV949,1,$AZ$3:AZ949,0,$AC$3:AC949,"&lt;&gt;",$W$3:W949,"&lt;&gt;",$V$3:V949,"&gt;0"),"")</f>
        <v/>
      </c>
    </row>
    <row r="950">
      <c r="A950" s="12" t="n"/>
      <c r="B950" s="13" t="n"/>
      <c r="C950" s="13" t="n"/>
      <c r="D950" s="7">
        <f>IF(OR(B950="",C950=""),"",ROUND((C950-B950)*1440,0))</f>
        <v/>
      </c>
      <c r="E950" s="12" t="n"/>
      <c r="F950" s="12" t="n"/>
      <c r="G950" s="12" t="n"/>
      <c r="H950" s="12" t="n"/>
      <c r="I950" s="12" t="n"/>
      <c r="J950" s="12" t="n"/>
      <c r="K950" s="12" t="n"/>
      <c r="L950" s="14" t="n"/>
      <c r="M950" s="12" t="n"/>
      <c r="N950" s="12" t="n"/>
      <c r="O950" s="12" t="n"/>
      <c r="P950" s="12" t="n"/>
      <c r="Q950" s="7">
        <f>IF(A950="","",IFERROR(VLOOKUP(O950,Listes!$R$3:$T$8,2,FALSE),0)+IFERROR(VLOOKUP(J950,Listes!$J$3:$L$6,2,FALSE),0)+IFERROR(VLOOKUP(N950,Listes!$N$3:$P$6,2,FALSE),0)+IF(OR(L950="",B950=""),0,IF(L950-INT(B950)&lt;10,8,IF(L950-INT(B950)&lt;=90,10,5)))+IFERROR(VLOOKUP(AN950,Listes!$V$3:$W$5,2,FALSE),0)+IFERROR(VLOOKUP(AO950,Listes!$Y$3:$Z$5,2,FALSE),0))</f>
        <v/>
      </c>
      <c r="R950" s="12" t="n"/>
      <c r="S950" s="12" t="n"/>
      <c r="T950" s="12" t="n"/>
      <c r="U950" s="15" t="n"/>
      <c r="V950" s="15" t="n"/>
      <c r="W950" s="13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3" t="n"/>
      <c r="AK950" s="12" t="n"/>
      <c r="AL950" s="12" t="n"/>
      <c r="AM950" s="12" t="n"/>
      <c r="AN950" s="12" t="n"/>
      <c r="AO950" s="12" t="n"/>
      <c r="AP950" s="12" t="n"/>
      <c r="AQ950" s="7">
        <f>IF(A950="","",IF(AP950&lt;&gt;"",AP950,IF(LEFT(Z950,11)="gads_marque","Google Search – Marque",IF(LEFT(Z950,12)="gads_mariage","Google Search – Mariage et privé",IF(LEFT(Z950,10)="gads_corpo","Google Search – Corporatif",IF(LEFT(Z950,5)="meta_","Meta – Leads",IF(LEFT(Z950,5)="msft_","Microsoft Ads",IF(LEFT(Z950,8)="chatgpt_","ChatGPT Ads – Test",IF(X950="gbp","Fiche Google (organique)","Autre / non payé")))))))))</f>
        <v/>
      </c>
      <c r="AR950" s="7">
        <f>IF(K950="","",IFERROR(VLOOKUP(K950,Listes!$F$3:$H$8,3,FALSE),""))</f>
        <v/>
      </c>
      <c r="AS950" s="7">
        <f>IF(O950="","",IF(AND(M950="Autre (plus de 40 km)",OR(O950="lt600",O950="600_999",O950="1000_2499")),"D",IF(OR(O950="lt600",AND(O950="600_999",K950&lt;&gt;"mariage",K950&lt;&gt;"prive")),"C",IF(OR(O950="2500_4999",O950="5000p",J950="entreprise",J950="organisme",J950="agence"),"A",IF(OR(O950="1000_2499",O950="600_999"),"B",IF(O950="inconnu",IF(OR(N950="75_149",N950="150p"),"A","B"),""))))))</f>
        <v/>
      </c>
      <c r="AT950" s="7">
        <f>IF(A950="","",IF(P950&lt;&gt;"",P950,AS950))</f>
        <v/>
      </c>
      <c r="AU950" s="7">
        <f>IF(A950="","",IF(OR(AT950="A",AT950="B"),1,0))</f>
        <v/>
      </c>
      <c r="AV950" s="7">
        <f>IF(A950="","",IF(OR(R950="Dépôt payé (gagné)",R950="Événement livré",R950="Avis obtenu"),1,0))</f>
        <v/>
      </c>
      <c r="AW950" s="7">
        <f>IF(A950="","",IF(Q950&gt;70,"Immédiat – propriétaire",IF(Q950&gt;=40,"15 min – personne de garde","Selon la route")))</f>
        <v/>
      </c>
      <c r="AX950" s="11">
        <f>IF(A950="","",IF(AT950="A",400,IF(AT950="B",150,0)))</f>
        <v/>
      </c>
      <c r="AY950" s="11">
        <f>IF(A950="","",IF(AV950=1,N(V950),IF(N(U950)&gt;0,ROUND(N(U950)*IFERROR(VLOOKUP(R950,Listes!$AE$3:$AG$12,2,FALSE),0),0),0)))</f>
        <v/>
      </c>
      <c r="AZ950" s="7">
        <f>IF(LEFT(A950,7)="EXEMPLE",1,0)</f>
        <v/>
      </c>
      <c r="BA950" s="7">
        <f>IF(AND(AV950=1,AZ950=0,AC950&lt;&gt;"",W950&lt;&gt;"",N(V950)&gt;0),COUNTIFS($AV$3:AV950,1,$AZ$3:AZ950,0,$AC$3:AC950,"&lt;&gt;",$W$3:W950,"&lt;&gt;",$V$3:V950,"&gt;0"),"")</f>
        <v/>
      </c>
    </row>
    <row r="951">
      <c r="A951" s="12" t="n"/>
      <c r="B951" s="13" t="n"/>
      <c r="C951" s="13" t="n"/>
      <c r="D951" s="7">
        <f>IF(OR(B951="",C951=""),"",ROUND((C951-B951)*1440,0))</f>
        <v/>
      </c>
      <c r="E951" s="12" t="n"/>
      <c r="F951" s="12" t="n"/>
      <c r="G951" s="12" t="n"/>
      <c r="H951" s="12" t="n"/>
      <c r="I951" s="12" t="n"/>
      <c r="J951" s="12" t="n"/>
      <c r="K951" s="12" t="n"/>
      <c r="L951" s="14" t="n"/>
      <c r="M951" s="12" t="n"/>
      <c r="N951" s="12" t="n"/>
      <c r="O951" s="12" t="n"/>
      <c r="P951" s="12" t="n"/>
      <c r="Q951" s="7">
        <f>IF(A951="","",IFERROR(VLOOKUP(O951,Listes!$R$3:$T$8,2,FALSE),0)+IFERROR(VLOOKUP(J951,Listes!$J$3:$L$6,2,FALSE),0)+IFERROR(VLOOKUP(N951,Listes!$N$3:$P$6,2,FALSE),0)+IF(OR(L951="",B951=""),0,IF(L951-INT(B951)&lt;10,8,IF(L951-INT(B951)&lt;=90,10,5)))+IFERROR(VLOOKUP(AN951,Listes!$V$3:$W$5,2,FALSE),0)+IFERROR(VLOOKUP(AO951,Listes!$Y$3:$Z$5,2,FALSE),0))</f>
        <v/>
      </c>
      <c r="R951" s="12" t="n"/>
      <c r="S951" s="12" t="n"/>
      <c r="T951" s="12" t="n"/>
      <c r="U951" s="15" t="n"/>
      <c r="V951" s="15" t="n"/>
      <c r="W951" s="13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3" t="n"/>
      <c r="AK951" s="12" t="n"/>
      <c r="AL951" s="12" t="n"/>
      <c r="AM951" s="12" t="n"/>
      <c r="AN951" s="12" t="n"/>
      <c r="AO951" s="12" t="n"/>
      <c r="AP951" s="12" t="n"/>
      <c r="AQ951" s="7">
        <f>IF(A951="","",IF(AP951&lt;&gt;"",AP951,IF(LEFT(Z951,11)="gads_marque","Google Search – Marque",IF(LEFT(Z951,12)="gads_mariage","Google Search – Mariage et privé",IF(LEFT(Z951,10)="gads_corpo","Google Search – Corporatif",IF(LEFT(Z951,5)="meta_","Meta – Leads",IF(LEFT(Z951,5)="msft_","Microsoft Ads",IF(LEFT(Z951,8)="chatgpt_","ChatGPT Ads – Test",IF(X951="gbp","Fiche Google (organique)","Autre / non payé")))))))))</f>
        <v/>
      </c>
      <c r="AR951" s="7">
        <f>IF(K951="","",IFERROR(VLOOKUP(K951,Listes!$F$3:$H$8,3,FALSE),""))</f>
        <v/>
      </c>
      <c r="AS951" s="7">
        <f>IF(O951="","",IF(AND(M951="Autre (plus de 40 km)",OR(O951="lt600",O951="600_999",O951="1000_2499")),"D",IF(OR(O951="lt600",AND(O951="600_999",K951&lt;&gt;"mariage",K951&lt;&gt;"prive")),"C",IF(OR(O951="2500_4999",O951="5000p",J951="entreprise",J951="organisme",J951="agence"),"A",IF(OR(O951="1000_2499",O951="600_999"),"B",IF(O951="inconnu",IF(OR(N951="75_149",N951="150p"),"A","B"),""))))))</f>
        <v/>
      </c>
      <c r="AT951" s="7">
        <f>IF(A951="","",IF(P951&lt;&gt;"",P951,AS951))</f>
        <v/>
      </c>
      <c r="AU951" s="7">
        <f>IF(A951="","",IF(OR(AT951="A",AT951="B"),1,0))</f>
        <v/>
      </c>
      <c r="AV951" s="7">
        <f>IF(A951="","",IF(OR(R951="Dépôt payé (gagné)",R951="Événement livré",R951="Avis obtenu"),1,0))</f>
        <v/>
      </c>
      <c r="AW951" s="7">
        <f>IF(A951="","",IF(Q951&gt;70,"Immédiat – propriétaire",IF(Q951&gt;=40,"15 min – personne de garde","Selon la route")))</f>
        <v/>
      </c>
      <c r="AX951" s="11">
        <f>IF(A951="","",IF(AT951="A",400,IF(AT951="B",150,0)))</f>
        <v/>
      </c>
      <c r="AY951" s="11">
        <f>IF(A951="","",IF(AV951=1,N(V951),IF(N(U951)&gt;0,ROUND(N(U951)*IFERROR(VLOOKUP(R951,Listes!$AE$3:$AG$12,2,FALSE),0),0),0)))</f>
        <v/>
      </c>
      <c r="AZ951" s="7">
        <f>IF(LEFT(A951,7)="EXEMPLE",1,0)</f>
        <v/>
      </c>
      <c r="BA951" s="7">
        <f>IF(AND(AV951=1,AZ951=0,AC951&lt;&gt;"",W951&lt;&gt;"",N(V951)&gt;0),COUNTIFS($AV$3:AV951,1,$AZ$3:AZ951,0,$AC$3:AC951,"&lt;&gt;",$W$3:W951,"&lt;&gt;",$V$3:V951,"&gt;0"),"")</f>
        <v/>
      </c>
    </row>
    <row r="952">
      <c r="A952" s="12" t="n"/>
      <c r="B952" s="13" t="n"/>
      <c r="C952" s="13" t="n"/>
      <c r="D952" s="7">
        <f>IF(OR(B952="",C952=""),"",ROUND((C952-B952)*1440,0))</f>
        <v/>
      </c>
      <c r="E952" s="12" t="n"/>
      <c r="F952" s="12" t="n"/>
      <c r="G952" s="12" t="n"/>
      <c r="H952" s="12" t="n"/>
      <c r="I952" s="12" t="n"/>
      <c r="J952" s="12" t="n"/>
      <c r="K952" s="12" t="n"/>
      <c r="L952" s="14" t="n"/>
      <c r="M952" s="12" t="n"/>
      <c r="N952" s="12" t="n"/>
      <c r="O952" s="12" t="n"/>
      <c r="P952" s="12" t="n"/>
      <c r="Q952" s="7">
        <f>IF(A952="","",IFERROR(VLOOKUP(O952,Listes!$R$3:$T$8,2,FALSE),0)+IFERROR(VLOOKUP(J952,Listes!$J$3:$L$6,2,FALSE),0)+IFERROR(VLOOKUP(N952,Listes!$N$3:$P$6,2,FALSE),0)+IF(OR(L952="",B952=""),0,IF(L952-INT(B952)&lt;10,8,IF(L952-INT(B952)&lt;=90,10,5)))+IFERROR(VLOOKUP(AN952,Listes!$V$3:$W$5,2,FALSE),0)+IFERROR(VLOOKUP(AO952,Listes!$Y$3:$Z$5,2,FALSE),0))</f>
        <v/>
      </c>
      <c r="R952" s="12" t="n"/>
      <c r="S952" s="12" t="n"/>
      <c r="T952" s="12" t="n"/>
      <c r="U952" s="15" t="n"/>
      <c r="V952" s="15" t="n"/>
      <c r="W952" s="13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3" t="n"/>
      <c r="AK952" s="12" t="n"/>
      <c r="AL952" s="12" t="n"/>
      <c r="AM952" s="12" t="n"/>
      <c r="AN952" s="12" t="n"/>
      <c r="AO952" s="12" t="n"/>
      <c r="AP952" s="12" t="n"/>
      <c r="AQ952" s="7">
        <f>IF(A952="","",IF(AP952&lt;&gt;"",AP952,IF(LEFT(Z952,11)="gads_marque","Google Search – Marque",IF(LEFT(Z952,12)="gads_mariage","Google Search – Mariage et privé",IF(LEFT(Z952,10)="gads_corpo","Google Search – Corporatif",IF(LEFT(Z952,5)="meta_","Meta – Leads",IF(LEFT(Z952,5)="msft_","Microsoft Ads",IF(LEFT(Z952,8)="chatgpt_","ChatGPT Ads – Test",IF(X952="gbp","Fiche Google (organique)","Autre / non payé")))))))))</f>
        <v/>
      </c>
      <c r="AR952" s="7">
        <f>IF(K952="","",IFERROR(VLOOKUP(K952,Listes!$F$3:$H$8,3,FALSE),""))</f>
        <v/>
      </c>
      <c r="AS952" s="7">
        <f>IF(O952="","",IF(AND(M952="Autre (plus de 40 km)",OR(O952="lt600",O952="600_999",O952="1000_2499")),"D",IF(OR(O952="lt600",AND(O952="600_999",K952&lt;&gt;"mariage",K952&lt;&gt;"prive")),"C",IF(OR(O952="2500_4999",O952="5000p",J952="entreprise",J952="organisme",J952="agence"),"A",IF(OR(O952="1000_2499",O952="600_999"),"B",IF(O952="inconnu",IF(OR(N952="75_149",N952="150p"),"A","B"),""))))))</f>
        <v/>
      </c>
      <c r="AT952" s="7">
        <f>IF(A952="","",IF(P952&lt;&gt;"",P952,AS952))</f>
        <v/>
      </c>
      <c r="AU952" s="7">
        <f>IF(A952="","",IF(OR(AT952="A",AT952="B"),1,0))</f>
        <v/>
      </c>
      <c r="AV952" s="7">
        <f>IF(A952="","",IF(OR(R952="Dépôt payé (gagné)",R952="Événement livré",R952="Avis obtenu"),1,0))</f>
        <v/>
      </c>
      <c r="AW952" s="7">
        <f>IF(A952="","",IF(Q952&gt;70,"Immédiat – propriétaire",IF(Q952&gt;=40,"15 min – personne de garde","Selon la route")))</f>
        <v/>
      </c>
      <c r="AX952" s="11">
        <f>IF(A952="","",IF(AT952="A",400,IF(AT952="B",150,0)))</f>
        <v/>
      </c>
      <c r="AY952" s="11">
        <f>IF(A952="","",IF(AV952=1,N(V952),IF(N(U952)&gt;0,ROUND(N(U952)*IFERROR(VLOOKUP(R952,Listes!$AE$3:$AG$12,2,FALSE),0),0),0)))</f>
        <v/>
      </c>
      <c r="AZ952" s="7">
        <f>IF(LEFT(A952,7)="EXEMPLE",1,0)</f>
        <v/>
      </c>
      <c r="BA952" s="7">
        <f>IF(AND(AV952=1,AZ952=0,AC952&lt;&gt;"",W952&lt;&gt;"",N(V952)&gt;0),COUNTIFS($AV$3:AV952,1,$AZ$3:AZ952,0,$AC$3:AC952,"&lt;&gt;",$W$3:W952,"&lt;&gt;",$V$3:V952,"&gt;0"),"")</f>
        <v/>
      </c>
    </row>
    <row r="953">
      <c r="A953" s="12" t="n"/>
      <c r="B953" s="13" t="n"/>
      <c r="C953" s="13" t="n"/>
      <c r="D953" s="7">
        <f>IF(OR(B953="",C953=""),"",ROUND((C953-B953)*1440,0))</f>
        <v/>
      </c>
      <c r="E953" s="12" t="n"/>
      <c r="F953" s="12" t="n"/>
      <c r="G953" s="12" t="n"/>
      <c r="H953" s="12" t="n"/>
      <c r="I953" s="12" t="n"/>
      <c r="J953" s="12" t="n"/>
      <c r="K953" s="12" t="n"/>
      <c r="L953" s="14" t="n"/>
      <c r="M953" s="12" t="n"/>
      <c r="N953" s="12" t="n"/>
      <c r="O953" s="12" t="n"/>
      <c r="P953" s="12" t="n"/>
      <c r="Q953" s="7">
        <f>IF(A953="","",IFERROR(VLOOKUP(O953,Listes!$R$3:$T$8,2,FALSE),0)+IFERROR(VLOOKUP(J953,Listes!$J$3:$L$6,2,FALSE),0)+IFERROR(VLOOKUP(N953,Listes!$N$3:$P$6,2,FALSE),0)+IF(OR(L953="",B953=""),0,IF(L953-INT(B953)&lt;10,8,IF(L953-INT(B953)&lt;=90,10,5)))+IFERROR(VLOOKUP(AN953,Listes!$V$3:$W$5,2,FALSE),0)+IFERROR(VLOOKUP(AO953,Listes!$Y$3:$Z$5,2,FALSE),0))</f>
        <v/>
      </c>
      <c r="R953" s="12" t="n"/>
      <c r="S953" s="12" t="n"/>
      <c r="T953" s="12" t="n"/>
      <c r="U953" s="15" t="n"/>
      <c r="V953" s="15" t="n"/>
      <c r="W953" s="13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3" t="n"/>
      <c r="AK953" s="12" t="n"/>
      <c r="AL953" s="12" t="n"/>
      <c r="AM953" s="12" t="n"/>
      <c r="AN953" s="12" t="n"/>
      <c r="AO953" s="12" t="n"/>
      <c r="AP953" s="12" t="n"/>
      <c r="AQ953" s="7">
        <f>IF(A953="","",IF(AP953&lt;&gt;"",AP953,IF(LEFT(Z953,11)="gads_marque","Google Search – Marque",IF(LEFT(Z953,12)="gads_mariage","Google Search – Mariage et privé",IF(LEFT(Z953,10)="gads_corpo","Google Search – Corporatif",IF(LEFT(Z953,5)="meta_","Meta – Leads",IF(LEFT(Z953,5)="msft_","Microsoft Ads",IF(LEFT(Z953,8)="chatgpt_","ChatGPT Ads – Test",IF(X953="gbp","Fiche Google (organique)","Autre / non payé")))))))))</f>
        <v/>
      </c>
      <c r="AR953" s="7">
        <f>IF(K953="","",IFERROR(VLOOKUP(K953,Listes!$F$3:$H$8,3,FALSE),""))</f>
        <v/>
      </c>
      <c r="AS953" s="7">
        <f>IF(O953="","",IF(AND(M953="Autre (plus de 40 km)",OR(O953="lt600",O953="600_999",O953="1000_2499")),"D",IF(OR(O953="lt600",AND(O953="600_999",K953&lt;&gt;"mariage",K953&lt;&gt;"prive")),"C",IF(OR(O953="2500_4999",O953="5000p",J953="entreprise",J953="organisme",J953="agence"),"A",IF(OR(O953="1000_2499",O953="600_999"),"B",IF(O953="inconnu",IF(OR(N953="75_149",N953="150p"),"A","B"),""))))))</f>
        <v/>
      </c>
      <c r="AT953" s="7">
        <f>IF(A953="","",IF(P953&lt;&gt;"",P953,AS953))</f>
        <v/>
      </c>
      <c r="AU953" s="7">
        <f>IF(A953="","",IF(OR(AT953="A",AT953="B"),1,0))</f>
        <v/>
      </c>
      <c r="AV953" s="7">
        <f>IF(A953="","",IF(OR(R953="Dépôt payé (gagné)",R953="Événement livré",R953="Avis obtenu"),1,0))</f>
        <v/>
      </c>
      <c r="AW953" s="7">
        <f>IF(A953="","",IF(Q953&gt;70,"Immédiat – propriétaire",IF(Q953&gt;=40,"15 min – personne de garde","Selon la route")))</f>
        <v/>
      </c>
      <c r="AX953" s="11">
        <f>IF(A953="","",IF(AT953="A",400,IF(AT953="B",150,0)))</f>
        <v/>
      </c>
      <c r="AY953" s="11">
        <f>IF(A953="","",IF(AV953=1,N(V953),IF(N(U953)&gt;0,ROUND(N(U953)*IFERROR(VLOOKUP(R953,Listes!$AE$3:$AG$12,2,FALSE),0),0),0)))</f>
        <v/>
      </c>
      <c r="AZ953" s="7">
        <f>IF(LEFT(A953,7)="EXEMPLE",1,0)</f>
        <v/>
      </c>
      <c r="BA953" s="7">
        <f>IF(AND(AV953=1,AZ953=0,AC953&lt;&gt;"",W953&lt;&gt;"",N(V953)&gt;0),COUNTIFS($AV$3:AV953,1,$AZ$3:AZ953,0,$AC$3:AC953,"&lt;&gt;",$W$3:W953,"&lt;&gt;",$V$3:V953,"&gt;0"),"")</f>
        <v/>
      </c>
    </row>
    <row r="954">
      <c r="A954" s="12" t="n"/>
      <c r="B954" s="13" t="n"/>
      <c r="C954" s="13" t="n"/>
      <c r="D954" s="7">
        <f>IF(OR(B954="",C954=""),"",ROUND((C954-B954)*1440,0))</f>
        <v/>
      </c>
      <c r="E954" s="12" t="n"/>
      <c r="F954" s="12" t="n"/>
      <c r="G954" s="12" t="n"/>
      <c r="H954" s="12" t="n"/>
      <c r="I954" s="12" t="n"/>
      <c r="J954" s="12" t="n"/>
      <c r="K954" s="12" t="n"/>
      <c r="L954" s="14" t="n"/>
      <c r="M954" s="12" t="n"/>
      <c r="N954" s="12" t="n"/>
      <c r="O954" s="12" t="n"/>
      <c r="P954" s="12" t="n"/>
      <c r="Q954" s="7">
        <f>IF(A954="","",IFERROR(VLOOKUP(O954,Listes!$R$3:$T$8,2,FALSE),0)+IFERROR(VLOOKUP(J954,Listes!$J$3:$L$6,2,FALSE),0)+IFERROR(VLOOKUP(N954,Listes!$N$3:$P$6,2,FALSE),0)+IF(OR(L954="",B954=""),0,IF(L954-INT(B954)&lt;10,8,IF(L954-INT(B954)&lt;=90,10,5)))+IFERROR(VLOOKUP(AN954,Listes!$V$3:$W$5,2,FALSE),0)+IFERROR(VLOOKUP(AO954,Listes!$Y$3:$Z$5,2,FALSE),0))</f>
        <v/>
      </c>
      <c r="R954" s="12" t="n"/>
      <c r="S954" s="12" t="n"/>
      <c r="T954" s="12" t="n"/>
      <c r="U954" s="15" t="n"/>
      <c r="V954" s="15" t="n"/>
      <c r="W954" s="13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3" t="n"/>
      <c r="AK954" s="12" t="n"/>
      <c r="AL954" s="12" t="n"/>
      <c r="AM954" s="12" t="n"/>
      <c r="AN954" s="12" t="n"/>
      <c r="AO954" s="12" t="n"/>
      <c r="AP954" s="12" t="n"/>
      <c r="AQ954" s="7">
        <f>IF(A954="","",IF(AP954&lt;&gt;"",AP954,IF(LEFT(Z954,11)="gads_marque","Google Search – Marque",IF(LEFT(Z954,12)="gads_mariage","Google Search – Mariage et privé",IF(LEFT(Z954,10)="gads_corpo","Google Search – Corporatif",IF(LEFT(Z954,5)="meta_","Meta – Leads",IF(LEFT(Z954,5)="msft_","Microsoft Ads",IF(LEFT(Z954,8)="chatgpt_","ChatGPT Ads – Test",IF(X954="gbp","Fiche Google (organique)","Autre / non payé")))))))))</f>
        <v/>
      </c>
      <c r="AR954" s="7">
        <f>IF(K954="","",IFERROR(VLOOKUP(K954,Listes!$F$3:$H$8,3,FALSE),""))</f>
        <v/>
      </c>
      <c r="AS954" s="7">
        <f>IF(O954="","",IF(AND(M954="Autre (plus de 40 km)",OR(O954="lt600",O954="600_999",O954="1000_2499")),"D",IF(OR(O954="lt600",AND(O954="600_999",K954&lt;&gt;"mariage",K954&lt;&gt;"prive")),"C",IF(OR(O954="2500_4999",O954="5000p",J954="entreprise",J954="organisme",J954="agence"),"A",IF(OR(O954="1000_2499",O954="600_999"),"B",IF(O954="inconnu",IF(OR(N954="75_149",N954="150p"),"A","B"),""))))))</f>
        <v/>
      </c>
      <c r="AT954" s="7">
        <f>IF(A954="","",IF(P954&lt;&gt;"",P954,AS954))</f>
        <v/>
      </c>
      <c r="AU954" s="7">
        <f>IF(A954="","",IF(OR(AT954="A",AT954="B"),1,0))</f>
        <v/>
      </c>
      <c r="AV954" s="7">
        <f>IF(A954="","",IF(OR(R954="Dépôt payé (gagné)",R954="Événement livré",R954="Avis obtenu"),1,0))</f>
        <v/>
      </c>
      <c r="AW954" s="7">
        <f>IF(A954="","",IF(Q954&gt;70,"Immédiat – propriétaire",IF(Q954&gt;=40,"15 min – personne de garde","Selon la route")))</f>
        <v/>
      </c>
      <c r="AX954" s="11">
        <f>IF(A954="","",IF(AT954="A",400,IF(AT954="B",150,0)))</f>
        <v/>
      </c>
      <c r="AY954" s="11">
        <f>IF(A954="","",IF(AV954=1,N(V954),IF(N(U954)&gt;0,ROUND(N(U954)*IFERROR(VLOOKUP(R954,Listes!$AE$3:$AG$12,2,FALSE),0),0),0)))</f>
        <v/>
      </c>
      <c r="AZ954" s="7">
        <f>IF(LEFT(A954,7)="EXEMPLE",1,0)</f>
        <v/>
      </c>
      <c r="BA954" s="7">
        <f>IF(AND(AV954=1,AZ954=0,AC954&lt;&gt;"",W954&lt;&gt;"",N(V954)&gt;0),COUNTIFS($AV$3:AV954,1,$AZ$3:AZ954,0,$AC$3:AC954,"&lt;&gt;",$W$3:W954,"&lt;&gt;",$V$3:V954,"&gt;0"),"")</f>
        <v/>
      </c>
    </row>
    <row r="955">
      <c r="A955" s="12" t="n"/>
      <c r="B955" s="13" t="n"/>
      <c r="C955" s="13" t="n"/>
      <c r="D955" s="7">
        <f>IF(OR(B955="",C955=""),"",ROUND((C955-B955)*1440,0))</f>
        <v/>
      </c>
      <c r="E955" s="12" t="n"/>
      <c r="F955" s="12" t="n"/>
      <c r="G955" s="12" t="n"/>
      <c r="H955" s="12" t="n"/>
      <c r="I955" s="12" t="n"/>
      <c r="J955" s="12" t="n"/>
      <c r="K955" s="12" t="n"/>
      <c r="L955" s="14" t="n"/>
      <c r="M955" s="12" t="n"/>
      <c r="N955" s="12" t="n"/>
      <c r="O955" s="12" t="n"/>
      <c r="P955" s="12" t="n"/>
      <c r="Q955" s="7">
        <f>IF(A955="","",IFERROR(VLOOKUP(O955,Listes!$R$3:$T$8,2,FALSE),0)+IFERROR(VLOOKUP(J955,Listes!$J$3:$L$6,2,FALSE),0)+IFERROR(VLOOKUP(N955,Listes!$N$3:$P$6,2,FALSE),0)+IF(OR(L955="",B955=""),0,IF(L955-INT(B955)&lt;10,8,IF(L955-INT(B955)&lt;=90,10,5)))+IFERROR(VLOOKUP(AN955,Listes!$V$3:$W$5,2,FALSE),0)+IFERROR(VLOOKUP(AO955,Listes!$Y$3:$Z$5,2,FALSE),0))</f>
        <v/>
      </c>
      <c r="R955" s="12" t="n"/>
      <c r="S955" s="12" t="n"/>
      <c r="T955" s="12" t="n"/>
      <c r="U955" s="15" t="n"/>
      <c r="V955" s="15" t="n"/>
      <c r="W955" s="13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3" t="n"/>
      <c r="AK955" s="12" t="n"/>
      <c r="AL955" s="12" t="n"/>
      <c r="AM955" s="12" t="n"/>
      <c r="AN955" s="12" t="n"/>
      <c r="AO955" s="12" t="n"/>
      <c r="AP955" s="12" t="n"/>
      <c r="AQ955" s="7">
        <f>IF(A955="","",IF(AP955&lt;&gt;"",AP955,IF(LEFT(Z955,11)="gads_marque","Google Search – Marque",IF(LEFT(Z955,12)="gads_mariage","Google Search – Mariage et privé",IF(LEFT(Z955,10)="gads_corpo","Google Search – Corporatif",IF(LEFT(Z955,5)="meta_","Meta – Leads",IF(LEFT(Z955,5)="msft_","Microsoft Ads",IF(LEFT(Z955,8)="chatgpt_","ChatGPT Ads – Test",IF(X955="gbp","Fiche Google (organique)","Autre / non payé")))))))))</f>
        <v/>
      </c>
      <c r="AR955" s="7">
        <f>IF(K955="","",IFERROR(VLOOKUP(K955,Listes!$F$3:$H$8,3,FALSE),""))</f>
        <v/>
      </c>
      <c r="AS955" s="7">
        <f>IF(O955="","",IF(AND(M955="Autre (plus de 40 km)",OR(O955="lt600",O955="600_999",O955="1000_2499")),"D",IF(OR(O955="lt600",AND(O955="600_999",K955&lt;&gt;"mariage",K955&lt;&gt;"prive")),"C",IF(OR(O955="2500_4999",O955="5000p",J955="entreprise",J955="organisme",J955="agence"),"A",IF(OR(O955="1000_2499",O955="600_999"),"B",IF(O955="inconnu",IF(OR(N955="75_149",N955="150p"),"A","B"),""))))))</f>
        <v/>
      </c>
      <c r="AT955" s="7">
        <f>IF(A955="","",IF(P955&lt;&gt;"",P955,AS955))</f>
        <v/>
      </c>
      <c r="AU955" s="7">
        <f>IF(A955="","",IF(OR(AT955="A",AT955="B"),1,0))</f>
        <v/>
      </c>
      <c r="AV955" s="7">
        <f>IF(A955="","",IF(OR(R955="Dépôt payé (gagné)",R955="Événement livré",R955="Avis obtenu"),1,0))</f>
        <v/>
      </c>
      <c r="AW955" s="7">
        <f>IF(A955="","",IF(Q955&gt;70,"Immédiat – propriétaire",IF(Q955&gt;=40,"15 min – personne de garde","Selon la route")))</f>
        <v/>
      </c>
      <c r="AX955" s="11">
        <f>IF(A955="","",IF(AT955="A",400,IF(AT955="B",150,0)))</f>
        <v/>
      </c>
      <c r="AY955" s="11">
        <f>IF(A955="","",IF(AV955=1,N(V955),IF(N(U955)&gt;0,ROUND(N(U955)*IFERROR(VLOOKUP(R955,Listes!$AE$3:$AG$12,2,FALSE),0),0),0)))</f>
        <v/>
      </c>
      <c r="AZ955" s="7">
        <f>IF(LEFT(A955,7)="EXEMPLE",1,0)</f>
        <v/>
      </c>
      <c r="BA955" s="7">
        <f>IF(AND(AV955=1,AZ955=0,AC955&lt;&gt;"",W955&lt;&gt;"",N(V955)&gt;0),COUNTIFS($AV$3:AV955,1,$AZ$3:AZ955,0,$AC$3:AC955,"&lt;&gt;",$W$3:W955,"&lt;&gt;",$V$3:V955,"&gt;0"),"")</f>
        <v/>
      </c>
    </row>
    <row r="956">
      <c r="A956" s="12" t="n"/>
      <c r="B956" s="13" t="n"/>
      <c r="C956" s="13" t="n"/>
      <c r="D956" s="7">
        <f>IF(OR(B956="",C956=""),"",ROUND((C956-B956)*1440,0))</f>
        <v/>
      </c>
      <c r="E956" s="12" t="n"/>
      <c r="F956" s="12" t="n"/>
      <c r="G956" s="12" t="n"/>
      <c r="H956" s="12" t="n"/>
      <c r="I956" s="12" t="n"/>
      <c r="J956" s="12" t="n"/>
      <c r="K956" s="12" t="n"/>
      <c r="L956" s="14" t="n"/>
      <c r="M956" s="12" t="n"/>
      <c r="N956" s="12" t="n"/>
      <c r="O956" s="12" t="n"/>
      <c r="P956" s="12" t="n"/>
      <c r="Q956" s="7">
        <f>IF(A956="","",IFERROR(VLOOKUP(O956,Listes!$R$3:$T$8,2,FALSE),0)+IFERROR(VLOOKUP(J956,Listes!$J$3:$L$6,2,FALSE),0)+IFERROR(VLOOKUP(N956,Listes!$N$3:$P$6,2,FALSE),0)+IF(OR(L956="",B956=""),0,IF(L956-INT(B956)&lt;10,8,IF(L956-INT(B956)&lt;=90,10,5)))+IFERROR(VLOOKUP(AN956,Listes!$V$3:$W$5,2,FALSE),0)+IFERROR(VLOOKUP(AO956,Listes!$Y$3:$Z$5,2,FALSE),0))</f>
        <v/>
      </c>
      <c r="R956" s="12" t="n"/>
      <c r="S956" s="12" t="n"/>
      <c r="T956" s="12" t="n"/>
      <c r="U956" s="15" t="n"/>
      <c r="V956" s="15" t="n"/>
      <c r="W956" s="13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3" t="n"/>
      <c r="AK956" s="12" t="n"/>
      <c r="AL956" s="12" t="n"/>
      <c r="AM956" s="12" t="n"/>
      <c r="AN956" s="12" t="n"/>
      <c r="AO956" s="12" t="n"/>
      <c r="AP956" s="12" t="n"/>
      <c r="AQ956" s="7">
        <f>IF(A956="","",IF(AP956&lt;&gt;"",AP956,IF(LEFT(Z956,11)="gads_marque","Google Search – Marque",IF(LEFT(Z956,12)="gads_mariage","Google Search – Mariage et privé",IF(LEFT(Z956,10)="gads_corpo","Google Search – Corporatif",IF(LEFT(Z956,5)="meta_","Meta – Leads",IF(LEFT(Z956,5)="msft_","Microsoft Ads",IF(LEFT(Z956,8)="chatgpt_","ChatGPT Ads – Test",IF(X956="gbp","Fiche Google (organique)","Autre / non payé")))))))))</f>
        <v/>
      </c>
      <c r="AR956" s="7">
        <f>IF(K956="","",IFERROR(VLOOKUP(K956,Listes!$F$3:$H$8,3,FALSE),""))</f>
        <v/>
      </c>
      <c r="AS956" s="7">
        <f>IF(O956="","",IF(AND(M956="Autre (plus de 40 km)",OR(O956="lt600",O956="600_999",O956="1000_2499")),"D",IF(OR(O956="lt600",AND(O956="600_999",K956&lt;&gt;"mariage",K956&lt;&gt;"prive")),"C",IF(OR(O956="2500_4999",O956="5000p",J956="entreprise",J956="organisme",J956="agence"),"A",IF(OR(O956="1000_2499",O956="600_999"),"B",IF(O956="inconnu",IF(OR(N956="75_149",N956="150p"),"A","B"),""))))))</f>
        <v/>
      </c>
      <c r="AT956" s="7">
        <f>IF(A956="","",IF(P956&lt;&gt;"",P956,AS956))</f>
        <v/>
      </c>
      <c r="AU956" s="7">
        <f>IF(A956="","",IF(OR(AT956="A",AT956="B"),1,0))</f>
        <v/>
      </c>
      <c r="AV956" s="7">
        <f>IF(A956="","",IF(OR(R956="Dépôt payé (gagné)",R956="Événement livré",R956="Avis obtenu"),1,0))</f>
        <v/>
      </c>
      <c r="AW956" s="7">
        <f>IF(A956="","",IF(Q956&gt;70,"Immédiat – propriétaire",IF(Q956&gt;=40,"15 min – personne de garde","Selon la route")))</f>
        <v/>
      </c>
      <c r="AX956" s="11">
        <f>IF(A956="","",IF(AT956="A",400,IF(AT956="B",150,0)))</f>
        <v/>
      </c>
      <c r="AY956" s="11">
        <f>IF(A956="","",IF(AV956=1,N(V956),IF(N(U956)&gt;0,ROUND(N(U956)*IFERROR(VLOOKUP(R956,Listes!$AE$3:$AG$12,2,FALSE),0),0),0)))</f>
        <v/>
      </c>
      <c r="AZ956" s="7">
        <f>IF(LEFT(A956,7)="EXEMPLE",1,0)</f>
        <v/>
      </c>
      <c r="BA956" s="7">
        <f>IF(AND(AV956=1,AZ956=0,AC956&lt;&gt;"",W956&lt;&gt;"",N(V956)&gt;0),COUNTIFS($AV$3:AV956,1,$AZ$3:AZ956,0,$AC$3:AC956,"&lt;&gt;",$W$3:W956,"&lt;&gt;",$V$3:V956,"&gt;0"),"")</f>
        <v/>
      </c>
    </row>
    <row r="957">
      <c r="A957" s="12" t="n"/>
      <c r="B957" s="13" t="n"/>
      <c r="C957" s="13" t="n"/>
      <c r="D957" s="7">
        <f>IF(OR(B957="",C957=""),"",ROUND((C957-B957)*1440,0))</f>
        <v/>
      </c>
      <c r="E957" s="12" t="n"/>
      <c r="F957" s="12" t="n"/>
      <c r="G957" s="12" t="n"/>
      <c r="H957" s="12" t="n"/>
      <c r="I957" s="12" t="n"/>
      <c r="J957" s="12" t="n"/>
      <c r="K957" s="12" t="n"/>
      <c r="L957" s="14" t="n"/>
      <c r="M957" s="12" t="n"/>
      <c r="N957" s="12" t="n"/>
      <c r="O957" s="12" t="n"/>
      <c r="P957" s="12" t="n"/>
      <c r="Q957" s="7">
        <f>IF(A957="","",IFERROR(VLOOKUP(O957,Listes!$R$3:$T$8,2,FALSE),0)+IFERROR(VLOOKUP(J957,Listes!$J$3:$L$6,2,FALSE),0)+IFERROR(VLOOKUP(N957,Listes!$N$3:$P$6,2,FALSE),0)+IF(OR(L957="",B957=""),0,IF(L957-INT(B957)&lt;10,8,IF(L957-INT(B957)&lt;=90,10,5)))+IFERROR(VLOOKUP(AN957,Listes!$V$3:$W$5,2,FALSE),0)+IFERROR(VLOOKUP(AO957,Listes!$Y$3:$Z$5,2,FALSE),0))</f>
        <v/>
      </c>
      <c r="R957" s="12" t="n"/>
      <c r="S957" s="12" t="n"/>
      <c r="T957" s="12" t="n"/>
      <c r="U957" s="15" t="n"/>
      <c r="V957" s="15" t="n"/>
      <c r="W957" s="13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3" t="n"/>
      <c r="AK957" s="12" t="n"/>
      <c r="AL957" s="12" t="n"/>
      <c r="AM957" s="12" t="n"/>
      <c r="AN957" s="12" t="n"/>
      <c r="AO957" s="12" t="n"/>
      <c r="AP957" s="12" t="n"/>
      <c r="AQ957" s="7">
        <f>IF(A957="","",IF(AP957&lt;&gt;"",AP957,IF(LEFT(Z957,11)="gads_marque","Google Search – Marque",IF(LEFT(Z957,12)="gads_mariage","Google Search – Mariage et privé",IF(LEFT(Z957,10)="gads_corpo","Google Search – Corporatif",IF(LEFT(Z957,5)="meta_","Meta – Leads",IF(LEFT(Z957,5)="msft_","Microsoft Ads",IF(LEFT(Z957,8)="chatgpt_","ChatGPT Ads – Test",IF(X957="gbp","Fiche Google (organique)","Autre / non payé")))))))))</f>
        <v/>
      </c>
      <c r="AR957" s="7">
        <f>IF(K957="","",IFERROR(VLOOKUP(K957,Listes!$F$3:$H$8,3,FALSE),""))</f>
        <v/>
      </c>
      <c r="AS957" s="7">
        <f>IF(O957="","",IF(AND(M957="Autre (plus de 40 km)",OR(O957="lt600",O957="600_999",O957="1000_2499")),"D",IF(OR(O957="lt600",AND(O957="600_999",K957&lt;&gt;"mariage",K957&lt;&gt;"prive")),"C",IF(OR(O957="2500_4999",O957="5000p",J957="entreprise",J957="organisme",J957="agence"),"A",IF(OR(O957="1000_2499",O957="600_999"),"B",IF(O957="inconnu",IF(OR(N957="75_149",N957="150p"),"A","B"),""))))))</f>
        <v/>
      </c>
      <c r="AT957" s="7">
        <f>IF(A957="","",IF(P957&lt;&gt;"",P957,AS957))</f>
        <v/>
      </c>
      <c r="AU957" s="7">
        <f>IF(A957="","",IF(OR(AT957="A",AT957="B"),1,0))</f>
        <v/>
      </c>
      <c r="AV957" s="7">
        <f>IF(A957="","",IF(OR(R957="Dépôt payé (gagné)",R957="Événement livré",R957="Avis obtenu"),1,0))</f>
        <v/>
      </c>
      <c r="AW957" s="7">
        <f>IF(A957="","",IF(Q957&gt;70,"Immédiat – propriétaire",IF(Q957&gt;=40,"15 min – personne de garde","Selon la route")))</f>
        <v/>
      </c>
      <c r="AX957" s="11">
        <f>IF(A957="","",IF(AT957="A",400,IF(AT957="B",150,0)))</f>
        <v/>
      </c>
      <c r="AY957" s="11">
        <f>IF(A957="","",IF(AV957=1,N(V957),IF(N(U957)&gt;0,ROUND(N(U957)*IFERROR(VLOOKUP(R957,Listes!$AE$3:$AG$12,2,FALSE),0),0),0)))</f>
        <v/>
      </c>
      <c r="AZ957" s="7">
        <f>IF(LEFT(A957,7)="EXEMPLE",1,0)</f>
        <v/>
      </c>
      <c r="BA957" s="7">
        <f>IF(AND(AV957=1,AZ957=0,AC957&lt;&gt;"",W957&lt;&gt;"",N(V957)&gt;0),COUNTIFS($AV$3:AV957,1,$AZ$3:AZ957,0,$AC$3:AC957,"&lt;&gt;",$W$3:W957,"&lt;&gt;",$V$3:V957,"&gt;0"),"")</f>
        <v/>
      </c>
    </row>
    <row r="958">
      <c r="A958" s="12" t="n"/>
      <c r="B958" s="13" t="n"/>
      <c r="C958" s="13" t="n"/>
      <c r="D958" s="7">
        <f>IF(OR(B958="",C958=""),"",ROUND((C958-B958)*1440,0))</f>
        <v/>
      </c>
      <c r="E958" s="12" t="n"/>
      <c r="F958" s="12" t="n"/>
      <c r="G958" s="12" t="n"/>
      <c r="H958" s="12" t="n"/>
      <c r="I958" s="12" t="n"/>
      <c r="J958" s="12" t="n"/>
      <c r="K958" s="12" t="n"/>
      <c r="L958" s="14" t="n"/>
      <c r="M958" s="12" t="n"/>
      <c r="N958" s="12" t="n"/>
      <c r="O958" s="12" t="n"/>
      <c r="P958" s="12" t="n"/>
      <c r="Q958" s="7">
        <f>IF(A958="","",IFERROR(VLOOKUP(O958,Listes!$R$3:$T$8,2,FALSE),0)+IFERROR(VLOOKUP(J958,Listes!$J$3:$L$6,2,FALSE),0)+IFERROR(VLOOKUP(N958,Listes!$N$3:$P$6,2,FALSE),0)+IF(OR(L958="",B958=""),0,IF(L958-INT(B958)&lt;10,8,IF(L958-INT(B958)&lt;=90,10,5)))+IFERROR(VLOOKUP(AN958,Listes!$V$3:$W$5,2,FALSE),0)+IFERROR(VLOOKUP(AO958,Listes!$Y$3:$Z$5,2,FALSE),0))</f>
        <v/>
      </c>
      <c r="R958" s="12" t="n"/>
      <c r="S958" s="12" t="n"/>
      <c r="T958" s="12" t="n"/>
      <c r="U958" s="15" t="n"/>
      <c r="V958" s="15" t="n"/>
      <c r="W958" s="13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3" t="n"/>
      <c r="AK958" s="12" t="n"/>
      <c r="AL958" s="12" t="n"/>
      <c r="AM958" s="12" t="n"/>
      <c r="AN958" s="12" t="n"/>
      <c r="AO958" s="12" t="n"/>
      <c r="AP958" s="12" t="n"/>
      <c r="AQ958" s="7">
        <f>IF(A958="","",IF(AP958&lt;&gt;"",AP958,IF(LEFT(Z958,11)="gads_marque","Google Search – Marque",IF(LEFT(Z958,12)="gads_mariage","Google Search – Mariage et privé",IF(LEFT(Z958,10)="gads_corpo","Google Search – Corporatif",IF(LEFT(Z958,5)="meta_","Meta – Leads",IF(LEFT(Z958,5)="msft_","Microsoft Ads",IF(LEFT(Z958,8)="chatgpt_","ChatGPT Ads – Test",IF(X958="gbp","Fiche Google (organique)","Autre / non payé")))))))))</f>
        <v/>
      </c>
      <c r="AR958" s="7">
        <f>IF(K958="","",IFERROR(VLOOKUP(K958,Listes!$F$3:$H$8,3,FALSE),""))</f>
        <v/>
      </c>
      <c r="AS958" s="7">
        <f>IF(O958="","",IF(AND(M958="Autre (plus de 40 km)",OR(O958="lt600",O958="600_999",O958="1000_2499")),"D",IF(OR(O958="lt600",AND(O958="600_999",K958&lt;&gt;"mariage",K958&lt;&gt;"prive")),"C",IF(OR(O958="2500_4999",O958="5000p",J958="entreprise",J958="organisme",J958="agence"),"A",IF(OR(O958="1000_2499",O958="600_999"),"B",IF(O958="inconnu",IF(OR(N958="75_149",N958="150p"),"A","B"),""))))))</f>
        <v/>
      </c>
      <c r="AT958" s="7">
        <f>IF(A958="","",IF(P958&lt;&gt;"",P958,AS958))</f>
        <v/>
      </c>
      <c r="AU958" s="7">
        <f>IF(A958="","",IF(OR(AT958="A",AT958="B"),1,0))</f>
        <v/>
      </c>
      <c r="AV958" s="7">
        <f>IF(A958="","",IF(OR(R958="Dépôt payé (gagné)",R958="Événement livré",R958="Avis obtenu"),1,0))</f>
        <v/>
      </c>
      <c r="AW958" s="7">
        <f>IF(A958="","",IF(Q958&gt;70,"Immédiat – propriétaire",IF(Q958&gt;=40,"15 min – personne de garde","Selon la route")))</f>
        <v/>
      </c>
      <c r="AX958" s="11">
        <f>IF(A958="","",IF(AT958="A",400,IF(AT958="B",150,0)))</f>
        <v/>
      </c>
      <c r="AY958" s="11">
        <f>IF(A958="","",IF(AV958=1,N(V958),IF(N(U958)&gt;0,ROUND(N(U958)*IFERROR(VLOOKUP(R958,Listes!$AE$3:$AG$12,2,FALSE),0),0),0)))</f>
        <v/>
      </c>
      <c r="AZ958" s="7">
        <f>IF(LEFT(A958,7)="EXEMPLE",1,0)</f>
        <v/>
      </c>
      <c r="BA958" s="7">
        <f>IF(AND(AV958=1,AZ958=0,AC958&lt;&gt;"",W958&lt;&gt;"",N(V958)&gt;0),COUNTIFS($AV$3:AV958,1,$AZ$3:AZ958,0,$AC$3:AC958,"&lt;&gt;",$W$3:W958,"&lt;&gt;",$V$3:V958,"&gt;0"),"")</f>
        <v/>
      </c>
    </row>
    <row r="959">
      <c r="A959" s="12" t="n"/>
      <c r="B959" s="13" t="n"/>
      <c r="C959" s="13" t="n"/>
      <c r="D959" s="7">
        <f>IF(OR(B959="",C959=""),"",ROUND((C959-B959)*1440,0))</f>
        <v/>
      </c>
      <c r="E959" s="12" t="n"/>
      <c r="F959" s="12" t="n"/>
      <c r="G959" s="12" t="n"/>
      <c r="H959" s="12" t="n"/>
      <c r="I959" s="12" t="n"/>
      <c r="J959" s="12" t="n"/>
      <c r="K959" s="12" t="n"/>
      <c r="L959" s="14" t="n"/>
      <c r="M959" s="12" t="n"/>
      <c r="N959" s="12" t="n"/>
      <c r="O959" s="12" t="n"/>
      <c r="P959" s="12" t="n"/>
      <c r="Q959" s="7">
        <f>IF(A959="","",IFERROR(VLOOKUP(O959,Listes!$R$3:$T$8,2,FALSE),0)+IFERROR(VLOOKUP(J959,Listes!$J$3:$L$6,2,FALSE),0)+IFERROR(VLOOKUP(N959,Listes!$N$3:$P$6,2,FALSE),0)+IF(OR(L959="",B959=""),0,IF(L959-INT(B959)&lt;10,8,IF(L959-INT(B959)&lt;=90,10,5)))+IFERROR(VLOOKUP(AN959,Listes!$V$3:$W$5,2,FALSE),0)+IFERROR(VLOOKUP(AO959,Listes!$Y$3:$Z$5,2,FALSE),0))</f>
        <v/>
      </c>
      <c r="R959" s="12" t="n"/>
      <c r="S959" s="12" t="n"/>
      <c r="T959" s="12" t="n"/>
      <c r="U959" s="15" t="n"/>
      <c r="V959" s="15" t="n"/>
      <c r="W959" s="13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3" t="n"/>
      <c r="AK959" s="12" t="n"/>
      <c r="AL959" s="12" t="n"/>
      <c r="AM959" s="12" t="n"/>
      <c r="AN959" s="12" t="n"/>
      <c r="AO959" s="12" t="n"/>
      <c r="AP959" s="12" t="n"/>
      <c r="AQ959" s="7">
        <f>IF(A959="","",IF(AP959&lt;&gt;"",AP959,IF(LEFT(Z959,11)="gads_marque","Google Search – Marque",IF(LEFT(Z959,12)="gads_mariage","Google Search – Mariage et privé",IF(LEFT(Z959,10)="gads_corpo","Google Search – Corporatif",IF(LEFT(Z959,5)="meta_","Meta – Leads",IF(LEFT(Z959,5)="msft_","Microsoft Ads",IF(LEFT(Z959,8)="chatgpt_","ChatGPT Ads – Test",IF(X959="gbp","Fiche Google (organique)","Autre / non payé")))))))))</f>
        <v/>
      </c>
      <c r="AR959" s="7">
        <f>IF(K959="","",IFERROR(VLOOKUP(K959,Listes!$F$3:$H$8,3,FALSE),""))</f>
        <v/>
      </c>
      <c r="AS959" s="7">
        <f>IF(O959="","",IF(AND(M959="Autre (plus de 40 km)",OR(O959="lt600",O959="600_999",O959="1000_2499")),"D",IF(OR(O959="lt600",AND(O959="600_999",K959&lt;&gt;"mariage",K959&lt;&gt;"prive")),"C",IF(OR(O959="2500_4999",O959="5000p",J959="entreprise",J959="organisme",J959="agence"),"A",IF(OR(O959="1000_2499",O959="600_999"),"B",IF(O959="inconnu",IF(OR(N959="75_149",N959="150p"),"A","B"),""))))))</f>
        <v/>
      </c>
      <c r="AT959" s="7">
        <f>IF(A959="","",IF(P959&lt;&gt;"",P959,AS959))</f>
        <v/>
      </c>
      <c r="AU959" s="7">
        <f>IF(A959="","",IF(OR(AT959="A",AT959="B"),1,0))</f>
        <v/>
      </c>
      <c r="AV959" s="7">
        <f>IF(A959="","",IF(OR(R959="Dépôt payé (gagné)",R959="Événement livré",R959="Avis obtenu"),1,0))</f>
        <v/>
      </c>
      <c r="AW959" s="7">
        <f>IF(A959="","",IF(Q959&gt;70,"Immédiat – propriétaire",IF(Q959&gt;=40,"15 min – personne de garde","Selon la route")))</f>
        <v/>
      </c>
      <c r="AX959" s="11">
        <f>IF(A959="","",IF(AT959="A",400,IF(AT959="B",150,0)))</f>
        <v/>
      </c>
      <c r="AY959" s="11">
        <f>IF(A959="","",IF(AV959=1,N(V959),IF(N(U959)&gt;0,ROUND(N(U959)*IFERROR(VLOOKUP(R959,Listes!$AE$3:$AG$12,2,FALSE),0),0),0)))</f>
        <v/>
      </c>
      <c r="AZ959" s="7">
        <f>IF(LEFT(A959,7)="EXEMPLE",1,0)</f>
        <v/>
      </c>
      <c r="BA959" s="7">
        <f>IF(AND(AV959=1,AZ959=0,AC959&lt;&gt;"",W959&lt;&gt;"",N(V959)&gt;0),COUNTIFS($AV$3:AV959,1,$AZ$3:AZ959,0,$AC$3:AC959,"&lt;&gt;",$W$3:W959,"&lt;&gt;",$V$3:V959,"&gt;0"),"")</f>
        <v/>
      </c>
    </row>
    <row r="960">
      <c r="A960" s="12" t="n"/>
      <c r="B960" s="13" t="n"/>
      <c r="C960" s="13" t="n"/>
      <c r="D960" s="7">
        <f>IF(OR(B960="",C960=""),"",ROUND((C960-B960)*1440,0))</f>
        <v/>
      </c>
      <c r="E960" s="12" t="n"/>
      <c r="F960" s="12" t="n"/>
      <c r="G960" s="12" t="n"/>
      <c r="H960" s="12" t="n"/>
      <c r="I960" s="12" t="n"/>
      <c r="J960" s="12" t="n"/>
      <c r="K960" s="12" t="n"/>
      <c r="L960" s="14" t="n"/>
      <c r="M960" s="12" t="n"/>
      <c r="N960" s="12" t="n"/>
      <c r="O960" s="12" t="n"/>
      <c r="P960" s="12" t="n"/>
      <c r="Q960" s="7">
        <f>IF(A960="","",IFERROR(VLOOKUP(O960,Listes!$R$3:$T$8,2,FALSE),0)+IFERROR(VLOOKUP(J960,Listes!$J$3:$L$6,2,FALSE),0)+IFERROR(VLOOKUP(N960,Listes!$N$3:$P$6,2,FALSE),0)+IF(OR(L960="",B960=""),0,IF(L960-INT(B960)&lt;10,8,IF(L960-INT(B960)&lt;=90,10,5)))+IFERROR(VLOOKUP(AN960,Listes!$V$3:$W$5,2,FALSE),0)+IFERROR(VLOOKUP(AO960,Listes!$Y$3:$Z$5,2,FALSE),0))</f>
        <v/>
      </c>
      <c r="R960" s="12" t="n"/>
      <c r="S960" s="12" t="n"/>
      <c r="T960" s="12" t="n"/>
      <c r="U960" s="15" t="n"/>
      <c r="V960" s="15" t="n"/>
      <c r="W960" s="13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3" t="n"/>
      <c r="AK960" s="12" t="n"/>
      <c r="AL960" s="12" t="n"/>
      <c r="AM960" s="12" t="n"/>
      <c r="AN960" s="12" t="n"/>
      <c r="AO960" s="12" t="n"/>
      <c r="AP960" s="12" t="n"/>
      <c r="AQ960" s="7">
        <f>IF(A960="","",IF(AP960&lt;&gt;"",AP960,IF(LEFT(Z960,11)="gads_marque","Google Search – Marque",IF(LEFT(Z960,12)="gads_mariage","Google Search – Mariage et privé",IF(LEFT(Z960,10)="gads_corpo","Google Search – Corporatif",IF(LEFT(Z960,5)="meta_","Meta – Leads",IF(LEFT(Z960,5)="msft_","Microsoft Ads",IF(LEFT(Z960,8)="chatgpt_","ChatGPT Ads – Test",IF(X960="gbp","Fiche Google (organique)","Autre / non payé")))))))))</f>
        <v/>
      </c>
      <c r="AR960" s="7">
        <f>IF(K960="","",IFERROR(VLOOKUP(K960,Listes!$F$3:$H$8,3,FALSE),""))</f>
        <v/>
      </c>
      <c r="AS960" s="7">
        <f>IF(O960="","",IF(AND(M960="Autre (plus de 40 km)",OR(O960="lt600",O960="600_999",O960="1000_2499")),"D",IF(OR(O960="lt600",AND(O960="600_999",K960&lt;&gt;"mariage",K960&lt;&gt;"prive")),"C",IF(OR(O960="2500_4999",O960="5000p",J960="entreprise",J960="organisme",J960="agence"),"A",IF(OR(O960="1000_2499",O960="600_999"),"B",IF(O960="inconnu",IF(OR(N960="75_149",N960="150p"),"A","B"),""))))))</f>
        <v/>
      </c>
      <c r="AT960" s="7">
        <f>IF(A960="","",IF(P960&lt;&gt;"",P960,AS960))</f>
        <v/>
      </c>
      <c r="AU960" s="7">
        <f>IF(A960="","",IF(OR(AT960="A",AT960="B"),1,0))</f>
        <v/>
      </c>
      <c r="AV960" s="7">
        <f>IF(A960="","",IF(OR(R960="Dépôt payé (gagné)",R960="Événement livré",R960="Avis obtenu"),1,0))</f>
        <v/>
      </c>
      <c r="AW960" s="7">
        <f>IF(A960="","",IF(Q960&gt;70,"Immédiat – propriétaire",IF(Q960&gt;=40,"15 min – personne de garde","Selon la route")))</f>
        <v/>
      </c>
      <c r="AX960" s="11">
        <f>IF(A960="","",IF(AT960="A",400,IF(AT960="B",150,0)))</f>
        <v/>
      </c>
      <c r="AY960" s="11">
        <f>IF(A960="","",IF(AV960=1,N(V960),IF(N(U960)&gt;0,ROUND(N(U960)*IFERROR(VLOOKUP(R960,Listes!$AE$3:$AG$12,2,FALSE),0),0),0)))</f>
        <v/>
      </c>
      <c r="AZ960" s="7">
        <f>IF(LEFT(A960,7)="EXEMPLE",1,0)</f>
        <v/>
      </c>
      <c r="BA960" s="7">
        <f>IF(AND(AV960=1,AZ960=0,AC960&lt;&gt;"",W960&lt;&gt;"",N(V960)&gt;0),COUNTIFS($AV$3:AV960,1,$AZ$3:AZ960,0,$AC$3:AC960,"&lt;&gt;",$W$3:W960,"&lt;&gt;",$V$3:V960,"&gt;0"),"")</f>
        <v/>
      </c>
    </row>
    <row r="961">
      <c r="A961" s="12" t="n"/>
      <c r="B961" s="13" t="n"/>
      <c r="C961" s="13" t="n"/>
      <c r="D961" s="7">
        <f>IF(OR(B961="",C961=""),"",ROUND((C961-B961)*1440,0))</f>
        <v/>
      </c>
      <c r="E961" s="12" t="n"/>
      <c r="F961" s="12" t="n"/>
      <c r="G961" s="12" t="n"/>
      <c r="H961" s="12" t="n"/>
      <c r="I961" s="12" t="n"/>
      <c r="J961" s="12" t="n"/>
      <c r="K961" s="12" t="n"/>
      <c r="L961" s="14" t="n"/>
      <c r="M961" s="12" t="n"/>
      <c r="N961" s="12" t="n"/>
      <c r="O961" s="12" t="n"/>
      <c r="P961" s="12" t="n"/>
      <c r="Q961" s="7">
        <f>IF(A961="","",IFERROR(VLOOKUP(O961,Listes!$R$3:$T$8,2,FALSE),0)+IFERROR(VLOOKUP(J961,Listes!$J$3:$L$6,2,FALSE),0)+IFERROR(VLOOKUP(N961,Listes!$N$3:$P$6,2,FALSE),0)+IF(OR(L961="",B961=""),0,IF(L961-INT(B961)&lt;10,8,IF(L961-INT(B961)&lt;=90,10,5)))+IFERROR(VLOOKUP(AN961,Listes!$V$3:$W$5,2,FALSE),0)+IFERROR(VLOOKUP(AO961,Listes!$Y$3:$Z$5,2,FALSE),0))</f>
        <v/>
      </c>
      <c r="R961" s="12" t="n"/>
      <c r="S961" s="12" t="n"/>
      <c r="T961" s="12" t="n"/>
      <c r="U961" s="15" t="n"/>
      <c r="V961" s="15" t="n"/>
      <c r="W961" s="13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3" t="n"/>
      <c r="AK961" s="12" t="n"/>
      <c r="AL961" s="12" t="n"/>
      <c r="AM961" s="12" t="n"/>
      <c r="AN961" s="12" t="n"/>
      <c r="AO961" s="12" t="n"/>
      <c r="AP961" s="12" t="n"/>
      <c r="AQ961" s="7">
        <f>IF(A961="","",IF(AP961&lt;&gt;"",AP961,IF(LEFT(Z961,11)="gads_marque","Google Search – Marque",IF(LEFT(Z961,12)="gads_mariage","Google Search – Mariage et privé",IF(LEFT(Z961,10)="gads_corpo","Google Search – Corporatif",IF(LEFT(Z961,5)="meta_","Meta – Leads",IF(LEFT(Z961,5)="msft_","Microsoft Ads",IF(LEFT(Z961,8)="chatgpt_","ChatGPT Ads – Test",IF(X961="gbp","Fiche Google (organique)","Autre / non payé")))))))))</f>
        <v/>
      </c>
      <c r="AR961" s="7">
        <f>IF(K961="","",IFERROR(VLOOKUP(K961,Listes!$F$3:$H$8,3,FALSE),""))</f>
        <v/>
      </c>
      <c r="AS961" s="7">
        <f>IF(O961="","",IF(AND(M961="Autre (plus de 40 km)",OR(O961="lt600",O961="600_999",O961="1000_2499")),"D",IF(OR(O961="lt600",AND(O961="600_999",K961&lt;&gt;"mariage",K961&lt;&gt;"prive")),"C",IF(OR(O961="2500_4999",O961="5000p",J961="entreprise",J961="organisme",J961="agence"),"A",IF(OR(O961="1000_2499",O961="600_999"),"B",IF(O961="inconnu",IF(OR(N961="75_149",N961="150p"),"A","B"),""))))))</f>
        <v/>
      </c>
      <c r="AT961" s="7">
        <f>IF(A961="","",IF(P961&lt;&gt;"",P961,AS961))</f>
        <v/>
      </c>
      <c r="AU961" s="7">
        <f>IF(A961="","",IF(OR(AT961="A",AT961="B"),1,0))</f>
        <v/>
      </c>
      <c r="AV961" s="7">
        <f>IF(A961="","",IF(OR(R961="Dépôt payé (gagné)",R961="Événement livré",R961="Avis obtenu"),1,0))</f>
        <v/>
      </c>
      <c r="AW961" s="7">
        <f>IF(A961="","",IF(Q961&gt;70,"Immédiat – propriétaire",IF(Q961&gt;=40,"15 min – personne de garde","Selon la route")))</f>
        <v/>
      </c>
      <c r="AX961" s="11">
        <f>IF(A961="","",IF(AT961="A",400,IF(AT961="B",150,0)))</f>
        <v/>
      </c>
      <c r="AY961" s="11">
        <f>IF(A961="","",IF(AV961=1,N(V961),IF(N(U961)&gt;0,ROUND(N(U961)*IFERROR(VLOOKUP(R961,Listes!$AE$3:$AG$12,2,FALSE),0),0),0)))</f>
        <v/>
      </c>
      <c r="AZ961" s="7">
        <f>IF(LEFT(A961,7)="EXEMPLE",1,0)</f>
        <v/>
      </c>
      <c r="BA961" s="7">
        <f>IF(AND(AV961=1,AZ961=0,AC961&lt;&gt;"",W961&lt;&gt;"",N(V961)&gt;0),COUNTIFS($AV$3:AV961,1,$AZ$3:AZ961,0,$AC$3:AC961,"&lt;&gt;",$W$3:W961,"&lt;&gt;",$V$3:V961,"&gt;0"),"")</f>
        <v/>
      </c>
    </row>
    <row r="962">
      <c r="A962" s="12" t="n"/>
      <c r="B962" s="13" t="n"/>
      <c r="C962" s="13" t="n"/>
      <c r="D962" s="7">
        <f>IF(OR(B962="",C962=""),"",ROUND((C962-B962)*1440,0))</f>
        <v/>
      </c>
      <c r="E962" s="12" t="n"/>
      <c r="F962" s="12" t="n"/>
      <c r="G962" s="12" t="n"/>
      <c r="H962" s="12" t="n"/>
      <c r="I962" s="12" t="n"/>
      <c r="J962" s="12" t="n"/>
      <c r="K962" s="12" t="n"/>
      <c r="L962" s="14" t="n"/>
      <c r="M962" s="12" t="n"/>
      <c r="N962" s="12" t="n"/>
      <c r="O962" s="12" t="n"/>
      <c r="P962" s="12" t="n"/>
      <c r="Q962" s="7">
        <f>IF(A962="","",IFERROR(VLOOKUP(O962,Listes!$R$3:$T$8,2,FALSE),0)+IFERROR(VLOOKUP(J962,Listes!$J$3:$L$6,2,FALSE),0)+IFERROR(VLOOKUP(N962,Listes!$N$3:$P$6,2,FALSE),0)+IF(OR(L962="",B962=""),0,IF(L962-INT(B962)&lt;10,8,IF(L962-INT(B962)&lt;=90,10,5)))+IFERROR(VLOOKUP(AN962,Listes!$V$3:$W$5,2,FALSE),0)+IFERROR(VLOOKUP(AO962,Listes!$Y$3:$Z$5,2,FALSE),0))</f>
        <v/>
      </c>
      <c r="R962" s="12" t="n"/>
      <c r="S962" s="12" t="n"/>
      <c r="T962" s="12" t="n"/>
      <c r="U962" s="15" t="n"/>
      <c r="V962" s="15" t="n"/>
      <c r="W962" s="13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3" t="n"/>
      <c r="AK962" s="12" t="n"/>
      <c r="AL962" s="12" t="n"/>
      <c r="AM962" s="12" t="n"/>
      <c r="AN962" s="12" t="n"/>
      <c r="AO962" s="12" t="n"/>
      <c r="AP962" s="12" t="n"/>
      <c r="AQ962" s="7">
        <f>IF(A962="","",IF(AP962&lt;&gt;"",AP962,IF(LEFT(Z962,11)="gads_marque","Google Search – Marque",IF(LEFT(Z962,12)="gads_mariage","Google Search – Mariage et privé",IF(LEFT(Z962,10)="gads_corpo","Google Search – Corporatif",IF(LEFT(Z962,5)="meta_","Meta – Leads",IF(LEFT(Z962,5)="msft_","Microsoft Ads",IF(LEFT(Z962,8)="chatgpt_","ChatGPT Ads – Test",IF(X962="gbp","Fiche Google (organique)","Autre / non payé")))))))))</f>
        <v/>
      </c>
      <c r="AR962" s="7">
        <f>IF(K962="","",IFERROR(VLOOKUP(K962,Listes!$F$3:$H$8,3,FALSE),""))</f>
        <v/>
      </c>
      <c r="AS962" s="7">
        <f>IF(O962="","",IF(AND(M962="Autre (plus de 40 km)",OR(O962="lt600",O962="600_999",O962="1000_2499")),"D",IF(OR(O962="lt600",AND(O962="600_999",K962&lt;&gt;"mariage",K962&lt;&gt;"prive")),"C",IF(OR(O962="2500_4999",O962="5000p",J962="entreprise",J962="organisme",J962="agence"),"A",IF(OR(O962="1000_2499",O962="600_999"),"B",IF(O962="inconnu",IF(OR(N962="75_149",N962="150p"),"A","B"),""))))))</f>
        <v/>
      </c>
      <c r="AT962" s="7">
        <f>IF(A962="","",IF(P962&lt;&gt;"",P962,AS962))</f>
        <v/>
      </c>
      <c r="AU962" s="7">
        <f>IF(A962="","",IF(OR(AT962="A",AT962="B"),1,0))</f>
        <v/>
      </c>
      <c r="AV962" s="7">
        <f>IF(A962="","",IF(OR(R962="Dépôt payé (gagné)",R962="Événement livré",R962="Avis obtenu"),1,0))</f>
        <v/>
      </c>
      <c r="AW962" s="7">
        <f>IF(A962="","",IF(Q962&gt;70,"Immédiat – propriétaire",IF(Q962&gt;=40,"15 min – personne de garde","Selon la route")))</f>
        <v/>
      </c>
      <c r="AX962" s="11">
        <f>IF(A962="","",IF(AT962="A",400,IF(AT962="B",150,0)))</f>
        <v/>
      </c>
      <c r="AY962" s="11">
        <f>IF(A962="","",IF(AV962=1,N(V962),IF(N(U962)&gt;0,ROUND(N(U962)*IFERROR(VLOOKUP(R962,Listes!$AE$3:$AG$12,2,FALSE),0),0),0)))</f>
        <v/>
      </c>
      <c r="AZ962" s="7">
        <f>IF(LEFT(A962,7)="EXEMPLE",1,0)</f>
        <v/>
      </c>
      <c r="BA962" s="7">
        <f>IF(AND(AV962=1,AZ962=0,AC962&lt;&gt;"",W962&lt;&gt;"",N(V962)&gt;0),COUNTIFS($AV$3:AV962,1,$AZ$3:AZ962,0,$AC$3:AC962,"&lt;&gt;",$W$3:W962,"&lt;&gt;",$V$3:V962,"&gt;0"),"")</f>
        <v/>
      </c>
    </row>
    <row r="963">
      <c r="A963" s="12" t="n"/>
      <c r="B963" s="13" t="n"/>
      <c r="C963" s="13" t="n"/>
      <c r="D963" s="7">
        <f>IF(OR(B963="",C963=""),"",ROUND((C963-B963)*1440,0))</f>
        <v/>
      </c>
      <c r="E963" s="12" t="n"/>
      <c r="F963" s="12" t="n"/>
      <c r="G963" s="12" t="n"/>
      <c r="H963" s="12" t="n"/>
      <c r="I963" s="12" t="n"/>
      <c r="J963" s="12" t="n"/>
      <c r="K963" s="12" t="n"/>
      <c r="L963" s="14" t="n"/>
      <c r="M963" s="12" t="n"/>
      <c r="N963" s="12" t="n"/>
      <c r="O963" s="12" t="n"/>
      <c r="P963" s="12" t="n"/>
      <c r="Q963" s="7">
        <f>IF(A963="","",IFERROR(VLOOKUP(O963,Listes!$R$3:$T$8,2,FALSE),0)+IFERROR(VLOOKUP(J963,Listes!$J$3:$L$6,2,FALSE),0)+IFERROR(VLOOKUP(N963,Listes!$N$3:$P$6,2,FALSE),0)+IF(OR(L963="",B963=""),0,IF(L963-INT(B963)&lt;10,8,IF(L963-INT(B963)&lt;=90,10,5)))+IFERROR(VLOOKUP(AN963,Listes!$V$3:$W$5,2,FALSE),0)+IFERROR(VLOOKUP(AO963,Listes!$Y$3:$Z$5,2,FALSE),0))</f>
        <v/>
      </c>
      <c r="R963" s="12" t="n"/>
      <c r="S963" s="12" t="n"/>
      <c r="T963" s="12" t="n"/>
      <c r="U963" s="15" t="n"/>
      <c r="V963" s="15" t="n"/>
      <c r="W963" s="13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3" t="n"/>
      <c r="AK963" s="12" t="n"/>
      <c r="AL963" s="12" t="n"/>
      <c r="AM963" s="12" t="n"/>
      <c r="AN963" s="12" t="n"/>
      <c r="AO963" s="12" t="n"/>
      <c r="AP963" s="12" t="n"/>
      <c r="AQ963" s="7">
        <f>IF(A963="","",IF(AP963&lt;&gt;"",AP963,IF(LEFT(Z963,11)="gads_marque","Google Search – Marque",IF(LEFT(Z963,12)="gads_mariage","Google Search – Mariage et privé",IF(LEFT(Z963,10)="gads_corpo","Google Search – Corporatif",IF(LEFT(Z963,5)="meta_","Meta – Leads",IF(LEFT(Z963,5)="msft_","Microsoft Ads",IF(LEFT(Z963,8)="chatgpt_","ChatGPT Ads – Test",IF(X963="gbp","Fiche Google (organique)","Autre / non payé")))))))))</f>
        <v/>
      </c>
      <c r="AR963" s="7">
        <f>IF(K963="","",IFERROR(VLOOKUP(K963,Listes!$F$3:$H$8,3,FALSE),""))</f>
        <v/>
      </c>
      <c r="AS963" s="7">
        <f>IF(O963="","",IF(AND(M963="Autre (plus de 40 km)",OR(O963="lt600",O963="600_999",O963="1000_2499")),"D",IF(OR(O963="lt600",AND(O963="600_999",K963&lt;&gt;"mariage",K963&lt;&gt;"prive")),"C",IF(OR(O963="2500_4999",O963="5000p",J963="entreprise",J963="organisme",J963="agence"),"A",IF(OR(O963="1000_2499",O963="600_999"),"B",IF(O963="inconnu",IF(OR(N963="75_149",N963="150p"),"A","B"),""))))))</f>
        <v/>
      </c>
      <c r="AT963" s="7">
        <f>IF(A963="","",IF(P963&lt;&gt;"",P963,AS963))</f>
        <v/>
      </c>
      <c r="AU963" s="7">
        <f>IF(A963="","",IF(OR(AT963="A",AT963="B"),1,0))</f>
        <v/>
      </c>
      <c r="AV963" s="7">
        <f>IF(A963="","",IF(OR(R963="Dépôt payé (gagné)",R963="Événement livré",R963="Avis obtenu"),1,0))</f>
        <v/>
      </c>
      <c r="AW963" s="7">
        <f>IF(A963="","",IF(Q963&gt;70,"Immédiat – propriétaire",IF(Q963&gt;=40,"15 min – personne de garde","Selon la route")))</f>
        <v/>
      </c>
      <c r="AX963" s="11">
        <f>IF(A963="","",IF(AT963="A",400,IF(AT963="B",150,0)))</f>
        <v/>
      </c>
      <c r="AY963" s="11">
        <f>IF(A963="","",IF(AV963=1,N(V963),IF(N(U963)&gt;0,ROUND(N(U963)*IFERROR(VLOOKUP(R963,Listes!$AE$3:$AG$12,2,FALSE),0),0),0)))</f>
        <v/>
      </c>
      <c r="AZ963" s="7">
        <f>IF(LEFT(A963,7)="EXEMPLE",1,0)</f>
        <v/>
      </c>
      <c r="BA963" s="7">
        <f>IF(AND(AV963=1,AZ963=0,AC963&lt;&gt;"",W963&lt;&gt;"",N(V963)&gt;0),COUNTIFS($AV$3:AV963,1,$AZ$3:AZ963,0,$AC$3:AC963,"&lt;&gt;",$W$3:W963,"&lt;&gt;",$V$3:V963,"&gt;0"),"")</f>
        <v/>
      </c>
    </row>
    <row r="964">
      <c r="A964" s="12" t="n"/>
      <c r="B964" s="13" t="n"/>
      <c r="C964" s="13" t="n"/>
      <c r="D964" s="7">
        <f>IF(OR(B964="",C964=""),"",ROUND((C964-B964)*1440,0))</f>
        <v/>
      </c>
      <c r="E964" s="12" t="n"/>
      <c r="F964" s="12" t="n"/>
      <c r="G964" s="12" t="n"/>
      <c r="H964" s="12" t="n"/>
      <c r="I964" s="12" t="n"/>
      <c r="J964" s="12" t="n"/>
      <c r="K964" s="12" t="n"/>
      <c r="L964" s="14" t="n"/>
      <c r="M964" s="12" t="n"/>
      <c r="N964" s="12" t="n"/>
      <c r="O964" s="12" t="n"/>
      <c r="P964" s="12" t="n"/>
      <c r="Q964" s="7">
        <f>IF(A964="","",IFERROR(VLOOKUP(O964,Listes!$R$3:$T$8,2,FALSE),0)+IFERROR(VLOOKUP(J964,Listes!$J$3:$L$6,2,FALSE),0)+IFERROR(VLOOKUP(N964,Listes!$N$3:$P$6,2,FALSE),0)+IF(OR(L964="",B964=""),0,IF(L964-INT(B964)&lt;10,8,IF(L964-INT(B964)&lt;=90,10,5)))+IFERROR(VLOOKUP(AN964,Listes!$V$3:$W$5,2,FALSE),0)+IFERROR(VLOOKUP(AO964,Listes!$Y$3:$Z$5,2,FALSE),0))</f>
        <v/>
      </c>
      <c r="R964" s="12" t="n"/>
      <c r="S964" s="12" t="n"/>
      <c r="T964" s="12" t="n"/>
      <c r="U964" s="15" t="n"/>
      <c r="V964" s="15" t="n"/>
      <c r="W964" s="13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3" t="n"/>
      <c r="AK964" s="12" t="n"/>
      <c r="AL964" s="12" t="n"/>
      <c r="AM964" s="12" t="n"/>
      <c r="AN964" s="12" t="n"/>
      <c r="AO964" s="12" t="n"/>
      <c r="AP964" s="12" t="n"/>
      <c r="AQ964" s="7">
        <f>IF(A964="","",IF(AP964&lt;&gt;"",AP964,IF(LEFT(Z964,11)="gads_marque","Google Search – Marque",IF(LEFT(Z964,12)="gads_mariage","Google Search – Mariage et privé",IF(LEFT(Z964,10)="gads_corpo","Google Search – Corporatif",IF(LEFT(Z964,5)="meta_","Meta – Leads",IF(LEFT(Z964,5)="msft_","Microsoft Ads",IF(LEFT(Z964,8)="chatgpt_","ChatGPT Ads – Test",IF(X964="gbp","Fiche Google (organique)","Autre / non payé")))))))))</f>
        <v/>
      </c>
      <c r="AR964" s="7">
        <f>IF(K964="","",IFERROR(VLOOKUP(K964,Listes!$F$3:$H$8,3,FALSE),""))</f>
        <v/>
      </c>
      <c r="AS964" s="7">
        <f>IF(O964="","",IF(AND(M964="Autre (plus de 40 km)",OR(O964="lt600",O964="600_999",O964="1000_2499")),"D",IF(OR(O964="lt600",AND(O964="600_999",K964&lt;&gt;"mariage",K964&lt;&gt;"prive")),"C",IF(OR(O964="2500_4999",O964="5000p",J964="entreprise",J964="organisme",J964="agence"),"A",IF(OR(O964="1000_2499",O964="600_999"),"B",IF(O964="inconnu",IF(OR(N964="75_149",N964="150p"),"A","B"),""))))))</f>
        <v/>
      </c>
      <c r="AT964" s="7">
        <f>IF(A964="","",IF(P964&lt;&gt;"",P964,AS964))</f>
        <v/>
      </c>
      <c r="AU964" s="7">
        <f>IF(A964="","",IF(OR(AT964="A",AT964="B"),1,0))</f>
        <v/>
      </c>
      <c r="AV964" s="7">
        <f>IF(A964="","",IF(OR(R964="Dépôt payé (gagné)",R964="Événement livré",R964="Avis obtenu"),1,0))</f>
        <v/>
      </c>
      <c r="AW964" s="7">
        <f>IF(A964="","",IF(Q964&gt;70,"Immédiat – propriétaire",IF(Q964&gt;=40,"15 min – personne de garde","Selon la route")))</f>
        <v/>
      </c>
      <c r="AX964" s="11">
        <f>IF(A964="","",IF(AT964="A",400,IF(AT964="B",150,0)))</f>
        <v/>
      </c>
      <c r="AY964" s="11">
        <f>IF(A964="","",IF(AV964=1,N(V964),IF(N(U964)&gt;0,ROUND(N(U964)*IFERROR(VLOOKUP(R964,Listes!$AE$3:$AG$12,2,FALSE),0),0),0)))</f>
        <v/>
      </c>
      <c r="AZ964" s="7">
        <f>IF(LEFT(A964,7)="EXEMPLE",1,0)</f>
        <v/>
      </c>
      <c r="BA964" s="7">
        <f>IF(AND(AV964=1,AZ964=0,AC964&lt;&gt;"",W964&lt;&gt;"",N(V964)&gt;0),COUNTIFS($AV$3:AV964,1,$AZ$3:AZ964,0,$AC$3:AC964,"&lt;&gt;",$W$3:W964,"&lt;&gt;",$V$3:V964,"&gt;0"),"")</f>
        <v/>
      </c>
    </row>
    <row r="965">
      <c r="A965" s="12" t="n"/>
      <c r="B965" s="13" t="n"/>
      <c r="C965" s="13" t="n"/>
      <c r="D965" s="7">
        <f>IF(OR(B965="",C965=""),"",ROUND((C965-B965)*1440,0))</f>
        <v/>
      </c>
      <c r="E965" s="12" t="n"/>
      <c r="F965" s="12" t="n"/>
      <c r="G965" s="12" t="n"/>
      <c r="H965" s="12" t="n"/>
      <c r="I965" s="12" t="n"/>
      <c r="J965" s="12" t="n"/>
      <c r="K965" s="12" t="n"/>
      <c r="L965" s="14" t="n"/>
      <c r="M965" s="12" t="n"/>
      <c r="N965" s="12" t="n"/>
      <c r="O965" s="12" t="n"/>
      <c r="P965" s="12" t="n"/>
      <c r="Q965" s="7">
        <f>IF(A965="","",IFERROR(VLOOKUP(O965,Listes!$R$3:$T$8,2,FALSE),0)+IFERROR(VLOOKUP(J965,Listes!$J$3:$L$6,2,FALSE),0)+IFERROR(VLOOKUP(N965,Listes!$N$3:$P$6,2,FALSE),0)+IF(OR(L965="",B965=""),0,IF(L965-INT(B965)&lt;10,8,IF(L965-INT(B965)&lt;=90,10,5)))+IFERROR(VLOOKUP(AN965,Listes!$V$3:$W$5,2,FALSE),0)+IFERROR(VLOOKUP(AO965,Listes!$Y$3:$Z$5,2,FALSE),0))</f>
        <v/>
      </c>
      <c r="R965" s="12" t="n"/>
      <c r="S965" s="12" t="n"/>
      <c r="T965" s="12" t="n"/>
      <c r="U965" s="15" t="n"/>
      <c r="V965" s="15" t="n"/>
      <c r="W965" s="13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3" t="n"/>
      <c r="AK965" s="12" t="n"/>
      <c r="AL965" s="12" t="n"/>
      <c r="AM965" s="12" t="n"/>
      <c r="AN965" s="12" t="n"/>
      <c r="AO965" s="12" t="n"/>
      <c r="AP965" s="12" t="n"/>
      <c r="AQ965" s="7">
        <f>IF(A965="","",IF(AP965&lt;&gt;"",AP965,IF(LEFT(Z965,11)="gads_marque","Google Search – Marque",IF(LEFT(Z965,12)="gads_mariage","Google Search – Mariage et privé",IF(LEFT(Z965,10)="gads_corpo","Google Search – Corporatif",IF(LEFT(Z965,5)="meta_","Meta – Leads",IF(LEFT(Z965,5)="msft_","Microsoft Ads",IF(LEFT(Z965,8)="chatgpt_","ChatGPT Ads – Test",IF(X965="gbp","Fiche Google (organique)","Autre / non payé")))))))))</f>
        <v/>
      </c>
      <c r="AR965" s="7">
        <f>IF(K965="","",IFERROR(VLOOKUP(K965,Listes!$F$3:$H$8,3,FALSE),""))</f>
        <v/>
      </c>
      <c r="AS965" s="7">
        <f>IF(O965="","",IF(AND(M965="Autre (plus de 40 km)",OR(O965="lt600",O965="600_999",O965="1000_2499")),"D",IF(OR(O965="lt600",AND(O965="600_999",K965&lt;&gt;"mariage",K965&lt;&gt;"prive")),"C",IF(OR(O965="2500_4999",O965="5000p",J965="entreprise",J965="organisme",J965="agence"),"A",IF(OR(O965="1000_2499",O965="600_999"),"B",IF(O965="inconnu",IF(OR(N965="75_149",N965="150p"),"A","B"),""))))))</f>
        <v/>
      </c>
      <c r="AT965" s="7">
        <f>IF(A965="","",IF(P965&lt;&gt;"",P965,AS965))</f>
        <v/>
      </c>
      <c r="AU965" s="7">
        <f>IF(A965="","",IF(OR(AT965="A",AT965="B"),1,0))</f>
        <v/>
      </c>
      <c r="AV965" s="7">
        <f>IF(A965="","",IF(OR(R965="Dépôt payé (gagné)",R965="Événement livré",R965="Avis obtenu"),1,0))</f>
        <v/>
      </c>
      <c r="AW965" s="7">
        <f>IF(A965="","",IF(Q965&gt;70,"Immédiat – propriétaire",IF(Q965&gt;=40,"15 min – personne de garde","Selon la route")))</f>
        <v/>
      </c>
      <c r="AX965" s="11">
        <f>IF(A965="","",IF(AT965="A",400,IF(AT965="B",150,0)))</f>
        <v/>
      </c>
      <c r="AY965" s="11">
        <f>IF(A965="","",IF(AV965=1,N(V965),IF(N(U965)&gt;0,ROUND(N(U965)*IFERROR(VLOOKUP(R965,Listes!$AE$3:$AG$12,2,FALSE),0),0),0)))</f>
        <v/>
      </c>
      <c r="AZ965" s="7">
        <f>IF(LEFT(A965,7)="EXEMPLE",1,0)</f>
        <v/>
      </c>
      <c r="BA965" s="7">
        <f>IF(AND(AV965=1,AZ965=0,AC965&lt;&gt;"",W965&lt;&gt;"",N(V965)&gt;0),COUNTIFS($AV$3:AV965,1,$AZ$3:AZ965,0,$AC$3:AC965,"&lt;&gt;",$W$3:W965,"&lt;&gt;",$V$3:V965,"&gt;0"),"")</f>
        <v/>
      </c>
    </row>
    <row r="966">
      <c r="A966" s="12" t="n"/>
      <c r="B966" s="13" t="n"/>
      <c r="C966" s="13" t="n"/>
      <c r="D966" s="7">
        <f>IF(OR(B966="",C966=""),"",ROUND((C966-B966)*1440,0))</f>
        <v/>
      </c>
      <c r="E966" s="12" t="n"/>
      <c r="F966" s="12" t="n"/>
      <c r="G966" s="12" t="n"/>
      <c r="H966" s="12" t="n"/>
      <c r="I966" s="12" t="n"/>
      <c r="J966" s="12" t="n"/>
      <c r="K966" s="12" t="n"/>
      <c r="L966" s="14" t="n"/>
      <c r="M966" s="12" t="n"/>
      <c r="N966" s="12" t="n"/>
      <c r="O966" s="12" t="n"/>
      <c r="P966" s="12" t="n"/>
      <c r="Q966" s="7">
        <f>IF(A966="","",IFERROR(VLOOKUP(O966,Listes!$R$3:$T$8,2,FALSE),0)+IFERROR(VLOOKUP(J966,Listes!$J$3:$L$6,2,FALSE),0)+IFERROR(VLOOKUP(N966,Listes!$N$3:$P$6,2,FALSE),0)+IF(OR(L966="",B966=""),0,IF(L966-INT(B966)&lt;10,8,IF(L966-INT(B966)&lt;=90,10,5)))+IFERROR(VLOOKUP(AN966,Listes!$V$3:$W$5,2,FALSE),0)+IFERROR(VLOOKUP(AO966,Listes!$Y$3:$Z$5,2,FALSE),0))</f>
        <v/>
      </c>
      <c r="R966" s="12" t="n"/>
      <c r="S966" s="12" t="n"/>
      <c r="T966" s="12" t="n"/>
      <c r="U966" s="15" t="n"/>
      <c r="V966" s="15" t="n"/>
      <c r="W966" s="13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3" t="n"/>
      <c r="AK966" s="12" t="n"/>
      <c r="AL966" s="12" t="n"/>
      <c r="AM966" s="12" t="n"/>
      <c r="AN966" s="12" t="n"/>
      <c r="AO966" s="12" t="n"/>
      <c r="AP966" s="12" t="n"/>
      <c r="AQ966" s="7">
        <f>IF(A966="","",IF(AP966&lt;&gt;"",AP966,IF(LEFT(Z966,11)="gads_marque","Google Search – Marque",IF(LEFT(Z966,12)="gads_mariage","Google Search – Mariage et privé",IF(LEFT(Z966,10)="gads_corpo","Google Search – Corporatif",IF(LEFT(Z966,5)="meta_","Meta – Leads",IF(LEFT(Z966,5)="msft_","Microsoft Ads",IF(LEFT(Z966,8)="chatgpt_","ChatGPT Ads – Test",IF(X966="gbp","Fiche Google (organique)","Autre / non payé")))))))))</f>
        <v/>
      </c>
      <c r="AR966" s="7">
        <f>IF(K966="","",IFERROR(VLOOKUP(K966,Listes!$F$3:$H$8,3,FALSE),""))</f>
        <v/>
      </c>
      <c r="AS966" s="7">
        <f>IF(O966="","",IF(AND(M966="Autre (plus de 40 km)",OR(O966="lt600",O966="600_999",O966="1000_2499")),"D",IF(OR(O966="lt600",AND(O966="600_999",K966&lt;&gt;"mariage",K966&lt;&gt;"prive")),"C",IF(OR(O966="2500_4999",O966="5000p",J966="entreprise",J966="organisme",J966="agence"),"A",IF(OR(O966="1000_2499",O966="600_999"),"B",IF(O966="inconnu",IF(OR(N966="75_149",N966="150p"),"A","B"),""))))))</f>
        <v/>
      </c>
      <c r="AT966" s="7">
        <f>IF(A966="","",IF(P966&lt;&gt;"",P966,AS966))</f>
        <v/>
      </c>
      <c r="AU966" s="7">
        <f>IF(A966="","",IF(OR(AT966="A",AT966="B"),1,0))</f>
        <v/>
      </c>
      <c r="AV966" s="7">
        <f>IF(A966="","",IF(OR(R966="Dépôt payé (gagné)",R966="Événement livré",R966="Avis obtenu"),1,0))</f>
        <v/>
      </c>
      <c r="AW966" s="7">
        <f>IF(A966="","",IF(Q966&gt;70,"Immédiat – propriétaire",IF(Q966&gt;=40,"15 min – personne de garde","Selon la route")))</f>
        <v/>
      </c>
      <c r="AX966" s="11">
        <f>IF(A966="","",IF(AT966="A",400,IF(AT966="B",150,0)))</f>
        <v/>
      </c>
      <c r="AY966" s="11">
        <f>IF(A966="","",IF(AV966=1,N(V966),IF(N(U966)&gt;0,ROUND(N(U966)*IFERROR(VLOOKUP(R966,Listes!$AE$3:$AG$12,2,FALSE),0),0),0)))</f>
        <v/>
      </c>
      <c r="AZ966" s="7">
        <f>IF(LEFT(A966,7)="EXEMPLE",1,0)</f>
        <v/>
      </c>
      <c r="BA966" s="7">
        <f>IF(AND(AV966=1,AZ966=0,AC966&lt;&gt;"",W966&lt;&gt;"",N(V966)&gt;0),COUNTIFS($AV$3:AV966,1,$AZ$3:AZ966,0,$AC$3:AC966,"&lt;&gt;",$W$3:W966,"&lt;&gt;",$V$3:V966,"&gt;0"),"")</f>
        <v/>
      </c>
    </row>
    <row r="967">
      <c r="A967" s="12" t="n"/>
      <c r="B967" s="13" t="n"/>
      <c r="C967" s="13" t="n"/>
      <c r="D967" s="7">
        <f>IF(OR(B967="",C967=""),"",ROUND((C967-B967)*1440,0))</f>
        <v/>
      </c>
      <c r="E967" s="12" t="n"/>
      <c r="F967" s="12" t="n"/>
      <c r="G967" s="12" t="n"/>
      <c r="H967" s="12" t="n"/>
      <c r="I967" s="12" t="n"/>
      <c r="J967" s="12" t="n"/>
      <c r="K967" s="12" t="n"/>
      <c r="L967" s="14" t="n"/>
      <c r="M967" s="12" t="n"/>
      <c r="N967" s="12" t="n"/>
      <c r="O967" s="12" t="n"/>
      <c r="P967" s="12" t="n"/>
      <c r="Q967" s="7">
        <f>IF(A967="","",IFERROR(VLOOKUP(O967,Listes!$R$3:$T$8,2,FALSE),0)+IFERROR(VLOOKUP(J967,Listes!$J$3:$L$6,2,FALSE),0)+IFERROR(VLOOKUP(N967,Listes!$N$3:$P$6,2,FALSE),0)+IF(OR(L967="",B967=""),0,IF(L967-INT(B967)&lt;10,8,IF(L967-INT(B967)&lt;=90,10,5)))+IFERROR(VLOOKUP(AN967,Listes!$V$3:$W$5,2,FALSE),0)+IFERROR(VLOOKUP(AO967,Listes!$Y$3:$Z$5,2,FALSE),0))</f>
        <v/>
      </c>
      <c r="R967" s="12" t="n"/>
      <c r="S967" s="12" t="n"/>
      <c r="T967" s="12" t="n"/>
      <c r="U967" s="15" t="n"/>
      <c r="V967" s="15" t="n"/>
      <c r="W967" s="13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3" t="n"/>
      <c r="AK967" s="12" t="n"/>
      <c r="AL967" s="12" t="n"/>
      <c r="AM967" s="12" t="n"/>
      <c r="AN967" s="12" t="n"/>
      <c r="AO967" s="12" t="n"/>
      <c r="AP967" s="12" t="n"/>
      <c r="AQ967" s="7">
        <f>IF(A967="","",IF(AP967&lt;&gt;"",AP967,IF(LEFT(Z967,11)="gads_marque","Google Search – Marque",IF(LEFT(Z967,12)="gads_mariage","Google Search – Mariage et privé",IF(LEFT(Z967,10)="gads_corpo","Google Search – Corporatif",IF(LEFT(Z967,5)="meta_","Meta – Leads",IF(LEFT(Z967,5)="msft_","Microsoft Ads",IF(LEFT(Z967,8)="chatgpt_","ChatGPT Ads – Test",IF(X967="gbp","Fiche Google (organique)","Autre / non payé")))))))))</f>
        <v/>
      </c>
      <c r="AR967" s="7">
        <f>IF(K967="","",IFERROR(VLOOKUP(K967,Listes!$F$3:$H$8,3,FALSE),""))</f>
        <v/>
      </c>
      <c r="AS967" s="7">
        <f>IF(O967="","",IF(AND(M967="Autre (plus de 40 km)",OR(O967="lt600",O967="600_999",O967="1000_2499")),"D",IF(OR(O967="lt600",AND(O967="600_999",K967&lt;&gt;"mariage",K967&lt;&gt;"prive")),"C",IF(OR(O967="2500_4999",O967="5000p",J967="entreprise",J967="organisme",J967="agence"),"A",IF(OR(O967="1000_2499",O967="600_999"),"B",IF(O967="inconnu",IF(OR(N967="75_149",N967="150p"),"A","B"),""))))))</f>
        <v/>
      </c>
      <c r="AT967" s="7">
        <f>IF(A967="","",IF(P967&lt;&gt;"",P967,AS967))</f>
        <v/>
      </c>
      <c r="AU967" s="7">
        <f>IF(A967="","",IF(OR(AT967="A",AT967="B"),1,0))</f>
        <v/>
      </c>
      <c r="AV967" s="7">
        <f>IF(A967="","",IF(OR(R967="Dépôt payé (gagné)",R967="Événement livré",R967="Avis obtenu"),1,0))</f>
        <v/>
      </c>
      <c r="AW967" s="7">
        <f>IF(A967="","",IF(Q967&gt;70,"Immédiat – propriétaire",IF(Q967&gt;=40,"15 min – personne de garde","Selon la route")))</f>
        <v/>
      </c>
      <c r="AX967" s="11">
        <f>IF(A967="","",IF(AT967="A",400,IF(AT967="B",150,0)))</f>
        <v/>
      </c>
      <c r="AY967" s="11">
        <f>IF(A967="","",IF(AV967=1,N(V967),IF(N(U967)&gt;0,ROUND(N(U967)*IFERROR(VLOOKUP(R967,Listes!$AE$3:$AG$12,2,FALSE),0),0),0)))</f>
        <v/>
      </c>
      <c r="AZ967" s="7">
        <f>IF(LEFT(A967,7)="EXEMPLE",1,0)</f>
        <v/>
      </c>
      <c r="BA967" s="7">
        <f>IF(AND(AV967=1,AZ967=0,AC967&lt;&gt;"",W967&lt;&gt;"",N(V967)&gt;0),COUNTIFS($AV$3:AV967,1,$AZ$3:AZ967,0,$AC$3:AC967,"&lt;&gt;",$W$3:W967,"&lt;&gt;",$V$3:V967,"&gt;0"),"")</f>
        <v/>
      </c>
    </row>
    <row r="968">
      <c r="A968" s="12" t="n"/>
      <c r="B968" s="13" t="n"/>
      <c r="C968" s="13" t="n"/>
      <c r="D968" s="7">
        <f>IF(OR(B968="",C968=""),"",ROUND((C968-B968)*1440,0))</f>
        <v/>
      </c>
      <c r="E968" s="12" t="n"/>
      <c r="F968" s="12" t="n"/>
      <c r="G968" s="12" t="n"/>
      <c r="H968" s="12" t="n"/>
      <c r="I968" s="12" t="n"/>
      <c r="J968" s="12" t="n"/>
      <c r="K968" s="12" t="n"/>
      <c r="L968" s="14" t="n"/>
      <c r="M968" s="12" t="n"/>
      <c r="N968" s="12" t="n"/>
      <c r="O968" s="12" t="n"/>
      <c r="P968" s="12" t="n"/>
      <c r="Q968" s="7">
        <f>IF(A968="","",IFERROR(VLOOKUP(O968,Listes!$R$3:$T$8,2,FALSE),0)+IFERROR(VLOOKUP(J968,Listes!$J$3:$L$6,2,FALSE),0)+IFERROR(VLOOKUP(N968,Listes!$N$3:$P$6,2,FALSE),0)+IF(OR(L968="",B968=""),0,IF(L968-INT(B968)&lt;10,8,IF(L968-INT(B968)&lt;=90,10,5)))+IFERROR(VLOOKUP(AN968,Listes!$V$3:$W$5,2,FALSE),0)+IFERROR(VLOOKUP(AO968,Listes!$Y$3:$Z$5,2,FALSE),0))</f>
        <v/>
      </c>
      <c r="R968" s="12" t="n"/>
      <c r="S968" s="12" t="n"/>
      <c r="T968" s="12" t="n"/>
      <c r="U968" s="15" t="n"/>
      <c r="V968" s="15" t="n"/>
      <c r="W968" s="13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3" t="n"/>
      <c r="AK968" s="12" t="n"/>
      <c r="AL968" s="12" t="n"/>
      <c r="AM968" s="12" t="n"/>
      <c r="AN968" s="12" t="n"/>
      <c r="AO968" s="12" t="n"/>
      <c r="AP968" s="12" t="n"/>
      <c r="AQ968" s="7">
        <f>IF(A968="","",IF(AP968&lt;&gt;"",AP968,IF(LEFT(Z968,11)="gads_marque","Google Search – Marque",IF(LEFT(Z968,12)="gads_mariage","Google Search – Mariage et privé",IF(LEFT(Z968,10)="gads_corpo","Google Search – Corporatif",IF(LEFT(Z968,5)="meta_","Meta – Leads",IF(LEFT(Z968,5)="msft_","Microsoft Ads",IF(LEFT(Z968,8)="chatgpt_","ChatGPT Ads – Test",IF(X968="gbp","Fiche Google (organique)","Autre / non payé")))))))))</f>
        <v/>
      </c>
      <c r="AR968" s="7">
        <f>IF(K968="","",IFERROR(VLOOKUP(K968,Listes!$F$3:$H$8,3,FALSE),""))</f>
        <v/>
      </c>
      <c r="AS968" s="7">
        <f>IF(O968="","",IF(AND(M968="Autre (plus de 40 km)",OR(O968="lt600",O968="600_999",O968="1000_2499")),"D",IF(OR(O968="lt600",AND(O968="600_999",K968&lt;&gt;"mariage",K968&lt;&gt;"prive")),"C",IF(OR(O968="2500_4999",O968="5000p",J968="entreprise",J968="organisme",J968="agence"),"A",IF(OR(O968="1000_2499",O968="600_999"),"B",IF(O968="inconnu",IF(OR(N968="75_149",N968="150p"),"A","B"),""))))))</f>
        <v/>
      </c>
      <c r="AT968" s="7">
        <f>IF(A968="","",IF(P968&lt;&gt;"",P968,AS968))</f>
        <v/>
      </c>
      <c r="AU968" s="7">
        <f>IF(A968="","",IF(OR(AT968="A",AT968="B"),1,0))</f>
        <v/>
      </c>
      <c r="AV968" s="7">
        <f>IF(A968="","",IF(OR(R968="Dépôt payé (gagné)",R968="Événement livré",R968="Avis obtenu"),1,0))</f>
        <v/>
      </c>
      <c r="AW968" s="7">
        <f>IF(A968="","",IF(Q968&gt;70,"Immédiat – propriétaire",IF(Q968&gt;=40,"15 min – personne de garde","Selon la route")))</f>
        <v/>
      </c>
      <c r="AX968" s="11">
        <f>IF(A968="","",IF(AT968="A",400,IF(AT968="B",150,0)))</f>
        <v/>
      </c>
      <c r="AY968" s="11">
        <f>IF(A968="","",IF(AV968=1,N(V968),IF(N(U968)&gt;0,ROUND(N(U968)*IFERROR(VLOOKUP(R968,Listes!$AE$3:$AG$12,2,FALSE),0),0),0)))</f>
        <v/>
      </c>
      <c r="AZ968" s="7">
        <f>IF(LEFT(A968,7)="EXEMPLE",1,0)</f>
        <v/>
      </c>
      <c r="BA968" s="7">
        <f>IF(AND(AV968=1,AZ968=0,AC968&lt;&gt;"",W968&lt;&gt;"",N(V968)&gt;0),COUNTIFS($AV$3:AV968,1,$AZ$3:AZ968,0,$AC$3:AC968,"&lt;&gt;",$W$3:W968,"&lt;&gt;",$V$3:V968,"&gt;0"),"")</f>
        <v/>
      </c>
    </row>
    <row r="969">
      <c r="A969" s="12" t="n"/>
      <c r="B969" s="13" t="n"/>
      <c r="C969" s="13" t="n"/>
      <c r="D969" s="7">
        <f>IF(OR(B969="",C969=""),"",ROUND((C969-B969)*1440,0))</f>
        <v/>
      </c>
      <c r="E969" s="12" t="n"/>
      <c r="F969" s="12" t="n"/>
      <c r="G969" s="12" t="n"/>
      <c r="H969" s="12" t="n"/>
      <c r="I969" s="12" t="n"/>
      <c r="J969" s="12" t="n"/>
      <c r="K969" s="12" t="n"/>
      <c r="L969" s="14" t="n"/>
      <c r="M969" s="12" t="n"/>
      <c r="N969" s="12" t="n"/>
      <c r="O969" s="12" t="n"/>
      <c r="P969" s="12" t="n"/>
      <c r="Q969" s="7">
        <f>IF(A969="","",IFERROR(VLOOKUP(O969,Listes!$R$3:$T$8,2,FALSE),0)+IFERROR(VLOOKUP(J969,Listes!$J$3:$L$6,2,FALSE),0)+IFERROR(VLOOKUP(N969,Listes!$N$3:$P$6,2,FALSE),0)+IF(OR(L969="",B969=""),0,IF(L969-INT(B969)&lt;10,8,IF(L969-INT(B969)&lt;=90,10,5)))+IFERROR(VLOOKUP(AN969,Listes!$V$3:$W$5,2,FALSE),0)+IFERROR(VLOOKUP(AO969,Listes!$Y$3:$Z$5,2,FALSE),0))</f>
        <v/>
      </c>
      <c r="R969" s="12" t="n"/>
      <c r="S969" s="12" t="n"/>
      <c r="T969" s="12" t="n"/>
      <c r="U969" s="15" t="n"/>
      <c r="V969" s="15" t="n"/>
      <c r="W969" s="13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3" t="n"/>
      <c r="AK969" s="12" t="n"/>
      <c r="AL969" s="12" t="n"/>
      <c r="AM969" s="12" t="n"/>
      <c r="AN969" s="12" t="n"/>
      <c r="AO969" s="12" t="n"/>
      <c r="AP969" s="12" t="n"/>
      <c r="AQ969" s="7">
        <f>IF(A969="","",IF(AP969&lt;&gt;"",AP969,IF(LEFT(Z969,11)="gads_marque","Google Search – Marque",IF(LEFT(Z969,12)="gads_mariage","Google Search – Mariage et privé",IF(LEFT(Z969,10)="gads_corpo","Google Search – Corporatif",IF(LEFT(Z969,5)="meta_","Meta – Leads",IF(LEFT(Z969,5)="msft_","Microsoft Ads",IF(LEFT(Z969,8)="chatgpt_","ChatGPT Ads – Test",IF(X969="gbp","Fiche Google (organique)","Autre / non payé")))))))))</f>
        <v/>
      </c>
      <c r="AR969" s="7">
        <f>IF(K969="","",IFERROR(VLOOKUP(K969,Listes!$F$3:$H$8,3,FALSE),""))</f>
        <v/>
      </c>
      <c r="AS969" s="7">
        <f>IF(O969="","",IF(AND(M969="Autre (plus de 40 km)",OR(O969="lt600",O969="600_999",O969="1000_2499")),"D",IF(OR(O969="lt600",AND(O969="600_999",K969&lt;&gt;"mariage",K969&lt;&gt;"prive")),"C",IF(OR(O969="2500_4999",O969="5000p",J969="entreprise",J969="organisme",J969="agence"),"A",IF(OR(O969="1000_2499",O969="600_999"),"B",IF(O969="inconnu",IF(OR(N969="75_149",N969="150p"),"A","B"),""))))))</f>
        <v/>
      </c>
      <c r="AT969" s="7">
        <f>IF(A969="","",IF(P969&lt;&gt;"",P969,AS969))</f>
        <v/>
      </c>
      <c r="AU969" s="7">
        <f>IF(A969="","",IF(OR(AT969="A",AT969="B"),1,0))</f>
        <v/>
      </c>
      <c r="AV969" s="7">
        <f>IF(A969="","",IF(OR(R969="Dépôt payé (gagné)",R969="Événement livré",R969="Avis obtenu"),1,0))</f>
        <v/>
      </c>
      <c r="AW969" s="7">
        <f>IF(A969="","",IF(Q969&gt;70,"Immédiat – propriétaire",IF(Q969&gt;=40,"15 min – personne de garde","Selon la route")))</f>
        <v/>
      </c>
      <c r="AX969" s="11">
        <f>IF(A969="","",IF(AT969="A",400,IF(AT969="B",150,0)))</f>
        <v/>
      </c>
      <c r="AY969" s="11">
        <f>IF(A969="","",IF(AV969=1,N(V969),IF(N(U969)&gt;0,ROUND(N(U969)*IFERROR(VLOOKUP(R969,Listes!$AE$3:$AG$12,2,FALSE),0),0),0)))</f>
        <v/>
      </c>
      <c r="AZ969" s="7">
        <f>IF(LEFT(A969,7)="EXEMPLE",1,0)</f>
        <v/>
      </c>
      <c r="BA969" s="7">
        <f>IF(AND(AV969=1,AZ969=0,AC969&lt;&gt;"",W969&lt;&gt;"",N(V969)&gt;0),COUNTIFS($AV$3:AV969,1,$AZ$3:AZ969,0,$AC$3:AC969,"&lt;&gt;",$W$3:W969,"&lt;&gt;",$V$3:V969,"&gt;0"),"")</f>
        <v/>
      </c>
    </row>
    <row r="970">
      <c r="A970" s="12" t="n"/>
      <c r="B970" s="13" t="n"/>
      <c r="C970" s="13" t="n"/>
      <c r="D970" s="7">
        <f>IF(OR(B970="",C970=""),"",ROUND((C970-B970)*1440,0))</f>
        <v/>
      </c>
      <c r="E970" s="12" t="n"/>
      <c r="F970" s="12" t="n"/>
      <c r="G970" s="12" t="n"/>
      <c r="H970" s="12" t="n"/>
      <c r="I970" s="12" t="n"/>
      <c r="J970" s="12" t="n"/>
      <c r="K970" s="12" t="n"/>
      <c r="L970" s="14" t="n"/>
      <c r="M970" s="12" t="n"/>
      <c r="N970" s="12" t="n"/>
      <c r="O970" s="12" t="n"/>
      <c r="P970" s="12" t="n"/>
      <c r="Q970" s="7">
        <f>IF(A970="","",IFERROR(VLOOKUP(O970,Listes!$R$3:$T$8,2,FALSE),0)+IFERROR(VLOOKUP(J970,Listes!$J$3:$L$6,2,FALSE),0)+IFERROR(VLOOKUP(N970,Listes!$N$3:$P$6,2,FALSE),0)+IF(OR(L970="",B970=""),0,IF(L970-INT(B970)&lt;10,8,IF(L970-INT(B970)&lt;=90,10,5)))+IFERROR(VLOOKUP(AN970,Listes!$V$3:$W$5,2,FALSE),0)+IFERROR(VLOOKUP(AO970,Listes!$Y$3:$Z$5,2,FALSE),0))</f>
        <v/>
      </c>
      <c r="R970" s="12" t="n"/>
      <c r="S970" s="12" t="n"/>
      <c r="T970" s="12" t="n"/>
      <c r="U970" s="15" t="n"/>
      <c r="V970" s="15" t="n"/>
      <c r="W970" s="13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3" t="n"/>
      <c r="AK970" s="12" t="n"/>
      <c r="AL970" s="12" t="n"/>
      <c r="AM970" s="12" t="n"/>
      <c r="AN970" s="12" t="n"/>
      <c r="AO970" s="12" t="n"/>
      <c r="AP970" s="12" t="n"/>
      <c r="AQ970" s="7">
        <f>IF(A970="","",IF(AP970&lt;&gt;"",AP970,IF(LEFT(Z970,11)="gads_marque","Google Search – Marque",IF(LEFT(Z970,12)="gads_mariage","Google Search – Mariage et privé",IF(LEFT(Z970,10)="gads_corpo","Google Search – Corporatif",IF(LEFT(Z970,5)="meta_","Meta – Leads",IF(LEFT(Z970,5)="msft_","Microsoft Ads",IF(LEFT(Z970,8)="chatgpt_","ChatGPT Ads – Test",IF(X970="gbp","Fiche Google (organique)","Autre / non payé")))))))))</f>
        <v/>
      </c>
      <c r="AR970" s="7">
        <f>IF(K970="","",IFERROR(VLOOKUP(K970,Listes!$F$3:$H$8,3,FALSE),""))</f>
        <v/>
      </c>
      <c r="AS970" s="7">
        <f>IF(O970="","",IF(AND(M970="Autre (plus de 40 km)",OR(O970="lt600",O970="600_999",O970="1000_2499")),"D",IF(OR(O970="lt600",AND(O970="600_999",K970&lt;&gt;"mariage",K970&lt;&gt;"prive")),"C",IF(OR(O970="2500_4999",O970="5000p",J970="entreprise",J970="organisme",J970="agence"),"A",IF(OR(O970="1000_2499",O970="600_999"),"B",IF(O970="inconnu",IF(OR(N970="75_149",N970="150p"),"A","B"),""))))))</f>
        <v/>
      </c>
      <c r="AT970" s="7">
        <f>IF(A970="","",IF(P970&lt;&gt;"",P970,AS970))</f>
        <v/>
      </c>
      <c r="AU970" s="7">
        <f>IF(A970="","",IF(OR(AT970="A",AT970="B"),1,0))</f>
        <v/>
      </c>
      <c r="AV970" s="7">
        <f>IF(A970="","",IF(OR(R970="Dépôt payé (gagné)",R970="Événement livré",R970="Avis obtenu"),1,0))</f>
        <v/>
      </c>
      <c r="AW970" s="7">
        <f>IF(A970="","",IF(Q970&gt;70,"Immédiat – propriétaire",IF(Q970&gt;=40,"15 min – personne de garde","Selon la route")))</f>
        <v/>
      </c>
      <c r="AX970" s="11">
        <f>IF(A970="","",IF(AT970="A",400,IF(AT970="B",150,0)))</f>
        <v/>
      </c>
      <c r="AY970" s="11">
        <f>IF(A970="","",IF(AV970=1,N(V970),IF(N(U970)&gt;0,ROUND(N(U970)*IFERROR(VLOOKUP(R970,Listes!$AE$3:$AG$12,2,FALSE),0),0),0)))</f>
        <v/>
      </c>
      <c r="AZ970" s="7">
        <f>IF(LEFT(A970,7)="EXEMPLE",1,0)</f>
        <v/>
      </c>
      <c r="BA970" s="7">
        <f>IF(AND(AV970=1,AZ970=0,AC970&lt;&gt;"",W970&lt;&gt;"",N(V970)&gt;0),COUNTIFS($AV$3:AV970,1,$AZ$3:AZ970,0,$AC$3:AC970,"&lt;&gt;",$W$3:W970,"&lt;&gt;",$V$3:V970,"&gt;0"),"")</f>
        <v/>
      </c>
    </row>
    <row r="971">
      <c r="A971" s="12" t="n"/>
      <c r="B971" s="13" t="n"/>
      <c r="C971" s="13" t="n"/>
      <c r="D971" s="7">
        <f>IF(OR(B971="",C971=""),"",ROUND((C971-B971)*1440,0))</f>
        <v/>
      </c>
      <c r="E971" s="12" t="n"/>
      <c r="F971" s="12" t="n"/>
      <c r="G971" s="12" t="n"/>
      <c r="H971" s="12" t="n"/>
      <c r="I971" s="12" t="n"/>
      <c r="J971" s="12" t="n"/>
      <c r="K971" s="12" t="n"/>
      <c r="L971" s="14" t="n"/>
      <c r="M971" s="12" t="n"/>
      <c r="N971" s="12" t="n"/>
      <c r="O971" s="12" t="n"/>
      <c r="P971" s="12" t="n"/>
      <c r="Q971" s="7">
        <f>IF(A971="","",IFERROR(VLOOKUP(O971,Listes!$R$3:$T$8,2,FALSE),0)+IFERROR(VLOOKUP(J971,Listes!$J$3:$L$6,2,FALSE),0)+IFERROR(VLOOKUP(N971,Listes!$N$3:$P$6,2,FALSE),0)+IF(OR(L971="",B971=""),0,IF(L971-INT(B971)&lt;10,8,IF(L971-INT(B971)&lt;=90,10,5)))+IFERROR(VLOOKUP(AN971,Listes!$V$3:$W$5,2,FALSE),0)+IFERROR(VLOOKUP(AO971,Listes!$Y$3:$Z$5,2,FALSE),0))</f>
        <v/>
      </c>
      <c r="R971" s="12" t="n"/>
      <c r="S971" s="12" t="n"/>
      <c r="T971" s="12" t="n"/>
      <c r="U971" s="15" t="n"/>
      <c r="V971" s="15" t="n"/>
      <c r="W971" s="13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3" t="n"/>
      <c r="AK971" s="12" t="n"/>
      <c r="AL971" s="12" t="n"/>
      <c r="AM971" s="12" t="n"/>
      <c r="AN971" s="12" t="n"/>
      <c r="AO971" s="12" t="n"/>
      <c r="AP971" s="12" t="n"/>
      <c r="AQ971" s="7">
        <f>IF(A971="","",IF(AP971&lt;&gt;"",AP971,IF(LEFT(Z971,11)="gads_marque","Google Search – Marque",IF(LEFT(Z971,12)="gads_mariage","Google Search – Mariage et privé",IF(LEFT(Z971,10)="gads_corpo","Google Search – Corporatif",IF(LEFT(Z971,5)="meta_","Meta – Leads",IF(LEFT(Z971,5)="msft_","Microsoft Ads",IF(LEFT(Z971,8)="chatgpt_","ChatGPT Ads – Test",IF(X971="gbp","Fiche Google (organique)","Autre / non payé")))))))))</f>
        <v/>
      </c>
      <c r="AR971" s="7">
        <f>IF(K971="","",IFERROR(VLOOKUP(K971,Listes!$F$3:$H$8,3,FALSE),""))</f>
        <v/>
      </c>
      <c r="AS971" s="7">
        <f>IF(O971="","",IF(AND(M971="Autre (plus de 40 km)",OR(O971="lt600",O971="600_999",O971="1000_2499")),"D",IF(OR(O971="lt600",AND(O971="600_999",K971&lt;&gt;"mariage",K971&lt;&gt;"prive")),"C",IF(OR(O971="2500_4999",O971="5000p",J971="entreprise",J971="organisme",J971="agence"),"A",IF(OR(O971="1000_2499",O971="600_999"),"B",IF(O971="inconnu",IF(OR(N971="75_149",N971="150p"),"A","B"),""))))))</f>
        <v/>
      </c>
      <c r="AT971" s="7">
        <f>IF(A971="","",IF(P971&lt;&gt;"",P971,AS971))</f>
        <v/>
      </c>
      <c r="AU971" s="7">
        <f>IF(A971="","",IF(OR(AT971="A",AT971="B"),1,0))</f>
        <v/>
      </c>
      <c r="AV971" s="7">
        <f>IF(A971="","",IF(OR(R971="Dépôt payé (gagné)",R971="Événement livré",R971="Avis obtenu"),1,0))</f>
        <v/>
      </c>
      <c r="AW971" s="7">
        <f>IF(A971="","",IF(Q971&gt;70,"Immédiat – propriétaire",IF(Q971&gt;=40,"15 min – personne de garde","Selon la route")))</f>
        <v/>
      </c>
      <c r="AX971" s="11">
        <f>IF(A971="","",IF(AT971="A",400,IF(AT971="B",150,0)))</f>
        <v/>
      </c>
      <c r="AY971" s="11">
        <f>IF(A971="","",IF(AV971=1,N(V971),IF(N(U971)&gt;0,ROUND(N(U971)*IFERROR(VLOOKUP(R971,Listes!$AE$3:$AG$12,2,FALSE),0),0),0)))</f>
        <v/>
      </c>
      <c r="AZ971" s="7">
        <f>IF(LEFT(A971,7)="EXEMPLE",1,0)</f>
        <v/>
      </c>
      <c r="BA971" s="7">
        <f>IF(AND(AV971=1,AZ971=0,AC971&lt;&gt;"",W971&lt;&gt;"",N(V971)&gt;0),COUNTIFS($AV$3:AV971,1,$AZ$3:AZ971,0,$AC$3:AC971,"&lt;&gt;",$W$3:W971,"&lt;&gt;",$V$3:V971,"&gt;0"),"")</f>
        <v/>
      </c>
    </row>
    <row r="972">
      <c r="A972" s="12" t="n"/>
      <c r="B972" s="13" t="n"/>
      <c r="C972" s="13" t="n"/>
      <c r="D972" s="7">
        <f>IF(OR(B972="",C972=""),"",ROUND((C972-B972)*1440,0))</f>
        <v/>
      </c>
      <c r="E972" s="12" t="n"/>
      <c r="F972" s="12" t="n"/>
      <c r="G972" s="12" t="n"/>
      <c r="H972" s="12" t="n"/>
      <c r="I972" s="12" t="n"/>
      <c r="J972" s="12" t="n"/>
      <c r="K972" s="12" t="n"/>
      <c r="L972" s="14" t="n"/>
      <c r="M972" s="12" t="n"/>
      <c r="N972" s="12" t="n"/>
      <c r="O972" s="12" t="n"/>
      <c r="P972" s="12" t="n"/>
      <c r="Q972" s="7">
        <f>IF(A972="","",IFERROR(VLOOKUP(O972,Listes!$R$3:$T$8,2,FALSE),0)+IFERROR(VLOOKUP(J972,Listes!$J$3:$L$6,2,FALSE),0)+IFERROR(VLOOKUP(N972,Listes!$N$3:$P$6,2,FALSE),0)+IF(OR(L972="",B972=""),0,IF(L972-INT(B972)&lt;10,8,IF(L972-INT(B972)&lt;=90,10,5)))+IFERROR(VLOOKUP(AN972,Listes!$V$3:$W$5,2,FALSE),0)+IFERROR(VLOOKUP(AO972,Listes!$Y$3:$Z$5,2,FALSE),0))</f>
        <v/>
      </c>
      <c r="R972" s="12" t="n"/>
      <c r="S972" s="12" t="n"/>
      <c r="T972" s="12" t="n"/>
      <c r="U972" s="15" t="n"/>
      <c r="V972" s="15" t="n"/>
      <c r="W972" s="13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3" t="n"/>
      <c r="AK972" s="12" t="n"/>
      <c r="AL972" s="12" t="n"/>
      <c r="AM972" s="12" t="n"/>
      <c r="AN972" s="12" t="n"/>
      <c r="AO972" s="12" t="n"/>
      <c r="AP972" s="12" t="n"/>
      <c r="AQ972" s="7">
        <f>IF(A972="","",IF(AP972&lt;&gt;"",AP972,IF(LEFT(Z972,11)="gads_marque","Google Search – Marque",IF(LEFT(Z972,12)="gads_mariage","Google Search – Mariage et privé",IF(LEFT(Z972,10)="gads_corpo","Google Search – Corporatif",IF(LEFT(Z972,5)="meta_","Meta – Leads",IF(LEFT(Z972,5)="msft_","Microsoft Ads",IF(LEFT(Z972,8)="chatgpt_","ChatGPT Ads – Test",IF(X972="gbp","Fiche Google (organique)","Autre / non payé")))))))))</f>
        <v/>
      </c>
      <c r="AR972" s="7">
        <f>IF(K972="","",IFERROR(VLOOKUP(K972,Listes!$F$3:$H$8,3,FALSE),""))</f>
        <v/>
      </c>
      <c r="AS972" s="7">
        <f>IF(O972="","",IF(AND(M972="Autre (plus de 40 km)",OR(O972="lt600",O972="600_999",O972="1000_2499")),"D",IF(OR(O972="lt600",AND(O972="600_999",K972&lt;&gt;"mariage",K972&lt;&gt;"prive")),"C",IF(OR(O972="2500_4999",O972="5000p",J972="entreprise",J972="organisme",J972="agence"),"A",IF(OR(O972="1000_2499",O972="600_999"),"B",IF(O972="inconnu",IF(OR(N972="75_149",N972="150p"),"A","B"),""))))))</f>
        <v/>
      </c>
      <c r="AT972" s="7">
        <f>IF(A972="","",IF(P972&lt;&gt;"",P972,AS972))</f>
        <v/>
      </c>
      <c r="AU972" s="7">
        <f>IF(A972="","",IF(OR(AT972="A",AT972="B"),1,0))</f>
        <v/>
      </c>
      <c r="AV972" s="7">
        <f>IF(A972="","",IF(OR(R972="Dépôt payé (gagné)",R972="Événement livré",R972="Avis obtenu"),1,0))</f>
        <v/>
      </c>
      <c r="AW972" s="7">
        <f>IF(A972="","",IF(Q972&gt;70,"Immédiat – propriétaire",IF(Q972&gt;=40,"15 min – personne de garde","Selon la route")))</f>
        <v/>
      </c>
      <c r="AX972" s="11">
        <f>IF(A972="","",IF(AT972="A",400,IF(AT972="B",150,0)))</f>
        <v/>
      </c>
      <c r="AY972" s="11">
        <f>IF(A972="","",IF(AV972=1,N(V972),IF(N(U972)&gt;0,ROUND(N(U972)*IFERROR(VLOOKUP(R972,Listes!$AE$3:$AG$12,2,FALSE),0),0),0)))</f>
        <v/>
      </c>
      <c r="AZ972" s="7">
        <f>IF(LEFT(A972,7)="EXEMPLE",1,0)</f>
        <v/>
      </c>
      <c r="BA972" s="7">
        <f>IF(AND(AV972=1,AZ972=0,AC972&lt;&gt;"",W972&lt;&gt;"",N(V972)&gt;0),COUNTIFS($AV$3:AV972,1,$AZ$3:AZ972,0,$AC$3:AC972,"&lt;&gt;",$W$3:W972,"&lt;&gt;",$V$3:V972,"&gt;0"),"")</f>
        <v/>
      </c>
    </row>
    <row r="973">
      <c r="A973" s="12" t="n"/>
      <c r="B973" s="13" t="n"/>
      <c r="C973" s="13" t="n"/>
      <c r="D973" s="7">
        <f>IF(OR(B973="",C973=""),"",ROUND((C973-B973)*1440,0))</f>
        <v/>
      </c>
      <c r="E973" s="12" t="n"/>
      <c r="F973" s="12" t="n"/>
      <c r="G973" s="12" t="n"/>
      <c r="H973" s="12" t="n"/>
      <c r="I973" s="12" t="n"/>
      <c r="J973" s="12" t="n"/>
      <c r="K973" s="12" t="n"/>
      <c r="L973" s="14" t="n"/>
      <c r="M973" s="12" t="n"/>
      <c r="N973" s="12" t="n"/>
      <c r="O973" s="12" t="n"/>
      <c r="P973" s="12" t="n"/>
      <c r="Q973" s="7">
        <f>IF(A973="","",IFERROR(VLOOKUP(O973,Listes!$R$3:$T$8,2,FALSE),0)+IFERROR(VLOOKUP(J973,Listes!$J$3:$L$6,2,FALSE),0)+IFERROR(VLOOKUP(N973,Listes!$N$3:$P$6,2,FALSE),0)+IF(OR(L973="",B973=""),0,IF(L973-INT(B973)&lt;10,8,IF(L973-INT(B973)&lt;=90,10,5)))+IFERROR(VLOOKUP(AN973,Listes!$V$3:$W$5,2,FALSE),0)+IFERROR(VLOOKUP(AO973,Listes!$Y$3:$Z$5,2,FALSE),0))</f>
        <v/>
      </c>
      <c r="R973" s="12" t="n"/>
      <c r="S973" s="12" t="n"/>
      <c r="T973" s="12" t="n"/>
      <c r="U973" s="15" t="n"/>
      <c r="V973" s="15" t="n"/>
      <c r="W973" s="13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3" t="n"/>
      <c r="AK973" s="12" t="n"/>
      <c r="AL973" s="12" t="n"/>
      <c r="AM973" s="12" t="n"/>
      <c r="AN973" s="12" t="n"/>
      <c r="AO973" s="12" t="n"/>
      <c r="AP973" s="12" t="n"/>
      <c r="AQ973" s="7">
        <f>IF(A973="","",IF(AP973&lt;&gt;"",AP973,IF(LEFT(Z973,11)="gads_marque","Google Search – Marque",IF(LEFT(Z973,12)="gads_mariage","Google Search – Mariage et privé",IF(LEFT(Z973,10)="gads_corpo","Google Search – Corporatif",IF(LEFT(Z973,5)="meta_","Meta – Leads",IF(LEFT(Z973,5)="msft_","Microsoft Ads",IF(LEFT(Z973,8)="chatgpt_","ChatGPT Ads – Test",IF(X973="gbp","Fiche Google (organique)","Autre / non payé")))))))))</f>
        <v/>
      </c>
      <c r="AR973" s="7">
        <f>IF(K973="","",IFERROR(VLOOKUP(K973,Listes!$F$3:$H$8,3,FALSE),""))</f>
        <v/>
      </c>
      <c r="AS973" s="7">
        <f>IF(O973="","",IF(AND(M973="Autre (plus de 40 km)",OR(O973="lt600",O973="600_999",O973="1000_2499")),"D",IF(OR(O973="lt600",AND(O973="600_999",K973&lt;&gt;"mariage",K973&lt;&gt;"prive")),"C",IF(OR(O973="2500_4999",O973="5000p",J973="entreprise",J973="organisme",J973="agence"),"A",IF(OR(O973="1000_2499",O973="600_999"),"B",IF(O973="inconnu",IF(OR(N973="75_149",N973="150p"),"A","B"),""))))))</f>
        <v/>
      </c>
      <c r="AT973" s="7">
        <f>IF(A973="","",IF(P973&lt;&gt;"",P973,AS973))</f>
        <v/>
      </c>
      <c r="AU973" s="7">
        <f>IF(A973="","",IF(OR(AT973="A",AT973="B"),1,0))</f>
        <v/>
      </c>
      <c r="AV973" s="7">
        <f>IF(A973="","",IF(OR(R973="Dépôt payé (gagné)",R973="Événement livré",R973="Avis obtenu"),1,0))</f>
        <v/>
      </c>
      <c r="AW973" s="7">
        <f>IF(A973="","",IF(Q973&gt;70,"Immédiat – propriétaire",IF(Q973&gt;=40,"15 min – personne de garde","Selon la route")))</f>
        <v/>
      </c>
      <c r="AX973" s="11">
        <f>IF(A973="","",IF(AT973="A",400,IF(AT973="B",150,0)))</f>
        <v/>
      </c>
      <c r="AY973" s="11">
        <f>IF(A973="","",IF(AV973=1,N(V973),IF(N(U973)&gt;0,ROUND(N(U973)*IFERROR(VLOOKUP(R973,Listes!$AE$3:$AG$12,2,FALSE),0),0),0)))</f>
        <v/>
      </c>
      <c r="AZ973" s="7">
        <f>IF(LEFT(A973,7)="EXEMPLE",1,0)</f>
        <v/>
      </c>
      <c r="BA973" s="7">
        <f>IF(AND(AV973=1,AZ973=0,AC973&lt;&gt;"",W973&lt;&gt;"",N(V973)&gt;0),COUNTIFS($AV$3:AV973,1,$AZ$3:AZ973,0,$AC$3:AC973,"&lt;&gt;",$W$3:W973,"&lt;&gt;",$V$3:V973,"&gt;0"),"")</f>
        <v/>
      </c>
    </row>
    <row r="974">
      <c r="A974" s="12" t="n"/>
      <c r="B974" s="13" t="n"/>
      <c r="C974" s="13" t="n"/>
      <c r="D974" s="7">
        <f>IF(OR(B974="",C974=""),"",ROUND((C974-B974)*1440,0))</f>
        <v/>
      </c>
      <c r="E974" s="12" t="n"/>
      <c r="F974" s="12" t="n"/>
      <c r="G974" s="12" t="n"/>
      <c r="H974" s="12" t="n"/>
      <c r="I974" s="12" t="n"/>
      <c r="J974" s="12" t="n"/>
      <c r="K974" s="12" t="n"/>
      <c r="L974" s="14" t="n"/>
      <c r="M974" s="12" t="n"/>
      <c r="N974" s="12" t="n"/>
      <c r="O974" s="12" t="n"/>
      <c r="P974" s="12" t="n"/>
      <c r="Q974" s="7">
        <f>IF(A974="","",IFERROR(VLOOKUP(O974,Listes!$R$3:$T$8,2,FALSE),0)+IFERROR(VLOOKUP(J974,Listes!$J$3:$L$6,2,FALSE),0)+IFERROR(VLOOKUP(N974,Listes!$N$3:$P$6,2,FALSE),0)+IF(OR(L974="",B974=""),0,IF(L974-INT(B974)&lt;10,8,IF(L974-INT(B974)&lt;=90,10,5)))+IFERROR(VLOOKUP(AN974,Listes!$V$3:$W$5,2,FALSE),0)+IFERROR(VLOOKUP(AO974,Listes!$Y$3:$Z$5,2,FALSE),0))</f>
        <v/>
      </c>
      <c r="R974" s="12" t="n"/>
      <c r="S974" s="12" t="n"/>
      <c r="T974" s="12" t="n"/>
      <c r="U974" s="15" t="n"/>
      <c r="V974" s="15" t="n"/>
      <c r="W974" s="13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3" t="n"/>
      <c r="AK974" s="12" t="n"/>
      <c r="AL974" s="12" t="n"/>
      <c r="AM974" s="12" t="n"/>
      <c r="AN974" s="12" t="n"/>
      <c r="AO974" s="12" t="n"/>
      <c r="AP974" s="12" t="n"/>
      <c r="AQ974" s="7">
        <f>IF(A974="","",IF(AP974&lt;&gt;"",AP974,IF(LEFT(Z974,11)="gads_marque","Google Search – Marque",IF(LEFT(Z974,12)="gads_mariage","Google Search – Mariage et privé",IF(LEFT(Z974,10)="gads_corpo","Google Search – Corporatif",IF(LEFT(Z974,5)="meta_","Meta – Leads",IF(LEFT(Z974,5)="msft_","Microsoft Ads",IF(LEFT(Z974,8)="chatgpt_","ChatGPT Ads – Test",IF(X974="gbp","Fiche Google (organique)","Autre / non payé")))))))))</f>
        <v/>
      </c>
      <c r="AR974" s="7">
        <f>IF(K974="","",IFERROR(VLOOKUP(K974,Listes!$F$3:$H$8,3,FALSE),""))</f>
        <v/>
      </c>
      <c r="AS974" s="7">
        <f>IF(O974="","",IF(AND(M974="Autre (plus de 40 km)",OR(O974="lt600",O974="600_999",O974="1000_2499")),"D",IF(OR(O974="lt600",AND(O974="600_999",K974&lt;&gt;"mariage",K974&lt;&gt;"prive")),"C",IF(OR(O974="2500_4999",O974="5000p",J974="entreprise",J974="organisme",J974="agence"),"A",IF(OR(O974="1000_2499",O974="600_999"),"B",IF(O974="inconnu",IF(OR(N974="75_149",N974="150p"),"A","B"),""))))))</f>
        <v/>
      </c>
      <c r="AT974" s="7">
        <f>IF(A974="","",IF(P974&lt;&gt;"",P974,AS974))</f>
        <v/>
      </c>
      <c r="AU974" s="7">
        <f>IF(A974="","",IF(OR(AT974="A",AT974="B"),1,0))</f>
        <v/>
      </c>
      <c r="AV974" s="7">
        <f>IF(A974="","",IF(OR(R974="Dépôt payé (gagné)",R974="Événement livré",R974="Avis obtenu"),1,0))</f>
        <v/>
      </c>
      <c r="AW974" s="7">
        <f>IF(A974="","",IF(Q974&gt;70,"Immédiat – propriétaire",IF(Q974&gt;=40,"15 min – personne de garde","Selon la route")))</f>
        <v/>
      </c>
      <c r="AX974" s="11">
        <f>IF(A974="","",IF(AT974="A",400,IF(AT974="B",150,0)))</f>
        <v/>
      </c>
      <c r="AY974" s="11">
        <f>IF(A974="","",IF(AV974=1,N(V974),IF(N(U974)&gt;0,ROUND(N(U974)*IFERROR(VLOOKUP(R974,Listes!$AE$3:$AG$12,2,FALSE),0),0),0)))</f>
        <v/>
      </c>
      <c r="AZ974" s="7">
        <f>IF(LEFT(A974,7)="EXEMPLE",1,0)</f>
        <v/>
      </c>
      <c r="BA974" s="7">
        <f>IF(AND(AV974=1,AZ974=0,AC974&lt;&gt;"",W974&lt;&gt;"",N(V974)&gt;0),COUNTIFS($AV$3:AV974,1,$AZ$3:AZ974,0,$AC$3:AC974,"&lt;&gt;",$W$3:W974,"&lt;&gt;",$V$3:V974,"&gt;0"),"")</f>
        <v/>
      </c>
    </row>
    <row r="975">
      <c r="A975" s="12" t="n"/>
      <c r="B975" s="13" t="n"/>
      <c r="C975" s="13" t="n"/>
      <c r="D975" s="7">
        <f>IF(OR(B975="",C975=""),"",ROUND((C975-B975)*1440,0))</f>
        <v/>
      </c>
      <c r="E975" s="12" t="n"/>
      <c r="F975" s="12" t="n"/>
      <c r="G975" s="12" t="n"/>
      <c r="H975" s="12" t="n"/>
      <c r="I975" s="12" t="n"/>
      <c r="J975" s="12" t="n"/>
      <c r="K975" s="12" t="n"/>
      <c r="L975" s="14" t="n"/>
      <c r="M975" s="12" t="n"/>
      <c r="N975" s="12" t="n"/>
      <c r="O975" s="12" t="n"/>
      <c r="P975" s="12" t="n"/>
      <c r="Q975" s="7">
        <f>IF(A975="","",IFERROR(VLOOKUP(O975,Listes!$R$3:$T$8,2,FALSE),0)+IFERROR(VLOOKUP(J975,Listes!$J$3:$L$6,2,FALSE),0)+IFERROR(VLOOKUP(N975,Listes!$N$3:$P$6,2,FALSE),0)+IF(OR(L975="",B975=""),0,IF(L975-INT(B975)&lt;10,8,IF(L975-INT(B975)&lt;=90,10,5)))+IFERROR(VLOOKUP(AN975,Listes!$V$3:$W$5,2,FALSE),0)+IFERROR(VLOOKUP(AO975,Listes!$Y$3:$Z$5,2,FALSE),0))</f>
        <v/>
      </c>
      <c r="R975" s="12" t="n"/>
      <c r="S975" s="12" t="n"/>
      <c r="T975" s="12" t="n"/>
      <c r="U975" s="15" t="n"/>
      <c r="V975" s="15" t="n"/>
      <c r="W975" s="13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3" t="n"/>
      <c r="AK975" s="12" t="n"/>
      <c r="AL975" s="12" t="n"/>
      <c r="AM975" s="12" t="n"/>
      <c r="AN975" s="12" t="n"/>
      <c r="AO975" s="12" t="n"/>
      <c r="AP975" s="12" t="n"/>
      <c r="AQ975" s="7">
        <f>IF(A975="","",IF(AP975&lt;&gt;"",AP975,IF(LEFT(Z975,11)="gads_marque","Google Search – Marque",IF(LEFT(Z975,12)="gads_mariage","Google Search – Mariage et privé",IF(LEFT(Z975,10)="gads_corpo","Google Search – Corporatif",IF(LEFT(Z975,5)="meta_","Meta – Leads",IF(LEFT(Z975,5)="msft_","Microsoft Ads",IF(LEFT(Z975,8)="chatgpt_","ChatGPT Ads – Test",IF(X975="gbp","Fiche Google (organique)","Autre / non payé")))))))))</f>
        <v/>
      </c>
      <c r="AR975" s="7">
        <f>IF(K975="","",IFERROR(VLOOKUP(K975,Listes!$F$3:$H$8,3,FALSE),""))</f>
        <v/>
      </c>
      <c r="AS975" s="7">
        <f>IF(O975="","",IF(AND(M975="Autre (plus de 40 km)",OR(O975="lt600",O975="600_999",O975="1000_2499")),"D",IF(OR(O975="lt600",AND(O975="600_999",K975&lt;&gt;"mariage",K975&lt;&gt;"prive")),"C",IF(OR(O975="2500_4999",O975="5000p",J975="entreprise",J975="organisme",J975="agence"),"A",IF(OR(O975="1000_2499",O975="600_999"),"B",IF(O975="inconnu",IF(OR(N975="75_149",N975="150p"),"A","B"),""))))))</f>
        <v/>
      </c>
      <c r="AT975" s="7">
        <f>IF(A975="","",IF(P975&lt;&gt;"",P975,AS975))</f>
        <v/>
      </c>
      <c r="AU975" s="7">
        <f>IF(A975="","",IF(OR(AT975="A",AT975="B"),1,0))</f>
        <v/>
      </c>
      <c r="AV975" s="7">
        <f>IF(A975="","",IF(OR(R975="Dépôt payé (gagné)",R975="Événement livré",R975="Avis obtenu"),1,0))</f>
        <v/>
      </c>
      <c r="AW975" s="7">
        <f>IF(A975="","",IF(Q975&gt;70,"Immédiat – propriétaire",IF(Q975&gt;=40,"15 min – personne de garde","Selon la route")))</f>
        <v/>
      </c>
      <c r="AX975" s="11">
        <f>IF(A975="","",IF(AT975="A",400,IF(AT975="B",150,0)))</f>
        <v/>
      </c>
      <c r="AY975" s="11">
        <f>IF(A975="","",IF(AV975=1,N(V975),IF(N(U975)&gt;0,ROUND(N(U975)*IFERROR(VLOOKUP(R975,Listes!$AE$3:$AG$12,2,FALSE),0),0),0)))</f>
        <v/>
      </c>
      <c r="AZ975" s="7">
        <f>IF(LEFT(A975,7)="EXEMPLE",1,0)</f>
        <v/>
      </c>
      <c r="BA975" s="7">
        <f>IF(AND(AV975=1,AZ975=0,AC975&lt;&gt;"",W975&lt;&gt;"",N(V975)&gt;0),COUNTIFS($AV$3:AV975,1,$AZ$3:AZ975,0,$AC$3:AC975,"&lt;&gt;",$W$3:W975,"&lt;&gt;",$V$3:V975,"&gt;0"),"")</f>
        <v/>
      </c>
    </row>
    <row r="976">
      <c r="A976" s="12" t="n"/>
      <c r="B976" s="13" t="n"/>
      <c r="C976" s="13" t="n"/>
      <c r="D976" s="7">
        <f>IF(OR(B976="",C976=""),"",ROUND((C976-B976)*1440,0))</f>
        <v/>
      </c>
      <c r="E976" s="12" t="n"/>
      <c r="F976" s="12" t="n"/>
      <c r="G976" s="12" t="n"/>
      <c r="H976" s="12" t="n"/>
      <c r="I976" s="12" t="n"/>
      <c r="J976" s="12" t="n"/>
      <c r="K976" s="12" t="n"/>
      <c r="L976" s="14" t="n"/>
      <c r="M976" s="12" t="n"/>
      <c r="N976" s="12" t="n"/>
      <c r="O976" s="12" t="n"/>
      <c r="P976" s="12" t="n"/>
      <c r="Q976" s="7">
        <f>IF(A976="","",IFERROR(VLOOKUP(O976,Listes!$R$3:$T$8,2,FALSE),0)+IFERROR(VLOOKUP(J976,Listes!$J$3:$L$6,2,FALSE),0)+IFERROR(VLOOKUP(N976,Listes!$N$3:$P$6,2,FALSE),0)+IF(OR(L976="",B976=""),0,IF(L976-INT(B976)&lt;10,8,IF(L976-INT(B976)&lt;=90,10,5)))+IFERROR(VLOOKUP(AN976,Listes!$V$3:$W$5,2,FALSE),0)+IFERROR(VLOOKUP(AO976,Listes!$Y$3:$Z$5,2,FALSE),0))</f>
        <v/>
      </c>
      <c r="R976" s="12" t="n"/>
      <c r="S976" s="12" t="n"/>
      <c r="T976" s="12" t="n"/>
      <c r="U976" s="15" t="n"/>
      <c r="V976" s="15" t="n"/>
      <c r="W976" s="13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3" t="n"/>
      <c r="AK976" s="12" t="n"/>
      <c r="AL976" s="12" t="n"/>
      <c r="AM976" s="12" t="n"/>
      <c r="AN976" s="12" t="n"/>
      <c r="AO976" s="12" t="n"/>
      <c r="AP976" s="12" t="n"/>
      <c r="AQ976" s="7">
        <f>IF(A976="","",IF(AP976&lt;&gt;"",AP976,IF(LEFT(Z976,11)="gads_marque","Google Search – Marque",IF(LEFT(Z976,12)="gads_mariage","Google Search – Mariage et privé",IF(LEFT(Z976,10)="gads_corpo","Google Search – Corporatif",IF(LEFT(Z976,5)="meta_","Meta – Leads",IF(LEFT(Z976,5)="msft_","Microsoft Ads",IF(LEFT(Z976,8)="chatgpt_","ChatGPT Ads – Test",IF(X976="gbp","Fiche Google (organique)","Autre / non payé")))))))))</f>
        <v/>
      </c>
      <c r="AR976" s="7">
        <f>IF(K976="","",IFERROR(VLOOKUP(K976,Listes!$F$3:$H$8,3,FALSE),""))</f>
        <v/>
      </c>
      <c r="AS976" s="7">
        <f>IF(O976="","",IF(AND(M976="Autre (plus de 40 km)",OR(O976="lt600",O976="600_999",O976="1000_2499")),"D",IF(OR(O976="lt600",AND(O976="600_999",K976&lt;&gt;"mariage",K976&lt;&gt;"prive")),"C",IF(OR(O976="2500_4999",O976="5000p",J976="entreprise",J976="organisme",J976="agence"),"A",IF(OR(O976="1000_2499",O976="600_999"),"B",IF(O976="inconnu",IF(OR(N976="75_149",N976="150p"),"A","B"),""))))))</f>
        <v/>
      </c>
      <c r="AT976" s="7">
        <f>IF(A976="","",IF(P976&lt;&gt;"",P976,AS976))</f>
        <v/>
      </c>
      <c r="AU976" s="7">
        <f>IF(A976="","",IF(OR(AT976="A",AT976="B"),1,0))</f>
        <v/>
      </c>
      <c r="AV976" s="7">
        <f>IF(A976="","",IF(OR(R976="Dépôt payé (gagné)",R976="Événement livré",R976="Avis obtenu"),1,0))</f>
        <v/>
      </c>
      <c r="AW976" s="7">
        <f>IF(A976="","",IF(Q976&gt;70,"Immédiat – propriétaire",IF(Q976&gt;=40,"15 min – personne de garde","Selon la route")))</f>
        <v/>
      </c>
      <c r="AX976" s="11">
        <f>IF(A976="","",IF(AT976="A",400,IF(AT976="B",150,0)))</f>
        <v/>
      </c>
      <c r="AY976" s="11">
        <f>IF(A976="","",IF(AV976=1,N(V976),IF(N(U976)&gt;0,ROUND(N(U976)*IFERROR(VLOOKUP(R976,Listes!$AE$3:$AG$12,2,FALSE),0),0),0)))</f>
        <v/>
      </c>
      <c r="AZ976" s="7">
        <f>IF(LEFT(A976,7)="EXEMPLE",1,0)</f>
        <v/>
      </c>
      <c r="BA976" s="7">
        <f>IF(AND(AV976=1,AZ976=0,AC976&lt;&gt;"",W976&lt;&gt;"",N(V976)&gt;0),COUNTIFS($AV$3:AV976,1,$AZ$3:AZ976,0,$AC$3:AC976,"&lt;&gt;",$W$3:W976,"&lt;&gt;",$V$3:V976,"&gt;0"),"")</f>
        <v/>
      </c>
    </row>
    <row r="977">
      <c r="A977" s="12" t="n"/>
      <c r="B977" s="13" t="n"/>
      <c r="C977" s="13" t="n"/>
      <c r="D977" s="7">
        <f>IF(OR(B977="",C977=""),"",ROUND((C977-B977)*1440,0))</f>
        <v/>
      </c>
      <c r="E977" s="12" t="n"/>
      <c r="F977" s="12" t="n"/>
      <c r="G977" s="12" t="n"/>
      <c r="H977" s="12" t="n"/>
      <c r="I977" s="12" t="n"/>
      <c r="J977" s="12" t="n"/>
      <c r="K977" s="12" t="n"/>
      <c r="L977" s="14" t="n"/>
      <c r="M977" s="12" t="n"/>
      <c r="N977" s="12" t="n"/>
      <c r="O977" s="12" t="n"/>
      <c r="P977" s="12" t="n"/>
      <c r="Q977" s="7">
        <f>IF(A977="","",IFERROR(VLOOKUP(O977,Listes!$R$3:$T$8,2,FALSE),0)+IFERROR(VLOOKUP(J977,Listes!$J$3:$L$6,2,FALSE),0)+IFERROR(VLOOKUP(N977,Listes!$N$3:$P$6,2,FALSE),0)+IF(OR(L977="",B977=""),0,IF(L977-INT(B977)&lt;10,8,IF(L977-INT(B977)&lt;=90,10,5)))+IFERROR(VLOOKUP(AN977,Listes!$V$3:$W$5,2,FALSE),0)+IFERROR(VLOOKUP(AO977,Listes!$Y$3:$Z$5,2,FALSE),0))</f>
        <v/>
      </c>
      <c r="R977" s="12" t="n"/>
      <c r="S977" s="12" t="n"/>
      <c r="T977" s="12" t="n"/>
      <c r="U977" s="15" t="n"/>
      <c r="V977" s="15" t="n"/>
      <c r="W977" s="13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3" t="n"/>
      <c r="AK977" s="12" t="n"/>
      <c r="AL977" s="12" t="n"/>
      <c r="AM977" s="12" t="n"/>
      <c r="AN977" s="12" t="n"/>
      <c r="AO977" s="12" t="n"/>
      <c r="AP977" s="12" t="n"/>
      <c r="AQ977" s="7">
        <f>IF(A977="","",IF(AP977&lt;&gt;"",AP977,IF(LEFT(Z977,11)="gads_marque","Google Search – Marque",IF(LEFT(Z977,12)="gads_mariage","Google Search – Mariage et privé",IF(LEFT(Z977,10)="gads_corpo","Google Search – Corporatif",IF(LEFT(Z977,5)="meta_","Meta – Leads",IF(LEFT(Z977,5)="msft_","Microsoft Ads",IF(LEFT(Z977,8)="chatgpt_","ChatGPT Ads – Test",IF(X977="gbp","Fiche Google (organique)","Autre / non payé")))))))))</f>
        <v/>
      </c>
      <c r="AR977" s="7">
        <f>IF(K977="","",IFERROR(VLOOKUP(K977,Listes!$F$3:$H$8,3,FALSE),""))</f>
        <v/>
      </c>
      <c r="AS977" s="7">
        <f>IF(O977="","",IF(AND(M977="Autre (plus de 40 km)",OR(O977="lt600",O977="600_999",O977="1000_2499")),"D",IF(OR(O977="lt600",AND(O977="600_999",K977&lt;&gt;"mariage",K977&lt;&gt;"prive")),"C",IF(OR(O977="2500_4999",O977="5000p",J977="entreprise",J977="organisme",J977="agence"),"A",IF(OR(O977="1000_2499",O977="600_999"),"B",IF(O977="inconnu",IF(OR(N977="75_149",N977="150p"),"A","B"),""))))))</f>
        <v/>
      </c>
      <c r="AT977" s="7">
        <f>IF(A977="","",IF(P977&lt;&gt;"",P977,AS977))</f>
        <v/>
      </c>
      <c r="AU977" s="7">
        <f>IF(A977="","",IF(OR(AT977="A",AT977="B"),1,0))</f>
        <v/>
      </c>
      <c r="AV977" s="7">
        <f>IF(A977="","",IF(OR(R977="Dépôt payé (gagné)",R977="Événement livré",R977="Avis obtenu"),1,0))</f>
        <v/>
      </c>
      <c r="AW977" s="7">
        <f>IF(A977="","",IF(Q977&gt;70,"Immédiat – propriétaire",IF(Q977&gt;=40,"15 min – personne de garde","Selon la route")))</f>
        <v/>
      </c>
      <c r="AX977" s="11">
        <f>IF(A977="","",IF(AT977="A",400,IF(AT977="B",150,0)))</f>
        <v/>
      </c>
      <c r="AY977" s="11">
        <f>IF(A977="","",IF(AV977=1,N(V977),IF(N(U977)&gt;0,ROUND(N(U977)*IFERROR(VLOOKUP(R977,Listes!$AE$3:$AG$12,2,FALSE),0),0),0)))</f>
        <v/>
      </c>
      <c r="AZ977" s="7">
        <f>IF(LEFT(A977,7)="EXEMPLE",1,0)</f>
        <v/>
      </c>
      <c r="BA977" s="7">
        <f>IF(AND(AV977=1,AZ977=0,AC977&lt;&gt;"",W977&lt;&gt;"",N(V977)&gt;0),COUNTIFS($AV$3:AV977,1,$AZ$3:AZ977,0,$AC$3:AC977,"&lt;&gt;",$W$3:W977,"&lt;&gt;",$V$3:V977,"&gt;0"),"")</f>
        <v/>
      </c>
    </row>
    <row r="978">
      <c r="A978" s="12" t="n"/>
      <c r="B978" s="13" t="n"/>
      <c r="C978" s="13" t="n"/>
      <c r="D978" s="7">
        <f>IF(OR(B978="",C978=""),"",ROUND((C978-B978)*1440,0))</f>
        <v/>
      </c>
      <c r="E978" s="12" t="n"/>
      <c r="F978" s="12" t="n"/>
      <c r="G978" s="12" t="n"/>
      <c r="H978" s="12" t="n"/>
      <c r="I978" s="12" t="n"/>
      <c r="J978" s="12" t="n"/>
      <c r="K978" s="12" t="n"/>
      <c r="L978" s="14" t="n"/>
      <c r="M978" s="12" t="n"/>
      <c r="N978" s="12" t="n"/>
      <c r="O978" s="12" t="n"/>
      <c r="P978" s="12" t="n"/>
      <c r="Q978" s="7">
        <f>IF(A978="","",IFERROR(VLOOKUP(O978,Listes!$R$3:$T$8,2,FALSE),0)+IFERROR(VLOOKUP(J978,Listes!$J$3:$L$6,2,FALSE),0)+IFERROR(VLOOKUP(N978,Listes!$N$3:$P$6,2,FALSE),0)+IF(OR(L978="",B978=""),0,IF(L978-INT(B978)&lt;10,8,IF(L978-INT(B978)&lt;=90,10,5)))+IFERROR(VLOOKUP(AN978,Listes!$V$3:$W$5,2,FALSE),0)+IFERROR(VLOOKUP(AO978,Listes!$Y$3:$Z$5,2,FALSE),0))</f>
        <v/>
      </c>
      <c r="R978" s="12" t="n"/>
      <c r="S978" s="12" t="n"/>
      <c r="T978" s="12" t="n"/>
      <c r="U978" s="15" t="n"/>
      <c r="V978" s="15" t="n"/>
      <c r="W978" s="13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3" t="n"/>
      <c r="AK978" s="12" t="n"/>
      <c r="AL978" s="12" t="n"/>
      <c r="AM978" s="12" t="n"/>
      <c r="AN978" s="12" t="n"/>
      <c r="AO978" s="12" t="n"/>
      <c r="AP978" s="12" t="n"/>
      <c r="AQ978" s="7">
        <f>IF(A978="","",IF(AP978&lt;&gt;"",AP978,IF(LEFT(Z978,11)="gads_marque","Google Search – Marque",IF(LEFT(Z978,12)="gads_mariage","Google Search – Mariage et privé",IF(LEFT(Z978,10)="gads_corpo","Google Search – Corporatif",IF(LEFT(Z978,5)="meta_","Meta – Leads",IF(LEFT(Z978,5)="msft_","Microsoft Ads",IF(LEFT(Z978,8)="chatgpt_","ChatGPT Ads – Test",IF(X978="gbp","Fiche Google (organique)","Autre / non payé")))))))))</f>
        <v/>
      </c>
      <c r="AR978" s="7">
        <f>IF(K978="","",IFERROR(VLOOKUP(K978,Listes!$F$3:$H$8,3,FALSE),""))</f>
        <v/>
      </c>
      <c r="AS978" s="7">
        <f>IF(O978="","",IF(AND(M978="Autre (plus de 40 km)",OR(O978="lt600",O978="600_999",O978="1000_2499")),"D",IF(OR(O978="lt600",AND(O978="600_999",K978&lt;&gt;"mariage",K978&lt;&gt;"prive")),"C",IF(OR(O978="2500_4999",O978="5000p",J978="entreprise",J978="organisme",J978="agence"),"A",IF(OR(O978="1000_2499",O978="600_999"),"B",IF(O978="inconnu",IF(OR(N978="75_149",N978="150p"),"A","B"),""))))))</f>
        <v/>
      </c>
      <c r="AT978" s="7">
        <f>IF(A978="","",IF(P978&lt;&gt;"",P978,AS978))</f>
        <v/>
      </c>
      <c r="AU978" s="7">
        <f>IF(A978="","",IF(OR(AT978="A",AT978="B"),1,0))</f>
        <v/>
      </c>
      <c r="AV978" s="7">
        <f>IF(A978="","",IF(OR(R978="Dépôt payé (gagné)",R978="Événement livré",R978="Avis obtenu"),1,0))</f>
        <v/>
      </c>
      <c r="AW978" s="7">
        <f>IF(A978="","",IF(Q978&gt;70,"Immédiat – propriétaire",IF(Q978&gt;=40,"15 min – personne de garde","Selon la route")))</f>
        <v/>
      </c>
      <c r="AX978" s="11">
        <f>IF(A978="","",IF(AT978="A",400,IF(AT978="B",150,0)))</f>
        <v/>
      </c>
      <c r="AY978" s="11">
        <f>IF(A978="","",IF(AV978=1,N(V978),IF(N(U978)&gt;0,ROUND(N(U978)*IFERROR(VLOOKUP(R978,Listes!$AE$3:$AG$12,2,FALSE),0),0),0)))</f>
        <v/>
      </c>
      <c r="AZ978" s="7">
        <f>IF(LEFT(A978,7)="EXEMPLE",1,0)</f>
        <v/>
      </c>
      <c r="BA978" s="7">
        <f>IF(AND(AV978=1,AZ978=0,AC978&lt;&gt;"",W978&lt;&gt;"",N(V978)&gt;0),COUNTIFS($AV$3:AV978,1,$AZ$3:AZ978,0,$AC$3:AC978,"&lt;&gt;",$W$3:W978,"&lt;&gt;",$V$3:V978,"&gt;0"),"")</f>
        <v/>
      </c>
    </row>
    <row r="979">
      <c r="A979" s="12" t="n"/>
      <c r="B979" s="13" t="n"/>
      <c r="C979" s="13" t="n"/>
      <c r="D979" s="7">
        <f>IF(OR(B979="",C979=""),"",ROUND((C979-B979)*1440,0))</f>
        <v/>
      </c>
      <c r="E979" s="12" t="n"/>
      <c r="F979" s="12" t="n"/>
      <c r="G979" s="12" t="n"/>
      <c r="H979" s="12" t="n"/>
      <c r="I979" s="12" t="n"/>
      <c r="J979" s="12" t="n"/>
      <c r="K979" s="12" t="n"/>
      <c r="L979" s="14" t="n"/>
      <c r="M979" s="12" t="n"/>
      <c r="N979" s="12" t="n"/>
      <c r="O979" s="12" t="n"/>
      <c r="P979" s="12" t="n"/>
      <c r="Q979" s="7">
        <f>IF(A979="","",IFERROR(VLOOKUP(O979,Listes!$R$3:$T$8,2,FALSE),0)+IFERROR(VLOOKUP(J979,Listes!$J$3:$L$6,2,FALSE),0)+IFERROR(VLOOKUP(N979,Listes!$N$3:$P$6,2,FALSE),0)+IF(OR(L979="",B979=""),0,IF(L979-INT(B979)&lt;10,8,IF(L979-INT(B979)&lt;=90,10,5)))+IFERROR(VLOOKUP(AN979,Listes!$V$3:$W$5,2,FALSE),0)+IFERROR(VLOOKUP(AO979,Listes!$Y$3:$Z$5,2,FALSE),0))</f>
        <v/>
      </c>
      <c r="R979" s="12" t="n"/>
      <c r="S979" s="12" t="n"/>
      <c r="T979" s="12" t="n"/>
      <c r="U979" s="15" t="n"/>
      <c r="V979" s="15" t="n"/>
      <c r="W979" s="13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3" t="n"/>
      <c r="AK979" s="12" t="n"/>
      <c r="AL979" s="12" t="n"/>
      <c r="AM979" s="12" t="n"/>
      <c r="AN979" s="12" t="n"/>
      <c r="AO979" s="12" t="n"/>
      <c r="AP979" s="12" t="n"/>
      <c r="AQ979" s="7">
        <f>IF(A979="","",IF(AP979&lt;&gt;"",AP979,IF(LEFT(Z979,11)="gads_marque","Google Search – Marque",IF(LEFT(Z979,12)="gads_mariage","Google Search – Mariage et privé",IF(LEFT(Z979,10)="gads_corpo","Google Search – Corporatif",IF(LEFT(Z979,5)="meta_","Meta – Leads",IF(LEFT(Z979,5)="msft_","Microsoft Ads",IF(LEFT(Z979,8)="chatgpt_","ChatGPT Ads – Test",IF(X979="gbp","Fiche Google (organique)","Autre / non payé")))))))))</f>
        <v/>
      </c>
      <c r="AR979" s="7">
        <f>IF(K979="","",IFERROR(VLOOKUP(K979,Listes!$F$3:$H$8,3,FALSE),""))</f>
        <v/>
      </c>
      <c r="AS979" s="7">
        <f>IF(O979="","",IF(AND(M979="Autre (plus de 40 km)",OR(O979="lt600",O979="600_999",O979="1000_2499")),"D",IF(OR(O979="lt600",AND(O979="600_999",K979&lt;&gt;"mariage",K979&lt;&gt;"prive")),"C",IF(OR(O979="2500_4999",O979="5000p",J979="entreprise",J979="organisme",J979="agence"),"A",IF(OR(O979="1000_2499",O979="600_999"),"B",IF(O979="inconnu",IF(OR(N979="75_149",N979="150p"),"A","B"),""))))))</f>
        <v/>
      </c>
      <c r="AT979" s="7">
        <f>IF(A979="","",IF(P979&lt;&gt;"",P979,AS979))</f>
        <v/>
      </c>
      <c r="AU979" s="7">
        <f>IF(A979="","",IF(OR(AT979="A",AT979="B"),1,0))</f>
        <v/>
      </c>
      <c r="AV979" s="7">
        <f>IF(A979="","",IF(OR(R979="Dépôt payé (gagné)",R979="Événement livré",R979="Avis obtenu"),1,0))</f>
        <v/>
      </c>
      <c r="AW979" s="7">
        <f>IF(A979="","",IF(Q979&gt;70,"Immédiat – propriétaire",IF(Q979&gt;=40,"15 min – personne de garde","Selon la route")))</f>
        <v/>
      </c>
      <c r="AX979" s="11">
        <f>IF(A979="","",IF(AT979="A",400,IF(AT979="B",150,0)))</f>
        <v/>
      </c>
      <c r="AY979" s="11">
        <f>IF(A979="","",IF(AV979=1,N(V979),IF(N(U979)&gt;0,ROUND(N(U979)*IFERROR(VLOOKUP(R979,Listes!$AE$3:$AG$12,2,FALSE),0),0),0)))</f>
        <v/>
      </c>
      <c r="AZ979" s="7">
        <f>IF(LEFT(A979,7)="EXEMPLE",1,0)</f>
        <v/>
      </c>
      <c r="BA979" s="7">
        <f>IF(AND(AV979=1,AZ979=0,AC979&lt;&gt;"",W979&lt;&gt;"",N(V979)&gt;0),COUNTIFS($AV$3:AV979,1,$AZ$3:AZ979,0,$AC$3:AC979,"&lt;&gt;",$W$3:W979,"&lt;&gt;",$V$3:V979,"&gt;0"),"")</f>
        <v/>
      </c>
    </row>
    <row r="980">
      <c r="A980" s="12" t="n"/>
      <c r="B980" s="13" t="n"/>
      <c r="C980" s="13" t="n"/>
      <c r="D980" s="7">
        <f>IF(OR(B980="",C980=""),"",ROUND((C980-B980)*1440,0))</f>
        <v/>
      </c>
      <c r="E980" s="12" t="n"/>
      <c r="F980" s="12" t="n"/>
      <c r="G980" s="12" t="n"/>
      <c r="H980" s="12" t="n"/>
      <c r="I980" s="12" t="n"/>
      <c r="J980" s="12" t="n"/>
      <c r="K980" s="12" t="n"/>
      <c r="L980" s="14" t="n"/>
      <c r="M980" s="12" t="n"/>
      <c r="N980" s="12" t="n"/>
      <c r="O980" s="12" t="n"/>
      <c r="P980" s="12" t="n"/>
      <c r="Q980" s="7">
        <f>IF(A980="","",IFERROR(VLOOKUP(O980,Listes!$R$3:$T$8,2,FALSE),0)+IFERROR(VLOOKUP(J980,Listes!$J$3:$L$6,2,FALSE),0)+IFERROR(VLOOKUP(N980,Listes!$N$3:$P$6,2,FALSE),0)+IF(OR(L980="",B980=""),0,IF(L980-INT(B980)&lt;10,8,IF(L980-INT(B980)&lt;=90,10,5)))+IFERROR(VLOOKUP(AN980,Listes!$V$3:$W$5,2,FALSE),0)+IFERROR(VLOOKUP(AO980,Listes!$Y$3:$Z$5,2,FALSE),0))</f>
        <v/>
      </c>
      <c r="R980" s="12" t="n"/>
      <c r="S980" s="12" t="n"/>
      <c r="T980" s="12" t="n"/>
      <c r="U980" s="15" t="n"/>
      <c r="V980" s="15" t="n"/>
      <c r="W980" s="13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3" t="n"/>
      <c r="AK980" s="12" t="n"/>
      <c r="AL980" s="12" t="n"/>
      <c r="AM980" s="12" t="n"/>
      <c r="AN980" s="12" t="n"/>
      <c r="AO980" s="12" t="n"/>
      <c r="AP980" s="12" t="n"/>
      <c r="AQ980" s="7">
        <f>IF(A980="","",IF(AP980&lt;&gt;"",AP980,IF(LEFT(Z980,11)="gads_marque","Google Search – Marque",IF(LEFT(Z980,12)="gads_mariage","Google Search – Mariage et privé",IF(LEFT(Z980,10)="gads_corpo","Google Search – Corporatif",IF(LEFT(Z980,5)="meta_","Meta – Leads",IF(LEFT(Z980,5)="msft_","Microsoft Ads",IF(LEFT(Z980,8)="chatgpt_","ChatGPT Ads – Test",IF(X980="gbp","Fiche Google (organique)","Autre / non payé")))))))))</f>
        <v/>
      </c>
      <c r="AR980" s="7">
        <f>IF(K980="","",IFERROR(VLOOKUP(K980,Listes!$F$3:$H$8,3,FALSE),""))</f>
        <v/>
      </c>
      <c r="AS980" s="7">
        <f>IF(O980="","",IF(AND(M980="Autre (plus de 40 km)",OR(O980="lt600",O980="600_999",O980="1000_2499")),"D",IF(OR(O980="lt600",AND(O980="600_999",K980&lt;&gt;"mariage",K980&lt;&gt;"prive")),"C",IF(OR(O980="2500_4999",O980="5000p",J980="entreprise",J980="organisme",J980="agence"),"A",IF(OR(O980="1000_2499",O980="600_999"),"B",IF(O980="inconnu",IF(OR(N980="75_149",N980="150p"),"A","B"),""))))))</f>
        <v/>
      </c>
      <c r="AT980" s="7">
        <f>IF(A980="","",IF(P980&lt;&gt;"",P980,AS980))</f>
        <v/>
      </c>
      <c r="AU980" s="7">
        <f>IF(A980="","",IF(OR(AT980="A",AT980="B"),1,0))</f>
        <v/>
      </c>
      <c r="AV980" s="7">
        <f>IF(A980="","",IF(OR(R980="Dépôt payé (gagné)",R980="Événement livré",R980="Avis obtenu"),1,0))</f>
        <v/>
      </c>
      <c r="AW980" s="7">
        <f>IF(A980="","",IF(Q980&gt;70,"Immédiat – propriétaire",IF(Q980&gt;=40,"15 min – personne de garde","Selon la route")))</f>
        <v/>
      </c>
      <c r="AX980" s="11">
        <f>IF(A980="","",IF(AT980="A",400,IF(AT980="B",150,0)))</f>
        <v/>
      </c>
      <c r="AY980" s="11">
        <f>IF(A980="","",IF(AV980=1,N(V980),IF(N(U980)&gt;0,ROUND(N(U980)*IFERROR(VLOOKUP(R980,Listes!$AE$3:$AG$12,2,FALSE),0),0),0)))</f>
        <v/>
      </c>
      <c r="AZ980" s="7">
        <f>IF(LEFT(A980,7)="EXEMPLE",1,0)</f>
        <v/>
      </c>
      <c r="BA980" s="7">
        <f>IF(AND(AV980=1,AZ980=0,AC980&lt;&gt;"",W980&lt;&gt;"",N(V980)&gt;0),COUNTIFS($AV$3:AV980,1,$AZ$3:AZ980,0,$AC$3:AC980,"&lt;&gt;",$W$3:W980,"&lt;&gt;",$V$3:V980,"&gt;0"),"")</f>
        <v/>
      </c>
    </row>
    <row r="981">
      <c r="A981" s="12" t="n"/>
      <c r="B981" s="13" t="n"/>
      <c r="C981" s="13" t="n"/>
      <c r="D981" s="7">
        <f>IF(OR(B981="",C981=""),"",ROUND((C981-B981)*1440,0))</f>
        <v/>
      </c>
      <c r="E981" s="12" t="n"/>
      <c r="F981" s="12" t="n"/>
      <c r="G981" s="12" t="n"/>
      <c r="H981" s="12" t="n"/>
      <c r="I981" s="12" t="n"/>
      <c r="J981" s="12" t="n"/>
      <c r="K981" s="12" t="n"/>
      <c r="L981" s="14" t="n"/>
      <c r="M981" s="12" t="n"/>
      <c r="N981" s="12" t="n"/>
      <c r="O981" s="12" t="n"/>
      <c r="P981" s="12" t="n"/>
      <c r="Q981" s="7">
        <f>IF(A981="","",IFERROR(VLOOKUP(O981,Listes!$R$3:$T$8,2,FALSE),0)+IFERROR(VLOOKUP(J981,Listes!$J$3:$L$6,2,FALSE),0)+IFERROR(VLOOKUP(N981,Listes!$N$3:$P$6,2,FALSE),0)+IF(OR(L981="",B981=""),0,IF(L981-INT(B981)&lt;10,8,IF(L981-INT(B981)&lt;=90,10,5)))+IFERROR(VLOOKUP(AN981,Listes!$V$3:$W$5,2,FALSE),0)+IFERROR(VLOOKUP(AO981,Listes!$Y$3:$Z$5,2,FALSE),0))</f>
        <v/>
      </c>
      <c r="R981" s="12" t="n"/>
      <c r="S981" s="12" t="n"/>
      <c r="T981" s="12" t="n"/>
      <c r="U981" s="15" t="n"/>
      <c r="V981" s="15" t="n"/>
      <c r="W981" s="13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3" t="n"/>
      <c r="AK981" s="12" t="n"/>
      <c r="AL981" s="12" t="n"/>
      <c r="AM981" s="12" t="n"/>
      <c r="AN981" s="12" t="n"/>
      <c r="AO981" s="12" t="n"/>
      <c r="AP981" s="12" t="n"/>
      <c r="AQ981" s="7">
        <f>IF(A981="","",IF(AP981&lt;&gt;"",AP981,IF(LEFT(Z981,11)="gads_marque","Google Search – Marque",IF(LEFT(Z981,12)="gads_mariage","Google Search – Mariage et privé",IF(LEFT(Z981,10)="gads_corpo","Google Search – Corporatif",IF(LEFT(Z981,5)="meta_","Meta – Leads",IF(LEFT(Z981,5)="msft_","Microsoft Ads",IF(LEFT(Z981,8)="chatgpt_","ChatGPT Ads – Test",IF(X981="gbp","Fiche Google (organique)","Autre / non payé")))))))))</f>
        <v/>
      </c>
      <c r="AR981" s="7">
        <f>IF(K981="","",IFERROR(VLOOKUP(K981,Listes!$F$3:$H$8,3,FALSE),""))</f>
        <v/>
      </c>
      <c r="AS981" s="7">
        <f>IF(O981="","",IF(AND(M981="Autre (plus de 40 km)",OR(O981="lt600",O981="600_999",O981="1000_2499")),"D",IF(OR(O981="lt600",AND(O981="600_999",K981&lt;&gt;"mariage",K981&lt;&gt;"prive")),"C",IF(OR(O981="2500_4999",O981="5000p",J981="entreprise",J981="organisme",J981="agence"),"A",IF(OR(O981="1000_2499",O981="600_999"),"B",IF(O981="inconnu",IF(OR(N981="75_149",N981="150p"),"A","B"),""))))))</f>
        <v/>
      </c>
      <c r="AT981" s="7">
        <f>IF(A981="","",IF(P981&lt;&gt;"",P981,AS981))</f>
        <v/>
      </c>
      <c r="AU981" s="7">
        <f>IF(A981="","",IF(OR(AT981="A",AT981="B"),1,0))</f>
        <v/>
      </c>
      <c r="AV981" s="7">
        <f>IF(A981="","",IF(OR(R981="Dépôt payé (gagné)",R981="Événement livré",R981="Avis obtenu"),1,0))</f>
        <v/>
      </c>
      <c r="AW981" s="7">
        <f>IF(A981="","",IF(Q981&gt;70,"Immédiat – propriétaire",IF(Q981&gt;=40,"15 min – personne de garde","Selon la route")))</f>
        <v/>
      </c>
      <c r="AX981" s="11">
        <f>IF(A981="","",IF(AT981="A",400,IF(AT981="B",150,0)))</f>
        <v/>
      </c>
      <c r="AY981" s="11">
        <f>IF(A981="","",IF(AV981=1,N(V981),IF(N(U981)&gt;0,ROUND(N(U981)*IFERROR(VLOOKUP(R981,Listes!$AE$3:$AG$12,2,FALSE),0),0),0)))</f>
        <v/>
      </c>
      <c r="AZ981" s="7">
        <f>IF(LEFT(A981,7)="EXEMPLE",1,0)</f>
        <v/>
      </c>
      <c r="BA981" s="7">
        <f>IF(AND(AV981=1,AZ981=0,AC981&lt;&gt;"",W981&lt;&gt;"",N(V981)&gt;0),COUNTIFS($AV$3:AV981,1,$AZ$3:AZ981,0,$AC$3:AC981,"&lt;&gt;",$W$3:W981,"&lt;&gt;",$V$3:V981,"&gt;0"),"")</f>
        <v/>
      </c>
    </row>
    <row r="982">
      <c r="A982" s="12" t="n"/>
      <c r="B982" s="13" t="n"/>
      <c r="C982" s="13" t="n"/>
      <c r="D982" s="7">
        <f>IF(OR(B982="",C982=""),"",ROUND((C982-B982)*1440,0))</f>
        <v/>
      </c>
      <c r="E982" s="12" t="n"/>
      <c r="F982" s="12" t="n"/>
      <c r="G982" s="12" t="n"/>
      <c r="H982" s="12" t="n"/>
      <c r="I982" s="12" t="n"/>
      <c r="J982" s="12" t="n"/>
      <c r="K982" s="12" t="n"/>
      <c r="L982" s="14" t="n"/>
      <c r="M982" s="12" t="n"/>
      <c r="N982" s="12" t="n"/>
      <c r="O982" s="12" t="n"/>
      <c r="P982" s="12" t="n"/>
      <c r="Q982" s="7">
        <f>IF(A982="","",IFERROR(VLOOKUP(O982,Listes!$R$3:$T$8,2,FALSE),0)+IFERROR(VLOOKUP(J982,Listes!$J$3:$L$6,2,FALSE),0)+IFERROR(VLOOKUP(N982,Listes!$N$3:$P$6,2,FALSE),0)+IF(OR(L982="",B982=""),0,IF(L982-INT(B982)&lt;10,8,IF(L982-INT(B982)&lt;=90,10,5)))+IFERROR(VLOOKUP(AN982,Listes!$V$3:$W$5,2,FALSE),0)+IFERROR(VLOOKUP(AO982,Listes!$Y$3:$Z$5,2,FALSE),0))</f>
        <v/>
      </c>
      <c r="R982" s="12" t="n"/>
      <c r="S982" s="12" t="n"/>
      <c r="T982" s="12" t="n"/>
      <c r="U982" s="15" t="n"/>
      <c r="V982" s="15" t="n"/>
      <c r="W982" s="13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3" t="n"/>
      <c r="AK982" s="12" t="n"/>
      <c r="AL982" s="12" t="n"/>
      <c r="AM982" s="12" t="n"/>
      <c r="AN982" s="12" t="n"/>
      <c r="AO982" s="12" t="n"/>
      <c r="AP982" s="12" t="n"/>
      <c r="AQ982" s="7">
        <f>IF(A982="","",IF(AP982&lt;&gt;"",AP982,IF(LEFT(Z982,11)="gads_marque","Google Search – Marque",IF(LEFT(Z982,12)="gads_mariage","Google Search – Mariage et privé",IF(LEFT(Z982,10)="gads_corpo","Google Search – Corporatif",IF(LEFT(Z982,5)="meta_","Meta – Leads",IF(LEFT(Z982,5)="msft_","Microsoft Ads",IF(LEFT(Z982,8)="chatgpt_","ChatGPT Ads – Test",IF(X982="gbp","Fiche Google (organique)","Autre / non payé")))))))))</f>
        <v/>
      </c>
      <c r="AR982" s="7">
        <f>IF(K982="","",IFERROR(VLOOKUP(K982,Listes!$F$3:$H$8,3,FALSE),""))</f>
        <v/>
      </c>
      <c r="AS982" s="7">
        <f>IF(O982="","",IF(AND(M982="Autre (plus de 40 km)",OR(O982="lt600",O982="600_999",O982="1000_2499")),"D",IF(OR(O982="lt600",AND(O982="600_999",K982&lt;&gt;"mariage",K982&lt;&gt;"prive")),"C",IF(OR(O982="2500_4999",O982="5000p",J982="entreprise",J982="organisme",J982="agence"),"A",IF(OR(O982="1000_2499",O982="600_999"),"B",IF(O982="inconnu",IF(OR(N982="75_149",N982="150p"),"A","B"),""))))))</f>
        <v/>
      </c>
      <c r="AT982" s="7">
        <f>IF(A982="","",IF(P982&lt;&gt;"",P982,AS982))</f>
        <v/>
      </c>
      <c r="AU982" s="7">
        <f>IF(A982="","",IF(OR(AT982="A",AT982="B"),1,0))</f>
        <v/>
      </c>
      <c r="AV982" s="7">
        <f>IF(A982="","",IF(OR(R982="Dépôt payé (gagné)",R982="Événement livré",R982="Avis obtenu"),1,0))</f>
        <v/>
      </c>
      <c r="AW982" s="7">
        <f>IF(A982="","",IF(Q982&gt;70,"Immédiat – propriétaire",IF(Q982&gt;=40,"15 min – personne de garde","Selon la route")))</f>
        <v/>
      </c>
      <c r="AX982" s="11">
        <f>IF(A982="","",IF(AT982="A",400,IF(AT982="B",150,0)))</f>
        <v/>
      </c>
      <c r="AY982" s="11">
        <f>IF(A982="","",IF(AV982=1,N(V982),IF(N(U982)&gt;0,ROUND(N(U982)*IFERROR(VLOOKUP(R982,Listes!$AE$3:$AG$12,2,FALSE),0),0),0)))</f>
        <v/>
      </c>
      <c r="AZ982" s="7">
        <f>IF(LEFT(A982,7)="EXEMPLE",1,0)</f>
        <v/>
      </c>
      <c r="BA982" s="7">
        <f>IF(AND(AV982=1,AZ982=0,AC982&lt;&gt;"",W982&lt;&gt;"",N(V982)&gt;0),COUNTIFS($AV$3:AV982,1,$AZ$3:AZ982,0,$AC$3:AC982,"&lt;&gt;",$W$3:W982,"&lt;&gt;",$V$3:V982,"&gt;0"),"")</f>
        <v/>
      </c>
    </row>
    <row r="983">
      <c r="A983" s="12" t="n"/>
      <c r="B983" s="13" t="n"/>
      <c r="C983" s="13" t="n"/>
      <c r="D983" s="7">
        <f>IF(OR(B983="",C983=""),"",ROUND((C983-B983)*1440,0))</f>
        <v/>
      </c>
      <c r="E983" s="12" t="n"/>
      <c r="F983" s="12" t="n"/>
      <c r="G983" s="12" t="n"/>
      <c r="H983" s="12" t="n"/>
      <c r="I983" s="12" t="n"/>
      <c r="J983" s="12" t="n"/>
      <c r="K983" s="12" t="n"/>
      <c r="L983" s="14" t="n"/>
      <c r="M983" s="12" t="n"/>
      <c r="N983" s="12" t="n"/>
      <c r="O983" s="12" t="n"/>
      <c r="P983" s="12" t="n"/>
      <c r="Q983" s="7">
        <f>IF(A983="","",IFERROR(VLOOKUP(O983,Listes!$R$3:$T$8,2,FALSE),0)+IFERROR(VLOOKUP(J983,Listes!$J$3:$L$6,2,FALSE),0)+IFERROR(VLOOKUP(N983,Listes!$N$3:$P$6,2,FALSE),0)+IF(OR(L983="",B983=""),0,IF(L983-INT(B983)&lt;10,8,IF(L983-INT(B983)&lt;=90,10,5)))+IFERROR(VLOOKUP(AN983,Listes!$V$3:$W$5,2,FALSE),0)+IFERROR(VLOOKUP(AO983,Listes!$Y$3:$Z$5,2,FALSE),0))</f>
        <v/>
      </c>
      <c r="R983" s="12" t="n"/>
      <c r="S983" s="12" t="n"/>
      <c r="T983" s="12" t="n"/>
      <c r="U983" s="15" t="n"/>
      <c r="V983" s="15" t="n"/>
      <c r="W983" s="13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3" t="n"/>
      <c r="AK983" s="12" t="n"/>
      <c r="AL983" s="12" t="n"/>
      <c r="AM983" s="12" t="n"/>
      <c r="AN983" s="12" t="n"/>
      <c r="AO983" s="12" t="n"/>
      <c r="AP983" s="12" t="n"/>
      <c r="AQ983" s="7">
        <f>IF(A983="","",IF(AP983&lt;&gt;"",AP983,IF(LEFT(Z983,11)="gads_marque","Google Search – Marque",IF(LEFT(Z983,12)="gads_mariage","Google Search – Mariage et privé",IF(LEFT(Z983,10)="gads_corpo","Google Search – Corporatif",IF(LEFT(Z983,5)="meta_","Meta – Leads",IF(LEFT(Z983,5)="msft_","Microsoft Ads",IF(LEFT(Z983,8)="chatgpt_","ChatGPT Ads – Test",IF(X983="gbp","Fiche Google (organique)","Autre / non payé")))))))))</f>
        <v/>
      </c>
      <c r="AR983" s="7">
        <f>IF(K983="","",IFERROR(VLOOKUP(K983,Listes!$F$3:$H$8,3,FALSE),""))</f>
        <v/>
      </c>
      <c r="AS983" s="7">
        <f>IF(O983="","",IF(AND(M983="Autre (plus de 40 km)",OR(O983="lt600",O983="600_999",O983="1000_2499")),"D",IF(OR(O983="lt600",AND(O983="600_999",K983&lt;&gt;"mariage",K983&lt;&gt;"prive")),"C",IF(OR(O983="2500_4999",O983="5000p",J983="entreprise",J983="organisme",J983="agence"),"A",IF(OR(O983="1000_2499",O983="600_999"),"B",IF(O983="inconnu",IF(OR(N983="75_149",N983="150p"),"A","B"),""))))))</f>
        <v/>
      </c>
      <c r="AT983" s="7">
        <f>IF(A983="","",IF(P983&lt;&gt;"",P983,AS983))</f>
        <v/>
      </c>
      <c r="AU983" s="7">
        <f>IF(A983="","",IF(OR(AT983="A",AT983="B"),1,0))</f>
        <v/>
      </c>
      <c r="AV983" s="7">
        <f>IF(A983="","",IF(OR(R983="Dépôt payé (gagné)",R983="Événement livré",R983="Avis obtenu"),1,0))</f>
        <v/>
      </c>
      <c r="AW983" s="7">
        <f>IF(A983="","",IF(Q983&gt;70,"Immédiat – propriétaire",IF(Q983&gt;=40,"15 min – personne de garde","Selon la route")))</f>
        <v/>
      </c>
      <c r="AX983" s="11">
        <f>IF(A983="","",IF(AT983="A",400,IF(AT983="B",150,0)))</f>
        <v/>
      </c>
      <c r="AY983" s="11">
        <f>IF(A983="","",IF(AV983=1,N(V983),IF(N(U983)&gt;0,ROUND(N(U983)*IFERROR(VLOOKUP(R983,Listes!$AE$3:$AG$12,2,FALSE),0),0),0)))</f>
        <v/>
      </c>
      <c r="AZ983" s="7">
        <f>IF(LEFT(A983,7)="EXEMPLE",1,0)</f>
        <v/>
      </c>
      <c r="BA983" s="7">
        <f>IF(AND(AV983=1,AZ983=0,AC983&lt;&gt;"",W983&lt;&gt;"",N(V983)&gt;0),COUNTIFS($AV$3:AV983,1,$AZ$3:AZ983,0,$AC$3:AC983,"&lt;&gt;",$W$3:W983,"&lt;&gt;",$V$3:V983,"&gt;0"),"")</f>
        <v/>
      </c>
    </row>
    <row r="984">
      <c r="A984" s="12" t="n"/>
      <c r="B984" s="13" t="n"/>
      <c r="C984" s="13" t="n"/>
      <c r="D984" s="7">
        <f>IF(OR(B984="",C984=""),"",ROUND((C984-B984)*1440,0))</f>
        <v/>
      </c>
      <c r="E984" s="12" t="n"/>
      <c r="F984" s="12" t="n"/>
      <c r="G984" s="12" t="n"/>
      <c r="H984" s="12" t="n"/>
      <c r="I984" s="12" t="n"/>
      <c r="J984" s="12" t="n"/>
      <c r="K984" s="12" t="n"/>
      <c r="L984" s="14" t="n"/>
      <c r="M984" s="12" t="n"/>
      <c r="N984" s="12" t="n"/>
      <c r="O984" s="12" t="n"/>
      <c r="P984" s="12" t="n"/>
      <c r="Q984" s="7">
        <f>IF(A984="","",IFERROR(VLOOKUP(O984,Listes!$R$3:$T$8,2,FALSE),0)+IFERROR(VLOOKUP(J984,Listes!$J$3:$L$6,2,FALSE),0)+IFERROR(VLOOKUP(N984,Listes!$N$3:$P$6,2,FALSE),0)+IF(OR(L984="",B984=""),0,IF(L984-INT(B984)&lt;10,8,IF(L984-INT(B984)&lt;=90,10,5)))+IFERROR(VLOOKUP(AN984,Listes!$V$3:$W$5,2,FALSE),0)+IFERROR(VLOOKUP(AO984,Listes!$Y$3:$Z$5,2,FALSE),0))</f>
        <v/>
      </c>
      <c r="R984" s="12" t="n"/>
      <c r="S984" s="12" t="n"/>
      <c r="T984" s="12" t="n"/>
      <c r="U984" s="15" t="n"/>
      <c r="V984" s="15" t="n"/>
      <c r="W984" s="13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3" t="n"/>
      <c r="AK984" s="12" t="n"/>
      <c r="AL984" s="12" t="n"/>
      <c r="AM984" s="12" t="n"/>
      <c r="AN984" s="12" t="n"/>
      <c r="AO984" s="12" t="n"/>
      <c r="AP984" s="12" t="n"/>
      <c r="AQ984" s="7">
        <f>IF(A984="","",IF(AP984&lt;&gt;"",AP984,IF(LEFT(Z984,11)="gads_marque","Google Search – Marque",IF(LEFT(Z984,12)="gads_mariage","Google Search – Mariage et privé",IF(LEFT(Z984,10)="gads_corpo","Google Search – Corporatif",IF(LEFT(Z984,5)="meta_","Meta – Leads",IF(LEFT(Z984,5)="msft_","Microsoft Ads",IF(LEFT(Z984,8)="chatgpt_","ChatGPT Ads – Test",IF(X984="gbp","Fiche Google (organique)","Autre / non payé")))))))))</f>
        <v/>
      </c>
      <c r="AR984" s="7">
        <f>IF(K984="","",IFERROR(VLOOKUP(K984,Listes!$F$3:$H$8,3,FALSE),""))</f>
        <v/>
      </c>
      <c r="AS984" s="7">
        <f>IF(O984="","",IF(AND(M984="Autre (plus de 40 km)",OR(O984="lt600",O984="600_999",O984="1000_2499")),"D",IF(OR(O984="lt600",AND(O984="600_999",K984&lt;&gt;"mariage",K984&lt;&gt;"prive")),"C",IF(OR(O984="2500_4999",O984="5000p",J984="entreprise",J984="organisme",J984="agence"),"A",IF(OR(O984="1000_2499",O984="600_999"),"B",IF(O984="inconnu",IF(OR(N984="75_149",N984="150p"),"A","B"),""))))))</f>
        <v/>
      </c>
      <c r="AT984" s="7">
        <f>IF(A984="","",IF(P984&lt;&gt;"",P984,AS984))</f>
        <v/>
      </c>
      <c r="AU984" s="7">
        <f>IF(A984="","",IF(OR(AT984="A",AT984="B"),1,0))</f>
        <v/>
      </c>
      <c r="AV984" s="7">
        <f>IF(A984="","",IF(OR(R984="Dépôt payé (gagné)",R984="Événement livré",R984="Avis obtenu"),1,0))</f>
        <v/>
      </c>
      <c r="AW984" s="7">
        <f>IF(A984="","",IF(Q984&gt;70,"Immédiat – propriétaire",IF(Q984&gt;=40,"15 min – personne de garde","Selon la route")))</f>
        <v/>
      </c>
      <c r="AX984" s="11">
        <f>IF(A984="","",IF(AT984="A",400,IF(AT984="B",150,0)))</f>
        <v/>
      </c>
      <c r="AY984" s="11">
        <f>IF(A984="","",IF(AV984=1,N(V984),IF(N(U984)&gt;0,ROUND(N(U984)*IFERROR(VLOOKUP(R984,Listes!$AE$3:$AG$12,2,FALSE),0),0),0)))</f>
        <v/>
      </c>
      <c r="AZ984" s="7">
        <f>IF(LEFT(A984,7)="EXEMPLE",1,0)</f>
        <v/>
      </c>
      <c r="BA984" s="7">
        <f>IF(AND(AV984=1,AZ984=0,AC984&lt;&gt;"",W984&lt;&gt;"",N(V984)&gt;0),COUNTIFS($AV$3:AV984,1,$AZ$3:AZ984,0,$AC$3:AC984,"&lt;&gt;",$W$3:W984,"&lt;&gt;",$V$3:V984,"&gt;0"),"")</f>
        <v/>
      </c>
    </row>
    <row r="985">
      <c r="A985" s="12" t="n"/>
      <c r="B985" s="13" t="n"/>
      <c r="C985" s="13" t="n"/>
      <c r="D985" s="7">
        <f>IF(OR(B985="",C985=""),"",ROUND((C985-B985)*1440,0))</f>
        <v/>
      </c>
      <c r="E985" s="12" t="n"/>
      <c r="F985" s="12" t="n"/>
      <c r="G985" s="12" t="n"/>
      <c r="H985" s="12" t="n"/>
      <c r="I985" s="12" t="n"/>
      <c r="J985" s="12" t="n"/>
      <c r="K985" s="12" t="n"/>
      <c r="L985" s="14" t="n"/>
      <c r="M985" s="12" t="n"/>
      <c r="N985" s="12" t="n"/>
      <c r="O985" s="12" t="n"/>
      <c r="P985" s="12" t="n"/>
      <c r="Q985" s="7">
        <f>IF(A985="","",IFERROR(VLOOKUP(O985,Listes!$R$3:$T$8,2,FALSE),0)+IFERROR(VLOOKUP(J985,Listes!$J$3:$L$6,2,FALSE),0)+IFERROR(VLOOKUP(N985,Listes!$N$3:$P$6,2,FALSE),0)+IF(OR(L985="",B985=""),0,IF(L985-INT(B985)&lt;10,8,IF(L985-INT(B985)&lt;=90,10,5)))+IFERROR(VLOOKUP(AN985,Listes!$V$3:$W$5,2,FALSE),0)+IFERROR(VLOOKUP(AO985,Listes!$Y$3:$Z$5,2,FALSE),0))</f>
        <v/>
      </c>
      <c r="R985" s="12" t="n"/>
      <c r="S985" s="12" t="n"/>
      <c r="T985" s="12" t="n"/>
      <c r="U985" s="15" t="n"/>
      <c r="V985" s="15" t="n"/>
      <c r="W985" s="13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3" t="n"/>
      <c r="AK985" s="12" t="n"/>
      <c r="AL985" s="12" t="n"/>
      <c r="AM985" s="12" t="n"/>
      <c r="AN985" s="12" t="n"/>
      <c r="AO985" s="12" t="n"/>
      <c r="AP985" s="12" t="n"/>
      <c r="AQ985" s="7">
        <f>IF(A985="","",IF(AP985&lt;&gt;"",AP985,IF(LEFT(Z985,11)="gads_marque","Google Search – Marque",IF(LEFT(Z985,12)="gads_mariage","Google Search – Mariage et privé",IF(LEFT(Z985,10)="gads_corpo","Google Search – Corporatif",IF(LEFT(Z985,5)="meta_","Meta – Leads",IF(LEFT(Z985,5)="msft_","Microsoft Ads",IF(LEFT(Z985,8)="chatgpt_","ChatGPT Ads – Test",IF(X985="gbp","Fiche Google (organique)","Autre / non payé")))))))))</f>
        <v/>
      </c>
      <c r="AR985" s="7">
        <f>IF(K985="","",IFERROR(VLOOKUP(K985,Listes!$F$3:$H$8,3,FALSE),""))</f>
        <v/>
      </c>
      <c r="AS985" s="7">
        <f>IF(O985="","",IF(AND(M985="Autre (plus de 40 km)",OR(O985="lt600",O985="600_999",O985="1000_2499")),"D",IF(OR(O985="lt600",AND(O985="600_999",K985&lt;&gt;"mariage",K985&lt;&gt;"prive")),"C",IF(OR(O985="2500_4999",O985="5000p",J985="entreprise",J985="organisme",J985="agence"),"A",IF(OR(O985="1000_2499",O985="600_999"),"B",IF(O985="inconnu",IF(OR(N985="75_149",N985="150p"),"A","B"),""))))))</f>
        <v/>
      </c>
      <c r="AT985" s="7">
        <f>IF(A985="","",IF(P985&lt;&gt;"",P985,AS985))</f>
        <v/>
      </c>
      <c r="AU985" s="7">
        <f>IF(A985="","",IF(OR(AT985="A",AT985="B"),1,0))</f>
        <v/>
      </c>
      <c r="AV985" s="7">
        <f>IF(A985="","",IF(OR(R985="Dépôt payé (gagné)",R985="Événement livré",R985="Avis obtenu"),1,0))</f>
        <v/>
      </c>
      <c r="AW985" s="7">
        <f>IF(A985="","",IF(Q985&gt;70,"Immédiat – propriétaire",IF(Q985&gt;=40,"15 min – personne de garde","Selon la route")))</f>
        <v/>
      </c>
      <c r="AX985" s="11">
        <f>IF(A985="","",IF(AT985="A",400,IF(AT985="B",150,0)))</f>
        <v/>
      </c>
      <c r="AY985" s="11">
        <f>IF(A985="","",IF(AV985=1,N(V985),IF(N(U985)&gt;0,ROUND(N(U985)*IFERROR(VLOOKUP(R985,Listes!$AE$3:$AG$12,2,FALSE),0),0),0)))</f>
        <v/>
      </c>
      <c r="AZ985" s="7">
        <f>IF(LEFT(A985,7)="EXEMPLE",1,0)</f>
        <v/>
      </c>
      <c r="BA985" s="7">
        <f>IF(AND(AV985=1,AZ985=0,AC985&lt;&gt;"",W985&lt;&gt;"",N(V985)&gt;0),COUNTIFS($AV$3:AV985,1,$AZ$3:AZ985,0,$AC$3:AC985,"&lt;&gt;",$W$3:W985,"&lt;&gt;",$V$3:V985,"&gt;0"),"")</f>
        <v/>
      </c>
    </row>
    <row r="986">
      <c r="A986" s="12" t="n"/>
      <c r="B986" s="13" t="n"/>
      <c r="C986" s="13" t="n"/>
      <c r="D986" s="7">
        <f>IF(OR(B986="",C986=""),"",ROUND((C986-B986)*1440,0))</f>
        <v/>
      </c>
      <c r="E986" s="12" t="n"/>
      <c r="F986" s="12" t="n"/>
      <c r="G986" s="12" t="n"/>
      <c r="H986" s="12" t="n"/>
      <c r="I986" s="12" t="n"/>
      <c r="J986" s="12" t="n"/>
      <c r="K986" s="12" t="n"/>
      <c r="L986" s="14" t="n"/>
      <c r="M986" s="12" t="n"/>
      <c r="N986" s="12" t="n"/>
      <c r="O986" s="12" t="n"/>
      <c r="P986" s="12" t="n"/>
      <c r="Q986" s="7">
        <f>IF(A986="","",IFERROR(VLOOKUP(O986,Listes!$R$3:$T$8,2,FALSE),0)+IFERROR(VLOOKUP(J986,Listes!$J$3:$L$6,2,FALSE),0)+IFERROR(VLOOKUP(N986,Listes!$N$3:$P$6,2,FALSE),0)+IF(OR(L986="",B986=""),0,IF(L986-INT(B986)&lt;10,8,IF(L986-INT(B986)&lt;=90,10,5)))+IFERROR(VLOOKUP(AN986,Listes!$V$3:$W$5,2,FALSE),0)+IFERROR(VLOOKUP(AO986,Listes!$Y$3:$Z$5,2,FALSE),0))</f>
        <v/>
      </c>
      <c r="R986" s="12" t="n"/>
      <c r="S986" s="12" t="n"/>
      <c r="T986" s="12" t="n"/>
      <c r="U986" s="15" t="n"/>
      <c r="V986" s="15" t="n"/>
      <c r="W986" s="13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3" t="n"/>
      <c r="AK986" s="12" t="n"/>
      <c r="AL986" s="12" t="n"/>
      <c r="AM986" s="12" t="n"/>
      <c r="AN986" s="12" t="n"/>
      <c r="AO986" s="12" t="n"/>
      <c r="AP986" s="12" t="n"/>
      <c r="AQ986" s="7">
        <f>IF(A986="","",IF(AP986&lt;&gt;"",AP986,IF(LEFT(Z986,11)="gads_marque","Google Search – Marque",IF(LEFT(Z986,12)="gads_mariage","Google Search – Mariage et privé",IF(LEFT(Z986,10)="gads_corpo","Google Search – Corporatif",IF(LEFT(Z986,5)="meta_","Meta – Leads",IF(LEFT(Z986,5)="msft_","Microsoft Ads",IF(LEFT(Z986,8)="chatgpt_","ChatGPT Ads – Test",IF(X986="gbp","Fiche Google (organique)","Autre / non payé")))))))))</f>
        <v/>
      </c>
      <c r="AR986" s="7">
        <f>IF(K986="","",IFERROR(VLOOKUP(K986,Listes!$F$3:$H$8,3,FALSE),""))</f>
        <v/>
      </c>
      <c r="AS986" s="7">
        <f>IF(O986="","",IF(AND(M986="Autre (plus de 40 km)",OR(O986="lt600",O986="600_999",O986="1000_2499")),"D",IF(OR(O986="lt600",AND(O986="600_999",K986&lt;&gt;"mariage",K986&lt;&gt;"prive")),"C",IF(OR(O986="2500_4999",O986="5000p",J986="entreprise",J986="organisme",J986="agence"),"A",IF(OR(O986="1000_2499",O986="600_999"),"B",IF(O986="inconnu",IF(OR(N986="75_149",N986="150p"),"A","B"),""))))))</f>
        <v/>
      </c>
      <c r="AT986" s="7">
        <f>IF(A986="","",IF(P986&lt;&gt;"",P986,AS986))</f>
        <v/>
      </c>
      <c r="AU986" s="7">
        <f>IF(A986="","",IF(OR(AT986="A",AT986="B"),1,0))</f>
        <v/>
      </c>
      <c r="AV986" s="7">
        <f>IF(A986="","",IF(OR(R986="Dépôt payé (gagné)",R986="Événement livré",R986="Avis obtenu"),1,0))</f>
        <v/>
      </c>
      <c r="AW986" s="7">
        <f>IF(A986="","",IF(Q986&gt;70,"Immédiat – propriétaire",IF(Q986&gt;=40,"15 min – personne de garde","Selon la route")))</f>
        <v/>
      </c>
      <c r="AX986" s="11">
        <f>IF(A986="","",IF(AT986="A",400,IF(AT986="B",150,0)))</f>
        <v/>
      </c>
      <c r="AY986" s="11">
        <f>IF(A986="","",IF(AV986=1,N(V986),IF(N(U986)&gt;0,ROUND(N(U986)*IFERROR(VLOOKUP(R986,Listes!$AE$3:$AG$12,2,FALSE),0),0),0)))</f>
        <v/>
      </c>
      <c r="AZ986" s="7">
        <f>IF(LEFT(A986,7)="EXEMPLE",1,0)</f>
        <v/>
      </c>
      <c r="BA986" s="7">
        <f>IF(AND(AV986=1,AZ986=0,AC986&lt;&gt;"",W986&lt;&gt;"",N(V986)&gt;0),COUNTIFS($AV$3:AV986,1,$AZ$3:AZ986,0,$AC$3:AC986,"&lt;&gt;",$W$3:W986,"&lt;&gt;",$V$3:V986,"&gt;0"),"")</f>
        <v/>
      </c>
    </row>
    <row r="987">
      <c r="A987" s="12" t="n"/>
      <c r="B987" s="13" t="n"/>
      <c r="C987" s="13" t="n"/>
      <c r="D987" s="7">
        <f>IF(OR(B987="",C987=""),"",ROUND((C987-B987)*1440,0))</f>
        <v/>
      </c>
      <c r="E987" s="12" t="n"/>
      <c r="F987" s="12" t="n"/>
      <c r="G987" s="12" t="n"/>
      <c r="H987" s="12" t="n"/>
      <c r="I987" s="12" t="n"/>
      <c r="J987" s="12" t="n"/>
      <c r="K987" s="12" t="n"/>
      <c r="L987" s="14" t="n"/>
      <c r="M987" s="12" t="n"/>
      <c r="N987" s="12" t="n"/>
      <c r="O987" s="12" t="n"/>
      <c r="P987" s="12" t="n"/>
      <c r="Q987" s="7">
        <f>IF(A987="","",IFERROR(VLOOKUP(O987,Listes!$R$3:$T$8,2,FALSE),0)+IFERROR(VLOOKUP(J987,Listes!$J$3:$L$6,2,FALSE),0)+IFERROR(VLOOKUP(N987,Listes!$N$3:$P$6,2,FALSE),0)+IF(OR(L987="",B987=""),0,IF(L987-INT(B987)&lt;10,8,IF(L987-INT(B987)&lt;=90,10,5)))+IFERROR(VLOOKUP(AN987,Listes!$V$3:$W$5,2,FALSE),0)+IFERROR(VLOOKUP(AO987,Listes!$Y$3:$Z$5,2,FALSE),0))</f>
        <v/>
      </c>
      <c r="R987" s="12" t="n"/>
      <c r="S987" s="12" t="n"/>
      <c r="T987" s="12" t="n"/>
      <c r="U987" s="15" t="n"/>
      <c r="V987" s="15" t="n"/>
      <c r="W987" s="13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3" t="n"/>
      <c r="AK987" s="12" t="n"/>
      <c r="AL987" s="12" t="n"/>
      <c r="AM987" s="12" t="n"/>
      <c r="AN987" s="12" t="n"/>
      <c r="AO987" s="12" t="n"/>
      <c r="AP987" s="12" t="n"/>
      <c r="AQ987" s="7">
        <f>IF(A987="","",IF(AP987&lt;&gt;"",AP987,IF(LEFT(Z987,11)="gads_marque","Google Search – Marque",IF(LEFT(Z987,12)="gads_mariage","Google Search – Mariage et privé",IF(LEFT(Z987,10)="gads_corpo","Google Search – Corporatif",IF(LEFT(Z987,5)="meta_","Meta – Leads",IF(LEFT(Z987,5)="msft_","Microsoft Ads",IF(LEFT(Z987,8)="chatgpt_","ChatGPT Ads – Test",IF(X987="gbp","Fiche Google (organique)","Autre / non payé")))))))))</f>
        <v/>
      </c>
      <c r="AR987" s="7">
        <f>IF(K987="","",IFERROR(VLOOKUP(K987,Listes!$F$3:$H$8,3,FALSE),""))</f>
        <v/>
      </c>
      <c r="AS987" s="7">
        <f>IF(O987="","",IF(AND(M987="Autre (plus de 40 km)",OR(O987="lt600",O987="600_999",O987="1000_2499")),"D",IF(OR(O987="lt600",AND(O987="600_999",K987&lt;&gt;"mariage",K987&lt;&gt;"prive")),"C",IF(OR(O987="2500_4999",O987="5000p",J987="entreprise",J987="organisme",J987="agence"),"A",IF(OR(O987="1000_2499",O987="600_999"),"B",IF(O987="inconnu",IF(OR(N987="75_149",N987="150p"),"A","B"),""))))))</f>
        <v/>
      </c>
      <c r="AT987" s="7">
        <f>IF(A987="","",IF(P987&lt;&gt;"",P987,AS987))</f>
        <v/>
      </c>
      <c r="AU987" s="7">
        <f>IF(A987="","",IF(OR(AT987="A",AT987="B"),1,0))</f>
        <v/>
      </c>
      <c r="AV987" s="7">
        <f>IF(A987="","",IF(OR(R987="Dépôt payé (gagné)",R987="Événement livré",R987="Avis obtenu"),1,0))</f>
        <v/>
      </c>
      <c r="AW987" s="7">
        <f>IF(A987="","",IF(Q987&gt;70,"Immédiat – propriétaire",IF(Q987&gt;=40,"15 min – personne de garde","Selon la route")))</f>
        <v/>
      </c>
      <c r="AX987" s="11">
        <f>IF(A987="","",IF(AT987="A",400,IF(AT987="B",150,0)))</f>
        <v/>
      </c>
      <c r="AY987" s="11">
        <f>IF(A987="","",IF(AV987=1,N(V987),IF(N(U987)&gt;0,ROUND(N(U987)*IFERROR(VLOOKUP(R987,Listes!$AE$3:$AG$12,2,FALSE),0),0),0)))</f>
        <v/>
      </c>
      <c r="AZ987" s="7">
        <f>IF(LEFT(A987,7)="EXEMPLE",1,0)</f>
        <v/>
      </c>
      <c r="BA987" s="7">
        <f>IF(AND(AV987=1,AZ987=0,AC987&lt;&gt;"",W987&lt;&gt;"",N(V987)&gt;0),COUNTIFS($AV$3:AV987,1,$AZ$3:AZ987,0,$AC$3:AC987,"&lt;&gt;",$W$3:W987,"&lt;&gt;",$V$3:V987,"&gt;0"),"")</f>
        <v/>
      </c>
    </row>
    <row r="988">
      <c r="A988" s="12" t="n"/>
      <c r="B988" s="13" t="n"/>
      <c r="C988" s="13" t="n"/>
      <c r="D988" s="7">
        <f>IF(OR(B988="",C988=""),"",ROUND((C988-B988)*1440,0))</f>
        <v/>
      </c>
      <c r="E988" s="12" t="n"/>
      <c r="F988" s="12" t="n"/>
      <c r="G988" s="12" t="n"/>
      <c r="H988" s="12" t="n"/>
      <c r="I988" s="12" t="n"/>
      <c r="J988" s="12" t="n"/>
      <c r="K988" s="12" t="n"/>
      <c r="L988" s="14" t="n"/>
      <c r="M988" s="12" t="n"/>
      <c r="N988" s="12" t="n"/>
      <c r="O988" s="12" t="n"/>
      <c r="P988" s="12" t="n"/>
      <c r="Q988" s="7">
        <f>IF(A988="","",IFERROR(VLOOKUP(O988,Listes!$R$3:$T$8,2,FALSE),0)+IFERROR(VLOOKUP(J988,Listes!$J$3:$L$6,2,FALSE),0)+IFERROR(VLOOKUP(N988,Listes!$N$3:$P$6,2,FALSE),0)+IF(OR(L988="",B988=""),0,IF(L988-INT(B988)&lt;10,8,IF(L988-INT(B988)&lt;=90,10,5)))+IFERROR(VLOOKUP(AN988,Listes!$V$3:$W$5,2,FALSE),0)+IFERROR(VLOOKUP(AO988,Listes!$Y$3:$Z$5,2,FALSE),0))</f>
        <v/>
      </c>
      <c r="R988" s="12" t="n"/>
      <c r="S988" s="12" t="n"/>
      <c r="T988" s="12" t="n"/>
      <c r="U988" s="15" t="n"/>
      <c r="V988" s="15" t="n"/>
      <c r="W988" s="13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3" t="n"/>
      <c r="AK988" s="12" t="n"/>
      <c r="AL988" s="12" t="n"/>
      <c r="AM988" s="12" t="n"/>
      <c r="AN988" s="12" t="n"/>
      <c r="AO988" s="12" t="n"/>
      <c r="AP988" s="12" t="n"/>
      <c r="AQ988" s="7">
        <f>IF(A988="","",IF(AP988&lt;&gt;"",AP988,IF(LEFT(Z988,11)="gads_marque","Google Search – Marque",IF(LEFT(Z988,12)="gads_mariage","Google Search – Mariage et privé",IF(LEFT(Z988,10)="gads_corpo","Google Search – Corporatif",IF(LEFT(Z988,5)="meta_","Meta – Leads",IF(LEFT(Z988,5)="msft_","Microsoft Ads",IF(LEFT(Z988,8)="chatgpt_","ChatGPT Ads – Test",IF(X988="gbp","Fiche Google (organique)","Autre / non payé")))))))))</f>
        <v/>
      </c>
      <c r="AR988" s="7">
        <f>IF(K988="","",IFERROR(VLOOKUP(K988,Listes!$F$3:$H$8,3,FALSE),""))</f>
        <v/>
      </c>
      <c r="AS988" s="7">
        <f>IF(O988="","",IF(AND(M988="Autre (plus de 40 km)",OR(O988="lt600",O988="600_999",O988="1000_2499")),"D",IF(OR(O988="lt600",AND(O988="600_999",K988&lt;&gt;"mariage",K988&lt;&gt;"prive")),"C",IF(OR(O988="2500_4999",O988="5000p",J988="entreprise",J988="organisme",J988="agence"),"A",IF(OR(O988="1000_2499",O988="600_999"),"B",IF(O988="inconnu",IF(OR(N988="75_149",N988="150p"),"A","B"),""))))))</f>
        <v/>
      </c>
      <c r="AT988" s="7">
        <f>IF(A988="","",IF(P988&lt;&gt;"",P988,AS988))</f>
        <v/>
      </c>
      <c r="AU988" s="7">
        <f>IF(A988="","",IF(OR(AT988="A",AT988="B"),1,0))</f>
        <v/>
      </c>
      <c r="AV988" s="7">
        <f>IF(A988="","",IF(OR(R988="Dépôt payé (gagné)",R988="Événement livré",R988="Avis obtenu"),1,0))</f>
        <v/>
      </c>
      <c r="AW988" s="7">
        <f>IF(A988="","",IF(Q988&gt;70,"Immédiat – propriétaire",IF(Q988&gt;=40,"15 min – personne de garde","Selon la route")))</f>
        <v/>
      </c>
      <c r="AX988" s="11">
        <f>IF(A988="","",IF(AT988="A",400,IF(AT988="B",150,0)))</f>
        <v/>
      </c>
      <c r="AY988" s="11">
        <f>IF(A988="","",IF(AV988=1,N(V988),IF(N(U988)&gt;0,ROUND(N(U988)*IFERROR(VLOOKUP(R988,Listes!$AE$3:$AG$12,2,FALSE),0),0),0)))</f>
        <v/>
      </c>
      <c r="AZ988" s="7">
        <f>IF(LEFT(A988,7)="EXEMPLE",1,0)</f>
        <v/>
      </c>
      <c r="BA988" s="7">
        <f>IF(AND(AV988=1,AZ988=0,AC988&lt;&gt;"",W988&lt;&gt;"",N(V988)&gt;0),COUNTIFS($AV$3:AV988,1,$AZ$3:AZ988,0,$AC$3:AC988,"&lt;&gt;",$W$3:W988,"&lt;&gt;",$V$3:V988,"&gt;0"),"")</f>
        <v/>
      </c>
    </row>
    <row r="989">
      <c r="A989" s="12" t="n"/>
      <c r="B989" s="13" t="n"/>
      <c r="C989" s="13" t="n"/>
      <c r="D989" s="7">
        <f>IF(OR(B989="",C989=""),"",ROUND((C989-B989)*1440,0))</f>
        <v/>
      </c>
      <c r="E989" s="12" t="n"/>
      <c r="F989" s="12" t="n"/>
      <c r="G989" s="12" t="n"/>
      <c r="H989" s="12" t="n"/>
      <c r="I989" s="12" t="n"/>
      <c r="J989" s="12" t="n"/>
      <c r="K989" s="12" t="n"/>
      <c r="L989" s="14" t="n"/>
      <c r="M989" s="12" t="n"/>
      <c r="N989" s="12" t="n"/>
      <c r="O989" s="12" t="n"/>
      <c r="P989" s="12" t="n"/>
      <c r="Q989" s="7">
        <f>IF(A989="","",IFERROR(VLOOKUP(O989,Listes!$R$3:$T$8,2,FALSE),0)+IFERROR(VLOOKUP(J989,Listes!$J$3:$L$6,2,FALSE),0)+IFERROR(VLOOKUP(N989,Listes!$N$3:$P$6,2,FALSE),0)+IF(OR(L989="",B989=""),0,IF(L989-INT(B989)&lt;10,8,IF(L989-INT(B989)&lt;=90,10,5)))+IFERROR(VLOOKUP(AN989,Listes!$V$3:$W$5,2,FALSE),0)+IFERROR(VLOOKUP(AO989,Listes!$Y$3:$Z$5,2,FALSE),0))</f>
        <v/>
      </c>
      <c r="R989" s="12" t="n"/>
      <c r="S989" s="12" t="n"/>
      <c r="T989" s="12" t="n"/>
      <c r="U989" s="15" t="n"/>
      <c r="V989" s="15" t="n"/>
      <c r="W989" s="13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3" t="n"/>
      <c r="AK989" s="12" t="n"/>
      <c r="AL989" s="12" t="n"/>
      <c r="AM989" s="12" t="n"/>
      <c r="AN989" s="12" t="n"/>
      <c r="AO989" s="12" t="n"/>
      <c r="AP989" s="12" t="n"/>
      <c r="AQ989" s="7">
        <f>IF(A989="","",IF(AP989&lt;&gt;"",AP989,IF(LEFT(Z989,11)="gads_marque","Google Search – Marque",IF(LEFT(Z989,12)="gads_mariage","Google Search – Mariage et privé",IF(LEFT(Z989,10)="gads_corpo","Google Search – Corporatif",IF(LEFT(Z989,5)="meta_","Meta – Leads",IF(LEFT(Z989,5)="msft_","Microsoft Ads",IF(LEFT(Z989,8)="chatgpt_","ChatGPT Ads – Test",IF(X989="gbp","Fiche Google (organique)","Autre / non payé")))))))))</f>
        <v/>
      </c>
      <c r="AR989" s="7">
        <f>IF(K989="","",IFERROR(VLOOKUP(K989,Listes!$F$3:$H$8,3,FALSE),""))</f>
        <v/>
      </c>
      <c r="AS989" s="7">
        <f>IF(O989="","",IF(AND(M989="Autre (plus de 40 km)",OR(O989="lt600",O989="600_999",O989="1000_2499")),"D",IF(OR(O989="lt600",AND(O989="600_999",K989&lt;&gt;"mariage",K989&lt;&gt;"prive")),"C",IF(OR(O989="2500_4999",O989="5000p",J989="entreprise",J989="organisme",J989="agence"),"A",IF(OR(O989="1000_2499",O989="600_999"),"B",IF(O989="inconnu",IF(OR(N989="75_149",N989="150p"),"A","B"),""))))))</f>
        <v/>
      </c>
      <c r="AT989" s="7">
        <f>IF(A989="","",IF(P989&lt;&gt;"",P989,AS989))</f>
        <v/>
      </c>
      <c r="AU989" s="7">
        <f>IF(A989="","",IF(OR(AT989="A",AT989="B"),1,0))</f>
        <v/>
      </c>
      <c r="AV989" s="7">
        <f>IF(A989="","",IF(OR(R989="Dépôt payé (gagné)",R989="Événement livré",R989="Avis obtenu"),1,0))</f>
        <v/>
      </c>
      <c r="AW989" s="7">
        <f>IF(A989="","",IF(Q989&gt;70,"Immédiat – propriétaire",IF(Q989&gt;=40,"15 min – personne de garde","Selon la route")))</f>
        <v/>
      </c>
      <c r="AX989" s="11">
        <f>IF(A989="","",IF(AT989="A",400,IF(AT989="B",150,0)))</f>
        <v/>
      </c>
      <c r="AY989" s="11">
        <f>IF(A989="","",IF(AV989=1,N(V989),IF(N(U989)&gt;0,ROUND(N(U989)*IFERROR(VLOOKUP(R989,Listes!$AE$3:$AG$12,2,FALSE),0),0),0)))</f>
        <v/>
      </c>
      <c r="AZ989" s="7">
        <f>IF(LEFT(A989,7)="EXEMPLE",1,0)</f>
        <v/>
      </c>
      <c r="BA989" s="7">
        <f>IF(AND(AV989=1,AZ989=0,AC989&lt;&gt;"",W989&lt;&gt;"",N(V989)&gt;0),COUNTIFS($AV$3:AV989,1,$AZ$3:AZ989,0,$AC$3:AC989,"&lt;&gt;",$W$3:W989,"&lt;&gt;",$V$3:V989,"&gt;0"),"")</f>
        <v/>
      </c>
    </row>
    <row r="990">
      <c r="A990" s="12" t="n"/>
      <c r="B990" s="13" t="n"/>
      <c r="C990" s="13" t="n"/>
      <c r="D990" s="7">
        <f>IF(OR(B990="",C990=""),"",ROUND((C990-B990)*1440,0))</f>
        <v/>
      </c>
      <c r="E990" s="12" t="n"/>
      <c r="F990" s="12" t="n"/>
      <c r="G990" s="12" t="n"/>
      <c r="H990" s="12" t="n"/>
      <c r="I990" s="12" t="n"/>
      <c r="J990" s="12" t="n"/>
      <c r="K990" s="12" t="n"/>
      <c r="L990" s="14" t="n"/>
      <c r="M990" s="12" t="n"/>
      <c r="N990" s="12" t="n"/>
      <c r="O990" s="12" t="n"/>
      <c r="P990" s="12" t="n"/>
      <c r="Q990" s="7">
        <f>IF(A990="","",IFERROR(VLOOKUP(O990,Listes!$R$3:$T$8,2,FALSE),0)+IFERROR(VLOOKUP(J990,Listes!$J$3:$L$6,2,FALSE),0)+IFERROR(VLOOKUP(N990,Listes!$N$3:$P$6,2,FALSE),0)+IF(OR(L990="",B990=""),0,IF(L990-INT(B990)&lt;10,8,IF(L990-INT(B990)&lt;=90,10,5)))+IFERROR(VLOOKUP(AN990,Listes!$V$3:$W$5,2,FALSE),0)+IFERROR(VLOOKUP(AO990,Listes!$Y$3:$Z$5,2,FALSE),0))</f>
        <v/>
      </c>
      <c r="R990" s="12" t="n"/>
      <c r="S990" s="12" t="n"/>
      <c r="T990" s="12" t="n"/>
      <c r="U990" s="15" t="n"/>
      <c r="V990" s="15" t="n"/>
      <c r="W990" s="13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3" t="n"/>
      <c r="AK990" s="12" t="n"/>
      <c r="AL990" s="12" t="n"/>
      <c r="AM990" s="12" t="n"/>
      <c r="AN990" s="12" t="n"/>
      <c r="AO990" s="12" t="n"/>
      <c r="AP990" s="12" t="n"/>
      <c r="AQ990" s="7">
        <f>IF(A990="","",IF(AP990&lt;&gt;"",AP990,IF(LEFT(Z990,11)="gads_marque","Google Search – Marque",IF(LEFT(Z990,12)="gads_mariage","Google Search – Mariage et privé",IF(LEFT(Z990,10)="gads_corpo","Google Search – Corporatif",IF(LEFT(Z990,5)="meta_","Meta – Leads",IF(LEFT(Z990,5)="msft_","Microsoft Ads",IF(LEFT(Z990,8)="chatgpt_","ChatGPT Ads – Test",IF(X990="gbp","Fiche Google (organique)","Autre / non payé")))))))))</f>
        <v/>
      </c>
      <c r="AR990" s="7">
        <f>IF(K990="","",IFERROR(VLOOKUP(K990,Listes!$F$3:$H$8,3,FALSE),""))</f>
        <v/>
      </c>
      <c r="AS990" s="7">
        <f>IF(O990="","",IF(AND(M990="Autre (plus de 40 km)",OR(O990="lt600",O990="600_999",O990="1000_2499")),"D",IF(OR(O990="lt600",AND(O990="600_999",K990&lt;&gt;"mariage",K990&lt;&gt;"prive")),"C",IF(OR(O990="2500_4999",O990="5000p",J990="entreprise",J990="organisme",J990="agence"),"A",IF(OR(O990="1000_2499",O990="600_999"),"B",IF(O990="inconnu",IF(OR(N990="75_149",N990="150p"),"A","B"),""))))))</f>
        <v/>
      </c>
      <c r="AT990" s="7">
        <f>IF(A990="","",IF(P990&lt;&gt;"",P990,AS990))</f>
        <v/>
      </c>
      <c r="AU990" s="7">
        <f>IF(A990="","",IF(OR(AT990="A",AT990="B"),1,0))</f>
        <v/>
      </c>
      <c r="AV990" s="7">
        <f>IF(A990="","",IF(OR(R990="Dépôt payé (gagné)",R990="Événement livré",R990="Avis obtenu"),1,0))</f>
        <v/>
      </c>
      <c r="AW990" s="7">
        <f>IF(A990="","",IF(Q990&gt;70,"Immédiat – propriétaire",IF(Q990&gt;=40,"15 min – personne de garde","Selon la route")))</f>
        <v/>
      </c>
      <c r="AX990" s="11">
        <f>IF(A990="","",IF(AT990="A",400,IF(AT990="B",150,0)))</f>
        <v/>
      </c>
      <c r="AY990" s="11">
        <f>IF(A990="","",IF(AV990=1,N(V990),IF(N(U990)&gt;0,ROUND(N(U990)*IFERROR(VLOOKUP(R990,Listes!$AE$3:$AG$12,2,FALSE),0),0),0)))</f>
        <v/>
      </c>
      <c r="AZ990" s="7">
        <f>IF(LEFT(A990,7)="EXEMPLE",1,0)</f>
        <v/>
      </c>
      <c r="BA990" s="7">
        <f>IF(AND(AV990=1,AZ990=0,AC990&lt;&gt;"",W990&lt;&gt;"",N(V990)&gt;0),COUNTIFS($AV$3:AV990,1,$AZ$3:AZ990,0,$AC$3:AC990,"&lt;&gt;",$W$3:W990,"&lt;&gt;",$V$3:V990,"&gt;0"),"")</f>
        <v/>
      </c>
    </row>
    <row r="991">
      <c r="A991" s="12" t="n"/>
      <c r="B991" s="13" t="n"/>
      <c r="C991" s="13" t="n"/>
      <c r="D991" s="7">
        <f>IF(OR(B991="",C991=""),"",ROUND((C991-B991)*1440,0))</f>
        <v/>
      </c>
      <c r="E991" s="12" t="n"/>
      <c r="F991" s="12" t="n"/>
      <c r="G991" s="12" t="n"/>
      <c r="H991" s="12" t="n"/>
      <c r="I991" s="12" t="n"/>
      <c r="J991" s="12" t="n"/>
      <c r="K991" s="12" t="n"/>
      <c r="L991" s="14" t="n"/>
      <c r="M991" s="12" t="n"/>
      <c r="N991" s="12" t="n"/>
      <c r="O991" s="12" t="n"/>
      <c r="P991" s="12" t="n"/>
      <c r="Q991" s="7">
        <f>IF(A991="","",IFERROR(VLOOKUP(O991,Listes!$R$3:$T$8,2,FALSE),0)+IFERROR(VLOOKUP(J991,Listes!$J$3:$L$6,2,FALSE),0)+IFERROR(VLOOKUP(N991,Listes!$N$3:$P$6,2,FALSE),0)+IF(OR(L991="",B991=""),0,IF(L991-INT(B991)&lt;10,8,IF(L991-INT(B991)&lt;=90,10,5)))+IFERROR(VLOOKUP(AN991,Listes!$V$3:$W$5,2,FALSE),0)+IFERROR(VLOOKUP(AO991,Listes!$Y$3:$Z$5,2,FALSE),0))</f>
        <v/>
      </c>
      <c r="R991" s="12" t="n"/>
      <c r="S991" s="12" t="n"/>
      <c r="T991" s="12" t="n"/>
      <c r="U991" s="15" t="n"/>
      <c r="V991" s="15" t="n"/>
      <c r="W991" s="13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3" t="n"/>
      <c r="AK991" s="12" t="n"/>
      <c r="AL991" s="12" t="n"/>
      <c r="AM991" s="12" t="n"/>
      <c r="AN991" s="12" t="n"/>
      <c r="AO991" s="12" t="n"/>
      <c r="AP991" s="12" t="n"/>
      <c r="AQ991" s="7">
        <f>IF(A991="","",IF(AP991&lt;&gt;"",AP991,IF(LEFT(Z991,11)="gads_marque","Google Search – Marque",IF(LEFT(Z991,12)="gads_mariage","Google Search – Mariage et privé",IF(LEFT(Z991,10)="gads_corpo","Google Search – Corporatif",IF(LEFT(Z991,5)="meta_","Meta – Leads",IF(LEFT(Z991,5)="msft_","Microsoft Ads",IF(LEFT(Z991,8)="chatgpt_","ChatGPT Ads – Test",IF(X991="gbp","Fiche Google (organique)","Autre / non payé")))))))))</f>
        <v/>
      </c>
      <c r="AR991" s="7">
        <f>IF(K991="","",IFERROR(VLOOKUP(K991,Listes!$F$3:$H$8,3,FALSE),""))</f>
        <v/>
      </c>
      <c r="AS991" s="7">
        <f>IF(O991="","",IF(AND(M991="Autre (plus de 40 km)",OR(O991="lt600",O991="600_999",O991="1000_2499")),"D",IF(OR(O991="lt600",AND(O991="600_999",K991&lt;&gt;"mariage",K991&lt;&gt;"prive")),"C",IF(OR(O991="2500_4999",O991="5000p",J991="entreprise",J991="organisme",J991="agence"),"A",IF(OR(O991="1000_2499",O991="600_999"),"B",IF(O991="inconnu",IF(OR(N991="75_149",N991="150p"),"A","B"),""))))))</f>
        <v/>
      </c>
      <c r="AT991" s="7">
        <f>IF(A991="","",IF(P991&lt;&gt;"",P991,AS991))</f>
        <v/>
      </c>
      <c r="AU991" s="7">
        <f>IF(A991="","",IF(OR(AT991="A",AT991="B"),1,0))</f>
        <v/>
      </c>
      <c r="AV991" s="7">
        <f>IF(A991="","",IF(OR(R991="Dépôt payé (gagné)",R991="Événement livré",R991="Avis obtenu"),1,0))</f>
        <v/>
      </c>
      <c r="AW991" s="7">
        <f>IF(A991="","",IF(Q991&gt;70,"Immédiat – propriétaire",IF(Q991&gt;=40,"15 min – personne de garde","Selon la route")))</f>
        <v/>
      </c>
      <c r="AX991" s="11">
        <f>IF(A991="","",IF(AT991="A",400,IF(AT991="B",150,0)))</f>
        <v/>
      </c>
      <c r="AY991" s="11">
        <f>IF(A991="","",IF(AV991=1,N(V991),IF(N(U991)&gt;0,ROUND(N(U991)*IFERROR(VLOOKUP(R991,Listes!$AE$3:$AG$12,2,FALSE),0),0),0)))</f>
        <v/>
      </c>
      <c r="AZ991" s="7">
        <f>IF(LEFT(A991,7)="EXEMPLE",1,0)</f>
        <v/>
      </c>
      <c r="BA991" s="7">
        <f>IF(AND(AV991=1,AZ991=0,AC991&lt;&gt;"",W991&lt;&gt;"",N(V991)&gt;0),COUNTIFS($AV$3:AV991,1,$AZ$3:AZ991,0,$AC$3:AC991,"&lt;&gt;",$W$3:W991,"&lt;&gt;",$V$3:V991,"&gt;0"),"")</f>
        <v/>
      </c>
    </row>
    <row r="992">
      <c r="A992" s="12" t="n"/>
      <c r="B992" s="13" t="n"/>
      <c r="C992" s="13" t="n"/>
      <c r="D992" s="7">
        <f>IF(OR(B992="",C992=""),"",ROUND((C992-B992)*1440,0))</f>
        <v/>
      </c>
      <c r="E992" s="12" t="n"/>
      <c r="F992" s="12" t="n"/>
      <c r="G992" s="12" t="n"/>
      <c r="H992" s="12" t="n"/>
      <c r="I992" s="12" t="n"/>
      <c r="J992" s="12" t="n"/>
      <c r="K992" s="12" t="n"/>
      <c r="L992" s="14" t="n"/>
      <c r="M992" s="12" t="n"/>
      <c r="N992" s="12" t="n"/>
      <c r="O992" s="12" t="n"/>
      <c r="P992" s="12" t="n"/>
      <c r="Q992" s="7">
        <f>IF(A992="","",IFERROR(VLOOKUP(O992,Listes!$R$3:$T$8,2,FALSE),0)+IFERROR(VLOOKUP(J992,Listes!$J$3:$L$6,2,FALSE),0)+IFERROR(VLOOKUP(N992,Listes!$N$3:$P$6,2,FALSE),0)+IF(OR(L992="",B992=""),0,IF(L992-INT(B992)&lt;10,8,IF(L992-INT(B992)&lt;=90,10,5)))+IFERROR(VLOOKUP(AN992,Listes!$V$3:$W$5,2,FALSE),0)+IFERROR(VLOOKUP(AO992,Listes!$Y$3:$Z$5,2,FALSE),0))</f>
        <v/>
      </c>
      <c r="R992" s="12" t="n"/>
      <c r="S992" s="12" t="n"/>
      <c r="T992" s="12" t="n"/>
      <c r="U992" s="15" t="n"/>
      <c r="V992" s="15" t="n"/>
      <c r="W992" s="13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3" t="n"/>
      <c r="AK992" s="12" t="n"/>
      <c r="AL992" s="12" t="n"/>
      <c r="AM992" s="12" t="n"/>
      <c r="AN992" s="12" t="n"/>
      <c r="AO992" s="12" t="n"/>
      <c r="AP992" s="12" t="n"/>
      <c r="AQ992" s="7">
        <f>IF(A992="","",IF(AP992&lt;&gt;"",AP992,IF(LEFT(Z992,11)="gads_marque","Google Search – Marque",IF(LEFT(Z992,12)="gads_mariage","Google Search – Mariage et privé",IF(LEFT(Z992,10)="gads_corpo","Google Search – Corporatif",IF(LEFT(Z992,5)="meta_","Meta – Leads",IF(LEFT(Z992,5)="msft_","Microsoft Ads",IF(LEFT(Z992,8)="chatgpt_","ChatGPT Ads – Test",IF(X992="gbp","Fiche Google (organique)","Autre / non payé")))))))))</f>
        <v/>
      </c>
      <c r="AR992" s="7">
        <f>IF(K992="","",IFERROR(VLOOKUP(K992,Listes!$F$3:$H$8,3,FALSE),""))</f>
        <v/>
      </c>
      <c r="AS992" s="7">
        <f>IF(O992="","",IF(AND(M992="Autre (plus de 40 km)",OR(O992="lt600",O992="600_999",O992="1000_2499")),"D",IF(OR(O992="lt600",AND(O992="600_999",K992&lt;&gt;"mariage",K992&lt;&gt;"prive")),"C",IF(OR(O992="2500_4999",O992="5000p",J992="entreprise",J992="organisme",J992="agence"),"A",IF(OR(O992="1000_2499",O992="600_999"),"B",IF(O992="inconnu",IF(OR(N992="75_149",N992="150p"),"A","B"),""))))))</f>
        <v/>
      </c>
      <c r="AT992" s="7">
        <f>IF(A992="","",IF(P992&lt;&gt;"",P992,AS992))</f>
        <v/>
      </c>
      <c r="AU992" s="7">
        <f>IF(A992="","",IF(OR(AT992="A",AT992="B"),1,0))</f>
        <v/>
      </c>
      <c r="AV992" s="7">
        <f>IF(A992="","",IF(OR(R992="Dépôt payé (gagné)",R992="Événement livré",R992="Avis obtenu"),1,0))</f>
        <v/>
      </c>
      <c r="AW992" s="7">
        <f>IF(A992="","",IF(Q992&gt;70,"Immédiat – propriétaire",IF(Q992&gt;=40,"15 min – personne de garde","Selon la route")))</f>
        <v/>
      </c>
      <c r="AX992" s="11">
        <f>IF(A992="","",IF(AT992="A",400,IF(AT992="B",150,0)))</f>
        <v/>
      </c>
      <c r="AY992" s="11">
        <f>IF(A992="","",IF(AV992=1,N(V992),IF(N(U992)&gt;0,ROUND(N(U992)*IFERROR(VLOOKUP(R992,Listes!$AE$3:$AG$12,2,FALSE),0),0),0)))</f>
        <v/>
      </c>
      <c r="AZ992" s="7">
        <f>IF(LEFT(A992,7)="EXEMPLE",1,0)</f>
        <v/>
      </c>
      <c r="BA992" s="7">
        <f>IF(AND(AV992=1,AZ992=0,AC992&lt;&gt;"",W992&lt;&gt;"",N(V992)&gt;0),COUNTIFS($AV$3:AV992,1,$AZ$3:AZ992,0,$AC$3:AC992,"&lt;&gt;",$W$3:W992,"&lt;&gt;",$V$3:V992,"&gt;0"),"")</f>
        <v/>
      </c>
    </row>
    <row r="993">
      <c r="A993" s="12" t="n"/>
      <c r="B993" s="13" t="n"/>
      <c r="C993" s="13" t="n"/>
      <c r="D993" s="7">
        <f>IF(OR(B993="",C993=""),"",ROUND((C993-B993)*1440,0))</f>
        <v/>
      </c>
      <c r="E993" s="12" t="n"/>
      <c r="F993" s="12" t="n"/>
      <c r="G993" s="12" t="n"/>
      <c r="H993" s="12" t="n"/>
      <c r="I993" s="12" t="n"/>
      <c r="J993" s="12" t="n"/>
      <c r="K993" s="12" t="n"/>
      <c r="L993" s="14" t="n"/>
      <c r="M993" s="12" t="n"/>
      <c r="N993" s="12" t="n"/>
      <c r="O993" s="12" t="n"/>
      <c r="P993" s="12" t="n"/>
      <c r="Q993" s="7">
        <f>IF(A993="","",IFERROR(VLOOKUP(O993,Listes!$R$3:$T$8,2,FALSE),0)+IFERROR(VLOOKUP(J993,Listes!$J$3:$L$6,2,FALSE),0)+IFERROR(VLOOKUP(N993,Listes!$N$3:$P$6,2,FALSE),0)+IF(OR(L993="",B993=""),0,IF(L993-INT(B993)&lt;10,8,IF(L993-INT(B993)&lt;=90,10,5)))+IFERROR(VLOOKUP(AN993,Listes!$V$3:$W$5,2,FALSE),0)+IFERROR(VLOOKUP(AO993,Listes!$Y$3:$Z$5,2,FALSE),0))</f>
        <v/>
      </c>
      <c r="R993" s="12" t="n"/>
      <c r="S993" s="12" t="n"/>
      <c r="T993" s="12" t="n"/>
      <c r="U993" s="15" t="n"/>
      <c r="V993" s="15" t="n"/>
      <c r="W993" s="13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3" t="n"/>
      <c r="AK993" s="12" t="n"/>
      <c r="AL993" s="12" t="n"/>
      <c r="AM993" s="12" t="n"/>
      <c r="AN993" s="12" t="n"/>
      <c r="AO993" s="12" t="n"/>
      <c r="AP993" s="12" t="n"/>
      <c r="AQ993" s="7">
        <f>IF(A993="","",IF(AP993&lt;&gt;"",AP993,IF(LEFT(Z993,11)="gads_marque","Google Search – Marque",IF(LEFT(Z993,12)="gads_mariage","Google Search – Mariage et privé",IF(LEFT(Z993,10)="gads_corpo","Google Search – Corporatif",IF(LEFT(Z993,5)="meta_","Meta – Leads",IF(LEFT(Z993,5)="msft_","Microsoft Ads",IF(LEFT(Z993,8)="chatgpt_","ChatGPT Ads – Test",IF(X993="gbp","Fiche Google (organique)","Autre / non payé")))))))))</f>
        <v/>
      </c>
      <c r="AR993" s="7">
        <f>IF(K993="","",IFERROR(VLOOKUP(K993,Listes!$F$3:$H$8,3,FALSE),""))</f>
        <v/>
      </c>
      <c r="AS993" s="7">
        <f>IF(O993="","",IF(AND(M993="Autre (plus de 40 km)",OR(O993="lt600",O993="600_999",O993="1000_2499")),"D",IF(OR(O993="lt600",AND(O993="600_999",K993&lt;&gt;"mariage",K993&lt;&gt;"prive")),"C",IF(OR(O993="2500_4999",O993="5000p",J993="entreprise",J993="organisme",J993="agence"),"A",IF(OR(O993="1000_2499",O993="600_999"),"B",IF(O993="inconnu",IF(OR(N993="75_149",N993="150p"),"A","B"),""))))))</f>
        <v/>
      </c>
      <c r="AT993" s="7">
        <f>IF(A993="","",IF(P993&lt;&gt;"",P993,AS993))</f>
        <v/>
      </c>
      <c r="AU993" s="7">
        <f>IF(A993="","",IF(OR(AT993="A",AT993="B"),1,0))</f>
        <v/>
      </c>
      <c r="AV993" s="7">
        <f>IF(A993="","",IF(OR(R993="Dépôt payé (gagné)",R993="Événement livré",R993="Avis obtenu"),1,0))</f>
        <v/>
      </c>
      <c r="AW993" s="7">
        <f>IF(A993="","",IF(Q993&gt;70,"Immédiat – propriétaire",IF(Q993&gt;=40,"15 min – personne de garde","Selon la route")))</f>
        <v/>
      </c>
      <c r="AX993" s="11">
        <f>IF(A993="","",IF(AT993="A",400,IF(AT993="B",150,0)))</f>
        <v/>
      </c>
      <c r="AY993" s="11">
        <f>IF(A993="","",IF(AV993=1,N(V993),IF(N(U993)&gt;0,ROUND(N(U993)*IFERROR(VLOOKUP(R993,Listes!$AE$3:$AG$12,2,FALSE),0),0),0)))</f>
        <v/>
      </c>
      <c r="AZ993" s="7">
        <f>IF(LEFT(A993,7)="EXEMPLE",1,0)</f>
        <v/>
      </c>
      <c r="BA993" s="7">
        <f>IF(AND(AV993=1,AZ993=0,AC993&lt;&gt;"",W993&lt;&gt;"",N(V993)&gt;0),COUNTIFS($AV$3:AV993,1,$AZ$3:AZ993,0,$AC$3:AC993,"&lt;&gt;",$W$3:W993,"&lt;&gt;",$V$3:V993,"&gt;0"),"")</f>
        <v/>
      </c>
    </row>
    <row r="994">
      <c r="A994" s="12" t="n"/>
      <c r="B994" s="13" t="n"/>
      <c r="C994" s="13" t="n"/>
      <c r="D994" s="7">
        <f>IF(OR(B994="",C994=""),"",ROUND((C994-B994)*1440,0))</f>
        <v/>
      </c>
      <c r="E994" s="12" t="n"/>
      <c r="F994" s="12" t="n"/>
      <c r="G994" s="12" t="n"/>
      <c r="H994" s="12" t="n"/>
      <c r="I994" s="12" t="n"/>
      <c r="J994" s="12" t="n"/>
      <c r="K994" s="12" t="n"/>
      <c r="L994" s="14" t="n"/>
      <c r="M994" s="12" t="n"/>
      <c r="N994" s="12" t="n"/>
      <c r="O994" s="12" t="n"/>
      <c r="P994" s="12" t="n"/>
      <c r="Q994" s="7">
        <f>IF(A994="","",IFERROR(VLOOKUP(O994,Listes!$R$3:$T$8,2,FALSE),0)+IFERROR(VLOOKUP(J994,Listes!$J$3:$L$6,2,FALSE),0)+IFERROR(VLOOKUP(N994,Listes!$N$3:$P$6,2,FALSE),0)+IF(OR(L994="",B994=""),0,IF(L994-INT(B994)&lt;10,8,IF(L994-INT(B994)&lt;=90,10,5)))+IFERROR(VLOOKUP(AN994,Listes!$V$3:$W$5,2,FALSE),0)+IFERROR(VLOOKUP(AO994,Listes!$Y$3:$Z$5,2,FALSE),0))</f>
        <v/>
      </c>
      <c r="R994" s="12" t="n"/>
      <c r="S994" s="12" t="n"/>
      <c r="T994" s="12" t="n"/>
      <c r="U994" s="15" t="n"/>
      <c r="V994" s="15" t="n"/>
      <c r="W994" s="13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3" t="n"/>
      <c r="AK994" s="12" t="n"/>
      <c r="AL994" s="12" t="n"/>
      <c r="AM994" s="12" t="n"/>
      <c r="AN994" s="12" t="n"/>
      <c r="AO994" s="12" t="n"/>
      <c r="AP994" s="12" t="n"/>
      <c r="AQ994" s="7">
        <f>IF(A994="","",IF(AP994&lt;&gt;"",AP994,IF(LEFT(Z994,11)="gads_marque","Google Search – Marque",IF(LEFT(Z994,12)="gads_mariage","Google Search – Mariage et privé",IF(LEFT(Z994,10)="gads_corpo","Google Search – Corporatif",IF(LEFT(Z994,5)="meta_","Meta – Leads",IF(LEFT(Z994,5)="msft_","Microsoft Ads",IF(LEFT(Z994,8)="chatgpt_","ChatGPT Ads – Test",IF(X994="gbp","Fiche Google (organique)","Autre / non payé")))))))))</f>
        <v/>
      </c>
      <c r="AR994" s="7">
        <f>IF(K994="","",IFERROR(VLOOKUP(K994,Listes!$F$3:$H$8,3,FALSE),""))</f>
        <v/>
      </c>
      <c r="AS994" s="7">
        <f>IF(O994="","",IF(AND(M994="Autre (plus de 40 km)",OR(O994="lt600",O994="600_999",O994="1000_2499")),"D",IF(OR(O994="lt600",AND(O994="600_999",K994&lt;&gt;"mariage",K994&lt;&gt;"prive")),"C",IF(OR(O994="2500_4999",O994="5000p",J994="entreprise",J994="organisme",J994="agence"),"A",IF(OR(O994="1000_2499",O994="600_999"),"B",IF(O994="inconnu",IF(OR(N994="75_149",N994="150p"),"A","B"),""))))))</f>
        <v/>
      </c>
      <c r="AT994" s="7">
        <f>IF(A994="","",IF(P994&lt;&gt;"",P994,AS994))</f>
        <v/>
      </c>
      <c r="AU994" s="7">
        <f>IF(A994="","",IF(OR(AT994="A",AT994="B"),1,0))</f>
        <v/>
      </c>
      <c r="AV994" s="7">
        <f>IF(A994="","",IF(OR(R994="Dépôt payé (gagné)",R994="Événement livré",R994="Avis obtenu"),1,0))</f>
        <v/>
      </c>
      <c r="AW994" s="7">
        <f>IF(A994="","",IF(Q994&gt;70,"Immédiat – propriétaire",IF(Q994&gt;=40,"15 min – personne de garde","Selon la route")))</f>
        <v/>
      </c>
      <c r="AX994" s="11">
        <f>IF(A994="","",IF(AT994="A",400,IF(AT994="B",150,0)))</f>
        <v/>
      </c>
      <c r="AY994" s="11">
        <f>IF(A994="","",IF(AV994=1,N(V994),IF(N(U994)&gt;0,ROUND(N(U994)*IFERROR(VLOOKUP(R994,Listes!$AE$3:$AG$12,2,FALSE),0),0),0)))</f>
        <v/>
      </c>
      <c r="AZ994" s="7">
        <f>IF(LEFT(A994,7)="EXEMPLE",1,0)</f>
        <v/>
      </c>
      <c r="BA994" s="7">
        <f>IF(AND(AV994=1,AZ994=0,AC994&lt;&gt;"",W994&lt;&gt;"",N(V994)&gt;0),COUNTIFS($AV$3:AV994,1,$AZ$3:AZ994,0,$AC$3:AC994,"&lt;&gt;",$W$3:W994,"&lt;&gt;",$V$3:V994,"&gt;0"),"")</f>
        <v/>
      </c>
    </row>
    <row r="995">
      <c r="A995" s="12" t="n"/>
      <c r="B995" s="13" t="n"/>
      <c r="C995" s="13" t="n"/>
      <c r="D995" s="7">
        <f>IF(OR(B995="",C995=""),"",ROUND((C995-B995)*1440,0))</f>
        <v/>
      </c>
      <c r="E995" s="12" t="n"/>
      <c r="F995" s="12" t="n"/>
      <c r="G995" s="12" t="n"/>
      <c r="H995" s="12" t="n"/>
      <c r="I995" s="12" t="n"/>
      <c r="J995" s="12" t="n"/>
      <c r="K995" s="12" t="n"/>
      <c r="L995" s="14" t="n"/>
      <c r="M995" s="12" t="n"/>
      <c r="N995" s="12" t="n"/>
      <c r="O995" s="12" t="n"/>
      <c r="P995" s="12" t="n"/>
      <c r="Q995" s="7">
        <f>IF(A995="","",IFERROR(VLOOKUP(O995,Listes!$R$3:$T$8,2,FALSE),0)+IFERROR(VLOOKUP(J995,Listes!$J$3:$L$6,2,FALSE),0)+IFERROR(VLOOKUP(N995,Listes!$N$3:$P$6,2,FALSE),0)+IF(OR(L995="",B995=""),0,IF(L995-INT(B995)&lt;10,8,IF(L995-INT(B995)&lt;=90,10,5)))+IFERROR(VLOOKUP(AN995,Listes!$V$3:$W$5,2,FALSE),0)+IFERROR(VLOOKUP(AO995,Listes!$Y$3:$Z$5,2,FALSE),0))</f>
        <v/>
      </c>
      <c r="R995" s="12" t="n"/>
      <c r="S995" s="12" t="n"/>
      <c r="T995" s="12" t="n"/>
      <c r="U995" s="15" t="n"/>
      <c r="V995" s="15" t="n"/>
      <c r="W995" s="13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3" t="n"/>
      <c r="AK995" s="12" t="n"/>
      <c r="AL995" s="12" t="n"/>
      <c r="AM995" s="12" t="n"/>
      <c r="AN995" s="12" t="n"/>
      <c r="AO995" s="12" t="n"/>
      <c r="AP995" s="12" t="n"/>
      <c r="AQ995" s="7">
        <f>IF(A995="","",IF(AP995&lt;&gt;"",AP995,IF(LEFT(Z995,11)="gads_marque","Google Search – Marque",IF(LEFT(Z995,12)="gads_mariage","Google Search – Mariage et privé",IF(LEFT(Z995,10)="gads_corpo","Google Search – Corporatif",IF(LEFT(Z995,5)="meta_","Meta – Leads",IF(LEFT(Z995,5)="msft_","Microsoft Ads",IF(LEFT(Z995,8)="chatgpt_","ChatGPT Ads – Test",IF(X995="gbp","Fiche Google (organique)","Autre / non payé")))))))))</f>
        <v/>
      </c>
      <c r="AR995" s="7">
        <f>IF(K995="","",IFERROR(VLOOKUP(K995,Listes!$F$3:$H$8,3,FALSE),""))</f>
        <v/>
      </c>
      <c r="AS995" s="7">
        <f>IF(O995="","",IF(AND(M995="Autre (plus de 40 km)",OR(O995="lt600",O995="600_999",O995="1000_2499")),"D",IF(OR(O995="lt600",AND(O995="600_999",K995&lt;&gt;"mariage",K995&lt;&gt;"prive")),"C",IF(OR(O995="2500_4999",O995="5000p",J995="entreprise",J995="organisme",J995="agence"),"A",IF(OR(O995="1000_2499",O995="600_999"),"B",IF(O995="inconnu",IF(OR(N995="75_149",N995="150p"),"A","B"),""))))))</f>
        <v/>
      </c>
      <c r="AT995" s="7">
        <f>IF(A995="","",IF(P995&lt;&gt;"",P995,AS995))</f>
        <v/>
      </c>
      <c r="AU995" s="7">
        <f>IF(A995="","",IF(OR(AT995="A",AT995="B"),1,0))</f>
        <v/>
      </c>
      <c r="AV995" s="7">
        <f>IF(A995="","",IF(OR(R995="Dépôt payé (gagné)",R995="Événement livré",R995="Avis obtenu"),1,0))</f>
        <v/>
      </c>
      <c r="AW995" s="7">
        <f>IF(A995="","",IF(Q995&gt;70,"Immédiat – propriétaire",IF(Q995&gt;=40,"15 min – personne de garde","Selon la route")))</f>
        <v/>
      </c>
      <c r="AX995" s="11">
        <f>IF(A995="","",IF(AT995="A",400,IF(AT995="B",150,0)))</f>
        <v/>
      </c>
      <c r="AY995" s="11">
        <f>IF(A995="","",IF(AV995=1,N(V995),IF(N(U995)&gt;0,ROUND(N(U995)*IFERROR(VLOOKUP(R995,Listes!$AE$3:$AG$12,2,FALSE),0),0),0)))</f>
        <v/>
      </c>
      <c r="AZ995" s="7">
        <f>IF(LEFT(A995,7)="EXEMPLE",1,0)</f>
        <v/>
      </c>
      <c r="BA995" s="7">
        <f>IF(AND(AV995=1,AZ995=0,AC995&lt;&gt;"",W995&lt;&gt;"",N(V995)&gt;0),COUNTIFS($AV$3:AV995,1,$AZ$3:AZ995,0,$AC$3:AC995,"&lt;&gt;",$W$3:W995,"&lt;&gt;",$V$3:V995,"&gt;0"),"")</f>
        <v/>
      </c>
    </row>
    <row r="996">
      <c r="A996" s="12" t="n"/>
      <c r="B996" s="13" t="n"/>
      <c r="C996" s="13" t="n"/>
      <c r="D996" s="7">
        <f>IF(OR(B996="",C996=""),"",ROUND((C996-B996)*1440,0))</f>
        <v/>
      </c>
      <c r="E996" s="12" t="n"/>
      <c r="F996" s="12" t="n"/>
      <c r="G996" s="12" t="n"/>
      <c r="H996" s="12" t="n"/>
      <c r="I996" s="12" t="n"/>
      <c r="J996" s="12" t="n"/>
      <c r="K996" s="12" t="n"/>
      <c r="L996" s="14" t="n"/>
      <c r="M996" s="12" t="n"/>
      <c r="N996" s="12" t="n"/>
      <c r="O996" s="12" t="n"/>
      <c r="P996" s="12" t="n"/>
      <c r="Q996" s="7">
        <f>IF(A996="","",IFERROR(VLOOKUP(O996,Listes!$R$3:$T$8,2,FALSE),0)+IFERROR(VLOOKUP(J996,Listes!$J$3:$L$6,2,FALSE),0)+IFERROR(VLOOKUP(N996,Listes!$N$3:$P$6,2,FALSE),0)+IF(OR(L996="",B996=""),0,IF(L996-INT(B996)&lt;10,8,IF(L996-INT(B996)&lt;=90,10,5)))+IFERROR(VLOOKUP(AN996,Listes!$V$3:$W$5,2,FALSE),0)+IFERROR(VLOOKUP(AO996,Listes!$Y$3:$Z$5,2,FALSE),0))</f>
        <v/>
      </c>
      <c r="R996" s="12" t="n"/>
      <c r="S996" s="12" t="n"/>
      <c r="T996" s="12" t="n"/>
      <c r="U996" s="15" t="n"/>
      <c r="V996" s="15" t="n"/>
      <c r="W996" s="13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3" t="n"/>
      <c r="AK996" s="12" t="n"/>
      <c r="AL996" s="12" t="n"/>
      <c r="AM996" s="12" t="n"/>
      <c r="AN996" s="12" t="n"/>
      <c r="AO996" s="12" t="n"/>
      <c r="AP996" s="12" t="n"/>
      <c r="AQ996" s="7">
        <f>IF(A996="","",IF(AP996&lt;&gt;"",AP996,IF(LEFT(Z996,11)="gads_marque","Google Search – Marque",IF(LEFT(Z996,12)="gads_mariage","Google Search – Mariage et privé",IF(LEFT(Z996,10)="gads_corpo","Google Search – Corporatif",IF(LEFT(Z996,5)="meta_","Meta – Leads",IF(LEFT(Z996,5)="msft_","Microsoft Ads",IF(LEFT(Z996,8)="chatgpt_","ChatGPT Ads – Test",IF(X996="gbp","Fiche Google (organique)","Autre / non payé")))))))))</f>
        <v/>
      </c>
      <c r="AR996" s="7">
        <f>IF(K996="","",IFERROR(VLOOKUP(K996,Listes!$F$3:$H$8,3,FALSE),""))</f>
        <v/>
      </c>
      <c r="AS996" s="7">
        <f>IF(O996="","",IF(AND(M996="Autre (plus de 40 km)",OR(O996="lt600",O996="600_999",O996="1000_2499")),"D",IF(OR(O996="lt600",AND(O996="600_999",K996&lt;&gt;"mariage",K996&lt;&gt;"prive")),"C",IF(OR(O996="2500_4999",O996="5000p",J996="entreprise",J996="organisme",J996="agence"),"A",IF(OR(O996="1000_2499",O996="600_999"),"B",IF(O996="inconnu",IF(OR(N996="75_149",N996="150p"),"A","B"),""))))))</f>
        <v/>
      </c>
      <c r="AT996" s="7">
        <f>IF(A996="","",IF(P996&lt;&gt;"",P996,AS996))</f>
        <v/>
      </c>
      <c r="AU996" s="7">
        <f>IF(A996="","",IF(OR(AT996="A",AT996="B"),1,0))</f>
        <v/>
      </c>
      <c r="AV996" s="7">
        <f>IF(A996="","",IF(OR(R996="Dépôt payé (gagné)",R996="Événement livré",R996="Avis obtenu"),1,0))</f>
        <v/>
      </c>
      <c r="AW996" s="7">
        <f>IF(A996="","",IF(Q996&gt;70,"Immédiat – propriétaire",IF(Q996&gt;=40,"15 min – personne de garde","Selon la route")))</f>
        <v/>
      </c>
      <c r="AX996" s="11">
        <f>IF(A996="","",IF(AT996="A",400,IF(AT996="B",150,0)))</f>
        <v/>
      </c>
      <c r="AY996" s="11">
        <f>IF(A996="","",IF(AV996=1,N(V996),IF(N(U996)&gt;0,ROUND(N(U996)*IFERROR(VLOOKUP(R996,Listes!$AE$3:$AG$12,2,FALSE),0),0),0)))</f>
        <v/>
      </c>
      <c r="AZ996" s="7">
        <f>IF(LEFT(A996,7)="EXEMPLE",1,0)</f>
        <v/>
      </c>
      <c r="BA996" s="7">
        <f>IF(AND(AV996=1,AZ996=0,AC996&lt;&gt;"",W996&lt;&gt;"",N(V996)&gt;0),COUNTIFS($AV$3:AV996,1,$AZ$3:AZ996,0,$AC$3:AC996,"&lt;&gt;",$W$3:W996,"&lt;&gt;",$V$3:V996,"&gt;0"),"")</f>
        <v/>
      </c>
    </row>
    <row r="997">
      <c r="A997" s="12" t="n"/>
      <c r="B997" s="13" t="n"/>
      <c r="C997" s="13" t="n"/>
      <c r="D997" s="7">
        <f>IF(OR(B997="",C997=""),"",ROUND((C997-B997)*1440,0))</f>
        <v/>
      </c>
      <c r="E997" s="12" t="n"/>
      <c r="F997" s="12" t="n"/>
      <c r="G997" s="12" t="n"/>
      <c r="H997" s="12" t="n"/>
      <c r="I997" s="12" t="n"/>
      <c r="J997" s="12" t="n"/>
      <c r="K997" s="12" t="n"/>
      <c r="L997" s="14" t="n"/>
      <c r="M997" s="12" t="n"/>
      <c r="N997" s="12" t="n"/>
      <c r="O997" s="12" t="n"/>
      <c r="P997" s="12" t="n"/>
      <c r="Q997" s="7">
        <f>IF(A997="","",IFERROR(VLOOKUP(O997,Listes!$R$3:$T$8,2,FALSE),0)+IFERROR(VLOOKUP(J997,Listes!$J$3:$L$6,2,FALSE),0)+IFERROR(VLOOKUP(N997,Listes!$N$3:$P$6,2,FALSE),0)+IF(OR(L997="",B997=""),0,IF(L997-INT(B997)&lt;10,8,IF(L997-INT(B997)&lt;=90,10,5)))+IFERROR(VLOOKUP(AN997,Listes!$V$3:$W$5,2,FALSE),0)+IFERROR(VLOOKUP(AO997,Listes!$Y$3:$Z$5,2,FALSE),0))</f>
        <v/>
      </c>
      <c r="R997" s="12" t="n"/>
      <c r="S997" s="12" t="n"/>
      <c r="T997" s="12" t="n"/>
      <c r="U997" s="15" t="n"/>
      <c r="V997" s="15" t="n"/>
      <c r="W997" s="13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3" t="n"/>
      <c r="AK997" s="12" t="n"/>
      <c r="AL997" s="12" t="n"/>
      <c r="AM997" s="12" t="n"/>
      <c r="AN997" s="12" t="n"/>
      <c r="AO997" s="12" t="n"/>
      <c r="AP997" s="12" t="n"/>
      <c r="AQ997" s="7">
        <f>IF(A997="","",IF(AP997&lt;&gt;"",AP997,IF(LEFT(Z997,11)="gads_marque","Google Search – Marque",IF(LEFT(Z997,12)="gads_mariage","Google Search – Mariage et privé",IF(LEFT(Z997,10)="gads_corpo","Google Search – Corporatif",IF(LEFT(Z997,5)="meta_","Meta – Leads",IF(LEFT(Z997,5)="msft_","Microsoft Ads",IF(LEFT(Z997,8)="chatgpt_","ChatGPT Ads – Test",IF(X997="gbp","Fiche Google (organique)","Autre / non payé")))))))))</f>
        <v/>
      </c>
      <c r="AR997" s="7">
        <f>IF(K997="","",IFERROR(VLOOKUP(K997,Listes!$F$3:$H$8,3,FALSE),""))</f>
        <v/>
      </c>
      <c r="AS997" s="7">
        <f>IF(O997="","",IF(AND(M997="Autre (plus de 40 km)",OR(O997="lt600",O997="600_999",O997="1000_2499")),"D",IF(OR(O997="lt600",AND(O997="600_999",K997&lt;&gt;"mariage",K997&lt;&gt;"prive")),"C",IF(OR(O997="2500_4999",O997="5000p",J997="entreprise",J997="organisme",J997="agence"),"A",IF(OR(O997="1000_2499",O997="600_999"),"B",IF(O997="inconnu",IF(OR(N997="75_149",N997="150p"),"A","B"),""))))))</f>
        <v/>
      </c>
      <c r="AT997" s="7">
        <f>IF(A997="","",IF(P997&lt;&gt;"",P997,AS997))</f>
        <v/>
      </c>
      <c r="AU997" s="7">
        <f>IF(A997="","",IF(OR(AT997="A",AT997="B"),1,0))</f>
        <v/>
      </c>
      <c r="AV997" s="7">
        <f>IF(A997="","",IF(OR(R997="Dépôt payé (gagné)",R997="Événement livré",R997="Avis obtenu"),1,0))</f>
        <v/>
      </c>
      <c r="AW997" s="7">
        <f>IF(A997="","",IF(Q997&gt;70,"Immédiat – propriétaire",IF(Q997&gt;=40,"15 min – personne de garde","Selon la route")))</f>
        <v/>
      </c>
      <c r="AX997" s="11">
        <f>IF(A997="","",IF(AT997="A",400,IF(AT997="B",150,0)))</f>
        <v/>
      </c>
      <c r="AY997" s="11">
        <f>IF(A997="","",IF(AV997=1,N(V997),IF(N(U997)&gt;0,ROUND(N(U997)*IFERROR(VLOOKUP(R997,Listes!$AE$3:$AG$12,2,FALSE),0),0),0)))</f>
        <v/>
      </c>
      <c r="AZ997" s="7">
        <f>IF(LEFT(A997,7)="EXEMPLE",1,0)</f>
        <v/>
      </c>
      <c r="BA997" s="7">
        <f>IF(AND(AV997=1,AZ997=0,AC997&lt;&gt;"",W997&lt;&gt;"",N(V997)&gt;0),COUNTIFS($AV$3:AV997,1,$AZ$3:AZ997,0,$AC$3:AC997,"&lt;&gt;",$W$3:W997,"&lt;&gt;",$V$3:V997,"&gt;0"),"")</f>
        <v/>
      </c>
    </row>
    <row r="998">
      <c r="A998" s="12" t="n"/>
      <c r="B998" s="13" t="n"/>
      <c r="C998" s="13" t="n"/>
      <c r="D998" s="7">
        <f>IF(OR(B998="",C998=""),"",ROUND((C998-B998)*1440,0))</f>
        <v/>
      </c>
      <c r="E998" s="12" t="n"/>
      <c r="F998" s="12" t="n"/>
      <c r="G998" s="12" t="n"/>
      <c r="H998" s="12" t="n"/>
      <c r="I998" s="12" t="n"/>
      <c r="J998" s="12" t="n"/>
      <c r="K998" s="12" t="n"/>
      <c r="L998" s="14" t="n"/>
      <c r="M998" s="12" t="n"/>
      <c r="N998" s="12" t="n"/>
      <c r="O998" s="12" t="n"/>
      <c r="P998" s="12" t="n"/>
      <c r="Q998" s="7">
        <f>IF(A998="","",IFERROR(VLOOKUP(O998,Listes!$R$3:$T$8,2,FALSE),0)+IFERROR(VLOOKUP(J998,Listes!$J$3:$L$6,2,FALSE),0)+IFERROR(VLOOKUP(N998,Listes!$N$3:$P$6,2,FALSE),0)+IF(OR(L998="",B998=""),0,IF(L998-INT(B998)&lt;10,8,IF(L998-INT(B998)&lt;=90,10,5)))+IFERROR(VLOOKUP(AN998,Listes!$V$3:$W$5,2,FALSE),0)+IFERROR(VLOOKUP(AO998,Listes!$Y$3:$Z$5,2,FALSE),0))</f>
        <v/>
      </c>
      <c r="R998" s="12" t="n"/>
      <c r="S998" s="12" t="n"/>
      <c r="T998" s="12" t="n"/>
      <c r="U998" s="15" t="n"/>
      <c r="V998" s="15" t="n"/>
      <c r="W998" s="13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3" t="n"/>
      <c r="AK998" s="12" t="n"/>
      <c r="AL998" s="12" t="n"/>
      <c r="AM998" s="12" t="n"/>
      <c r="AN998" s="12" t="n"/>
      <c r="AO998" s="12" t="n"/>
      <c r="AP998" s="12" t="n"/>
      <c r="AQ998" s="7">
        <f>IF(A998="","",IF(AP998&lt;&gt;"",AP998,IF(LEFT(Z998,11)="gads_marque","Google Search – Marque",IF(LEFT(Z998,12)="gads_mariage","Google Search – Mariage et privé",IF(LEFT(Z998,10)="gads_corpo","Google Search – Corporatif",IF(LEFT(Z998,5)="meta_","Meta – Leads",IF(LEFT(Z998,5)="msft_","Microsoft Ads",IF(LEFT(Z998,8)="chatgpt_","ChatGPT Ads – Test",IF(X998="gbp","Fiche Google (organique)","Autre / non payé")))))))))</f>
        <v/>
      </c>
      <c r="AR998" s="7">
        <f>IF(K998="","",IFERROR(VLOOKUP(K998,Listes!$F$3:$H$8,3,FALSE),""))</f>
        <v/>
      </c>
      <c r="AS998" s="7">
        <f>IF(O998="","",IF(AND(M998="Autre (plus de 40 km)",OR(O998="lt600",O998="600_999",O998="1000_2499")),"D",IF(OR(O998="lt600",AND(O998="600_999",K998&lt;&gt;"mariage",K998&lt;&gt;"prive")),"C",IF(OR(O998="2500_4999",O998="5000p",J998="entreprise",J998="organisme",J998="agence"),"A",IF(OR(O998="1000_2499",O998="600_999"),"B",IF(O998="inconnu",IF(OR(N998="75_149",N998="150p"),"A","B"),""))))))</f>
        <v/>
      </c>
      <c r="AT998" s="7">
        <f>IF(A998="","",IF(P998&lt;&gt;"",P998,AS998))</f>
        <v/>
      </c>
      <c r="AU998" s="7">
        <f>IF(A998="","",IF(OR(AT998="A",AT998="B"),1,0))</f>
        <v/>
      </c>
      <c r="AV998" s="7">
        <f>IF(A998="","",IF(OR(R998="Dépôt payé (gagné)",R998="Événement livré",R998="Avis obtenu"),1,0))</f>
        <v/>
      </c>
      <c r="AW998" s="7">
        <f>IF(A998="","",IF(Q998&gt;70,"Immédiat – propriétaire",IF(Q998&gt;=40,"15 min – personne de garde","Selon la route")))</f>
        <v/>
      </c>
      <c r="AX998" s="11">
        <f>IF(A998="","",IF(AT998="A",400,IF(AT998="B",150,0)))</f>
        <v/>
      </c>
      <c r="AY998" s="11">
        <f>IF(A998="","",IF(AV998=1,N(V998),IF(N(U998)&gt;0,ROUND(N(U998)*IFERROR(VLOOKUP(R998,Listes!$AE$3:$AG$12,2,FALSE),0),0),0)))</f>
        <v/>
      </c>
      <c r="AZ998" s="7">
        <f>IF(LEFT(A998,7)="EXEMPLE",1,0)</f>
        <v/>
      </c>
      <c r="BA998" s="7">
        <f>IF(AND(AV998=1,AZ998=0,AC998&lt;&gt;"",W998&lt;&gt;"",N(V998)&gt;0),COUNTIFS($AV$3:AV998,1,$AZ$3:AZ998,0,$AC$3:AC998,"&lt;&gt;",$W$3:W998,"&lt;&gt;",$V$3:V998,"&gt;0"),"")</f>
        <v/>
      </c>
    </row>
    <row r="999">
      <c r="A999" s="12" t="n"/>
      <c r="B999" s="13" t="n"/>
      <c r="C999" s="13" t="n"/>
      <c r="D999" s="7">
        <f>IF(OR(B999="",C999=""),"",ROUND((C999-B999)*1440,0))</f>
        <v/>
      </c>
      <c r="E999" s="12" t="n"/>
      <c r="F999" s="12" t="n"/>
      <c r="G999" s="12" t="n"/>
      <c r="H999" s="12" t="n"/>
      <c r="I999" s="12" t="n"/>
      <c r="J999" s="12" t="n"/>
      <c r="K999" s="12" t="n"/>
      <c r="L999" s="14" t="n"/>
      <c r="M999" s="12" t="n"/>
      <c r="N999" s="12" t="n"/>
      <c r="O999" s="12" t="n"/>
      <c r="P999" s="12" t="n"/>
      <c r="Q999" s="7">
        <f>IF(A999="","",IFERROR(VLOOKUP(O999,Listes!$R$3:$T$8,2,FALSE),0)+IFERROR(VLOOKUP(J999,Listes!$J$3:$L$6,2,FALSE),0)+IFERROR(VLOOKUP(N999,Listes!$N$3:$P$6,2,FALSE),0)+IF(OR(L999="",B999=""),0,IF(L999-INT(B999)&lt;10,8,IF(L999-INT(B999)&lt;=90,10,5)))+IFERROR(VLOOKUP(AN999,Listes!$V$3:$W$5,2,FALSE),0)+IFERROR(VLOOKUP(AO999,Listes!$Y$3:$Z$5,2,FALSE),0))</f>
        <v/>
      </c>
      <c r="R999" s="12" t="n"/>
      <c r="S999" s="12" t="n"/>
      <c r="T999" s="12" t="n"/>
      <c r="U999" s="15" t="n"/>
      <c r="V999" s="15" t="n"/>
      <c r="W999" s="13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3" t="n"/>
      <c r="AK999" s="12" t="n"/>
      <c r="AL999" s="12" t="n"/>
      <c r="AM999" s="12" t="n"/>
      <c r="AN999" s="12" t="n"/>
      <c r="AO999" s="12" t="n"/>
      <c r="AP999" s="12" t="n"/>
      <c r="AQ999" s="7">
        <f>IF(A999="","",IF(AP999&lt;&gt;"",AP999,IF(LEFT(Z999,11)="gads_marque","Google Search – Marque",IF(LEFT(Z999,12)="gads_mariage","Google Search – Mariage et privé",IF(LEFT(Z999,10)="gads_corpo","Google Search – Corporatif",IF(LEFT(Z999,5)="meta_","Meta – Leads",IF(LEFT(Z999,5)="msft_","Microsoft Ads",IF(LEFT(Z999,8)="chatgpt_","ChatGPT Ads – Test",IF(X999="gbp","Fiche Google (organique)","Autre / non payé")))))))))</f>
        <v/>
      </c>
      <c r="AR999" s="7">
        <f>IF(K999="","",IFERROR(VLOOKUP(K999,Listes!$F$3:$H$8,3,FALSE),""))</f>
        <v/>
      </c>
      <c r="AS999" s="7">
        <f>IF(O999="","",IF(AND(M999="Autre (plus de 40 km)",OR(O999="lt600",O999="600_999",O999="1000_2499")),"D",IF(OR(O999="lt600",AND(O999="600_999",K999&lt;&gt;"mariage",K999&lt;&gt;"prive")),"C",IF(OR(O999="2500_4999",O999="5000p",J999="entreprise",J999="organisme",J999="agence"),"A",IF(OR(O999="1000_2499",O999="600_999"),"B",IF(O999="inconnu",IF(OR(N999="75_149",N999="150p"),"A","B"),""))))))</f>
        <v/>
      </c>
      <c r="AT999" s="7">
        <f>IF(A999="","",IF(P999&lt;&gt;"",P999,AS999))</f>
        <v/>
      </c>
      <c r="AU999" s="7">
        <f>IF(A999="","",IF(OR(AT999="A",AT999="B"),1,0))</f>
        <v/>
      </c>
      <c r="AV999" s="7">
        <f>IF(A999="","",IF(OR(R999="Dépôt payé (gagné)",R999="Événement livré",R999="Avis obtenu"),1,0))</f>
        <v/>
      </c>
      <c r="AW999" s="7">
        <f>IF(A999="","",IF(Q999&gt;70,"Immédiat – propriétaire",IF(Q999&gt;=40,"15 min – personne de garde","Selon la route")))</f>
        <v/>
      </c>
      <c r="AX999" s="11">
        <f>IF(A999="","",IF(AT999="A",400,IF(AT999="B",150,0)))</f>
        <v/>
      </c>
      <c r="AY999" s="11">
        <f>IF(A999="","",IF(AV999=1,N(V999),IF(N(U999)&gt;0,ROUND(N(U999)*IFERROR(VLOOKUP(R999,Listes!$AE$3:$AG$12,2,FALSE),0),0),0)))</f>
        <v/>
      </c>
      <c r="AZ999" s="7">
        <f>IF(LEFT(A999,7)="EXEMPLE",1,0)</f>
        <v/>
      </c>
      <c r="BA999" s="7">
        <f>IF(AND(AV999=1,AZ999=0,AC999&lt;&gt;"",W999&lt;&gt;"",N(V999)&gt;0),COUNTIFS($AV$3:AV999,1,$AZ$3:AZ999,0,$AC$3:AC999,"&lt;&gt;",$W$3:W999,"&lt;&gt;",$V$3:V999,"&gt;0"),"")</f>
        <v/>
      </c>
    </row>
    <row r="1000">
      <c r="A1000" s="12" t="n"/>
      <c r="B1000" s="13" t="n"/>
      <c r="C1000" s="13" t="n"/>
      <c r="D1000" s="7">
        <f>IF(OR(B1000="",C1000=""),"",ROUND((C1000-B1000)*1440,0))</f>
        <v/>
      </c>
      <c r="E1000" s="12" t="n"/>
      <c r="F1000" s="12" t="n"/>
      <c r="G1000" s="12" t="n"/>
      <c r="H1000" s="12" t="n"/>
      <c r="I1000" s="12" t="n"/>
      <c r="J1000" s="12" t="n"/>
      <c r="K1000" s="12" t="n"/>
      <c r="L1000" s="14" t="n"/>
      <c r="M1000" s="12" t="n"/>
      <c r="N1000" s="12" t="n"/>
      <c r="O1000" s="12" t="n"/>
      <c r="P1000" s="12" t="n"/>
      <c r="Q1000" s="7">
        <f>IF(A1000="","",IFERROR(VLOOKUP(O1000,Listes!$R$3:$T$8,2,FALSE),0)+IFERROR(VLOOKUP(J1000,Listes!$J$3:$L$6,2,FALSE),0)+IFERROR(VLOOKUP(N1000,Listes!$N$3:$P$6,2,FALSE),0)+IF(OR(L1000="",B1000=""),0,IF(L1000-INT(B1000)&lt;10,8,IF(L1000-INT(B1000)&lt;=90,10,5)))+IFERROR(VLOOKUP(AN1000,Listes!$V$3:$W$5,2,FALSE),0)+IFERROR(VLOOKUP(AO1000,Listes!$Y$3:$Z$5,2,FALSE),0))</f>
        <v/>
      </c>
      <c r="R1000" s="12" t="n"/>
      <c r="S1000" s="12" t="n"/>
      <c r="T1000" s="12" t="n"/>
      <c r="U1000" s="15" t="n"/>
      <c r="V1000" s="15" t="n"/>
      <c r="W1000" s="13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3" t="n"/>
      <c r="AK1000" s="12" t="n"/>
      <c r="AL1000" s="12" t="n"/>
      <c r="AM1000" s="12" t="n"/>
      <c r="AN1000" s="12" t="n"/>
      <c r="AO1000" s="12" t="n"/>
      <c r="AP1000" s="12" t="n"/>
      <c r="AQ1000" s="7">
        <f>IF(A1000="","",IF(AP1000&lt;&gt;"",AP1000,IF(LEFT(Z1000,11)="gads_marque","Google Search – Marque",IF(LEFT(Z1000,12)="gads_mariage","Google Search – Mariage et privé",IF(LEFT(Z1000,10)="gads_corpo","Google Search – Corporatif",IF(LEFT(Z1000,5)="meta_","Meta – Leads",IF(LEFT(Z1000,5)="msft_","Microsoft Ads",IF(LEFT(Z1000,8)="chatgpt_","ChatGPT Ads – Test",IF(X1000="gbp","Fiche Google (organique)","Autre / non payé")))))))))</f>
        <v/>
      </c>
      <c r="AR1000" s="7">
        <f>IF(K1000="","",IFERROR(VLOOKUP(K1000,Listes!$F$3:$H$8,3,FALSE),""))</f>
        <v/>
      </c>
      <c r="AS1000" s="7">
        <f>IF(O1000="","",IF(AND(M1000="Autre (plus de 40 km)",OR(O1000="lt600",O1000="600_999",O1000="1000_2499")),"D",IF(OR(O1000="lt600",AND(O1000="600_999",K1000&lt;&gt;"mariage",K1000&lt;&gt;"prive")),"C",IF(OR(O1000="2500_4999",O1000="5000p",J1000="entreprise",J1000="organisme",J1000="agence"),"A",IF(OR(O1000="1000_2499",O1000="600_999"),"B",IF(O1000="inconnu",IF(OR(N1000="75_149",N1000="150p"),"A","B"),""))))))</f>
        <v/>
      </c>
      <c r="AT1000" s="7">
        <f>IF(A1000="","",IF(P1000&lt;&gt;"",P1000,AS1000))</f>
        <v/>
      </c>
      <c r="AU1000" s="7">
        <f>IF(A1000="","",IF(OR(AT1000="A",AT1000="B"),1,0))</f>
        <v/>
      </c>
      <c r="AV1000" s="7">
        <f>IF(A1000="","",IF(OR(R1000="Dépôt payé (gagné)",R1000="Événement livré",R1000="Avis obtenu"),1,0))</f>
        <v/>
      </c>
      <c r="AW1000" s="7">
        <f>IF(A1000="","",IF(Q1000&gt;70,"Immédiat – propriétaire",IF(Q1000&gt;=40,"15 min – personne de garde","Selon la route")))</f>
        <v/>
      </c>
      <c r="AX1000" s="11">
        <f>IF(A1000="","",IF(AT1000="A",400,IF(AT1000="B",150,0)))</f>
        <v/>
      </c>
      <c r="AY1000" s="11">
        <f>IF(A1000="","",IF(AV1000=1,N(V1000),IF(N(U1000)&gt;0,ROUND(N(U1000)*IFERROR(VLOOKUP(R1000,Listes!$AE$3:$AG$12,2,FALSE),0),0),0)))</f>
        <v/>
      </c>
      <c r="AZ1000" s="7">
        <f>IF(LEFT(A1000,7)="EXEMPLE",1,0)</f>
        <v/>
      </c>
      <c r="BA1000" s="7">
        <f>IF(AND(AV1000=1,AZ1000=0,AC1000&lt;&gt;"",W1000&lt;&gt;"",N(V1000)&gt;0),COUNTIFS($AV$3:AV1000,1,$AZ$3:AZ1000,0,$AC$3:AC1000,"&lt;&gt;",$W$3:W1000,"&lt;&gt;",$V$3:V1000,"&gt;0"),"")</f>
        <v/>
      </c>
    </row>
    <row r="1001">
      <c r="A1001" s="12" t="n"/>
      <c r="B1001" s="13" t="n"/>
      <c r="C1001" s="13" t="n"/>
      <c r="D1001" s="7">
        <f>IF(OR(B1001="",C1001=""),"",ROUND((C1001-B1001)*1440,0))</f>
        <v/>
      </c>
      <c r="E1001" s="12" t="n"/>
      <c r="F1001" s="12" t="n"/>
      <c r="G1001" s="12" t="n"/>
      <c r="H1001" s="12" t="n"/>
      <c r="I1001" s="12" t="n"/>
      <c r="J1001" s="12" t="n"/>
      <c r="K1001" s="12" t="n"/>
      <c r="L1001" s="14" t="n"/>
      <c r="M1001" s="12" t="n"/>
      <c r="N1001" s="12" t="n"/>
      <c r="O1001" s="12" t="n"/>
      <c r="P1001" s="12" t="n"/>
      <c r="Q1001" s="7">
        <f>IF(A1001="","",IFERROR(VLOOKUP(O1001,Listes!$R$3:$T$8,2,FALSE),0)+IFERROR(VLOOKUP(J1001,Listes!$J$3:$L$6,2,FALSE),0)+IFERROR(VLOOKUP(N1001,Listes!$N$3:$P$6,2,FALSE),0)+IF(OR(L1001="",B1001=""),0,IF(L1001-INT(B1001)&lt;10,8,IF(L1001-INT(B1001)&lt;=90,10,5)))+IFERROR(VLOOKUP(AN1001,Listes!$V$3:$W$5,2,FALSE),0)+IFERROR(VLOOKUP(AO1001,Listes!$Y$3:$Z$5,2,FALSE),0))</f>
        <v/>
      </c>
      <c r="R1001" s="12" t="n"/>
      <c r="S1001" s="12" t="n"/>
      <c r="T1001" s="12" t="n"/>
      <c r="U1001" s="15" t="n"/>
      <c r="V1001" s="15" t="n"/>
      <c r="W1001" s="13" t="n"/>
      <c r="X1001" s="12" t="n"/>
      <c r="Y1001" s="12" t="n"/>
      <c r="Z1001" s="12" t="n"/>
      <c r="AA1001" s="12" t="n"/>
      <c r="AB1001" s="12" t="n"/>
      <c r="AC1001" s="12" t="n"/>
      <c r="AD1001" s="12" t="n"/>
      <c r="AE1001" s="12" t="n"/>
      <c r="AF1001" s="12" t="n"/>
      <c r="AG1001" s="12" t="n"/>
      <c r="AH1001" s="12" t="n"/>
      <c r="AI1001" s="12" t="n"/>
      <c r="AJ1001" s="13" t="n"/>
      <c r="AK1001" s="12" t="n"/>
      <c r="AL1001" s="12" t="n"/>
      <c r="AM1001" s="12" t="n"/>
      <c r="AN1001" s="12" t="n"/>
      <c r="AO1001" s="12" t="n"/>
      <c r="AP1001" s="12" t="n"/>
      <c r="AQ1001" s="7">
        <f>IF(A1001="","",IF(AP1001&lt;&gt;"",AP1001,IF(LEFT(Z1001,11)="gads_marque","Google Search – Marque",IF(LEFT(Z1001,12)="gads_mariage","Google Search – Mariage et privé",IF(LEFT(Z1001,10)="gads_corpo","Google Search – Corporatif",IF(LEFT(Z1001,5)="meta_","Meta – Leads",IF(LEFT(Z1001,5)="msft_","Microsoft Ads",IF(LEFT(Z1001,8)="chatgpt_","ChatGPT Ads – Test",IF(X1001="gbp","Fiche Google (organique)","Autre / non payé")))))))))</f>
        <v/>
      </c>
      <c r="AR1001" s="7">
        <f>IF(K1001="","",IFERROR(VLOOKUP(K1001,Listes!$F$3:$H$8,3,FALSE),""))</f>
        <v/>
      </c>
      <c r="AS1001" s="7">
        <f>IF(O1001="","",IF(AND(M1001="Autre (plus de 40 km)",OR(O1001="lt600",O1001="600_999",O1001="1000_2499")),"D",IF(OR(O1001="lt600",AND(O1001="600_999",K1001&lt;&gt;"mariage",K1001&lt;&gt;"prive")),"C",IF(OR(O1001="2500_4999",O1001="5000p",J1001="entreprise",J1001="organisme",J1001="agence"),"A",IF(OR(O1001="1000_2499",O1001="600_999"),"B",IF(O1001="inconnu",IF(OR(N1001="75_149",N1001="150p"),"A","B"),""))))))</f>
        <v/>
      </c>
      <c r="AT1001" s="7">
        <f>IF(A1001="","",IF(P1001&lt;&gt;"",P1001,AS1001))</f>
        <v/>
      </c>
      <c r="AU1001" s="7">
        <f>IF(A1001="","",IF(OR(AT1001="A",AT1001="B"),1,0))</f>
        <v/>
      </c>
      <c r="AV1001" s="7">
        <f>IF(A1001="","",IF(OR(R1001="Dépôt payé (gagné)",R1001="Événement livré",R1001="Avis obtenu"),1,0))</f>
        <v/>
      </c>
      <c r="AW1001" s="7">
        <f>IF(A1001="","",IF(Q1001&gt;70,"Immédiat – propriétaire",IF(Q1001&gt;=40,"15 min – personne de garde","Selon la route")))</f>
        <v/>
      </c>
      <c r="AX1001" s="11">
        <f>IF(A1001="","",IF(AT1001="A",400,IF(AT1001="B",150,0)))</f>
        <v/>
      </c>
      <c r="AY1001" s="11">
        <f>IF(A1001="","",IF(AV1001=1,N(V1001),IF(N(U1001)&gt;0,ROUND(N(U1001)*IFERROR(VLOOKUP(R1001,Listes!$AE$3:$AG$12,2,FALSE),0),0),0)))</f>
        <v/>
      </c>
      <c r="AZ1001" s="7">
        <f>IF(LEFT(A1001,7)="EXEMPLE",1,0)</f>
        <v/>
      </c>
      <c r="BA1001" s="7">
        <f>IF(AND(AV1001=1,AZ1001=0,AC1001&lt;&gt;"",W1001&lt;&gt;"",N(V1001)&gt;0),COUNTIFS($AV$3:AV1001,1,$AZ$3:AZ1001,0,$AC$3:AC1001,"&lt;&gt;",$W$3:W1001,"&lt;&gt;",$V$3:V1001,"&gt;0"),"")</f>
        <v/>
      </c>
    </row>
    <row r="1002">
      <c r="A1002" s="12" t="n"/>
      <c r="B1002" s="13" t="n"/>
      <c r="C1002" s="13" t="n"/>
      <c r="D1002" s="7">
        <f>IF(OR(B1002="",C1002=""),"",ROUND((C1002-B1002)*1440,0))</f>
        <v/>
      </c>
      <c r="E1002" s="12" t="n"/>
      <c r="F1002" s="12" t="n"/>
      <c r="G1002" s="12" t="n"/>
      <c r="H1002" s="12" t="n"/>
      <c r="I1002" s="12" t="n"/>
      <c r="J1002" s="12" t="n"/>
      <c r="K1002" s="12" t="n"/>
      <c r="L1002" s="14" t="n"/>
      <c r="M1002" s="12" t="n"/>
      <c r="N1002" s="12" t="n"/>
      <c r="O1002" s="12" t="n"/>
      <c r="P1002" s="12" t="n"/>
      <c r="Q1002" s="7">
        <f>IF(A1002="","",IFERROR(VLOOKUP(O1002,Listes!$R$3:$T$8,2,FALSE),0)+IFERROR(VLOOKUP(J1002,Listes!$J$3:$L$6,2,FALSE),0)+IFERROR(VLOOKUP(N1002,Listes!$N$3:$P$6,2,FALSE),0)+IF(OR(L1002="",B1002=""),0,IF(L1002-INT(B1002)&lt;10,8,IF(L1002-INT(B1002)&lt;=90,10,5)))+IFERROR(VLOOKUP(AN1002,Listes!$V$3:$W$5,2,FALSE),0)+IFERROR(VLOOKUP(AO1002,Listes!$Y$3:$Z$5,2,FALSE),0))</f>
        <v/>
      </c>
      <c r="R1002" s="12" t="n"/>
      <c r="S1002" s="12" t="n"/>
      <c r="T1002" s="12" t="n"/>
      <c r="U1002" s="15" t="n"/>
      <c r="V1002" s="15" t="n"/>
      <c r="W1002" s="13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  <c r="AJ1002" s="13" t="n"/>
      <c r="AK1002" s="12" t="n"/>
      <c r="AL1002" s="12" t="n"/>
      <c r="AM1002" s="12" t="n"/>
      <c r="AN1002" s="12" t="n"/>
      <c r="AO1002" s="12" t="n"/>
      <c r="AP1002" s="12" t="n"/>
      <c r="AQ1002" s="7">
        <f>IF(A1002="","",IF(AP1002&lt;&gt;"",AP1002,IF(LEFT(Z1002,11)="gads_marque","Google Search – Marque",IF(LEFT(Z1002,12)="gads_mariage","Google Search – Mariage et privé",IF(LEFT(Z1002,10)="gads_corpo","Google Search – Corporatif",IF(LEFT(Z1002,5)="meta_","Meta – Leads",IF(LEFT(Z1002,5)="msft_","Microsoft Ads",IF(LEFT(Z1002,8)="chatgpt_","ChatGPT Ads – Test",IF(X1002="gbp","Fiche Google (organique)","Autre / non payé")))))))))</f>
        <v/>
      </c>
      <c r="AR1002" s="7">
        <f>IF(K1002="","",IFERROR(VLOOKUP(K1002,Listes!$F$3:$H$8,3,FALSE),""))</f>
        <v/>
      </c>
      <c r="AS1002" s="7">
        <f>IF(O1002="","",IF(AND(M1002="Autre (plus de 40 km)",OR(O1002="lt600",O1002="600_999",O1002="1000_2499")),"D",IF(OR(O1002="lt600",AND(O1002="600_999",K1002&lt;&gt;"mariage",K1002&lt;&gt;"prive")),"C",IF(OR(O1002="2500_4999",O1002="5000p",J1002="entreprise",J1002="organisme",J1002="agence"),"A",IF(OR(O1002="1000_2499",O1002="600_999"),"B",IF(O1002="inconnu",IF(OR(N1002="75_149",N1002="150p"),"A","B"),""))))))</f>
        <v/>
      </c>
      <c r="AT1002" s="7">
        <f>IF(A1002="","",IF(P1002&lt;&gt;"",P1002,AS1002))</f>
        <v/>
      </c>
      <c r="AU1002" s="7">
        <f>IF(A1002="","",IF(OR(AT1002="A",AT1002="B"),1,0))</f>
        <v/>
      </c>
      <c r="AV1002" s="7">
        <f>IF(A1002="","",IF(OR(R1002="Dépôt payé (gagné)",R1002="Événement livré",R1002="Avis obtenu"),1,0))</f>
        <v/>
      </c>
      <c r="AW1002" s="7">
        <f>IF(A1002="","",IF(Q1002&gt;70,"Immédiat – propriétaire",IF(Q1002&gt;=40,"15 min – personne de garde","Selon la route")))</f>
        <v/>
      </c>
      <c r="AX1002" s="11">
        <f>IF(A1002="","",IF(AT1002="A",400,IF(AT1002="B",150,0)))</f>
        <v/>
      </c>
      <c r="AY1002" s="11">
        <f>IF(A1002="","",IF(AV1002=1,N(V1002),IF(N(U1002)&gt;0,ROUND(N(U1002)*IFERROR(VLOOKUP(R1002,Listes!$AE$3:$AG$12,2,FALSE),0),0),0)))</f>
        <v/>
      </c>
      <c r="AZ1002" s="7">
        <f>IF(LEFT(A1002,7)="EXEMPLE",1,0)</f>
        <v/>
      </c>
      <c r="BA1002" s="7">
        <f>IF(AND(AV1002=1,AZ1002=0,AC1002&lt;&gt;"",W1002&lt;&gt;"",N(V1002)&gt;0),COUNTIFS($AV$3:AV1002,1,$AZ$3:AZ1002,0,$AC$3:AC1002,"&lt;&gt;",$W$3:W1002,"&lt;&gt;",$V$3:V1002,"&gt;0"),"")</f>
        <v/>
      </c>
    </row>
  </sheetData>
  <autoFilter ref="A2:BA1002"/>
  <conditionalFormatting sqref="A3:AM1002">
    <cfRule type="expression" priority="1" dxfId="0" stopIfTrue="0">
      <formula>AND(ISNUMBER($D3),$D3&gt;15,OR($AT3="A",$AT3="B"))</formula>
    </cfRule>
  </conditionalFormatting>
  <conditionalFormatting sqref="P3:P1002">
    <cfRule type="expression" priority="2" dxfId="1">
      <formula>AND(P3&lt;&gt;"",AS3&lt;&gt;"",P3&lt;&gt;AS3)</formula>
    </cfRule>
  </conditionalFormatting>
  <conditionalFormatting sqref="S3:S1002">
    <cfRule type="expression" priority="3" dxfId="0">
      <formula>AND(OR(R3="Perdu",R3="Disqualifié"),S3="")</formula>
    </cfRule>
  </conditionalFormatting>
  <conditionalFormatting sqref="Q3:Q1002">
    <cfRule type="expression" priority="4" dxfId="2">
      <formula>AND(ISNUMBER(Q3),Q3&gt;70)</formula>
    </cfRule>
  </conditionalFormatting>
  <conditionalFormatting sqref="R3:R1002">
    <cfRule type="expression" priority="5" dxfId="2">
      <formula>AV3=1</formula>
    </cfRule>
  </conditionalFormatting>
  <dataValidations count="25">
    <dataValidation sqref="J3:J1002" showDropDown="0" showInputMessage="0" showErrorMessage="1" allowBlank="1" errorTitle="Valeur non permise" error="Choisissez une valeur dans la liste." type="list">
      <formula1>Listes!$J$3:$J$6</formula1>
    </dataValidation>
    <dataValidation sqref="K3:K1002" showDropDown="0" showInputMessage="1" showErrorMessage="1" allowBlank="1" errorTitle="Valeur non permise" error="Choisissez une valeur dans la liste." promptTitle="Aide" prompt="Code du formulaire : voir la feuille Listes pour le libellé." type="list">
      <formula1>Listes!$F$3:$F$8</formula1>
    </dataValidation>
    <dataValidation sqref="M3:M1002" showDropDown="0" showInputMessage="0" showErrorMessage="1" allowBlank="1" errorTitle="Valeur non permise" error="Choisissez une valeur dans la liste." type="list">
      <formula1>Listes!$AK$3:$AK$18</formula1>
    </dataValidation>
    <dataValidation sqref="N3:N1002" showDropDown="0" showInputMessage="0" showErrorMessage="1" allowBlank="1" errorTitle="Valeur non permise" error="Choisissez une valeur dans la liste." type="list">
      <formula1>Listes!$N$3:$N$6</formula1>
    </dataValidation>
    <dataValidation sqref="O3:O1002" showDropDown="0" showInputMessage="0" showErrorMessage="1" allowBlank="1" errorTitle="Valeur non permise" error="Choisissez une valeur dans la liste." type="list">
      <formula1>Listes!$R$3:$R$8</formula1>
    </dataValidation>
    <dataValidation sqref="P3:P1002" showDropDown="0" showInputMessage="1" showErrorMessage="1" allowBlank="1" errorTitle="Valeur non permise" error="Choisissez une valeur dans la liste." promptTitle="Aide" prompt="A, B, C ou D, telle qu'envoyée par le formulaire. Vide = route calculée." type="list">
      <formula1>Listes!$AB$3:$AB$6</formula1>
    </dataValidation>
    <dataValidation sqref="R3:R1002" showDropDown="0" showInputMessage="0" showErrorMessage="1" allowBlank="1" errorTitle="Valeur non permise" error="Choisissez une valeur dans la liste." type="list">
      <formula1>Listes!$AE$3:$AE$12</formula1>
    </dataValidation>
    <dataValidation sqref="S3:S1002" showDropDown="0" showInputMessage="1" showErrorMessage="1" allowBlank="1" errorTitle="Valeur non permise" error="Choisissez une valeur dans la liste." promptTitle="Aide" prompt="Obligatoire si l'étape est Perdu ou Disqualifié." type="list">
      <formula1>Listes!$AI$3:$AI$11</formula1>
    </dataValidation>
    <dataValidation sqref="T3:T1002" showDropDown="0" showInputMessage="0" showErrorMessage="1" allowBlank="1" errorTitle="Valeur non standard" error="Valeur hors liste : vérifiez qu'elle respecte les conventions (tracking-setup.md)." type="list" errorStyle="warning">
      <formula1>Listes!$AS$3:$AS$10</formula1>
    </dataValidation>
    <dataValidation sqref="X3:X1002" showDropDown="0" showInputMessage="0" showErrorMessage="1" allowBlank="1" errorTitle="Valeur non standard" error="Valeur hors liste : vérifiez qu'elle respecte les conventions (tracking-setup.md)." type="list" errorStyle="warning">
      <formula1>Listes!$AM$3:$AM$11</formula1>
    </dataValidation>
    <dataValidation sqref="Y3:Y1002" showDropDown="0" showInputMessage="0" showErrorMessage="1" allowBlank="1" errorTitle="Valeur non standard" error="Valeur hors liste : vérifiez qu'elle respecte les conventions (tracking-setup.md)." type="list" errorStyle="warning">
      <formula1>Listes!$AO$3:$AO$8</formula1>
    </dataValidation>
    <dataValidation sqref="Z3:Z1002" showDropDown="0" showInputMessage="0" showErrorMessage="1" allowBlank="1" errorTitle="Valeur non standard" error="Valeur hors liste : vérifiez qu'elle respecte les conventions (tracking-setup.md)." type="list" errorStyle="warning">
      <formula1>Listes!$AQ$3:$AQ$11</formula1>
    </dataValidation>
    <dataValidation sqref="AH3:AH1002" showDropDown="0" showInputMessage="0" showErrorMessage="1" allowBlank="1" errorTitle="Valeur non permise" error="Choisissez une valeur dans la liste." type="list">
      <formula1>Listes!$AU$3:$AU$4</formula1>
    </dataValidation>
    <dataValidation sqref="AI3:AI1002" showDropDown="0" showInputMessage="0" showErrorMessage="1" allowBlank="1" errorTitle="Valeur non permise" error="Choisissez une valeur dans la liste." type="list">
      <formula1>Listes!$AU$3:$AU$4</formula1>
    </dataValidation>
    <dataValidation sqref="AK3:AK1002" showDropDown="0" showInputMessage="0" showErrorMessage="1" allowBlank="1" errorTitle="Valeur non permise" error="Choisissez une valeur dans la liste." type="list">
      <formula1>Listes!$AU$3:$AU$4</formula1>
    </dataValidation>
    <dataValidation sqref="AN3:AN1002" showDropDown="0" showInputMessage="0" showErrorMessage="1" allowBlank="1" errorTitle="Valeur non permise" error="Choisissez une valeur dans la liste." type="list">
      <formula1>Listes!$V$3:$V$5</formula1>
    </dataValidation>
    <dataValidation sqref="AO3:AO1002" showDropDown="0" showInputMessage="0" showErrorMessage="1" allowBlank="1" errorTitle="Valeur non permise" error="Choisissez une valeur dans la liste." type="list">
      <formula1>Listes!$Y$3:$Y$5</formula1>
    </dataValidation>
    <dataValidation sqref="AP3:AP1002" showDropDown="0" showInputMessage="1" showErrorMessage="1" allowBlank="1" errorTitle="Valeur non permise" error="Choisissez une valeur dans la liste." promptTitle="Aide" prompt="Laisser vide : la campagne est déduite de utm_campaign. Remplir pour un appel, une référence, etc." type="list">
      <formula1>Listes!$D$3:$D$12</formula1>
    </dataValidation>
    <dataValidation sqref="B3:B1002" showDropDown="0" showInputMessage="0" showErrorMessage="1" allowBlank="1" errorTitle="Date invalide" error="Entrez une date (AAAA-MM-JJ HH:MM)." type="date" operator="greaterThan">
      <formula1>DATE(2024,1,1)</formula1>
    </dataValidation>
    <dataValidation sqref="C3:C1002" showDropDown="0" showInputMessage="0" showErrorMessage="1" allowBlank="1" errorTitle="Date invalide" error="Entrez une date (AAAA-MM-JJ HH:MM)." type="date" operator="greaterThan">
      <formula1>DATE(2024,1,1)</formula1>
    </dataValidation>
    <dataValidation sqref="W3:W1002" showDropDown="0" showInputMessage="0" showErrorMessage="1" allowBlank="1" errorTitle="Date invalide" error="Entrez une date (AAAA-MM-JJ HH:MM)." type="date" operator="greaterThan">
      <formula1>DATE(2024,1,1)</formula1>
    </dataValidation>
    <dataValidation sqref="AJ3:AJ1002" showDropDown="0" showInputMessage="0" showErrorMessage="1" allowBlank="1" errorTitle="Date invalide" error="Entrez une date (AAAA-MM-JJ HH:MM)." type="date" operator="greaterThan">
      <formula1>DATE(2024,1,1)</formula1>
    </dataValidation>
    <dataValidation sqref="L3:L1002" showDropDown="0" showInputMessage="0" showErrorMessage="1" allowBlank="1" errorTitle="Date invalide" error="Entrez une date (AAAA-MM-JJ HH:MM)." type="date" operator="greaterThan">
      <formula1>DATE(2024,1,1)</formula1>
    </dataValidation>
    <dataValidation sqref="U3:U1002" showDropDown="0" showInputMessage="0" showErrorMessage="1" allowBlank="1" error="Montant en dollars, sans taxes." type="decimal" operator="greaterThanOrEqual">
      <formula1>0</formula1>
    </dataValidation>
    <dataValidation sqref="V3:V1002" showDropDown="0" showInputMessage="0" showErrorMessage="1" allowBlank="1" error="Montant en dollars, sans taxe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M46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1" customWidth="1" min="11" max="11"/>
    <col width="10" customWidth="1" min="12" max="12"/>
    <col width="30" customWidth="1" min="13" max="13"/>
  </cols>
  <sheetData>
    <row r="1">
      <c r="A1" s="16" t="inlineStr">
        <is>
          <t>Dépenses publicitaires quotidiennes par campagne ($ CA, avant taxes)</t>
        </is>
      </c>
    </row>
    <row r="2">
      <c r="A2" s="17" t="inlineStr">
        <is>
          <t>Saisir chaque matin la dépense de la veille (rapport de chaque plateforme). Cellules jaunes = saisie.</t>
        </is>
      </c>
    </row>
    <row r="3">
      <c r="B3" s="18" t="inlineStr">
        <is>
          <t>Budget cible ($/jour)</t>
        </is>
      </c>
      <c r="C3" s="19" t="n">
        <v>100</v>
      </c>
      <c r="D3" s="19" t="n">
        <v>80</v>
      </c>
      <c r="E3" s="19" t="n">
        <v>60</v>
      </c>
      <c r="F3" s="19" t="n">
        <v>30</v>
      </c>
      <c r="G3" s="19" t="n">
        <v>20</v>
      </c>
      <c r="H3" s="19" t="n">
        <v>10</v>
      </c>
      <c r="I3" s="20">
        <f>SUM(C3:H3)</f>
        <v/>
      </c>
      <c r="J3" s="17" t="inlineStr">
        <is>
          <t>← total visé : 300 $/jour. Ajuster lors de la bascule saisonnière (COMPTE-RENDU.md).</t>
        </is>
      </c>
    </row>
    <row r="4">
      <c r="B4" s="18" t="inlineStr">
        <is>
          <t>Dépensé (cumul)</t>
        </is>
      </c>
      <c r="C4" s="15">
        <f>SUM(C8:C464)</f>
        <v/>
      </c>
      <c r="D4" s="15">
        <f>SUM(D8:D464)</f>
        <v/>
      </c>
      <c r="E4" s="15">
        <f>SUM(E8:E464)</f>
        <v/>
      </c>
      <c r="F4" s="15">
        <f>SUM(F8:F464)</f>
        <v/>
      </c>
      <c r="G4" s="15">
        <f>SUM(G8:G464)</f>
        <v/>
      </c>
      <c r="H4" s="15">
        <f>SUM(H8:H464)</f>
        <v/>
      </c>
      <c r="I4" s="20">
        <f>SUM(C4:H4)</f>
        <v/>
      </c>
    </row>
    <row r="5">
      <c r="B5" s="18" t="inlineStr">
        <is>
          <t>Budget des jours saisis</t>
        </is>
      </c>
      <c r="C5" s="15">
        <f>C3*COUNT(C8:C464)</f>
        <v/>
      </c>
      <c r="D5" s="15">
        <f>D3*COUNT(D8:D464)</f>
        <v/>
      </c>
      <c r="E5" s="15">
        <f>E3*COUNT(E8:E464)</f>
        <v/>
      </c>
      <c r="F5" s="15">
        <f>F3*COUNT(F8:F464)</f>
        <v/>
      </c>
      <c r="G5" s="15">
        <f>G3*COUNT(G8:G464)</f>
        <v/>
      </c>
      <c r="H5" s="15">
        <f>H3*COUNT(H8:H464)</f>
        <v/>
      </c>
      <c r="I5" s="20">
        <f>SUM(C5:H5)</f>
        <v/>
      </c>
    </row>
    <row r="6">
      <c r="B6" s="18" t="inlineStr">
        <is>
          <t>Écart cumulé ($)</t>
        </is>
      </c>
      <c r="C6" s="15">
        <f>C4-C5</f>
        <v/>
      </c>
      <c r="D6" s="15">
        <f>D4-D5</f>
        <v/>
      </c>
      <c r="E6" s="15">
        <f>E4-E5</f>
        <v/>
      </c>
      <c r="F6" s="15">
        <f>F4-F5</f>
        <v/>
      </c>
      <c r="G6" s="15">
        <f>G4-G5</f>
        <v/>
      </c>
      <c r="H6" s="15">
        <f>H4-H5</f>
        <v/>
      </c>
      <c r="I6" s="20">
        <f>I4-I5</f>
        <v/>
      </c>
    </row>
    <row r="7" ht="45" customHeight="1">
      <c r="A7" s="21" t="inlineStr">
        <is>
          <t>Date</t>
        </is>
      </c>
      <c r="B7" s="21" t="inlineStr">
        <is>
          <t>Jour</t>
        </is>
      </c>
      <c r="C7" s="21" t="inlineStr">
        <is>
          <t>Google Search – Corporatif</t>
        </is>
      </c>
      <c r="D7" s="21" t="inlineStr">
        <is>
          <t>Meta – Leads</t>
        </is>
      </c>
      <c r="E7" s="21" t="inlineStr">
        <is>
          <t>Google Search – Mariage et privé</t>
        </is>
      </c>
      <c r="F7" s="21" t="inlineStr">
        <is>
          <t>ChatGPT Ads – Test</t>
        </is>
      </c>
      <c r="G7" s="21" t="inlineStr">
        <is>
          <t>Microsoft Ads</t>
        </is>
      </c>
      <c r="H7" s="21" t="inlineStr">
        <is>
          <t>Google Search – Marque</t>
        </is>
      </c>
      <c r="I7" s="21" t="inlineStr">
        <is>
          <t>Total réel</t>
        </is>
      </c>
      <c r="J7" s="21" t="inlineStr">
        <is>
          <t>Budget cible du jour</t>
        </is>
      </c>
      <c r="K7" s="21" t="inlineStr">
        <is>
          <t>Écart ($)</t>
        </is>
      </c>
      <c r="L7" s="21" t="inlineStr">
        <is>
          <t>Écart (%)</t>
        </is>
      </c>
      <c r="M7" s="21" t="inlineStr">
        <is>
          <t>Notes</t>
        </is>
      </c>
    </row>
    <row r="8">
      <c r="A8" s="14" t="n">
        <v>46296</v>
      </c>
      <c r="B8" s="7">
        <f>CHOOSE(WEEKDAY(A8,2),"lundi","mardi","mercredi","jeudi","vendredi","samedi","dimanche")</f>
        <v/>
      </c>
      <c r="C8" s="22" t="n"/>
      <c r="D8" s="22" t="n"/>
      <c r="E8" s="22" t="n"/>
      <c r="F8" s="22" t="n"/>
      <c r="G8" s="22" t="n"/>
      <c r="H8" s="22" t="n"/>
      <c r="I8" s="23">
        <f>IF(COUNT(C8:H8)=0,"",SUM(C8:H8))</f>
        <v/>
      </c>
      <c r="J8" s="11">
        <f>$I$3</f>
        <v/>
      </c>
      <c r="K8" s="23">
        <f>IF(I8="","",I8-J8)</f>
        <v/>
      </c>
      <c r="L8" s="24">
        <f>IF(OR(I8="",N(J8)=0),"",K8/J8)</f>
        <v/>
      </c>
      <c r="M8" s="12" t="n"/>
    </row>
    <row r="9">
      <c r="A9" s="14" t="n">
        <v>46297</v>
      </c>
      <c r="B9" s="7">
        <f>CHOOSE(WEEKDAY(A9,2),"lundi","mardi","mercredi","jeudi","vendredi","samedi","dimanche")</f>
        <v/>
      </c>
      <c r="C9" s="22" t="n"/>
      <c r="D9" s="22" t="n"/>
      <c r="E9" s="22" t="n"/>
      <c r="F9" s="22" t="n"/>
      <c r="G9" s="22" t="n"/>
      <c r="H9" s="22" t="n"/>
      <c r="I9" s="23">
        <f>IF(COUNT(C9:H9)=0,"",SUM(C9:H9))</f>
        <v/>
      </c>
      <c r="J9" s="11">
        <f>$I$3</f>
        <v/>
      </c>
      <c r="K9" s="23">
        <f>IF(I9="","",I9-J9)</f>
        <v/>
      </c>
      <c r="L9" s="24">
        <f>IF(OR(I9="",N(J9)=0),"",K9/J9)</f>
        <v/>
      </c>
      <c r="M9" s="12" t="n"/>
    </row>
    <row r="10">
      <c r="A10" s="14" t="n">
        <v>46298</v>
      </c>
      <c r="B10" s="7">
        <f>CHOOSE(WEEKDAY(A10,2),"lundi","mardi","mercredi","jeudi","vendredi","samedi","dimanche")</f>
        <v/>
      </c>
      <c r="C10" s="22" t="n"/>
      <c r="D10" s="22" t="n"/>
      <c r="E10" s="22" t="n"/>
      <c r="F10" s="22" t="n"/>
      <c r="G10" s="22" t="n"/>
      <c r="H10" s="22" t="n"/>
      <c r="I10" s="23">
        <f>IF(COUNT(C10:H10)=0,"",SUM(C10:H10))</f>
        <v/>
      </c>
      <c r="J10" s="11">
        <f>$I$3</f>
        <v/>
      </c>
      <c r="K10" s="23">
        <f>IF(I10="","",I10-J10)</f>
        <v/>
      </c>
      <c r="L10" s="24">
        <f>IF(OR(I10="",N(J10)=0),"",K10/J10)</f>
        <v/>
      </c>
      <c r="M10" s="12" t="n"/>
    </row>
    <row r="11">
      <c r="A11" s="14" t="n">
        <v>46299</v>
      </c>
      <c r="B11" s="7">
        <f>CHOOSE(WEEKDAY(A11,2),"lundi","mardi","mercredi","jeudi","vendredi","samedi","dimanche")</f>
        <v/>
      </c>
      <c r="C11" s="22" t="n"/>
      <c r="D11" s="22" t="n"/>
      <c r="E11" s="22" t="n"/>
      <c r="F11" s="22" t="n"/>
      <c r="G11" s="22" t="n"/>
      <c r="H11" s="22" t="n"/>
      <c r="I11" s="23">
        <f>IF(COUNT(C11:H11)=0,"",SUM(C11:H11))</f>
        <v/>
      </c>
      <c r="J11" s="11">
        <f>$I$3</f>
        <v/>
      </c>
      <c r="K11" s="23">
        <f>IF(I11="","",I11-J11)</f>
        <v/>
      </c>
      <c r="L11" s="24">
        <f>IF(OR(I11="",N(J11)=0),"",K11/J11)</f>
        <v/>
      </c>
      <c r="M11" s="12" t="n"/>
    </row>
    <row r="12">
      <c r="A12" s="25" t="n">
        <v>46300</v>
      </c>
      <c r="B12" s="26">
        <f>CHOOSE(WEEKDAY(A12,2),"lundi","mardi","mercredi","jeudi","vendredi","samedi","dimanche")</f>
        <v/>
      </c>
      <c r="C12" s="22" t="n"/>
      <c r="D12" s="22" t="n"/>
      <c r="E12" s="22" t="n"/>
      <c r="F12" s="22" t="n"/>
      <c r="G12" s="22" t="n"/>
      <c r="H12" s="22" t="n"/>
      <c r="I12" s="23">
        <f>IF(COUNT(C12:H12)=0,"",SUM(C12:H12))</f>
        <v/>
      </c>
      <c r="J12" s="11">
        <f>$I$3</f>
        <v/>
      </c>
      <c r="K12" s="23">
        <f>IF(I12="","",I12-J12)</f>
        <v/>
      </c>
      <c r="L12" s="24">
        <f>IF(OR(I12="",N(J12)=0),"",K12/J12)</f>
        <v/>
      </c>
      <c r="M12" s="12" t="n"/>
    </row>
    <row r="13">
      <c r="A13" s="14" t="n">
        <v>46301</v>
      </c>
      <c r="B13" s="7">
        <f>CHOOSE(WEEKDAY(A13,2),"lundi","mardi","mercredi","jeudi","vendredi","samedi","dimanche")</f>
        <v/>
      </c>
      <c r="C13" s="22" t="n"/>
      <c r="D13" s="22" t="n"/>
      <c r="E13" s="22" t="n"/>
      <c r="F13" s="22" t="n"/>
      <c r="G13" s="22" t="n"/>
      <c r="H13" s="22" t="n"/>
      <c r="I13" s="23">
        <f>IF(COUNT(C13:H13)=0,"",SUM(C13:H13))</f>
        <v/>
      </c>
      <c r="J13" s="11">
        <f>$I$3</f>
        <v/>
      </c>
      <c r="K13" s="23">
        <f>IF(I13="","",I13-J13)</f>
        <v/>
      </c>
      <c r="L13" s="24">
        <f>IF(OR(I13="",N(J13)=0),"",K13/J13)</f>
        <v/>
      </c>
      <c r="M13" s="12" t="n"/>
    </row>
    <row r="14">
      <c r="A14" s="14" t="n">
        <v>46302</v>
      </c>
      <c r="B14" s="7">
        <f>CHOOSE(WEEKDAY(A14,2),"lundi","mardi","mercredi","jeudi","vendredi","samedi","dimanche")</f>
        <v/>
      </c>
      <c r="C14" s="22" t="n"/>
      <c r="D14" s="22" t="n"/>
      <c r="E14" s="22" t="n"/>
      <c r="F14" s="22" t="n"/>
      <c r="G14" s="22" t="n"/>
      <c r="H14" s="22" t="n"/>
      <c r="I14" s="23">
        <f>IF(COUNT(C14:H14)=0,"",SUM(C14:H14))</f>
        <v/>
      </c>
      <c r="J14" s="11">
        <f>$I$3</f>
        <v/>
      </c>
      <c r="K14" s="23">
        <f>IF(I14="","",I14-J14)</f>
        <v/>
      </c>
      <c r="L14" s="24">
        <f>IF(OR(I14="",N(J14)=0),"",K14/J14)</f>
        <v/>
      </c>
      <c r="M14" s="12" t="n"/>
    </row>
    <row r="15">
      <c r="A15" s="14" t="n">
        <v>46303</v>
      </c>
      <c r="B15" s="7">
        <f>CHOOSE(WEEKDAY(A15,2),"lundi","mardi","mercredi","jeudi","vendredi","samedi","dimanche")</f>
        <v/>
      </c>
      <c r="C15" s="22" t="n"/>
      <c r="D15" s="22" t="n"/>
      <c r="E15" s="22" t="n"/>
      <c r="F15" s="22" t="n"/>
      <c r="G15" s="22" t="n"/>
      <c r="H15" s="22" t="n"/>
      <c r="I15" s="23">
        <f>IF(COUNT(C15:H15)=0,"",SUM(C15:H15))</f>
        <v/>
      </c>
      <c r="J15" s="11">
        <f>$I$3</f>
        <v/>
      </c>
      <c r="K15" s="23">
        <f>IF(I15="","",I15-J15)</f>
        <v/>
      </c>
      <c r="L15" s="24">
        <f>IF(OR(I15="",N(J15)=0),"",K15/J15)</f>
        <v/>
      </c>
      <c r="M15" s="12" t="n"/>
    </row>
    <row r="16">
      <c r="A16" s="14" t="n">
        <v>46304</v>
      </c>
      <c r="B16" s="7">
        <f>CHOOSE(WEEKDAY(A16,2),"lundi","mardi","mercredi","jeudi","vendredi","samedi","dimanche")</f>
        <v/>
      </c>
      <c r="C16" s="22" t="n"/>
      <c r="D16" s="22" t="n"/>
      <c r="E16" s="22" t="n"/>
      <c r="F16" s="22" t="n"/>
      <c r="G16" s="22" t="n"/>
      <c r="H16" s="22" t="n"/>
      <c r="I16" s="23">
        <f>IF(COUNT(C16:H16)=0,"",SUM(C16:H16))</f>
        <v/>
      </c>
      <c r="J16" s="11">
        <f>$I$3</f>
        <v/>
      </c>
      <c r="K16" s="23">
        <f>IF(I16="","",I16-J16)</f>
        <v/>
      </c>
      <c r="L16" s="24">
        <f>IF(OR(I16="",N(J16)=0),"",K16/J16)</f>
        <v/>
      </c>
      <c r="M16" s="12" t="n"/>
    </row>
    <row r="17">
      <c r="A17" s="14" t="n">
        <v>46305</v>
      </c>
      <c r="B17" s="7">
        <f>CHOOSE(WEEKDAY(A17,2),"lundi","mardi","mercredi","jeudi","vendredi","samedi","dimanche")</f>
        <v/>
      </c>
      <c r="C17" s="22" t="n"/>
      <c r="D17" s="22" t="n"/>
      <c r="E17" s="22" t="n"/>
      <c r="F17" s="22" t="n"/>
      <c r="G17" s="22" t="n"/>
      <c r="H17" s="22" t="n"/>
      <c r="I17" s="23">
        <f>IF(COUNT(C17:H17)=0,"",SUM(C17:H17))</f>
        <v/>
      </c>
      <c r="J17" s="11">
        <f>$I$3</f>
        <v/>
      </c>
      <c r="K17" s="23">
        <f>IF(I17="","",I17-J17)</f>
        <v/>
      </c>
      <c r="L17" s="24">
        <f>IF(OR(I17="",N(J17)=0),"",K17/J17)</f>
        <v/>
      </c>
      <c r="M17" s="12" t="n"/>
    </row>
    <row r="18">
      <c r="A18" s="14" t="n">
        <v>46306</v>
      </c>
      <c r="B18" s="7">
        <f>CHOOSE(WEEKDAY(A18,2),"lundi","mardi","mercredi","jeudi","vendredi","samedi","dimanche")</f>
        <v/>
      </c>
      <c r="C18" s="22" t="n"/>
      <c r="D18" s="22" t="n"/>
      <c r="E18" s="22" t="n"/>
      <c r="F18" s="22" t="n"/>
      <c r="G18" s="22" t="n"/>
      <c r="H18" s="22" t="n"/>
      <c r="I18" s="23">
        <f>IF(COUNT(C18:H18)=0,"",SUM(C18:H18))</f>
        <v/>
      </c>
      <c r="J18" s="11">
        <f>$I$3</f>
        <v/>
      </c>
      <c r="K18" s="23">
        <f>IF(I18="","",I18-J18)</f>
        <v/>
      </c>
      <c r="L18" s="24">
        <f>IF(OR(I18="",N(J18)=0),"",K18/J18)</f>
        <v/>
      </c>
      <c r="M18" s="12" t="n"/>
    </row>
    <row r="19">
      <c r="A19" s="25" t="n">
        <v>46307</v>
      </c>
      <c r="B19" s="26">
        <f>CHOOSE(WEEKDAY(A19,2),"lundi","mardi","mercredi","jeudi","vendredi","samedi","dimanche")</f>
        <v/>
      </c>
      <c r="C19" s="22" t="n"/>
      <c r="D19" s="22" t="n"/>
      <c r="E19" s="22" t="n"/>
      <c r="F19" s="22" t="n"/>
      <c r="G19" s="22" t="n"/>
      <c r="H19" s="22" t="n"/>
      <c r="I19" s="23">
        <f>IF(COUNT(C19:H19)=0,"",SUM(C19:H19))</f>
        <v/>
      </c>
      <c r="J19" s="11">
        <f>$I$3</f>
        <v/>
      </c>
      <c r="K19" s="23">
        <f>IF(I19="","",I19-J19)</f>
        <v/>
      </c>
      <c r="L19" s="24">
        <f>IF(OR(I19="",N(J19)=0),"",K19/J19)</f>
        <v/>
      </c>
      <c r="M19" s="12" t="n"/>
    </row>
    <row r="20">
      <c r="A20" s="14" t="n">
        <v>46308</v>
      </c>
      <c r="B20" s="7">
        <f>CHOOSE(WEEKDAY(A20,2),"lundi","mardi","mercredi","jeudi","vendredi","samedi","dimanche")</f>
        <v/>
      </c>
      <c r="C20" s="22" t="n"/>
      <c r="D20" s="22" t="n"/>
      <c r="E20" s="22" t="n"/>
      <c r="F20" s="22" t="n"/>
      <c r="G20" s="22" t="n"/>
      <c r="H20" s="22" t="n"/>
      <c r="I20" s="23">
        <f>IF(COUNT(C20:H20)=0,"",SUM(C20:H20))</f>
        <v/>
      </c>
      <c r="J20" s="11">
        <f>$I$3</f>
        <v/>
      </c>
      <c r="K20" s="23">
        <f>IF(I20="","",I20-J20)</f>
        <v/>
      </c>
      <c r="L20" s="24">
        <f>IF(OR(I20="",N(J20)=0),"",K20/J20)</f>
        <v/>
      </c>
      <c r="M20" s="12" t="n"/>
    </row>
    <row r="21">
      <c r="A21" s="14" t="n">
        <v>46309</v>
      </c>
      <c r="B21" s="7">
        <f>CHOOSE(WEEKDAY(A21,2),"lundi","mardi","mercredi","jeudi","vendredi","samedi","dimanche")</f>
        <v/>
      </c>
      <c r="C21" s="22" t="n"/>
      <c r="D21" s="22" t="n"/>
      <c r="E21" s="22" t="n"/>
      <c r="F21" s="22" t="n"/>
      <c r="G21" s="22" t="n"/>
      <c r="H21" s="22" t="n"/>
      <c r="I21" s="23">
        <f>IF(COUNT(C21:H21)=0,"",SUM(C21:H21))</f>
        <v/>
      </c>
      <c r="J21" s="11">
        <f>$I$3</f>
        <v/>
      </c>
      <c r="K21" s="23">
        <f>IF(I21="","",I21-J21)</f>
        <v/>
      </c>
      <c r="L21" s="24">
        <f>IF(OR(I21="",N(J21)=0),"",K21/J21)</f>
        <v/>
      </c>
      <c r="M21" s="12" t="n"/>
    </row>
    <row r="22">
      <c r="A22" s="14" t="n">
        <v>46310</v>
      </c>
      <c r="B22" s="7">
        <f>CHOOSE(WEEKDAY(A22,2),"lundi","mardi","mercredi","jeudi","vendredi","samedi","dimanche")</f>
        <v/>
      </c>
      <c r="C22" s="22" t="n"/>
      <c r="D22" s="22" t="n"/>
      <c r="E22" s="22" t="n"/>
      <c r="F22" s="22" t="n"/>
      <c r="G22" s="22" t="n"/>
      <c r="H22" s="22" t="n"/>
      <c r="I22" s="23">
        <f>IF(COUNT(C22:H22)=0,"",SUM(C22:H22))</f>
        <v/>
      </c>
      <c r="J22" s="11">
        <f>$I$3</f>
        <v/>
      </c>
      <c r="K22" s="23">
        <f>IF(I22="","",I22-J22)</f>
        <v/>
      </c>
      <c r="L22" s="24">
        <f>IF(OR(I22="",N(J22)=0),"",K22/J22)</f>
        <v/>
      </c>
      <c r="M22" s="12" t="n"/>
    </row>
    <row r="23">
      <c r="A23" s="14" t="n">
        <v>46311</v>
      </c>
      <c r="B23" s="7">
        <f>CHOOSE(WEEKDAY(A23,2),"lundi","mardi","mercredi","jeudi","vendredi","samedi","dimanche")</f>
        <v/>
      </c>
      <c r="C23" s="22" t="n"/>
      <c r="D23" s="22" t="n"/>
      <c r="E23" s="22" t="n"/>
      <c r="F23" s="22" t="n"/>
      <c r="G23" s="22" t="n"/>
      <c r="H23" s="22" t="n"/>
      <c r="I23" s="23">
        <f>IF(COUNT(C23:H23)=0,"",SUM(C23:H23))</f>
        <v/>
      </c>
      <c r="J23" s="11">
        <f>$I$3</f>
        <v/>
      </c>
      <c r="K23" s="23">
        <f>IF(I23="","",I23-J23)</f>
        <v/>
      </c>
      <c r="L23" s="24">
        <f>IF(OR(I23="",N(J23)=0),"",K23/J23)</f>
        <v/>
      </c>
      <c r="M23" s="12" t="n"/>
    </row>
    <row r="24">
      <c r="A24" s="14" t="n">
        <v>46312</v>
      </c>
      <c r="B24" s="7">
        <f>CHOOSE(WEEKDAY(A24,2),"lundi","mardi","mercredi","jeudi","vendredi","samedi","dimanche")</f>
        <v/>
      </c>
      <c r="C24" s="22" t="n"/>
      <c r="D24" s="22" t="n"/>
      <c r="E24" s="22" t="n"/>
      <c r="F24" s="22" t="n"/>
      <c r="G24" s="22" t="n"/>
      <c r="H24" s="22" t="n"/>
      <c r="I24" s="23">
        <f>IF(COUNT(C24:H24)=0,"",SUM(C24:H24))</f>
        <v/>
      </c>
      <c r="J24" s="11">
        <f>$I$3</f>
        <v/>
      </c>
      <c r="K24" s="23">
        <f>IF(I24="","",I24-J24)</f>
        <v/>
      </c>
      <c r="L24" s="24">
        <f>IF(OR(I24="",N(J24)=0),"",K24/J24)</f>
        <v/>
      </c>
      <c r="M24" s="12" t="n"/>
    </row>
    <row r="25">
      <c r="A25" s="14" t="n">
        <v>46313</v>
      </c>
      <c r="B25" s="7">
        <f>CHOOSE(WEEKDAY(A25,2),"lundi","mardi","mercredi","jeudi","vendredi","samedi","dimanche")</f>
        <v/>
      </c>
      <c r="C25" s="22" t="n"/>
      <c r="D25" s="22" t="n"/>
      <c r="E25" s="22" t="n"/>
      <c r="F25" s="22" t="n"/>
      <c r="G25" s="22" t="n"/>
      <c r="H25" s="22" t="n"/>
      <c r="I25" s="23">
        <f>IF(COUNT(C25:H25)=0,"",SUM(C25:H25))</f>
        <v/>
      </c>
      <c r="J25" s="11">
        <f>$I$3</f>
        <v/>
      </c>
      <c r="K25" s="23">
        <f>IF(I25="","",I25-J25)</f>
        <v/>
      </c>
      <c r="L25" s="24">
        <f>IF(OR(I25="",N(J25)=0),"",K25/J25)</f>
        <v/>
      </c>
      <c r="M25" s="12" t="n"/>
    </row>
    <row r="26">
      <c r="A26" s="25" t="n">
        <v>46314</v>
      </c>
      <c r="B26" s="26">
        <f>CHOOSE(WEEKDAY(A26,2),"lundi","mardi","mercredi","jeudi","vendredi","samedi","dimanche")</f>
        <v/>
      </c>
      <c r="C26" s="22" t="n"/>
      <c r="D26" s="22" t="n"/>
      <c r="E26" s="22" t="n"/>
      <c r="F26" s="22" t="n"/>
      <c r="G26" s="22" t="n"/>
      <c r="H26" s="22" t="n"/>
      <c r="I26" s="23">
        <f>IF(COUNT(C26:H26)=0,"",SUM(C26:H26))</f>
        <v/>
      </c>
      <c r="J26" s="11">
        <f>$I$3</f>
        <v/>
      </c>
      <c r="K26" s="23">
        <f>IF(I26="","",I26-J26)</f>
        <v/>
      </c>
      <c r="L26" s="24">
        <f>IF(OR(I26="",N(J26)=0),"",K26/J26)</f>
        <v/>
      </c>
      <c r="M26" s="12" t="n"/>
    </row>
    <row r="27">
      <c r="A27" s="14" t="n">
        <v>46315</v>
      </c>
      <c r="B27" s="7">
        <f>CHOOSE(WEEKDAY(A27,2),"lundi","mardi","mercredi","jeudi","vendredi","samedi","dimanche")</f>
        <v/>
      </c>
      <c r="C27" s="22" t="n"/>
      <c r="D27" s="22" t="n"/>
      <c r="E27" s="22" t="n"/>
      <c r="F27" s="22" t="n"/>
      <c r="G27" s="22" t="n"/>
      <c r="H27" s="22" t="n"/>
      <c r="I27" s="23">
        <f>IF(COUNT(C27:H27)=0,"",SUM(C27:H27))</f>
        <v/>
      </c>
      <c r="J27" s="11">
        <f>$I$3</f>
        <v/>
      </c>
      <c r="K27" s="23">
        <f>IF(I27="","",I27-J27)</f>
        <v/>
      </c>
      <c r="L27" s="24">
        <f>IF(OR(I27="",N(J27)=0),"",K27/J27)</f>
        <v/>
      </c>
      <c r="M27" s="12" t="n"/>
    </row>
    <row r="28">
      <c r="A28" s="14" t="n">
        <v>46316</v>
      </c>
      <c r="B28" s="7">
        <f>CHOOSE(WEEKDAY(A28,2),"lundi","mardi","mercredi","jeudi","vendredi","samedi","dimanche")</f>
        <v/>
      </c>
      <c r="C28" s="22" t="n"/>
      <c r="D28" s="22" t="n"/>
      <c r="E28" s="22" t="n"/>
      <c r="F28" s="22" t="n"/>
      <c r="G28" s="22" t="n"/>
      <c r="H28" s="22" t="n"/>
      <c r="I28" s="23">
        <f>IF(COUNT(C28:H28)=0,"",SUM(C28:H28))</f>
        <v/>
      </c>
      <c r="J28" s="11">
        <f>$I$3</f>
        <v/>
      </c>
      <c r="K28" s="23">
        <f>IF(I28="","",I28-J28)</f>
        <v/>
      </c>
      <c r="L28" s="24">
        <f>IF(OR(I28="",N(J28)=0),"",K28/J28)</f>
        <v/>
      </c>
      <c r="M28" s="12" t="n"/>
    </row>
    <row r="29">
      <c r="A29" s="14" t="n">
        <v>46317</v>
      </c>
      <c r="B29" s="7">
        <f>CHOOSE(WEEKDAY(A29,2),"lundi","mardi","mercredi","jeudi","vendredi","samedi","dimanche")</f>
        <v/>
      </c>
      <c r="C29" s="22" t="n"/>
      <c r="D29" s="22" t="n"/>
      <c r="E29" s="22" t="n"/>
      <c r="F29" s="22" t="n"/>
      <c r="G29" s="22" t="n"/>
      <c r="H29" s="22" t="n"/>
      <c r="I29" s="23">
        <f>IF(COUNT(C29:H29)=0,"",SUM(C29:H29))</f>
        <v/>
      </c>
      <c r="J29" s="11">
        <f>$I$3</f>
        <v/>
      </c>
      <c r="K29" s="23">
        <f>IF(I29="","",I29-J29)</f>
        <v/>
      </c>
      <c r="L29" s="24">
        <f>IF(OR(I29="",N(J29)=0),"",K29/J29)</f>
        <v/>
      </c>
      <c r="M29" s="12" t="n"/>
    </row>
    <row r="30">
      <c r="A30" s="14" t="n">
        <v>46318</v>
      </c>
      <c r="B30" s="7">
        <f>CHOOSE(WEEKDAY(A30,2),"lundi","mardi","mercredi","jeudi","vendredi","samedi","dimanche")</f>
        <v/>
      </c>
      <c r="C30" s="22" t="n"/>
      <c r="D30" s="22" t="n"/>
      <c r="E30" s="22" t="n"/>
      <c r="F30" s="22" t="n"/>
      <c r="G30" s="22" t="n"/>
      <c r="H30" s="22" t="n"/>
      <c r="I30" s="23">
        <f>IF(COUNT(C30:H30)=0,"",SUM(C30:H30))</f>
        <v/>
      </c>
      <c r="J30" s="11">
        <f>$I$3</f>
        <v/>
      </c>
      <c r="K30" s="23">
        <f>IF(I30="","",I30-J30)</f>
        <v/>
      </c>
      <c r="L30" s="24">
        <f>IF(OR(I30="",N(J30)=0),"",K30/J30)</f>
        <v/>
      </c>
      <c r="M30" s="12" t="n"/>
    </row>
    <row r="31">
      <c r="A31" s="14" t="n">
        <v>46319</v>
      </c>
      <c r="B31" s="7">
        <f>CHOOSE(WEEKDAY(A31,2),"lundi","mardi","mercredi","jeudi","vendredi","samedi","dimanche")</f>
        <v/>
      </c>
      <c r="C31" s="22" t="n"/>
      <c r="D31" s="22" t="n"/>
      <c r="E31" s="22" t="n"/>
      <c r="F31" s="22" t="n"/>
      <c r="G31" s="22" t="n"/>
      <c r="H31" s="22" t="n"/>
      <c r="I31" s="23">
        <f>IF(COUNT(C31:H31)=0,"",SUM(C31:H31))</f>
        <v/>
      </c>
      <c r="J31" s="11">
        <f>$I$3</f>
        <v/>
      </c>
      <c r="K31" s="23">
        <f>IF(I31="","",I31-J31)</f>
        <v/>
      </c>
      <c r="L31" s="24">
        <f>IF(OR(I31="",N(J31)=0),"",K31/J31)</f>
        <v/>
      </c>
      <c r="M31" s="12" t="n"/>
    </row>
    <row r="32">
      <c r="A32" s="14" t="n">
        <v>46320</v>
      </c>
      <c r="B32" s="7">
        <f>CHOOSE(WEEKDAY(A32,2),"lundi","mardi","mercredi","jeudi","vendredi","samedi","dimanche")</f>
        <v/>
      </c>
      <c r="C32" s="22" t="n"/>
      <c r="D32" s="22" t="n"/>
      <c r="E32" s="22" t="n"/>
      <c r="F32" s="22" t="n"/>
      <c r="G32" s="22" t="n"/>
      <c r="H32" s="22" t="n"/>
      <c r="I32" s="23">
        <f>IF(COUNT(C32:H32)=0,"",SUM(C32:H32))</f>
        <v/>
      </c>
      <c r="J32" s="11">
        <f>$I$3</f>
        <v/>
      </c>
      <c r="K32" s="23">
        <f>IF(I32="","",I32-J32)</f>
        <v/>
      </c>
      <c r="L32" s="24">
        <f>IF(OR(I32="",N(J32)=0),"",K32/J32)</f>
        <v/>
      </c>
      <c r="M32" s="12" t="n"/>
    </row>
    <row r="33">
      <c r="A33" s="25" t="n">
        <v>46321</v>
      </c>
      <c r="B33" s="26">
        <f>CHOOSE(WEEKDAY(A33,2),"lundi","mardi","mercredi","jeudi","vendredi","samedi","dimanche")</f>
        <v/>
      </c>
      <c r="C33" s="22" t="n"/>
      <c r="D33" s="22" t="n"/>
      <c r="E33" s="22" t="n"/>
      <c r="F33" s="22" t="n"/>
      <c r="G33" s="22" t="n"/>
      <c r="H33" s="22" t="n"/>
      <c r="I33" s="23">
        <f>IF(COUNT(C33:H33)=0,"",SUM(C33:H33))</f>
        <v/>
      </c>
      <c r="J33" s="11">
        <f>$I$3</f>
        <v/>
      </c>
      <c r="K33" s="23">
        <f>IF(I33="","",I33-J33)</f>
        <v/>
      </c>
      <c r="L33" s="24">
        <f>IF(OR(I33="",N(J33)=0),"",K33/J33)</f>
        <v/>
      </c>
      <c r="M33" s="12" t="n"/>
    </row>
    <row r="34">
      <c r="A34" s="14" t="n">
        <v>46322</v>
      </c>
      <c r="B34" s="7">
        <f>CHOOSE(WEEKDAY(A34,2),"lundi","mardi","mercredi","jeudi","vendredi","samedi","dimanche")</f>
        <v/>
      </c>
      <c r="C34" s="22" t="n"/>
      <c r="D34" s="22" t="n"/>
      <c r="E34" s="22" t="n"/>
      <c r="F34" s="22" t="n"/>
      <c r="G34" s="22" t="n"/>
      <c r="H34" s="22" t="n"/>
      <c r="I34" s="23">
        <f>IF(COUNT(C34:H34)=0,"",SUM(C34:H34))</f>
        <v/>
      </c>
      <c r="J34" s="11">
        <f>$I$3</f>
        <v/>
      </c>
      <c r="K34" s="23">
        <f>IF(I34="","",I34-J34)</f>
        <v/>
      </c>
      <c r="L34" s="24">
        <f>IF(OR(I34="",N(J34)=0),"",K34/J34)</f>
        <v/>
      </c>
      <c r="M34" s="12" t="n"/>
    </row>
    <row r="35">
      <c r="A35" s="14" t="n">
        <v>46323</v>
      </c>
      <c r="B35" s="7">
        <f>CHOOSE(WEEKDAY(A35,2),"lundi","mardi","mercredi","jeudi","vendredi","samedi","dimanche")</f>
        <v/>
      </c>
      <c r="C35" s="22" t="n"/>
      <c r="D35" s="22" t="n"/>
      <c r="E35" s="22" t="n"/>
      <c r="F35" s="22" t="n"/>
      <c r="G35" s="22" t="n"/>
      <c r="H35" s="22" t="n"/>
      <c r="I35" s="23">
        <f>IF(COUNT(C35:H35)=0,"",SUM(C35:H35))</f>
        <v/>
      </c>
      <c r="J35" s="11">
        <f>$I$3</f>
        <v/>
      </c>
      <c r="K35" s="23">
        <f>IF(I35="","",I35-J35)</f>
        <v/>
      </c>
      <c r="L35" s="24">
        <f>IF(OR(I35="",N(J35)=0),"",K35/J35)</f>
        <v/>
      </c>
      <c r="M35" s="12" t="n"/>
    </row>
    <row r="36">
      <c r="A36" s="14" t="n">
        <v>46324</v>
      </c>
      <c r="B36" s="7">
        <f>CHOOSE(WEEKDAY(A36,2),"lundi","mardi","mercredi","jeudi","vendredi","samedi","dimanche")</f>
        <v/>
      </c>
      <c r="C36" s="22" t="n"/>
      <c r="D36" s="22" t="n"/>
      <c r="E36" s="22" t="n"/>
      <c r="F36" s="22" t="n"/>
      <c r="G36" s="22" t="n"/>
      <c r="H36" s="22" t="n"/>
      <c r="I36" s="23">
        <f>IF(COUNT(C36:H36)=0,"",SUM(C36:H36))</f>
        <v/>
      </c>
      <c r="J36" s="11">
        <f>$I$3</f>
        <v/>
      </c>
      <c r="K36" s="23">
        <f>IF(I36="","",I36-J36)</f>
        <v/>
      </c>
      <c r="L36" s="24">
        <f>IF(OR(I36="",N(J36)=0),"",K36/J36)</f>
        <v/>
      </c>
      <c r="M36" s="12" t="n"/>
    </row>
    <row r="37">
      <c r="A37" s="14" t="n">
        <v>46325</v>
      </c>
      <c r="B37" s="7">
        <f>CHOOSE(WEEKDAY(A37,2),"lundi","mardi","mercredi","jeudi","vendredi","samedi","dimanche")</f>
        <v/>
      </c>
      <c r="C37" s="22" t="n"/>
      <c r="D37" s="22" t="n"/>
      <c r="E37" s="22" t="n"/>
      <c r="F37" s="22" t="n"/>
      <c r="G37" s="22" t="n"/>
      <c r="H37" s="22" t="n"/>
      <c r="I37" s="23">
        <f>IF(COUNT(C37:H37)=0,"",SUM(C37:H37))</f>
        <v/>
      </c>
      <c r="J37" s="11">
        <f>$I$3</f>
        <v/>
      </c>
      <c r="K37" s="23">
        <f>IF(I37="","",I37-J37)</f>
        <v/>
      </c>
      <c r="L37" s="24">
        <f>IF(OR(I37="",N(J37)=0),"",K37/J37)</f>
        <v/>
      </c>
      <c r="M37" s="12" t="n"/>
    </row>
    <row r="38">
      <c r="A38" s="14" t="n">
        <v>46326</v>
      </c>
      <c r="B38" s="7">
        <f>CHOOSE(WEEKDAY(A38,2),"lundi","mardi","mercredi","jeudi","vendredi","samedi","dimanche")</f>
        <v/>
      </c>
      <c r="C38" s="22" t="n"/>
      <c r="D38" s="22" t="n"/>
      <c r="E38" s="22" t="n"/>
      <c r="F38" s="22" t="n"/>
      <c r="G38" s="22" t="n"/>
      <c r="H38" s="22" t="n"/>
      <c r="I38" s="23">
        <f>IF(COUNT(C38:H38)=0,"",SUM(C38:H38))</f>
        <v/>
      </c>
      <c r="J38" s="11">
        <f>$I$3</f>
        <v/>
      </c>
      <c r="K38" s="23">
        <f>IF(I38="","",I38-J38)</f>
        <v/>
      </c>
      <c r="L38" s="24">
        <f>IF(OR(I38="",N(J38)=0),"",K38/J38)</f>
        <v/>
      </c>
      <c r="M38" s="12" t="n"/>
    </row>
    <row r="39">
      <c r="A39" s="14" t="n">
        <v>46327</v>
      </c>
      <c r="B39" s="7">
        <f>CHOOSE(WEEKDAY(A39,2),"lundi","mardi","mercredi","jeudi","vendredi","samedi","dimanche")</f>
        <v/>
      </c>
      <c r="C39" s="22" t="n"/>
      <c r="D39" s="22" t="n"/>
      <c r="E39" s="22" t="n"/>
      <c r="F39" s="22" t="n"/>
      <c r="G39" s="22" t="n"/>
      <c r="H39" s="22" t="n"/>
      <c r="I39" s="23">
        <f>IF(COUNT(C39:H39)=0,"",SUM(C39:H39))</f>
        <v/>
      </c>
      <c r="J39" s="11">
        <f>$I$3</f>
        <v/>
      </c>
      <c r="K39" s="23">
        <f>IF(I39="","",I39-J39)</f>
        <v/>
      </c>
      <c r="L39" s="24">
        <f>IF(OR(I39="",N(J39)=0),"",K39/J39)</f>
        <v/>
      </c>
      <c r="M39" s="12" t="n"/>
    </row>
    <row r="40">
      <c r="A40" s="25" t="n">
        <v>46328</v>
      </c>
      <c r="B40" s="26">
        <f>CHOOSE(WEEKDAY(A40,2),"lundi","mardi","mercredi","jeudi","vendredi","samedi","dimanche")</f>
        <v/>
      </c>
      <c r="C40" s="22" t="n"/>
      <c r="D40" s="22" t="n"/>
      <c r="E40" s="22" t="n"/>
      <c r="F40" s="22" t="n"/>
      <c r="G40" s="22" t="n"/>
      <c r="H40" s="22" t="n"/>
      <c r="I40" s="23">
        <f>IF(COUNT(C40:H40)=0,"",SUM(C40:H40))</f>
        <v/>
      </c>
      <c r="J40" s="11">
        <f>$I$3</f>
        <v/>
      </c>
      <c r="K40" s="23">
        <f>IF(I40="","",I40-J40)</f>
        <v/>
      </c>
      <c r="L40" s="24">
        <f>IF(OR(I40="",N(J40)=0),"",K40/J40)</f>
        <v/>
      </c>
      <c r="M40" s="12" t="n"/>
    </row>
    <row r="41">
      <c r="A41" s="14" t="n">
        <v>46329</v>
      </c>
      <c r="B41" s="7">
        <f>CHOOSE(WEEKDAY(A41,2),"lundi","mardi","mercredi","jeudi","vendredi","samedi","dimanche")</f>
        <v/>
      </c>
      <c r="C41" s="22" t="n"/>
      <c r="D41" s="22" t="n"/>
      <c r="E41" s="22" t="n"/>
      <c r="F41" s="22" t="n"/>
      <c r="G41" s="22" t="n"/>
      <c r="H41" s="22" t="n"/>
      <c r="I41" s="23">
        <f>IF(COUNT(C41:H41)=0,"",SUM(C41:H41))</f>
        <v/>
      </c>
      <c r="J41" s="11">
        <f>$I$3</f>
        <v/>
      </c>
      <c r="K41" s="23">
        <f>IF(I41="","",I41-J41)</f>
        <v/>
      </c>
      <c r="L41" s="24">
        <f>IF(OR(I41="",N(J41)=0),"",K41/J41)</f>
        <v/>
      </c>
      <c r="M41" s="12" t="n"/>
    </row>
    <row r="42">
      <c r="A42" s="14" t="n">
        <v>46330</v>
      </c>
      <c r="B42" s="7">
        <f>CHOOSE(WEEKDAY(A42,2),"lundi","mardi","mercredi","jeudi","vendredi","samedi","dimanche")</f>
        <v/>
      </c>
      <c r="C42" s="22" t="n"/>
      <c r="D42" s="22" t="n"/>
      <c r="E42" s="22" t="n"/>
      <c r="F42" s="22" t="n"/>
      <c r="G42" s="22" t="n"/>
      <c r="H42" s="22" t="n"/>
      <c r="I42" s="23">
        <f>IF(COUNT(C42:H42)=0,"",SUM(C42:H42))</f>
        <v/>
      </c>
      <c r="J42" s="11">
        <f>$I$3</f>
        <v/>
      </c>
      <c r="K42" s="23">
        <f>IF(I42="","",I42-J42)</f>
        <v/>
      </c>
      <c r="L42" s="24">
        <f>IF(OR(I42="",N(J42)=0),"",K42/J42)</f>
        <v/>
      </c>
      <c r="M42" s="12" t="n"/>
    </row>
    <row r="43">
      <c r="A43" s="14" t="n">
        <v>46331</v>
      </c>
      <c r="B43" s="7">
        <f>CHOOSE(WEEKDAY(A43,2),"lundi","mardi","mercredi","jeudi","vendredi","samedi","dimanche")</f>
        <v/>
      </c>
      <c r="C43" s="22" t="n"/>
      <c r="D43" s="22" t="n"/>
      <c r="E43" s="22" t="n"/>
      <c r="F43" s="22" t="n"/>
      <c r="G43" s="22" t="n"/>
      <c r="H43" s="22" t="n"/>
      <c r="I43" s="23">
        <f>IF(COUNT(C43:H43)=0,"",SUM(C43:H43))</f>
        <v/>
      </c>
      <c r="J43" s="11">
        <f>$I$3</f>
        <v/>
      </c>
      <c r="K43" s="23">
        <f>IF(I43="","",I43-J43)</f>
        <v/>
      </c>
      <c r="L43" s="24">
        <f>IF(OR(I43="",N(J43)=0),"",K43/J43)</f>
        <v/>
      </c>
      <c r="M43" s="12" t="n"/>
    </row>
    <row r="44">
      <c r="A44" s="14" t="n">
        <v>46332</v>
      </c>
      <c r="B44" s="7">
        <f>CHOOSE(WEEKDAY(A44,2),"lundi","mardi","mercredi","jeudi","vendredi","samedi","dimanche")</f>
        <v/>
      </c>
      <c r="C44" s="22" t="n"/>
      <c r="D44" s="22" t="n"/>
      <c r="E44" s="22" t="n"/>
      <c r="F44" s="22" t="n"/>
      <c r="G44" s="22" t="n"/>
      <c r="H44" s="22" t="n"/>
      <c r="I44" s="23">
        <f>IF(COUNT(C44:H44)=0,"",SUM(C44:H44))</f>
        <v/>
      </c>
      <c r="J44" s="11">
        <f>$I$3</f>
        <v/>
      </c>
      <c r="K44" s="23">
        <f>IF(I44="","",I44-J44)</f>
        <v/>
      </c>
      <c r="L44" s="24">
        <f>IF(OR(I44="",N(J44)=0),"",K44/J44)</f>
        <v/>
      </c>
      <c r="M44" s="12" t="n"/>
    </row>
    <row r="45">
      <c r="A45" s="14" t="n">
        <v>46333</v>
      </c>
      <c r="B45" s="7">
        <f>CHOOSE(WEEKDAY(A45,2),"lundi","mardi","mercredi","jeudi","vendredi","samedi","dimanche")</f>
        <v/>
      </c>
      <c r="C45" s="22" t="n"/>
      <c r="D45" s="22" t="n"/>
      <c r="E45" s="22" t="n"/>
      <c r="F45" s="22" t="n"/>
      <c r="G45" s="22" t="n"/>
      <c r="H45" s="22" t="n"/>
      <c r="I45" s="23">
        <f>IF(COUNT(C45:H45)=0,"",SUM(C45:H45))</f>
        <v/>
      </c>
      <c r="J45" s="11">
        <f>$I$3</f>
        <v/>
      </c>
      <c r="K45" s="23">
        <f>IF(I45="","",I45-J45)</f>
        <v/>
      </c>
      <c r="L45" s="24">
        <f>IF(OR(I45="",N(J45)=0),"",K45/J45)</f>
        <v/>
      </c>
      <c r="M45" s="12" t="n"/>
    </row>
    <row r="46">
      <c r="A46" s="14" t="n">
        <v>46334</v>
      </c>
      <c r="B46" s="7">
        <f>CHOOSE(WEEKDAY(A46,2),"lundi","mardi","mercredi","jeudi","vendredi","samedi","dimanche")</f>
        <v/>
      </c>
      <c r="C46" s="22" t="n"/>
      <c r="D46" s="22" t="n"/>
      <c r="E46" s="22" t="n"/>
      <c r="F46" s="22" t="n"/>
      <c r="G46" s="22" t="n"/>
      <c r="H46" s="22" t="n"/>
      <c r="I46" s="23">
        <f>IF(COUNT(C46:H46)=0,"",SUM(C46:H46))</f>
        <v/>
      </c>
      <c r="J46" s="11">
        <f>$I$3</f>
        <v/>
      </c>
      <c r="K46" s="23">
        <f>IF(I46="","",I46-J46)</f>
        <v/>
      </c>
      <c r="L46" s="24">
        <f>IF(OR(I46="",N(J46)=0),"",K46/J46)</f>
        <v/>
      </c>
      <c r="M46" s="12" t="n"/>
    </row>
    <row r="47">
      <c r="A47" s="25" t="n">
        <v>46335</v>
      </c>
      <c r="B47" s="26">
        <f>CHOOSE(WEEKDAY(A47,2),"lundi","mardi","mercredi","jeudi","vendredi","samedi","dimanche")</f>
        <v/>
      </c>
      <c r="C47" s="22" t="n"/>
      <c r="D47" s="22" t="n"/>
      <c r="E47" s="22" t="n"/>
      <c r="F47" s="22" t="n"/>
      <c r="G47" s="22" t="n"/>
      <c r="H47" s="22" t="n"/>
      <c r="I47" s="23">
        <f>IF(COUNT(C47:H47)=0,"",SUM(C47:H47))</f>
        <v/>
      </c>
      <c r="J47" s="11">
        <f>$I$3</f>
        <v/>
      </c>
      <c r="K47" s="23">
        <f>IF(I47="","",I47-J47)</f>
        <v/>
      </c>
      <c r="L47" s="24">
        <f>IF(OR(I47="",N(J47)=0),"",K47/J47)</f>
        <v/>
      </c>
      <c r="M47" s="12" t="n"/>
    </row>
    <row r="48">
      <c r="A48" s="14" t="n">
        <v>46336</v>
      </c>
      <c r="B48" s="7">
        <f>CHOOSE(WEEKDAY(A48,2),"lundi","mardi","mercredi","jeudi","vendredi","samedi","dimanche")</f>
        <v/>
      </c>
      <c r="C48" s="22" t="n"/>
      <c r="D48" s="22" t="n"/>
      <c r="E48" s="22" t="n"/>
      <c r="F48" s="22" t="n"/>
      <c r="G48" s="22" t="n"/>
      <c r="H48" s="22" t="n"/>
      <c r="I48" s="23">
        <f>IF(COUNT(C48:H48)=0,"",SUM(C48:H48))</f>
        <v/>
      </c>
      <c r="J48" s="11">
        <f>$I$3</f>
        <v/>
      </c>
      <c r="K48" s="23">
        <f>IF(I48="","",I48-J48)</f>
        <v/>
      </c>
      <c r="L48" s="24">
        <f>IF(OR(I48="",N(J48)=0),"",K48/J48)</f>
        <v/>
      </c>
      <c r="M48" s="12" t="n"/>
    </row>
    <row r="49">
      <c r="A49" s="14" t="n">
        <v>46337</v>
      </c>
      <c r="B49" s="7">
        <f>CHOOSE(WEEKDAY(A49,2),"lundi","mardi","mercredi","jeudi","vendredi","samedi","dimanche")</f>
        <v/>
      </c>
      <c r="C49" s="22" t="n"/>
      <c r="D49" s="22" t="n"/>
      <c r="E49" s="22" t="n"/>
      <c r="F49" s="22" t="n"/>
      <c r="G49" s="22" t="n"/>
      <c r="H49" s="22" t="n"/>
      <c r="I49" s="23">
        <f>IF(COUNT(C49:H49)=0,"",SUM(C49:H49))</f>
        <v/>
      </c>
      <c r="J49" s="11">
        <f>$I$3</f>
        <v/>
      </c>
      <c r="K49" s="23">
        <f>IF(I49="","",I49-J49)</f>
        <v/>
      </c>
      <c r="L49" s="24">
        <f>IF(OR(I49="",N(J49)=0),"",K49/J49)</f>
        <v/>
      </c>
      <c r="M49" s="12" t="n"/>
    </row>
    <row r="50">
      <c r="A50" s="14" t="n">
        <v>46338</v>
      </c>
      <c r="B50" s="7">
        <f>CHOOSE(WEEKDAY(A50,2),"lundi","mardi","mercredi","jeudi","vendredi","samedi","dimanche")</f>
        <v/>
      </c>
      <c r="C50" s="22" t="n"/>
      <c r="D50" s="22" t="n"/>
      <c r="E50" s="22" t="n"/>
      <c r="F50" s="22" t="n"/>
      <c r="G50" s="22" t="n"/>
      <c r="H50" s="22" t="n"/>
      <c r="I50" s="23">
        <f>IF(COUNT(C50:H50)=0,"",SUM(C50:H50))</f>
        <v/>
      </c>
      <c r="J50" s="11">
        <f>$I$3</f>
        <v/>
      </c>
      <c r="K50" s="23">
        <f>IF(I50="","",I50-J50)</f>
        <v/>
      </c>
      <c r="L50" s="24">
        <f>IF(OR(I50="",N(J50)=0),"",K50/J50)</f>
        <v/>
      </c>
      <c r="M50" s="12" t="n"/>
    </row>
    <row r="51">
      <c r="A51" s="14" t="n">
        <v>46339</v>
      </c>
      <c r="B51" s="7">
        <f>CHOOSE(WEEKDAY(A51,2),"lundi","mardi","mercredi","jeudi","vendredi","samedi","dimanche")</f>
        <v/>
      </c>
      <c r="C51" s="22" t="n"/>
      <c r="D51" s="22" t="n"/>
      <c r="E51" s="22" t="n"/>
      <c r="F51" s="22" t="n"/>
      <c r="G51" s="22" t="n"/>
      <c r="H51" s="22" t="n"/>
      <c r="I51" s="23">
        <f>IF(COUNT(C51:H51)=0,"",SUM(C51:H51))</f>
        <v/>
      </c>
      <c r="J51" s="11">
        <f>$I$3</f>
        <v/>
      </c>
      <c r="K51" s="23">
        <f>IF(I51="","",I51-J51)</f>
        <v/>
      </c>
      <c r="L51" s="24">
        <f>IF(OR(I51="",N(J51)=0),"",K51/J51)</f>
        <v/>
      </c>
      <c r="M51" s="12" t="n"/>
    </row>
    <row r="52">
      <c r="A52" s="14" t="n">
        <v>46340</v>
      </c>
      <c r="B52" s="7">
        <f>CHOOSE(WEEKDAY(A52,2),"lundi","mardi","mercredi","jeudi","vendredi","samedi","dimanche")</f>
        <v/>
      </c>
      <c r="C52" s="22" t="n"/>
      <c r="D52" s="22" t="n"/>
      <c r="E52" s="22" t="n"/>
      <c r="F52" s="22" t="n"/>
      <c r="G52" s="22" t="n"/>
      <c r="H52" s="22" t="n"/>
      <c r="I52" s="23">
        <f>IF(COUNT(C52:H52)=0,"",SUM(C52:H52))</f>
        <v/>
      </c>
      <c r="J52" s="11">
        <f>$I$3</f>
        <v/>
      </c>
      <c r="K52" s="23">
        <f>IF(I52="","",I52-J52)</f>
        <v/>
      </c>
      <c r="L52" s="24">
        <f>IF(OR(I52="",N(J52)=0),"",K52/J52)</f>
        <v/>
      </c>
      <c r="M52" s="12" t="n"/>
    </row>
    <row r="53">
      <c r="A53" s="14" t="n">
        <v>46341</v>
      </c>
      <c r="B53" s="7">
        <f>CHOOSE(WEEKDAY(A53,2),"lundi","mardi","mercredi","jeudi","vendredi","samedi","dimanche")</f>
        <v/>
      </c>
      <c r="C53" s="22" t="n"/>
      <c r="D53" s="22" t="n"/>
      <c r="E53" s="22" t="n"/>
      <c r="F53" s="22" t="n"/>
      <c r="G53" s="22" t="n"/>
      <c r="H53" s="22" t="n"/>
      <c r="I53" s="23">
        <f>IF(COUNT(C53:H53)=0,"",SUM(C53:H53))</f>
        <v/>
      </c>
      <c r="J53" s="11">
        <f>$I$3</f>
        <v/>
      </c>
      <c r="K53" s="23">
        <f>IF(I53="","",I53-J53)</f>
        <v/>
      </c>
      <c r="L53" s="24">
        <f>IF(OR(I53="",N(J53)=0),"",K53/J53)</f>
        <v/>
      </c>
      <c r="M53" s="12" t="n"/>
    </row>
    <row r="54">
      <c r="A54" s="25" t="n">
        <v>46342</v>
      </c>
      <c r="B54" s="26">
        <f>CHOOSE(WEEKDAY(A54,2),"lundi","mardi","mercredi","jeudi","vendredi","samedi","dimanche")</f>
        <v/>
      </c>
      <c r="C54" s="22" t="n"/>
      <c r="D54" s="22" t="n"/>
      <c r="E54" s="22" t="n"/>
      <c r="F54" s="22" t="n"/>
      <c r="G54" s="22" t="n"/>
      <c r="H54" s="22" t="n"/>
      <c r="I54" s="23">
        <f>IF(COUNT(C54:H54)=0,"",SUM(C54:H54))</f>
        <v/>
      </c>
      <c r="J54" s="11">
        <f>$I$3</f>
        <v/>
      </c>
      <c r="K54" s="23">
        <f>IF(I54="","",I54-J54)</f>
        <v/>
      </c>
      <c r="L54" s="24">
        <f>IF(OR(I54="",N(J54)=0),"",K54/J54)</f>
        <v/>
      </c>
      <c r="M54" s="12" t="n"/>
    </row>
    <row r="55">
      <c r="A55" s="14" t="n">
        <v>46343</v>
      </c>
      <c r="B55" s="7">
        <f>CHOOSE(WEEKDAY(A55,2),"lundi","mardi","mercredi","jeudi","vendredi","samedi","dimanche")</f>
        <v/>
      </c>
      <c r="C55" s="22" t="n"/>
      <c r="D55" s="22" t="n"/>
      <c r="E55" s="22" t="n"/>
      <c r="F55" s="22" t="n"/>
      <c r="G55" s="22" t="n"/>
      <c r="H55" s="22" t="n"/>
      <c r="I55" s="23">
        <f>IF(COUNT(C55:H55)=0,"",SUM(C55:H55))</f>
        <v/>
      </c>
      <c r="J55" s="11">
        <f>$I$3</f>
        <v/>
      </c>
      <c r="K55" s="23">
        <f>IF(I55="","",I55-J55)</f>
        <v/>
      </c>
      <c r="L55" s="24">
        <f>IF(OR(I55="",N(J55)=0),"",K55/J55)</f>
        <v/>
      </c>
      <c r="M55" s="12" t="n"/>
    </row>
    <row r="56">
      <c r="A56" s="14" t="n">
        <v>46344</v>
      </c>
      <c r="B56" s="7">
        <f>CHOOSE(WEEKDAY(A56,2),"lundi","mardi","mercredi","jeudi","vendredi","samedi","dimanche")</f>
        <v/>
      </c>
      <c r="C56" s="22" t="n"/>
      <c r="D56" s="22" t="n"/>
      <c r="E56" s="22" t="n"/>
      <c r="F56" s="22" t="n"/>
      <c r="G56" s="22" t="n"/>
      <c r="H56" s="22" t="n"/>
      <c r="I56" s="23">
        <f>IF(COUNT(C56:H56)=0,"",SUM(C56:H56))</f>
        <v/>
      </c>
      <c r="J56" s="11">
        <f>$I$3</f>
        <v/>
      </c>
      <c r="K56" s="23">
        <f>IF(I56="","",I56-J56)</f>
        <v/>
      </c>
      <c r="L56" s="24">
        <f>IF(OR(I56="",N(J56)=0),"",K56/J56)</f>
        <v/>
      </c>
      <c r="M56" s="12" t="n"/>
    </row>
    <row r="57">
      <c r="A57" s="14" t="n">
        <v>46345</v>
      </c>
      <c r="B57" s="7">
        <f>CHOOSE(WEEKDAY(A57,2),"lundi","mardi","mercredi","jeudi","vendredi","samedi","dimanche")</f>
        <v/>
      </c>
      <c r="C57" s="22" t="n"/>
      <c r="D57" s="22" t="n"/>
      <c r="E57" s="22" t="n"/>
      <c r="F57" s="22" t="n"/>
      <c r="G57" s="22" t="n"/>
      <c r="H57" s="22" t="n"/>
      <c r="I57" s="23">
        <f>IF(COUNT(C57:H57)=0,"",SUM(C57:H57))</f>
        <v/>
      </c>
      <c r="J57" s="11">
        <f>$I$3</f>
        <v/>
      </c>
      <c r="K57" s="23">
        <f>IF(I57="","",I57-J57)</f>
        <v/>
      </c>
      <c r="L57" s="24">
        <f>IF(OR(I57="",N(J57)=0),"",K57/J57)</f>
        <v/>
      </c>
      <c r="M57" s="12" t="n"/>
    </row>
    <row r="58">
      <c r="A58" s="14" t="n">
        <v>46346</v>
      </c>
      <c r="B58" s="7">
        <f>CHOOSE(WEEKDAY(A58,2),"lundi","mardi","mercredi","jeudi","vendredi","samedi","dimanche")</f>
        <v/>
      </c>
      <c r="C58" s="22" t="n"/>
      <c r="D58" s="22" t="n"/>
      <c r="E58" s="22" t="n"/>
      <c r="F58" s="22" t="n"/>
      <c r="G58" s="22" t="n"/>
      <c r="H58" s="22" t="n"/>
      <c r="I58" s="23">
        <f>IF(COUNT(C58:H58)=0,"",SUM(C58:H58))</f>
        <v/>
      </c>
      <c r="J58" s="11">
        <f>$I$3</f>
        <v/>
      </c>
      <c r="K58" s="23">
        <f>IF(I58="","",I58-J58)</f>
        <v/>
      </c>
      <c r="L58" s="24">
        <f>IF(OR(I58="",N(J58)=0),"",K58/J58)</f>
        <v/>
      </c>
      <c r="M58" s="12" t="n"/>
    </row>
    <row r="59">
      <c r="A59" s="14" t="n">
        <v>46347</v>
      </c>
      <c r="B59" s="7">
        <f>CHOOSE(WEEKDAY(A59,2),"lundi","mardi","mercredi","jeudi","vendredi","samedi","dimanche")</f>
        <v/>
      </c>
      <c r="C59" s="22" t="n"/>
      <c r="D59" s="22" t="n"/>
      <c r="E59" s="22" t="n"/>
      <c r="F59" s="22" t="n"/>
      <c r="G59" s="22" t="n"/>
      <c r="H59" s="22" t="n"/>
      <c r="I59" s="23">
        <f>IF(COUNT(C59:H59)=0,"",SUM(C59:H59))</f>
        <v/>
      </c>
      <c r="J59" s="11">
        <f>$I$3</f>
        <v/>
      </c>
      <c r="K59" s="23">
        <f>IF(I59="","",I59-J59)</f>
        <v/>
      </c>
      <c r="L59" s="24">
        <f>IF(OR(I59="",N(J59)=0),"",K59/J59)</f>
        <v/>
      </c>
      <c r="M59" s="12" t="n"/>
    </row>
    <row r="60">
      <c r="A60" s="14" t="n">
        <v>46348</v>
      </c>
      <c r="B60" s="7">
        <f>CHOOSE(WEEKDAY(A60,2),"lundi","mardi","mercredi","jeudi","vendredi","samedi","dimanche")</f>
        <v/>
      </c>
      <c r="C60" s="22" t="n"/>
      <c r="D60" s="22" t="n"/>
      <c r="E60" s="22" t="n"/>
      <c r="F60" s="22" t="n"/>
      <c r="G60" s="22" t="n"/>
      <c r="H60" s="22" t="n"/>
      <c r="I60" s="23">
        <f>IF(COUNT(C60:H60)=0,"",SUM(C60:H60))</f>
        <v/>
      </c>
      <c r="J60" s="11">
        <f>$I$3</f>
        <v/>
      </c>
      <c r="K60" s="23">
        <f>IF(I60="","",I60-J60)</f>
        <v/>
      </c>
      <c r="L60" s="24">
        <f>IF(OR(I60="",N(J60)=0),"",K60/J60)</f>
        <v/>
      </c>
      <c r="M60" s="12" t="n"/>
    </row>
    <row r="61">
      <c r="A61" s="25" t="n">
        <v>46349</v>
      </c>
      <c r="B61" s="26">
        <f>CHOOSE(WEEKDAY(A61,2),"lundi","mardi","mercredi","jeudi","vendredi","samedi","dimanche")</f>
        <v/>
      </c>
      <c r="C61" s="22" t="n"/>
      <c r="D61" s="22" t="n"/>
      <c r="E61" s="22" t="n"/>
      <c r="F61" s="22" t="n"/>
      <c r="G61" s="22" t="n"/>
      <c r="H61" s="22" t="n"/>
      <c r="I61" s="23">
        <f>IF(COUNT(C61:H61)=0,"",SUM(C61:H61))</f>
        <v/>
      </c>
      <c r="J61" s="11">
        <f>$I$3</f>
        <v/>
      </c>
      <c r="K61" s="23">
        <f>IF(I61="","",I61-J61)</f>
        <v/>
      </c>
      <c r="L61" s="24">
        <f>IF(OR(I61="",N(J61)=0),"",K61/J61)</f>
        <v/>
      </c>
      <c r="M61" s="12" t="n"/>
    </row>
    <row r="62">
      <c r="A62" s="14" t="n">
        <v>46350</v>
      </c>
      <c r="B62" s="7">
        <f>CHOOSE(WEEKDAY(A62,2),"lundi","mardi","mercredi","jeudi","vendredi","samedi","dimanche")</f>
        <v/>
      </c>
      <c r="C62" s="22" t="n"/>
      <c r="D62" s="22" t="n"/>
      <c r="E62" s="22" t="n"/>
      <c r="F62" s="22" t="n"/>
      <c r="G62" s="22" t="n"/>
      <c r="H62" s="22" t="n"/>
      <c r="I62" s="23">
        <f>IF(COUNT(C62:H62)=0,"",SUM(C62:H62))</f>
        <v/>
      </c>
      <c r="J62" s="11">
        <f>$I$3</f>
        <v/>
      </c>
      <c r="K62" s="23">
        <f>IF(I62="","",I62-J62)</f>
        <v/>
      </c>
      <c r="L62" s="24">
        <f>IF(OR(I62="",N(J62)=0),"",K62/J62)</f>
        <v/>
      </c>
      <c r="M62" s="12" t="n"/>
    </row>
    <row r="63">
      <c r="A63" s="14" t="n">
        <v>46351</v>
      </c>
      <c r="B63" s="7">
        <f>CHOOSE(WEEKDAY(A63,2),"lundi","mardi","mercredi","jeudi","vendredi","samedi","dimanche")</f>
        <v/>
      </c>
      <c r="C63" s="22" t="n"/>
      <c r="D63" s="22" t="n"/>
      <c r="E63" s="22" t="n"/>
      <c r="F63" s="22" t="n"/>
      <c r="G63" s="22" t="n"/>
      <c r="H63" s="22" t="n"/>
      <c r="I63" s="23">
        <f>IF(COUNT(C63:H63)=0,"",SUM(C63:H63))</f>
        <v/>
      </c>
      <c r="J63" s="11">
        <f>$I$3</f>
        <v/>
      </c>
      <c r="K63" s="23">
        <f>IF(I63="","",I63-J63)</f>
        <v/>
      </c>
      <c r="L63" s="24">
        <f>IF(OR(I63="",N(J63)=0),"",K63/J63)</f>
        <v/>
      </c>
      <c r="M63" s="12" t="n"/>
    </row>
    <row r="64">
      <c r="A64" s="14" t="n">
        <v>46352</v>
      </c>
      <c r="B64" s="7">
        <f>CHOOSE(WEEKDAY(A64,2),"lundi","mardi","mercredi","jeudi","vendredi","samedi","dimanche")</f>
        <v/>
      </c>
      <c r="C64" s="22" t="n"/>
      <c r="D64" s="22" t="n"/>
      <c r="E64" s="22" t="n"/>
      <c r="F64" s="22" t="n"/>
      <c r="G64" s="22" t="n"/>
      <c r="H64" s="22" t="n"/>
      <c r="I64" s="23">
        <f>IF(COUNT(C64:H64)=0,"",SUM(C64:H64))</f>
        <v/>
      </c>
      <c r="J64" s="11">
        <f>$I$3</f>
        <v/>
      </c>
      <c r="K64" s="23">
        <f>IF(I64="","",I64-J64)</f>
        <v/>
      </c>
      <c r="L64" s="24">
        <f>IF(OR(I64="",N(J64)=0),"",K64/J64)</f>
        <v/>
      </c>
      <c r="M64" s="12" t="n"/>
    </row>
    <row r="65">
      <c r="A65" s="14" t="n">
        <v>46353</v>
      </c>
      <c r="B65" s="7">
        <f>CHOOSE(WEEKDAY(A65,2),"lundi","mardi","mercredi","jeudi","vendredi","samedi","dimanche")</f>
        <v/>
      </c>
      <c r="C65" s="22" t="n"/>
      <c r="D65" s="22" t="n"/>
      <c r="E65" s="22" t="n"/>
      <c r="F65" s="22" t="n"/>
      <c r="G65" s="22" t="n"/>
      <c r="H65" s="22" t="n"/>
      <c r="I65" s="23">
        <f>IF(COUNT(C65:H65)=0,"",SUM(C65:H65))</f>
        <v/>
      </c>
      <c r="J65" s="11">
        <f>$I$3</f>
        <v/>
      </c>
      <c r="K65" s="23">
        <f>IF(I65="","",I65-J65)</f>
        <v/>
      </c>
      <c r="L65" s="24">
        <f>IF(OR(I65="",N(J65)=0),"",K65/J65)</f>
        <v/>
      </c>
      <c r="M65" s="12" t="n"/>
    </row>
    <row r="66">
      <c r="A66" s="14" t="n">
        <v>46354</v>
      </c>
      <c r="B66" s="7">
        <f>CHOOSE(WEEKDAY(A66,2),"lundi","mardi","mercredi","jeudi","vendredi","samedi","dimanche")</f>
        <v/>
      </c>
      <c r="C66" s="22" t="n"/>
      <c r="D66" s="22" t="n"/>
      <c r="E66" s="22" t="n"/>
      <c r="F66" s="22" t="n"/>
      <c r="G66" s="22" t="n"/>
      <c r="H66" s="22" t="n"/>
      <c r="I66" s="23">
        <f>IF(COUNT(C66:H66)=0,"",SUM(C66:H66))</f>
        <v/>
      </c>
      <c r="J66" s="11">
        <f>$I$3</f>
        <v/>
      </c>
      <c r="K66" s="23">
        <f>IF(I66="","",I66-J66)</f>
        <v/>
      </c>
      <c r="L66" s="24">
        <f>IF(OR(I66="",N(J66)=0),"",K66/J66)</f>
        <v/>
      </c>
      <c r="M66" s="12" t="n"/>
    </row>
    <row r="67">
      <c r="A67" s="14" t="n">
        <v>46355</v>
      </c>
      <c r="B67" s="7">
        <f>CHOOSE(WEEKDAY(A67,2),"lundi","mardi","mercredi","jeudi","vendredi","samedi","dimanche")</f>
        <v/>
      </c>
      <c r="C67" s="22" t="n"/>
      <c r="D67" s="22" t="n"/>
      <c r="E67" s="22" t="n"/>
      <c r="F67" s="22" t="n"/>
      <c r="G67" s="22" t="n"/>
      <c r="H67" s="22" t="n"/>
      <c r="I67" s="23">
        <f>IF(COUNT(C67:H67)=0,"",SUM(C67:H67))</f>
        <v/>
      </c>
      <c r="J67" s="11">
        <f>$I$3</f>
        <v/>
      </c>
      <c r="K67" s="23">
        <f>IF(I67="","",I67-J67)</f>
        <v/>
      </c>
      <c r="L67" s="24">
        <f>IF(OR(I67="",N(J67)=0),"",K67/J67)</f>
        <v/>
      </c>
      <c r="M67" s="12" t="n"/>
    </row>
    <row r="68">
      <c r="A68" s="25" t="n">
        <v>46356</v>
      </c>
      <c r="B68" s="26">
        <f>CHOOSE(WEEKDAY(A68,2),"lundi","mardi","mercredi","jeudi","vendredi","samedi","dimanche")</f>
        <v/>
      </c>
      <c r="C68" s="22" t="n"/>
      <c r="D68" s="22" t="n"/>
      <c r="E68" s="22" t="n"/>
      <c r="F68" s="22" t="n"/>
      <c r="G68" s="22" t="n"/>
      <c r="H68" s="22" t="n"/>
      <c r="I68" s="23">
        <f>IF(COUNT(C68:H68)=0,"",SUM(C68:H68))</f>
        <v/>
      </c>
      <c r="J68" s="11">
        <f>$I$3</f>
        <v/>
      </c>
      <c r="K68" s="23">
        <f>IF(I68="","",I68-J68)</f>
        <v/>
      </c>
      <c r="L68" s="24">
        <f>IF(OR(I68="",N(J68)=0),"",K68/J68)</f>
        <v/>
      </c>
      <c r="M68" s="12" t="n"/>
    </row>
    <row r="69">
      <c r="A69" s="14" t="n">
        <v>46357</v>
      </c>
      <c r="B69" s="7">
        <f>CHOOSE(WEEKDAY(A69,2),"lundi","mardi","mercredi","jeudi","vendredi","samedi","dimanche")</f>
        <v/>
      </c>
      <c r="C69" s="22" t="n"/>
      <c r="D69" s="22" t="n"/>
      <c r="E69" s="22" t="n"/>
      <c r="F69" s="22" t="n"/>
      <c r="G69" s="22" t="n"/>
      <c r="H69" s="22" t="n"/>
      <c r="I69" s="23">
        <f>IF(COUNT(C69:H69)=0,"",SUM(C69:H69))</f>
        <v/>
      </c>
      <c r="J69" s="11">
        <f>$I$3</f>
        <v/>
      </c>
      <c r="K69" s="23">
        <f>IF(I69="","",I69-J69)</f>
        <v/>
      </c>
      <c r="L69" s="24">
        <f>IF(OR(I69="",N(J69)=0),"",K69/J69)</f>
        <v/>
      </c>
      <c r="M69" s="12" t="n"/>
    </row>
    <row r="70">
      <c r="A70" s="14" t="n">
        <v>46358</v>
      </c>
      <c r="B70" s="7">
        <f>CHOOSE(WEEKDAY(A70,2),"lundi","mardi","mercredi","jeudi","vendredi","samedi","dimanche")</f>
        <v/>
      </c>
      <c r="C70" s="22" t="n"/>
      <c r="D70" s="22" t="n"/>
      <c r="E70" s="22" t="n"/>
      <c r="F70" s="22" t="n"/>
      <c r="G70" s="22" t="n"/>
      <c r="H70" s="22" t="n"/>
      <c r="I70" s="23">
        <f>IF(COUNT(C70:H70)=0,"",SUM(C70:H70))</f>
        <v/>
      </c>
      <c r="J70" s="11">
        <f>$I$3</f>
        <v/>
      </c>
      <c r="K70" s="23">
        <f>IF(I70="","",I70-J70)</f>
        <v/>
      </c>
      <c r="L70" s="24">
        <f>IF(OR(I70="",N(J70)=0),"",K70/J70)</f>
        <v/>
      </c>
      <c r="M70" s="12" t="n"/>
    </row>
    <row r="71">
      <c r="A71" s="14" t="n">
        <v>46359</v>
      </c>
      <c r="B71" s="7">
        <f>CHOOSE(WEEKDAY(A71,2),"lundi","mardi","mercredi","jeudi","vendredi","samedi","dimanche")</f>
        <v/>
      </c>
      <c r="C71" s="22" t="n"/>
      <c r="D71" s="22" t="n"/>
      <c r="E71" s="22" t="n"/>
      <c r="F71" s="22" t="n"/>
      <c r="G71" s="22" t="n"/>
      <c r="H71" s="22" t="n"/>
      <c r="I71" s="23">
        <f>IF(COUNT(C71:H71)=0,"",SUM(C71:H71))</f>
        <v/>
      </c>
      <c r="J71" s="11">
        <f>$I$3</f>
        <v/>
      </c>
      <c r="K71" s="23">
        <f>IF(I71="","",I71-J71)</f>
        <v/>
      </c>
      <c r="L71" s="24">
        <f>IF(OR(I71="",N(J71)=0),"",K71/J71)</f>
        <v/>
      </c>
      <c r="M71" s="12" t="n"/>
    </row>
    <row r="72">
      <c r="A72" s="14" t="n">
        <v>46360</v>
      </c>
      <c r="B72" s="7">
        <f>CHOOSE(WEEKDAY(A72,2),"lundi","mardi","mercredi","jeudi","vendredi","samedi","dimanche")</f>
        <v/>
      </c>
      <c r="C72" s="22" t="n"/>
      <c r="D72" s="22" t="n"/>
      <c r="E72" s="22" t="n"/>
      <c r="F72" s="22" t="n"/>
      <c r="G72" s="22" t="n"/>
      <c r="H72" s="22" t="n"/>
      <c r="I72" s="23">
        <f>IF(COUNT(C72:H72)=0,"",SUM(C72:H72))</f>
        <v/>
      </c>
      <c r="J72" s="11">
        <f>$I$3</f>
        <v/>
      </c>
      <c r="K72" s="23">
        <f>IF(I72="","",I72-J72)</f>
        <v/>
      </c>
      <c r="L72" s="24">
        <f>IF(OR(I72="",N(J72)=0),"",K72/J72)</f>
        <v/>
      </c>
      <c r="M72" s="12" t="n"/>
    </row>
    <row r="73">
      <c r="A73" s="14" t="n">
        <v>46361</v>
      </c>
      <c r="B73" s="7">
        <f>CHOOSE(WEEKDAY(A73,2),"lundi","mardi","mercredi","jeudi","vendredi","samedi","dimanche")</f>
        <v/>
      </c>
      <c r="C73" s="22" t="n"/>
      <c r="D73" s="22" t="n"/>
      <c r="E73" s="22" t="n"/>
      <c r="F73" s="22" t="n"/>
      <c r="G73" s="22" t="n"/>
      <c r="H73" s="22" t="n"/>
      <c r="I73" s="23">
        <f>IF(COUNT(C73:H73)=0,"",SUM(C73:H73))</f>
        <v/>
      </c>
      <c r="J73" s="11">
        <f>$I$3</f>
        <v/>
      </c>
      <c r="K73" s="23">
        <f>IF(I73="","",I73-J73)</f>
        <v/>
      </c>
      <c r="L73" s="24">
        <f>IF(OR(I73="",N(J73)=0),"",K73/J73)</f>
        <v/>
      </c>
      <c r="M73" s="12" t="n"/>
    </row>
    <row r="74">
      <c r="A74" s="14" t="n">
        <v>46362</v>
      </c>
      <c r="B74" s="7">
        <f>CHOOSE(WEEKDAY(A74,2),"lundi","mardi","mercredi","jeudi","vendredi","samedi","dimanche")</f>
        <v/>
      </c>
      <c r="C74" s="22" t="n"/>
      <c r="D74" s="22" t="n"/>
      <c r="E74" s="22" t="n"/>
      <c r="F74" s="22" t="n"/>
      <c r="G74" s="22" t="n"/>
      <c r="H74" s="22" t="n"/>
      <c r="I74" s="23">
        <f>IF(COUNT(C74:H74)=0,"",SUM(C74:H74))</f>
        <v/>
      </c>
      <c r="J74" s="11">
        <f>$I$3</f>
        <v/>
      </c>
      <c r="K74" s="23">
        <f>IF(I74="","",I74-J74)</f>
        <v/>
      </c>
      <c r="L74" s="24">
        <f>IF(OR(I74="",N(J74)=0),"",K74/J74)</f>
        <v/>
      </c>
      <c r="M74" s="12" t="n"/>
    </row>
    <row r="75">
      <c r="A75" s="25" t="n">
        <v>46363</v>
      </c>
      <c r="B75" s="26">
        <f>CHOOSE(WEEKDAY(A75,2),"lundi","mardi","mercredi","jeudi","vendredi","samedi","dimanche")</f>
        <v/>
      </c>
      <c r="C75" s="22" t="n"/>
      <c r="D75" s="22" t="n"/>
      <c r="E75" s="22" t="n"/>
      <c r="F75" s="22" t="n"/>
      <c r="G75" s="22" t="n"/>
      <c r="H75" s="22" t="n"/>
      <c r="I75" s="23">
        <f>IF(COUNT(C75:H75)=0,"",SUM(C75:H75))</f>
        <v/>
      </c>
      <c r="J75" s="11">
        <f>$I$3</f>
        <v/>
      </c>
      <c r="K75" s="23">
        <f>IF(I75="","",I75-J75)</f>
        <v/>
      </c>
      <c r="L75" s="24">
        <f>IF(OR(I75="",N(J75)=0),"",K75/J75)</f>
        <v/>
      </c>
      <c r="M75" s="12" t="n"/>
    </row>
    <row r="76">
      <c r="A76" s="14" t="n">
        <v>46364</v>
      </c>
      <c r="B76" s="7">
        <f>CHOOSE(WEEKDAY(A76,2),"lundi","mardi","mercredi","jeudi","vendredi","samedi","dimanche")</f>
        <v/>
      </c>
      <c r="C76" s="22" t="n"/>
      <c r="D76" s="22" t="n"/>
      <c r="E76" s="22" t="n"/>
      <c r="F76" s="22" t="n"/>
      <c r="G76" s="22" t="n"/>
      <c r="H76" s="22" t="n"/>
      <c r="I76" s="23">
        <f>IF(COUNT(C76:H76)=0,"",SUM(C76:H76))</f>
        <v/>
      </c>
      <c r="J76" s="11">
        <f>$I$3</f>
        <v/>
      </c>
      <c r="K76" s="23">
        <f>IF(I76="","",I76-J76)</f>
        <v/>
      </c>
      <c r="L76" s="24">
        <f>IF(OR(I76="",N(J76)=0),"",K76/J76)</f>
        <v/>
      </c>
      <c r="M76" s="12" t="n"/>
    </row>
    <row r="77">
      <c r="A77" s="14" t="n">
        <v>46365</v>
      </c>
      <c r="B77" s="7">
        <f>CHOOSE(WEEKDAY(A77,2),"lundi","mardi","mercredi","jeudi","vendredi","samedi","dimanche")</f>
        <v/>
      </c>
      <c r="C77" s="22" t="n"/>
      <c r="D77" s="22" t="n"/>
      <c r="E77" s="22" t="n"/>
      <c r="F77" s="22" t="n"/>
      <c r="G77" s="22" t="n"/>
      <c r="H77" s="22" t="n"/>
      <c r="I77" s="23">
        <f>IF(COUNT(C77:H77)=0,"",SUM(C77:H77))</f>
        <v/>
      </c>
      <c r="J77" s="11">
        <f>$I$3</f>
        <v/>
      </c>
      <c r="K77" s="23">
        <f>IF(I77="","",I77-J77)</f>
        <v/>
      </c>
      <c r="L77" s="24">
        <f>IF(OR(I77="",N(J77)=0),"",K77/J77)</f>
        <v/>
      </c>
      <c r="M77" s="12" t="n"/>
    </row>
    <row r="78">
      <c r="A78" s="14" t="n">
        <v>46366</v>
      </c>
      <c r="B78" s="7">
        <f>CHOOSE(WEEKDAY(A78,2),"lundi","mardi","mercredi","jeudi","vendredi","samedi","dimanche")</f>
        <v/>
      </c>
      <c r="C78" s="22" t="n"/>
      <c r="D78" s="22" t="n"/>
      <c r="E78" s="22" t="n"/>
      <c r="F78" s="22" t="n"/>
      <c r="G78" s="22" t="n"/>
      <c r="H78" s="22" t="n"/>
      <c r="I78" s="23">
        <f>IF(COUNT(C78:H78)=0,"",SUM(C78:H78))</f>
        <v/>
      </c>
      <c r="J78" s="11">
        <f>$I$3</f>
        <v/>
      </c>
      <c r="K78" s="23">
        <f>IF(I78="","",I78-J78)</f>
        <v/>
      </c>
      <c r="L78" s="24">
        <f>IF(OR(I78="",N(J78)=0),"",K78/J78)</f>
        <v/>
      </c>
      <c r="M78" s="12" t="n"/>
    </row>
    <row r="79">
      <c r="A79" s="14" t="n">
        <v>46367</v>
      </c>
      <c r="B79" s="7">
        <f>CHOOSE(WEEKDAY(A79,2),"lundi","mardi","mercredi","jeudi","vendredi","samedi","dimanche")</f>
        <v/>
      </c>
      <c r="C79" s="22" t="n"/>
      <c r="D79" s="22" t="n"/>
      <c r="E79" s="22" t="n"/>
      <c r="F79" s="22" t="n"/>
      <c r="G79" s="22" t="n"/>
      <c r="H79" s="22" t="n"/>
      <c r="I79" s="23">
        <f>IF(COUNT(C79:H79)=0,"",SUM(C79:H79))</f>
        <v/>
      </c>
      <c r="J79" s="11">
        <f>$I$3</f>
        <v/>
      </c>
      <c r="K79" s="23">
        <f>IF(I79="","",I79-J79)</f>
        <v/>
      </c>
      <c r="L79" s="24">
        <f>IF(OR(I79="",N(J79)=0),"",K79/J79)</f>
        <v/>
      </c>
      <c r="M79" s="12" t="n"/>
    </row>
    <row r="80">
      <c r="A80" s="14" t="n">
        <v>46368</v>
      </c>
      <c r="B80" s="7">
        <f>CHOOSE(WEEKDAY(A80,2),"lundi","mardi","mercredi","jeudi","vendredi","samedi","dimanche")</f>
        <v/>
      </c>
      <c r="C80" s="22" t="n"/>
      <c r="D80" s="22" t="n"/>
      <c r="E80" s="22" t="n"/>
      <c r="F80" s="22" t="n"/>
      <c r="G80" s="22" t="n"/>
      <c r="H80" s="22" t="n"/>
      <c r="I80" s="23">
        <f>IF(COUNT(C80:H80)=0,"",SUM(C80:H80))</f>
        <v/>
      </c>
      <c r="J80" s="11">
        <f>$I$3</f>
        <v/>
      </c>
      <c r="K80" s="23">
        <f>IF(I80="","",I80-J80)</f>
        <v/>
      </c>
      <c r="L80" s="24">
        <f>IF(OR(I80="",N(J80)=0),"",K80/J80)</f>
        <v/>
      </c>
      <c r="M80" s="12" t="n"/>
    </row>
    <row r="81">
      <c r="A81" s="14" t="n">
        <v>46369</v>
      </c>
      <c r="B81" s="7">
        <f>CHOOSE(WEEKDAY(A81,2),"lundi","mardi","mercredi","jeudi","vendredi","samedi","dimanche")</f>
        <v/>
      </c>
      <c r="C81" s="22" t="n"/>
      <c r="D81" s="22" t="n"/>
      <c r="E81" s="22" t="n"/>
      <c r="F81" s="22" t="n"/>
      <c r="G81" s="22" t="n"/>
      <c r="H81" s="22" t="n"/>
      <c r="I81" s="23">
        <f>IF(COUNT(C81:H81)=0,"",SUM(C81:H81))</f>
        <v/>
      </c>
      <c r="J81" s="11">
        <f>$I$3</f>
        <v/>
      </c>
      <c r="K81" s="23">
        <f>IF(I81="","",I81-J81)</f>
        <v/>
      </c>
      <c r="L81" s="24">
        <f>IF(OR(I81="",N(J81)=0),"",K81/J81)</f>
        <v/>
      </c>
      <c r="M81" s="12" t="n"/>
    </row>
    <row r="82">
      <c r="A82" s="25" t="n">
        <v>46370</v>
      </c>
      <c r="B82" s="26">
        <f>CHOOSE(WEEKDAY(A82,2),"lundi","mardi","mercredi","jeudi","vendredi","samedi","dimanche")</f>
        <v/>
      </c>
      <c r="C82" s="22" t="n"/>
      <c r="D82" s="22" t="n"/>
      <c r="E82" s="22" t="n"/>
      <c r="F82" s="22" t="n"/>
      <c r="G82" s="22" t="n"/>
      <c r="H82" s="22" t="n"/>
      <c r="I82" s="23">
        <f>IF(COUNT(C82:H82)=0,"",SUM(C82:H82))</f>
        <v/>
      </c>
      <c r="J82" s="11">
        <f>$I$3</f>
        <v/>
      </c>
      <c r="K82" s="23">
        <f>IF(I82="","",I82-J82)</f>
        <v/>
      </c>
      <c r="L82" s="24">
        <f>IF(OR(I82="",N(J82)=0),"",K82/J82)</f>
        <v/>
      </c>
      <c r="M82" s="12" t="n"/>
    </row>
    <row r="83">
      <c r="A83" s="14" t="n">
        <v>46371</v>
      </c>
      <c r="B83" s="7">
        <f>CHOOSE(WEEKDAY(A83,2),"lundi","mardi","mercredi","jeudi","vendredi","samedi","dimanche")</f>
        <v/>
      </c>
      <c r="C83" s="22" t="n"/>
      <c r="D83" s="22" t="n"/>
      <c r="E83" s="22" t="n"/>
      <c r="F83" s="22" t="n"/>
      <c r="G83" s="22" t="n"/>
      <c r="H83" s="22" t="n"/>
      <c r="I83" s="23">
        <f>IF(COUNT(C83:H83)=0,"",SUM(C83:H83))</f>
        <v/>
      </c>
      <c r="J83" s="11">
        <f>$I$3</f>
        <v/>
      </c>
      <c r="K83" s="23">
        <f>IF(I83="","",I83-J83)</f>
        <v/>
      </c>
      <c r="L83" s="24">
        <f>IF(OR(I83="",N(J83)=0),"",K83/J83)</f>
        <v/>
      </c>
      <c r="M83" s="12" t="n"/>
    </row>
    <row r="84">
      <c r="A84" s="14" t="n">
        <v>46372</v>
      </c>
      <c r="B84" s="7">
        <f>CHOOSE(WEEKDAY(A84,2),"lundi","mardi","mercredi","jeudi","vendredi","samedi","dimanche")</f>
        <v/>
      </c>
      <c r="C84" s="22" t="n"/>
      <c r="D84" s="22" t="n"/>
      <c r="E84" s="22" t="n"/>
      <c r="F84" s="22" t="n"/>
      <c r="G84" s="22" t="n"/>
      <c r="H84" s="22" t="n"/>
      <c r="I84" s="23">
        <f>IF(COUNT(C84:H84)=0,"",SUM(C84:H84))</f>
        <v/>
      </c>
      <c r="J84" s="11">
        <f>$I$3</f>
        <v/>
      </c>
      <c r="K84" s="23">
        <f>IF(I84="","",I84-J84)</f>
        <v/>
      </c>
      <c r="L84" s="24">
        <f>IF(OR(I84="",N(J84)=0),"",K84/J84)</f>
        <v/>
      </c>
      <c r="M84" s="12" t="n"/>
    </row>
    <row r="85">
      <c r="A85" s="14" t="n">
        <v>46373</v>
      </c>
      <c r="B85" s="7">
        <f>CHOOSE(WEEKDAY(A85,2),"lundi","mardi","mercredi","jeudi","vendredi","samedi","dimanche")</f>
        <v/>
      </c>
      <c r="C85" s="22" t="n"/>
      <c r="D85" s="22" t="n"/>
      <c r="E85" s="22" t="n"/>
      <c r="F85" s="22" t="n"/>
      <c r="G85" s="22" t="n"/>
      <c r="H85" s="22" t="n"/>
      <c r="I85" s="23">
        <f>IF(COUNT(C85:H85)=0,"",SUM(C85:H85))</f>
        <v/>
      </c>
      <c r="J85" s="11">
        <f>$I$3</f>
        <v/>
      </c>
      <c r="K85" s="23">
        <f>IF(I85="","",I85-J85)</f>
        <v/>
      </c>
      <c r="L85" s="24">
        <f>IF(OR(I85="",N(J85)=0),"",K85/J85)</f>
        <v/>
      </c>
      <c r="M85" s="12" t="n"/>
    </row>
    <row r="86">
      <c r="A86" s="14" t="n">
        <v>46374</v>
      </c>
      <c r="B86" s="7">
        <f>CHOOSE(WEEKDAY(A86,2),"lundi","mardi","mercredi","jeudi","vendredi","samedi","dimanche")</f>
        <v/>
      </c>
      <c r="C86" s="22" t="n"/>
      <c r="D86" s="22" t="n"/>
      <c r="E86" s="22" t="n"/>
      <c r="F86" s="22" t="n"/>
      <c r="G86" s="22" t="n"/>
      <c r="H86" s="22" t="n"/>
      <c r="I86" s="23">
        <f>IF(COUNT(C86:H86)=0,"",SUM(C86:H86))</f>
        <v/>
      </c>
      <c r="J86" s="11">
        <f>$I$3</f>
        <v/>
      </c>
      <c r="K86" s="23">
        <f>IF(I86="","",I86-J86)</f>
        <v/>
      </c>
      <c r="L86" s="24">
        <f>IF(OR(I86="",N(J86)=0),"",K86/J86)</f>
        <v/>
      </c>
      <c r="M86" s="12" t="n"/>
    </row>
    <row r="87">
      <c r="A87" s="14" t="n">
        <v>46375</v>
      </c>
      <c r="B87" s="7">
        <f>CHOOSE(WEEKDAY(A87,2),"lundi","mardi","mercredi","jeudi","vendredi","samedi","dimanche")</f>
        <v/>
      </c>
      <c r="C87" s="22" t="n"/>
      <c r="D87" s="22" t="n"/>
      <c r="E87" s="22" t="n"/>
      <c r="F87" s="22" t="n"/>
      <c r="G87" s="22" t="n"/>
      <c r="H87" s="22" t="n"/>
      <c r="I87" s="23">
        <f>IF(COUNT(C87:H87)=0,"",SUM(C87:H87))</f>
        <v/>
      </c>
      <c r="J87" s="11">
        <f>$I$3</f>
        <v/>
      </c>
      <c r="K87" s="23">
        <f>IF(I87="","",I87-J87)</f>
        <v/>
      </c>
      <c r="L87" s="24">
        <f>IF(OR(I87="",N(J87)=0),"",K87/J87)</f>
        <v/>
      </c>
      <c r="M87" s="12" t="n"/>
    </row>
    <row r="88">
      <c r="A88" s="14" t="n">
        <v>46376</v>
      </c>
      <c r="B88" s="7">
        <f>CHOOSE(WEEKDAY(A88,2),"lundi","mardi","mercredi","jeudi","vendredi","samedi","dimanche")</f>
        <v/>
      </c>
      <c r="C88" s="22" t="n"/>
      <c r="D88" s="22" t="n"/>
      <c r="E88" s="22" t="n"/>
      <c r="F88" s="22" t="n"/>
      <c r="G88" s="22" t="n"/>
      <c r="H88" s="22" t="n"/>
      <c r="I88" s="23">
        <f>IF(COUNT(C88:H88)=0,"",SUM(C88:H88))</f>
        <v/>
      </c>
      <c r="J88" s="11">
        <f>$I$3</f>
        <v/>
      </c>
      <c r="K88" s="23">
        <f>IF(I88="","",I88-J88)</f>
        <v/>
      </c>
      <c r="L88" s="24">
        <f>IF(OR(I88="",N(J88)=0),"",K88/J88)</f>
        <v/>
      </c>
      <c r="M88" s="12" t="n"/>
    </row>
    <row r="89">
      <c r="A89" s="25" t="n">
        <v>46377</v>
      </c>
      <c r="B89" s="26">
        <f>CHOOSE(WEEKDAY(A89,2),"lundi","mardi","mercredi","jeudi","vendredi","samedi","dimanche")</f>
        <v/>
      </c>
      <c r="C89" s="22" t="n"/>
      <c r="D89" s="22" t="n"/>
      <c r="E89" s="22" t="n"/>
      <c r="F89" s="22" t="n"/>
      <c r="G89" s="22" t="n"/>
      <c r="H89" s="22" t="n"/>
      <c r="I89" s="23">
        <f>IF(COUNT(C89:H89)=0,"",SUM(C89:H89))</f>
        <v/>
      </c>
      <c r="J89" s="11">
        <f>$I$3</f>
        <v/>
      </c>
      <c r="K89" s="23">
        <f>IF(I89="","",I89-J89)</f>
        <v/>
      </c>
      <c r="L89" s="24">
        <f>IF(OR(I89="",N(J89)=0),"",K89/J89)</f>
        <v/>
      </c>
      <c r="M89" s="12" t="n"/>
    </row>
    <row r="90">
      <c r="A90" s="14" t="n">
        <v>46378</v>
      </c>
      <c r="B90" s="7">
        <f>CHOOSE(WEEKDAY(A90,2),"lundi","mardi","mercredi","jeudi","vendredi","samedi","dimanche")</f>
        <v/>
      </c>
      <c r="C90" s="22" t="n"/>
      <c r="D90" s="22" t="n"/>
      <c r="E90" s="22" t="n"/>
      <c r="F90" s="22" t="n"/>
      <c r="G90" s="22" t="n"/>
      <c r="H90" s="22" t="n"/>
      <c r="I90" s="23">
        <f>IF(COUNT(C90:H90)=0,"",SUM(C90:H90))</f>
        <v/>
      </c>
      <c r="J90" s="11">
        <f>$I$3</f>
        <v/>
      </c>
      <c r="K90" s="23">
        <f>IF(I90="","",I90-J90)</f>
        <v/>
      </c>
      <c r="L90" s="24">
        <f>IF(OR(I90="",N(J90)=0),"",K90/J90)</f>
        <v/>
      </c>
      <c r="M90" s="12" t="n"/>
    </row>
    <row r="91">
      <c r="A91" s="14" t="n">
        <v>46379</v>
      </c>
      <c r="B91" s="7">
        <f>CHOOSE(WEEKDAY(A91,2),"lundi","mardi","mercredi","jeudi","vendredi","samedi","dimanche")</f>
        <v/>
      </c>
      <c r="C91" s="22" t="n"/>
      <c r="D91" s="22" t="n"/>
      <c r="E91" s="22" t="n"/>
      <c r="F91" s="22" t="n"/>
      <c r="G91" s="22" t="n"/>
      <c r="H91" s="22" t="n"/>
      <c r="I91" s="23">
        <f>IF(COUNT(C91:H91)=0,"",SUM(C91:H91))</f>
        <v/>
      </c>
      <c r="J91" s="11">
        <f>$I$3</f>
        <v/>
      </c>
      <c r="K91" s="23">
        <f>IF(I91="","",I91-J91)</f>
        <v/>
      </c>
      <c r="L91" s="24">
        <f>IF(OR(I91="",N(J91)=0),"",K91/J91)</f>
        <v/>
      </c>
      <c r="M91" s="12" t="n"/>
    </row>
    <row r="92">
      <c r="A92" s="14" t="n">
        <v>46380</v>
      </c>
      <c r="B92" s="7">
        <f>CHOOSE(WEEKDAY(A92,2),"lundi","mardi","mercredi","jeudi","vendredi","samedi","dimanche")</f>
        <v/>
      </c>
      <c r="C92" s="22" t="n"/>
      <c r="D92" s="22" t="n"/>
      <c r="E92" s="22" t="n"/>
      <c r="F92" s="22" t="n"/>
      <c r="G92" s="22" t="n"/>
      <c r="H92" s="22" t="n"/>
      <c r="I92" s="23">
        <f>IF(COUNT(C92:H92)=0,"",SUM(C92:H92))</f>
        <v/>
      </c>
      <c r="J92" s="11">
        <f>$I$3</f>
        <v/>
      </c>
      <c r="K92" s="23">
        <f>IF(I92="","",I92-J92)</f>
        <v/>
      </c>
      <c r="L92" s="24">
        <f>IF(OR(I92="",N(J92)=0),"",K92/J92)</f>
        <v/>
      </c>
      <c r="M92" s="12" t="n"/>
    </row>
    <row r="93">
      <c r="A93" s="14" t="n">
        <v>46381</v>
      </c>
      <c r="B93" s="7">
        <f>CHOOSE(WEEKDAY(A93,2),"lundi","mardi","mercredi","jeudi","vendredi","samedi","dimanche")</f>
        <v/>
      </c>
      <c r="C93" s="22" t="n"/>
      <c r="D93" s="22" t="n"/>
      <c r="E93" s="22" t="n"/>
      <c r="F93" s="22" t="n"/>
      <c r="G93" s="22" t="n"/>
      <c r="H93" s="22" t="n"/>
      <c r="I93" s="23">
        <f>IF(COUNT(C93:H93)=0,"",SUM(C93:H93))</f>
        <v/>
      </c>
      <c r="J93" s="11">
        <f>$I$3</f>
        <v/>
      </c>
      <c r="K93" s="23">
        <f>IF(I93="","",I93-J93)</f>
        <v/>
      </c>
      <c r="L93" s="24">
        <f>IF(OR(I93="",N(J93)=0),"",K93/J93)</f>
        <v/>
      </c>
      <c r="M93" s="12" t="n"/>
    </row>
    <row r="94">
      <c r="A94" s="14" t="n">
        <v>46382</v>
      </c>
      <c r="B94" s="7">
        <f>CHOOSE(WEEKDAY(A94,2),"lundi","mardi","mercredi","jeudi","vendredi","samedi","dimanche")</f>
        <v/>
      </c>
      <c r="C94" s="22" t="n"/>
      <c r="D94" s="22" t="n"/>
      <c r="E94" s="22" t="n"/>
      <c r="F94" s="22" t="n"/>
      <c r="G94" s="22" t="n"/>
      <c r="H94" s="22" t="n"/>
      <c r="I94" s="23">
        <f>IF(COUNT(C94:H94)=0,"",SUM(C94:H94))</f>
        <v/>
      </c>
      <c r="J94" s="11">
        <f>$I$3</f>
        <v/>
      </c>
      <c r="K94" s="23">
        <f>IF(I94="","",I94-J94)</f>
        <v/>
      </c>
      <c r="L94" s="24">
        <f>IF(OR(I94="",N(J94)=0),"",K94/J94)</f>
        <v/>
      </c>
      <c r="M94" s="12" t="n"/>
    </row>
    <row r="95">
      <c r="A95" s="14" t="n">
        <v>46383</v>
      </c>
      <c r="B95" s="7">
        <f>CHOOSE(WEEKDAY(A95,2),"lundi","mardi","mercredi","jeudi","vendredi","samedi","dimanche")</f>
        <v/>
      </c>
      <c r="C95" s="22" t="n"/>
      <c r="D95" s="22" t="n"/>
      <c r="E95" s="22" t="n"/>
      <c r="F95" s="22" t="n"/>
      <c r="G95" s="22" t="n"/>
      <c r="H95" s="22" t="n"/>
      <c r="I95" s="23">
        <f>IF(COUNT(C95:H95)=0,"",SUM(C95:H95))</f>
        <v/>
      </c>
      <c r="J95" s="11">
        <f>$I$3</f>
        <v/>
      </c>
      <c r="K95" s="23">
        <f>IF(I95="","",I95-J95)</f>
        <v/>
      </c>
      <c r="L95" s="24">
        <f>IF(OR(I95="",N(J95)=0),"",K95/J95)</f>
        <v/>
      </c>
      <c r="M95" s="12" t="n"/>
    </row>
    <row r="96">
      <c r="A96" s="25" t="n">
        <v>46384</v>
      </c>
      <c r="B96" s="26">
        <f>CHOOSE(WEEKDAY(A96,2),"lundi","mardi","mercredi","jeudi","vendredi","samedi","dimanche")</f>
        <v/>
      </c>
      <c r="C96" s="22" t="n"/>
      <c r="D96" s="22" t="n"/>
      <c r="E96" s="22" t="n"/>
      <c r="F96" s="22" t="n"/>
      <c r="G96" s="22" t="n"/>
      <c r="H96" s="22" t="n"/>
      <c r="I96" s="23">
        <f>IF(COUNT(C96:H96)=0,"",SUM(C96:H96))</f>
        <v/>
      </c>
      <c r="J96" s="11">
        <f>$I$3</f>
        <v/>
      </c>
      <c r="K96" s="23">
        <f>IF(I96="","",I96-J96)</f>
        <v/>
      </c>
      <c r="L96" s="24">
        <f>IF(OR(I96="",N(J96)=0),"",K96/J96)</f>
        <v/>
      </c>
      <c r="M96" s="12" t="n"/>
    </row>
    <row r="97">
      <c r="A97" s="14" t="n">
        <v>46385</v>
      </c>
      <c r="B97" s="7">
        <f>CHOOSE(WEEKDAY(A97,2),"lundi","mardi","mercredi","jeudi","vendredi","samedi","dimanche")</f>
        <v/>
      </c>
      <c r="C97" s="22" t="n"/>
      <c r="D97" s="22" t="n"/>
      <c r="E97" s="22" t="n"/>
      <c r="F97" s="22" t="n"/>
      <c r="G97" s="22" t="n"/>
      <c r="H97" s="22" t="n"/>
      <c r="I97" s="23">
        <f>IF(COUNT(C97:H97)=0,"",SUM(C97:H97))</f>
        <v/>
      </c>
      <c r="J97" s="11">
        <f>$I$3</f>
        <v/>
      </c>
      <c r="K97" s="23">
        <f>IF(I97="","",I97-J97)</f>
        <v/>
      </c>
      <c r="L97" s="24">
        <f>IF(OR(I97="",N(J97)=0),"",K97/J97)</f>
        <v/>
      </c>
      <c r="M97" s="12" t="n"/>
    </row>
    <row r="98">
      <c r="A98" s="14" t="n">
        <v>46386</v>
      </c>
      <c r="B98" s="7">
        <f>CHOOSE(WEEKDAY(A98,2),"lundi","mardi","mercredi","jeudi","vendredi","samedi","dimanche")</f>
        <v/>
      </c>
      <c r="C98" s="22" t="n"/>
      <c r="D98" s="22" t="n"/>
      <c r="E98" s="22" t="n"/>
      <c r="F98" s="22" t="n"/>
      <c r="G98" s="22" t="n"/>
      <c r="H98" s="22" t="n"/>
      <c r="I98" s="23">
        <f>IF(COUNT(C98:H98)=0,"",SUM(C98:H98))</f>
        <v/>
      </c>
      <c r="J98" s="11">
        <f>$I$3</f>
        <v/>
      </c>
      <c r="K98" s="23">
        <f>IF(I98="","",I98-J98)</f>
        <v/>
      </c>
      <c r="L98" s="24">
        <f>IF(OR(I98="",N(J98)=0),"",K98/J98)</f>
        <v/>
      </c>
      <c r="M98" s="12" t="n"/>
    </row>
    <row r="99">
      <c r="A99" s="14" t="n">
        <v>46387</v>
      </c>
      <c r="B99" s="7">
        <f>CHOOSE(WEEKDAY(A99,2),"lundi","mardi","mercredi","jeudi","vendredi","samedi","dimanche")</f>
        <v/>
      </c>
      <c r="C99" s="22" t="n"/>
      <c r="D99" s="22" t="n"/>
      <c r="E99" s="22" t="n"/>
      <c r="F99" s="22" t="n"/>
      <c r="G99" s="22" t="n"/>
      <c r="H99" s="22" t="n"/>
      <c r="I99" s="23">
        <f>IF(COUNT(C99:H99)=0,"",SUM(C99:H99))</f>
        <v/>
      </c>
      <c r="J99" s="11">
        <f>$I$3</f>
        <v/>
      </c>
      <c r="K99" s="23">
        <f>IF(I99="","",I99-J99)</f>
        <v/>
      </c>
      <c r="L99" s="24">
        <f>IF(OR(I99="",N(J99)=0),"",K99/J99)</f>
        <v/>
      </c>
      <c r="M99" s="12" t="n"/>
    </row>
    <row r="100">
      <c r="A100" s="14" t="n">
        <v>46388</v>
      </c>
      <c r="B100" s="7">
        <f>CHOOSE(WEEKDAY(A100,2),"lundi","mardi","mercredi","jeudi","vendredi","samedi","dimanche")</f>
        <v/>
      </c>
      <c r="C100" s="22" t="n"/>
      <c r="D100" s="22" t="n"/>
      <c r="E100" s="22" t="n"/>
      <c r="F100" s="22" t="n"/>
      <c r="G100" s="22" t="n"/>
      <c r="H100" s="22" t="n"/>
      <c r="I100" s="23">
        <f>IF(COUNT(C100:H100)=0,"",SUM(C100:H100))</f>
        <v/>
      </c>
      <c r="J100" s="11">
        <f>$I$3</f>
        <v/>
      </c>
      <c r="K100" s="23">
        <f>IF(I100="","",I100-J100)</f>
        <v/>
      </c>
      <c r="L100" s="24">
        <f>IF(OR(I100="",N(J100)=0),"",K100/J100)</f>
        <v/>
      </c>
      <c r="M100" s="12" t="n"/>
    </row>
    <row r="101">
      <c r="A101" s="14" t="n">
        <v>46389</v>
      </c>
      <c r="B101" s="7">
        <f>CHOOSE(WEEKDAY(A101,2),"lundi","mardi","mercredi","jeudi","vendredi","samedi","dimanche")</f>
        <v/>
      </c>
      <c r="C101" s="22" t="n"/>
      <c r="D101" s="22" t="n"/>
      <c r="E101" s="22" t="n"/>
      <c r="F101" s="22" t="n"/>
      <c r="G101" s="22" t="n"/>
      <c r="H101" s="22" t="n"/>
      <c r="I101" s="23">
        <f>IF(COUNT(C101:H101)=0,"",SUM(C101:H101))</f>
        <v/>
      </c>
      <c r="J101" s="11">
        <f>$I$3</f>
        <v/>
      </c>
      <c r="K101" s="23">
        <f>IF(I101="","",I101-J101)</f>
        <v/>
      </c>
      <c r="L101" s="24">
        <f>IF(OR(I101="",N(J101)=0),"",K101/J101)</f>
        <v/>
      </c>
      <c r="M101" s="12" t="n"/>
    </row>
    <row r="102">
      <c r="A102" s="14" t="n">
        <v>46390</v>
      </c>
      <c r="B102" s="7">
        <f>CHOOSE(WEEKDAY(A102,2),"lundi","mardi","mercredi","jeudi","vendredi","samedi","dimanche")</f>
        <v/>
      </c>
      <c r="C102" s="22" t="n"/>
      <c r="D102" s="22" t="n"/>
      <c r="E102" s="22" t="n"/>
      <c r="F102" s="22" t="n"/>
      <c r="G102" s="22" t="n"/>
      <c r="H102" s="22" t="n"/>
      <c r="I102" s="23">
        <f>IF(COUNT(C102:H102)=0,"",SUM(C102:H102))</f>
        <v/>
      </c>
      <c r="J102" s="11">
        <f>$I$3</f>
        <v/>
      </c>
      <c r="K102" s="23">
        <f>IF(I102="","",I102-J102)</f>
        <v/>
      </c>
      <c r="L102" s="24">
        <f>IF(OR(I102="",N(J102)=0),"",K102/J102)</f>
        <v/>
      </c>
      <c r="M102" s="12" t="n"/>
    </row>
    <row r="103">
      <c r="A103" s="25" t="n">
        <v>46391</v>
      </c>
      <c r="B103" s="26">
        <f>CHOOSE(WEEKDAY(A103,2),"lundi","mardi","mercredi","jeudi","vendredi","samedi","dimanche")</f>
        <v/>
      </c>
      <c r="C103" s="22" t="n"/>
      <c r="D103" s="22" t="n"/>
      <c r="E103" s="22" t="n"/>
      <c r="F103" s="22" t="n"/>
      <c r="G103" s="22" t="n"/>
      <c r="H103" s="22" t="n"/>
      <c r="I103" s="23">
        <f>IF(COUNT(C103:H103)=0,"",SUM(C103:H103))</f>
        <v/>
      </c>
      <c r="J103" s="11">
        <f>$I$3</f>
        <v/>
      </c>
      <c r="K103" s="23">
        <f>IF(I103="","",I103-J103)</f>
        <v/>
      </c>
      <c r="L103" s="24">
        <f>IF(OR(I103="",N(J103)=0),"",K103/J103)</f>
        <v/>
      </c>
      <c r="M103" s="12" t="n"/>
    </row>
    <row r="104">
      <c r="A104" s="14" t="n">
        <v>46392</v>
      </c>
      <c r="B104" s="7">
        <f>CHOOSE(WEEKDAY(A104,2),"lundi","mardi","mercredi","jeudi","vendredi","samedi","dimanche")</f>
        <v/>
      </c>
      <c r="C104" s="22" t="n"/>
      <c r="D104" s="22" t="n"/>
      <c r="E104" s="22" t="n"/>
      <c r="F104" s="22" t="n"/>
      <c r="G104" s="22" t="n"/>
      <c r="H104" s="22" t="n"/>
      <c r="I104" s="23">
        <f>IF(COUNT(C104:H104)=0,"",SUM(C104:H104))</f>
        <v/>
      </c>
      <c r="J104" s="11">
        <f>$I$3</f>
        <v/>
      </c>
      <c r="K104" s="23">
        <f>IF(I104="","",I104-J104)</f>
        <v/>
      </c>
      <c r="L104" s="24">
        <f>IF(OR(I104="",N(J104)=0),"",K104/J104)</f>
        <v/>
      </c>
      <c r="M104" s="12" t="n"/>
    </row>
    <row r="105">
      <c r="A105" s="14" t="n">
        <v>46393</v>
      </c>
      <c r="B105" s="7">
        <f>CHOOSE(WEEKDAY(A105,2),"lundi","mardi","mercredi","jeudi","vendredi","samedi","dimanche")</f>
        <v/>
      </c>
      <c r="C105" s="22" t="n"/>
      <c r="D105" s="22" t="n"/>
      <c r="E105" s="22" t="n"/>
      <c r="F105" s="22" t="n"/>
      <c r="G105" s="22" t="n"/>
      <c r="H105" s="22" t="n"/>
      <c r="I105" s="23">
        <f>IF(COUNT(C105:H105)=0,"",SUM(C105:H105))</f>
        <v/>
      </c>
      <c r="J105" s="11">
        <f>$I$3</f>
        <v/>
      </c>
      <c r="K105" s="23">
        <f>IF(I105="","",I105-J105)</f>
        <v/>
      </c>
      <c r="L105" s="24">
        <f>IF(OR(I105="",N(J105)=0),"",K105/J105)</f>
        <v/>
      </c>
      <c r="M105" s="12" t="n"/>
    </row>
    <row r="106">
      <c r="A106" s="14" t="n">
        <v>46394</v>
      </c>
      <c r="B106" s="7">
        <f>CHOOSE(WEEKDAY(A106,2),"lundi","mardi","mercredi","jeudi","vendredi","samedi","dimanche")</f>
        <v/>
      </c>
      <c r="C106" s="22" t="n"/>
      <c r="D106" s="22" t="n"/>
      <c r="E106" s="22" t="n"/>
      <c r="F106" s="22" t="n"/>
      <c r="G106" s="22" t="n"/>
      <c r="H106" s="22" t="n"/>
      <c r="I106" s="23">
        <f>IF(COUNT(C106:H106)=0,"",SUM(C106:H106))</f>
        <v/>
      </c>
      <c r="J106" s="11">
        <f>$I$3</f>
        <v/>
      </c>
      <c r="K106" s="23">
        <f>IF(I106="","",I106-J106)</f>
        <v/>
      </c>
      <c r="L106" s="24">
        <f>IF(OR(I106="",N(J106)=0),"",K106/J106)</f>
        <v/>
      </c>
      <c r="M106" s="12" t="n"/>
    </row>
    <row r="107">
      <c r="A107" s="14" t="n">
        <v>46395</v>
      </c>
      <c r="B107" s="7">
        <f>CHOOSE(WEEKDAY(A107,2),"lundi","mardi","mercredi","jeudi","vendredi","samedi","dimanche")</f>
        <v/>
      </c>
      <c r="C107" s="22" t="n"/>
      <c r="D107" s="22" t="n"/>
      <c r="E107" s="22" t="n"/>
      <c r="F107" s="22" t="n"/>
      <c r="G107" s="22" t="n"/>
      <c r="H107" s="22" t="n"/>
      <c r="I107" s="23">
        <f>IF(COUNT(C107:H107)=0,"",SUM(C107:H107))</f>
        <v/>
      </c>
      <c r="J107" s="11">
        <f>$I$3</f>
        <v/>
      </c>
      <c r="K107" s="23">
        <f>IF(I107="","",I107-J107)</f>
        <v/>
      </c>
      <c r="L107" s="24">
        <f>IF(OR(I107="",N(J107)=0),"",K107/J107)</f>
        <v/>
      </c>
      <c r="M107" s="12" t="n"/>
    </row>
    <row r="108">
      <c r="A108" s="14" t="n">
        <v>46396</v>
      </c>
      <c r="B108" s="7">
        <f>CHOOSE(WEEKDAY(A108,2),"lundi","mardi","mercredi","jeudi","vendredi","samedi","dimanche")</f>
        <v/>
      </c>
      <c r="C108" s="22" t="n"/>
      <c r="D108" s="22" t="n"/>
      <c r="E108" s="22" t="n"/>
      <c r="F108" s="22" t="n"/>
      <c r="G108" s="22" t="n"/>
      <c r="H108" s="22" t="n"/>
      <c r="I108" s="23">
        <f>IF(COUNT(C108:H108)=0,"",SUM(C108:H108))</f>
        <v/>
      </c>
      <c r="J108" s="11">
        <f>$I$3</f>
        <v/>
      </c>
      <c r="K108" s="23">
        <f>IF(I108="","",I108-J108)</f>
        <v/>
      </c>
      <c r="L108" s="24">
        <f>IF(OR(I108="",N(J108)=0),"",K108/J108)</f>
        <v/>
      </c>
      <c r="M108" s="12" t="n"/>
    </row>
    <row r="109">
      <c r="A109" s="14" t="n">
        <v>46397</v>
      </c>
      <c r="B109" s="7">
        <f>CHOOSE(WEEKDAY(A109,2),"lundi","mardi","mercredi","jeudi","vendredi","samedi","dimanche")</f>
        <v/>
      </c>
      <c r="C109" s="22" t="n"/>
      <c r="D109" s="22" t="n"/>
      <c r="E109" s="22" t="n"/>
      <c r="F109" s="22" t="n"/>
      <c r="G109" s="22" t="n"/>
      <c r="H109" s="22" t="n"/>
      <c r="I109" s="23">
        <f>IF(COUNT(C109:H109)=0,"",SUM(C109:H109))</f>
        <v/>
      </c>
      <c r="J109" s="11">
        <f>$I$3</f>
        <v/>
      </c>
      <c r="K109" s="23">
        <f>IF(I109="","",I109-J109)</f>
        <v/>
      </c>
      <c r="L109" s="24">
        <f>IF(OR(I109="",N(J109)=0),"",K109/J109)</f>
        <v/>
      </c>
      <c r="M109" s="12" t="n"/>
    </row>
    <row r="110">
      <c r="A110" s="25" t="n">
        <v>46398</v>
      </c>
      <c r="B110" s="26">
        <f>CHOOSE(WEEKDAY(A110,2),"lundi","mardi","mercredi","jeudi","vendredi","samedi","dimanche")</f>
        <v/>
      </c>
      <c r="C110" s="22" t="n"/>
      <c r="D110" s="22" t="n"/>
      <c r="E110" s="22" t="n"/>
      <c r="F110" s="22" t="n"/>
      <c r="G110" s="22" t="n"/>
      <c r="H110" s="22" t="n"/>
      <c r="I110" s="23">
        <f>IF(COUNT(C110:H110)=0,"",SUM(C110:H110))</f>
        <v/>
      </c>
      <c r="J110" s="11">
        <f>$I$3</f>
        <v/>
      </c>
      <c r="K110" s="23">
        <f>IF(I110="","",I110-J110)</f>
        <v/>
      </c>
      <c r="L110" s="24">
        <f>IF(OR(I110="",N(J110)=0),"",K110/J110)</f>
        <v/>
      </c>
      <c r="M110" s="12" t="n"/>
    </row>
    <row r="111">
      <c r="A111" s="14" t="n">
        <v>46399</v>
      </c>
      <c r="B111" s="7">
        <f>CHOOSE(WEEKDAY(A111,2),"lundi","mardi","mercredi","jeudi","vendredi","samedi","dimanche")</f>
        <v/>
      </c>
      <c r="C111" s="22" t="n"/>
      <c r="D111" s="22" t="n"/>
      <c r="E111" s="22" t="n"/>
      <c r="F111" s="22" t="n"/>
      <c r="G111" s="22" t="n"/>
      <c r="H111" s="22" t="n"/>
      <c r="I111" s="23">
        <f>IF(COUNT(C111:H111)=0,"",SUM(C111:H111))</f>
        <v/>
      </c>
      <c r="J111" s="11">
        <f>$I$3</f>
        <v/>
      </c>
      <c r="K111" s="23">
        <f>IF(I111="","",I111-J111)</f>
        <v/>
      </c>
      <c r="L111" s="24">
        <f>IF(OR(I111="",N(J111)=0),"",K111/J111)</f>
        <v/>
      </c>
      <c r="M111" s="12" t="n"/>
    </row>
    <row r="112">
      <c r="A112" s="14" t="n">
        <v>46400</v>
      </c>
      <c r="B112" s="7">
        <f>CHOOSE(WEEKDAY(A112,2),"lundi","mardi","mercredi","jeudi","vendredi","samedi","dimanche")</f>
        <v/>
      </c>
      <c r="C112" s="22" t="n"/>
      <c r="D112" s="22" t="n"/>
      <c r="E112" s="22" t="n"/>
      <c r="F112" s="22" t="n"/>
      <c r="G112" s="22" t="n"/>
      <c r="H112" s="22" t="n"/>
      <c r="I112" s="23">
        <f>IF(COUNT(C112:H112)=0,"",SUM(C112:H112))</f>
        <v/>
      </c>
      <c r="J112" s="11">
        <f>$I$3</f>
        <v/>
      </c>
      <c r="K112" s="23">
        <f>IF(I112="","",I112-J112)</f>
        <v/>
      </c>
      <c r="L112" s="24">
        <f>IF(OR(I112="",N(J112)=0),"",K112/J112)</f>
        <v/>
      </c>
      <c r="M112" s="12" t="n"/>
    </row>
    <row r="113">
      <c r="A113" s="14" t="n">
        <v>46401</v>
      </c>
      <c r="B113" s="7">
        <f>CHOOSE(WEEKDAY(A113,2),"lundi","mardi","mercredi","jeudi","vendredi","samedi","dimanche")</f>
        <v/>
      </c>
      <c r="C113" s="22" t="n"/>
      <c r="D113" s="22" t="n"/>
      <c r="E113" s="22" t="n"/>
      <c r="F113" s="22" t="n"/>
      <c r="G113" s="22" t="n"/>
      <c r="H113" s="22" t="n"/>
      <c r="I113" s="23">
        <f>IF(COUNT(C113:H113)=0,"",SUM(C113:H113))</f>
        <v/>
      </c>
      <c r="J113" s="11">
        <f>$I$3</f>
        <v/>
      </c>
      <c r="K113" s="23">
        <f>IF(I113="","",I113-J113)</f>
        <v/>
      </c>
      <c r="L113" s="24">
        <f>IF(OR(I113="",N(J113)=0),"",K113/J113)</f>
        <v/>
      </c>
      <c r="M113" s="12" t="n"/>
    </row>
    <row r="114">
      <c r="A114" s="14" t="n">
        <v>46402</v>
      </c>
      <c r="B114" s="7">
        <f>CHOOSE(WEEKDAY(A114,2),"lundi","mardi","mercredi","jeudi","vendredi","samedi","dimanche")</f>
        <v/>
      </c>
      <c r="C114" s="22" t="n"/>
      <c r="D114" s="22" t="n"/>
      <c r="E114" s="22" t="n"/>
      <c r="F114" s="22" t="n"/>
      <c r="G114" s="22" t="n"/>
      <c r="H114" s="22" t="n"/>
      <c r="I114" s="23">
        <f>IF(COUNT(C114:H114)=0,"",SUM(C114:H114))</f>
        <v/>
      </c>
      <c r="J114" s="11">
        <f>$I$3</f>
        <v/>
      </c>
      <c r="K114" s="23">
        <f>IF(I114="","",I114-J114)</f>
        <v/>
      </c>
      <c r="L114" s="24">
        <f>IF(OR(I114="",N(J114)=0),"",K114/J114)</f>
        <v/>
      </c>
      <c r="M114" s="12" t="n"/>
    </row>
    <row r="115">
      <c r="A115" s="14" t="n">
        <v>46403</v>
      </c>
      <c r="B115" s="7">
        <f>CHOOSE(WEEKDAY(A115,2),"lundi","mardi","mercredi","jeudi","vendredi","samedi","dimanche")</f>
        <v/>
      </c>
      <c r="C115" s="22" t="n"/>
      <c r="D115" s="22" t="n"/>
      <c r="E115" s="22" t="n"/>
      <c r="F115" s="22" t="n"/>
      <c r="G115" s="22" t="n"/>
      <c r="H115" s="22" t="n"/>
      <c r="I115" s="23">
        <f>IF(COUNT(C115:H115)=0,"",SUM(C115:H115))</f>
        <v/>
      </c>
      <c r="J115" s="11">
        <f>$I$3</f>
        <v/>
      </c>
      <c r="K115" s="23">
        <f>IF(I115="","",I115-J115)</f>
        <v/>
      </c>
      <c r="L115" s="24">
        <f>IF(OR(I115="",N(J115)=0),"",K115/J115)</f>
        <v/>
      </c>
      <c r="M115" s="12" t="n"/>
    </row>
    <row r="116">
      <c r="A116" s="14" t="n">
        <v>46404</v>
      </c>
      <c r="B116" s="7">
        <f>CHOOSE(WEEKDAY(A116,2),"lundi","mardi","mercredi","jeudi","vendredi","samedi","dimanche")</f>
        <v/>
      </c>
      <c r="C116" s="22" t="n"/>
      <c r="D116" s="22" t="n"/>
      <c r="E116" s="22" t="n"/>
      <c r="F116" s="22" t="n"/>
      <c r="G116" s="22" t="n"/>
      <c r="H116" s="22" t="n"/>
      <c r="I116" s="23">
        <f>IF(COUNT(C116:H116)=0,"",SUM(C116:H116))</f>
        <v/>
      </c>
      <c r="J116" s="11">
        <f>$I$3</f>
        <v/>
      </c>
      <c r="K116" s="23">
        <f>IF(I116="","",I116-J116)</f>
        <v/>
      </c>
      <c r="L116" s="24">
        <f>IF(OR(I116="",N(J116)=0),"",K116/J116)</f>
        <v/>
      </c>
      <c r="M116" s="12" t="n"/>
    </row>
    <row r="117">
      <c r="A117" s="25" t="n">
        <v>46405</v>
      </c>
      <c r="B117" s="26">
        <f>CHOOSE(WEEKDAY(A117,2),"lundi","mardi","mercredi","jeudi","vendredi","samedi","dimanche")</f>
        <v/>
      </c>
      <c r="C117" s="22" t="n"/>
      <c r="D117" s="22" t="n"/>
      <c r="E117" s="22" t="n"/>
      <c r="F117" s="22" t="n"/>
      <c r="G117" s="22" t="n"/>
      <c r="H117" s="22" t="n"/>
      <c r="I117" s="23">
        <f>IF(COUNT(C117:H117)=0,"",SUM(C117:H117))</f>
        <v/>
      </c>
      <c r="J117" s="11">
        <f>$I$3</f>
        <v/>
      </c>
      <c r="K117" s="23">
        <f>IF(I117="","",I117-J117)</f>
        <v/>
      </c>
      <c r="L117" s="24">
        <f>IF(OR(I117="",N(J117)=0),"",K117/J117)</f>
        <v/>
      </c>
      <c r="M117" s="12" t="n"/>
    </row>
    <row r="118">
      <c r="A118" s="14" t="n">
        <v>46406</v>
      </c>
      <c r="B118" s="7">
        <f>CHOOSE(WEEKDAY(A118,2),"lundi","mardi","mercredi","jeudi","vendredi","samedi","dimanche")</f>
        <v/>
      </c>
      <c r="C118" s="22" t="n"/>
      <c r="D118" s="22" t="n"/>
      <c r="E118" s="22" t="n"/>
      <c r="F118" s="22" t="n"/>
      <c r="G118" s="22" t="n"/>
      <c r="H118" s="22" t="n"/>
      <c r="I118" s="23">
        <f>IF(COUNT(C118:H118)=0,"",SUM(C118:H118))</f>
        <v/>
      </c>
      <c r="J118" s="11">
        <f>$I$3</f>
        <v/>
      </c>
      <c r="K118" s="23">
        <f>IF(I118="","",I118-J118)</f>
        <v/>
      </c>
      <c r="L118" s="24">
        <f>IF(OR(I118="",N(J118)=0),"",K118/J118)</f>
        <v/>
      </c>
      <c r="M118" s="12" t="n"/>
    </row>
    <row r="119">
      <c r="A119" s="14" t="n">
        <v>46407</v>
      </c>
      <c r="B119" s="7">
        <f>CHOOSE(WEEKDAY(A119,2),"lundi","mardi","mercredi","jeudi","vendredi","samedi","dimanche")</f>
        <v/>
      </c>
      <c r="C119" s="22" t="n"/>
      <c r="D119" s="22" t="n"/>
      <c r="E119" s="22" t="n"/>
      <c r="F119" s="22" t="n"/>
      <c r="G119" s="22" t="n"/>
      <c r="H119" s="22" t="n"/>
      <c r="I119" s="23">
        <f>IF(COUNT(C119:H119)=0,"",SUM(C119:H119))</f>
        <v/>
      </c>
      <c r="J119" s="11">
        <f>$I$3</f>
        <v/>
      </c>
      <c r="K119" s="23">
        <f>IF(I119="","",I119-J119)</f>
        <v/>
      </c>
      <c r="L119" s="24">
        <f>IF(OR(I119="",N(J119)=0),"",K119/J119)</f>
        <v/>
      </c>
      <c r="M119" s="12" t="n"/>
    </row>
    <row r="120">
      <c r="A120" s="14" t="n">
        <v>46408</v>
      </c>
      <c r="B120" s="7">
        <f>CHOOSE(WEEKDAY(A120,2),"lundi","mardi","mercredi","jeudi","vendredi","samedi","dimanche")</f>
        <v/>
      </c>
      <c r="C120" s="22" t="n"/>
      <c r="D120" s="22" t="n"/>
      <c r="E120" s="22" t="n"/>
      <c r="F120" s="22" t="n"/>
      <c r="G120" s="22" t="n"/>
      <c r="H120" s="22" t="n"/>
      <c r="I120" s="23">
        <f>IF(COUNT(C120:H120)=0,"",SUM(C120:H120))</f>
        <v/>
      </c>
      <c r="J120" s="11">
        <f>$I$3</f>
        <v/>
      </c>
      <c r="K120" s="23">
        <f>IF(I120="","",I120-J120)</f>
        <v/>
      </c>
      <c r="L120" s="24">
        <f>IF(OR(I120="",N(J120)=0),"",K120/J120)</f>
        <v/>
      </c>
      <c r="M120" s="12" t="n"/>
    </row>
    <row r="121">
      <c r="A121" s="14" t="n">
        <v>46409</v>
      </c>
      <c r="B121" s="7">
        <f>CHOOSE(WEEKDAY(A121,2),"lundi","mardi","mercredi","jeudi","vendredi","samedi","dimanche")</f>
        <v/>
      </c>
      <c r="C121" s="22" t="n"/>
      <c r="D121" s="22" t="n"/>
      <c r="E121" s="22" t="n"/>
      <c r="F121" s="22" t="n"/>
      <c r="G121" s="22" t="n"/>
      <c r="H121" s="22" t="n"/>
      <c r="I121" s="23">
        <f>IF(COUNT(C121:H121)=0,"",SUM(C121:H121))</f>
        <v/>
      </c>
      <c r="J121" s="11">
        <f>$I$3</f>
        <v/>
      </c>
      <c r="K121" s="23">
        <f>IF(I121="","",I121-J121)</f>
        <v/>
      </c>
      <c r="L121" s="24">
        <f>IF(OR(I121="",N(J121)=0),"",K121/J121)</f>
        <v/>
      </c>
      <c r="M121" s="12" t="n"/>
    </row>
    <row r="122">
      <c r="A122" s="14" t="n">
        <v>46410</v>
      </c>
      <c r="B122" s="7">
        <f>CHOOSE(WEEKDAY(A122,2),"lundi","mardi","mercredi","jeudi","vendredi","samedi","dimanche")</f>
        <v/>
      </c>
      <c r="C122" s="22" t="n"/>
      <c r="D122" s="22" t="n"/>
      <c r="E122" s="22" t="n"/>
      <c r="F122" s="22" t="n"/>
      <c r="G122" s="22" t="n"/>
      <c r="H122" s="22" t="n"/>
      <c r="I122" s="23">
        <f>IF(COUNT(C122:H122)=0,"",SUM(C122:H122))</f>
        <v/>
      </c>
      <c r="J122" s="11">
        <f>$I$3</f>
        <v/>
      </c>
      <c r="K122" s="23">
        <f>IF(I122="","",I122-J122)</f>
        <v/>
      </c>
      <c r="L122" s="24">
        <f>IF(OR(I122="",N(J122)=0),"",K122/J122)</f>
        <v/>
      </c>
      <c r="M122" s="12" t="n"/>
    </row>
    <row r="123">
      <c r="A123" s="14" t="n">
        <v>46411</v>
      </c>
      <c r="B123" s="7">
        <f>CHOOSE(WEEKDAY(A123,2),"lundi","mardi","mercredi","jeudi","vendredi","samedi","dimanche")</f>
        <v/>
      </c>
      <c r="C123" s="22" t="n"/>
      <c r="D123" s="22" t="n"/>
      <c r="E123" s="22" t="n"/>
      <c r="F123" s="22" t="n"/>
      <c r="G123" s="22" t="n"/>
      <c r="H123" s="22" t="n"/>
      <c r="I123" s="23">
        <f>IF(COUNT(C123:H123)=0,"",SUM(C123:H123))</f>
        <v/>
      </c>
      <c r="J123" s="11">
        <f>$I$3</f>
        <v/>
      </c>
      <c r="K123" s="23">
        <f>IF(I123="","",I123-J123)</f>
        <v/>
      </c>
      <c r="L123" s="24">
        <f>IF(OR(I123="",N(J123)=0),"",K123/J123)</f>
        <v/>
      </c>
      <c r="M123" s="12" t="n"/>
    </row>
    <row r="124">
      <c r="A124" s="25" t="n">
        <v>46412</v>
      </c>
      <c r="B124" s="26">
        <f>CHOOSE(WEEKDAY(A124,2),"lundi","mardi","mercredi","jeudi","vendredi","samedi","dimanche")</f>
        <v/>
      </c>
      <c r="C124" s="22" t="n"/>
      <c r="D124" s="22" t="n"/>
      <c r="E124" s="22" t="n"/>
      <c r="F124" s="22" t="n"/>
      <c r="G124" s="22" t="n"/>
      <c r="H124" s="22" t="n"/>
      <c r="I124" s="23">
        <f>IF(COUNT(C124:H124)=0,"",SUM(C124:H124))</f>
        <v/>
      </c>
      <c r="J124" s="11">
        <f>$I$3</f>
        <v/>
      </c>
      <c r="K124" s="23">
        <f>IF(I124="","",I124-J124)</f>
        <v/>
      </c>
      <c r="L124" s="24">
        <f>IF(OR(I124="",N(J124)=0),"",K124/J124)</f>
        <v/>
      </c>
      <c r="M124" s="12" t="n"/>
    </row>
    <row r="125">
      <c r="A125" s="14" t="n">
        <v>46413</v>
      </c>
      <c r="B125" s="7">
        <f>CHOOSE(WEEKDAY(A125,2),"lundi","mardi","mercredi","jeudi","vendredi","samedi","dimanche")</f>
        <v/>
      </c>
      <c r="C125" s="22" t="n"/>
      <c r="D125" s="22" t="n"/>
      <c r="E125" s="22" t="n"/>
      <c r="F125" s="22" t="n"/>
      <c r="G125" s="22" t="n"/>
      <c r="H125" s="22" t="n"/>
      <c r="I125" s="23">
        <f>IF(COUNT(C125:H125)=0,"",SUM(C125:H125))</f>
        <v/>
      </c>
      <c r="J125" s="11">
        <f>$I$3</f>
        <v/>
      </c>
      <c r="K125" s="23">
        <f>IF(I125="","",I125-J125)</f>
        <v/>
      </c>
      <c r="L125" s="24">
        <f>IF(OR(I125="",N(J125)=0),"",K125/J125)</f>
        <v/>
      </c>
      <c r="M125" s="12" t="n"/>
    </row>
    <row r="126">
      <c r="A126" s="14" t="n">
        <v>46414</v>
      </c>
      <c r="B126" s="7">
        <f>CHOOSE(WEEKDAY(A126,2),"lundi","mardi","mercredi","jeudi","vendredi","samedi","dimanche")</f>
        <v/>
      </c>
      <c r="C126" s="22" t="n"/>
      <c r="D126" s="22" t="n"/>
      <c r="E126" s="22" t="n"/>
      <c r="F126" s="22" t="n"/>
      <c r="G126" s="22" t="n"/>
      <c r="H126" s="22" t="n"/>
      <c r="I126" s="23">
        <f>IF(COUNT(C126:H126)=0,"",SUM(C126:H126))</f>
        <v/>
      </c>
      <c r="J126" s="11">
        <f>$I$3</f>
        <v/>
      </c>
      <c r="K126" s="23">
        <f>IF(I126="","",I126-J126)</f>
        <v/>
      </c>
      <c r="L126" s="24">
        <f>IF(OR(I126="",N(J126)=0),"",K126/J126)</f>
        <v/>
      </c>
      <c r="M126" s="12" t="n"/>
    </row>
    <row r="127">
      <c r="A127" s="14" t="n">
        <v>46415</v>
      </c>
      <c r="B127" s="7">
        <f>CHOOSE(WEEKDAY(A127,2),"lundi","mardi","mercredi","jeudi","vendredi","samedi","dimanche")</f>
        <v/>
      </c>
      <c r="C127" s="22" t="n"/>
      <c r="D127" s="22" t="n"/>
      <c r="E127" s="22" t="n"/>
      <c r="F127" s="22" t="n"/>
      <c r="G127" s="22" t="n"/>
      <c r="H127" s="22" t="n"/>
      <c r="I127" s="23">
        <f>IF(COUNT(C127:H127)=0,"",SUM(C127:H127))</f>
        <v/>
      </c>
      <c r="J127" s="11">
        <f>$I$3</f>
        <v/>
      </c>
      <c r="K127" s="23">
        <f>IF(I127="","",I127-J127)</f>
        <v/>
      </c>
      <c r="L127" s="24">
        <f>IF(OR(I127="",N(J127)=0),"",K127/J127)</f>
        <v/>
      </c>
      <c r="M127" s="12" t="n"/>
    </row>
    <row r="128">
      <c r="A128" s="14" t="n">
        <v>46416</v>
      </c>
      <c r="B128" s="7">
        <f>CHOOSE(WEEKDAY(A128,2),"lundi","mardi","mercredi","jeudi","vendredi","samedi","dimanche")</f>
        <v/>
      </c>
      <c r="C128" s="22" t="n"/>
      <c r="D128" s="22" t="n"/>
      <c r="E128" s="22" t="n"/>
      <c r="F128" s="22" t="n"/>
      <c r="G128" s="22" t="n"/>
      <c r="H128" s="22" t="n"/>
      <c r="I128" s="23">
        <f>IF(COUNT(C128:H128)=0,"",SUM(C128:H128))</f>
        <v/>
      </c>
      <c r="J128" s="11">
        <f>$I$3</f>
        <v/>
      </c>
      <c r="K128" s="23">
        <f>IF(I128="","",I128-J128)</f>
        <v/>
      </c>
      <c r="L128" s="24">
        <f>IF(OR(I128="",N(J128)=0),"",K128/J128)</f>
        <v/>
      </c>
      <c r="M128" s="12" t="n"/>
    </row>
    <row r="129">
      <c r="A129" s="14" t="n">
        <v>46417</v>
      </c>
      <c r="B129" s="7">
        <f>CHOOSE(WEEKDAY(A129,2),"lundi","mardi","mercredi","jeudi","vendredi","samedi","dimanche")</f>
        <v/>
      </c>
      <c r="C129" s="22" t="n"/>
      <c r="D129" s="22" t="n"/>
      <c r="E129" s="22" t="n"/>
      <c r="F129" s="22" t="n"/>
      <c r="G129" s="22" t="n"/>
      <c r="H129" s="22" t="n"/>
      <c r="I129" s="23">
        <f>IF(COUNT(C129:H129)=0,"",SUM(C129:H129))</f>
        <v/>
      </c>
      <c r="J129" s="11">
        <f>$I$3</f>
        <v/>
      </c>
      <c r="K129" s="23">
        <f>IF(I129="","",I129-J129)</f>
        <v/>
      </c>
      <c r="L129" s="24">
        <f>IF(OR(I129="",N(J129)=0),"",K129/J129)</f>
        <v/>
      </c>
      <c r="M129" s="12" t="n"/>
    </row>
    <row r="130">
      <c r="A130" s="14" t="n">
        <v>46418</v>
      </c>
      <c r="B130" s="7">
        <f>CHOOSE(WEEKDAY(A130,2),"lundi","mardi","mercredi","jeudi","vendredi","samedi","dimanche")</f>
        <v/>
      </c>
      <c r="C130" s="22" t="n"/>
      <c r="D130" s="22" t="n"/>
      <c r="E130" s="22" t="n"/>
      <c r="F130" s="22" t="n"/>
      <c r="G130" s="22" t="n"/>
      <c r="H130" s="22" t="n"/>
      <c r="I130" s="23">
        <f>IF(COUNT(C130:H130)=0,"",SUM(C130:H130))</f>
        <v/>
      </c>
      <c r="J130" s="11">
        <f>$I$3</f>
        <v/>
      </c>
      <c r="K130" s="23">
        <f>IF(I130="","",I130-J130)</f>
        <v/>
      </c>
      <c r="L130" s="24">
        <f>IF(OR(I130="",N(J130)=0),"",K130/J130)</f>
        <v/>
      </c>
      <c r="M130" s="12" t="n"/>
    </row>
    <row r="131">
      <c r="A131" s="25" t="n">
        <v>46419</v>
      </c>
      <c r="B131" s="26">
        <f>CHOOSE(WEEKDAY(A131,2),"lundi","mardi","mercredi","jeudi","vendredi","samedi","dimanche")</f>
        <v/>
      </c>
      <c r="C131" s="22" t="n"/>
      <c r="D131" s="22" t="n"/>
      <c r="E131" s="22" t="n"/>
      <c r="F131" s="22" t="n"/>
      <c r="G131" s="22" t="n"/>
      <c r="H131" s="22" t="n"/>
      <c r="I131" s="23">
        <f>IF(COUNT(C131:H131)=0,"",SUM(C131:H131))</f>
        <v/>
      </c>
      <c r="J131" s="11">
        <f>$I$3</f>
        <v/>
      </c>
      <c r="K131" s="23">
        <f>IF(I131="","",I131-J131)</f>
        <v/>
      </c>
      <c r="L131" s="24">
        <f>IF(OR(I131="",N(J131)=0),"",K131/J131)</f>
        <v/>
      </c>
      <c r="M131" s="12" t="n"/>
    </row>
    <row r="132">
      <c r="A132" s="14" t="n">
        <v>46420</v>
      </c>
      <c r="B132" s="7">
        <f>CHOOSE(WEEKDAY(A132,2),"lundi","mardi","mercredi","jeudi","vendredi","samedi","dimanche")</f>
        <v/>
      </c>
      <c r="C132" s="22" t="n"/>
      <c r="D132" s="22" t="n"/>
      <c r="E132" s="22" t="n"/>
      <c r="F132" s="22" t="n"/>
      <c r="G132" s="22" t="n"/>
      <c r="H132" s="22" t="n"/>
      <c r="I132" s="23">
        <f>IF(COUNT(C132:H132)=0,"",SUM(C132:H132))</f>
        <v/>
      </c>
      <c r="J132" s="11">
        <f>$I$3</f>
        <v/>
      </c>
      <c r="K132" s="23">
        <f>IF(I132="","",I132-J132)</f>
        <v/>
      </c>
      <c r="L132" s="24">
        <f>IF(OR(I132="",N(J132)=0),"",K132/J132)</f>
        <v/>
      </c>
      <c r="M132" s="12" t="n"/>
    </row>
    <row r="133">
      <c r="A133" s="14" t="n">
        <v>46421</v>
      </c>
      <c r="B133" s="7">
        <f>CHOOSE(WEEKDAY(A133,2),"lundi","mardi","mercredi","jeudi","vendredi","samedi","dimanche")</f>
        <v/>
      </c>
      <c r="C133" s="22" t="n"/>
      <c r="D133" s="22" t="n"/>
      <c r="E133" s="22" t="n"/>
      <c r="F133" s="22" t="n"/>
      <c r="G133" s="22" t="n"/>
      <c r="H133" s="22" t="n"/>
      <c r="I133" s="23">
        <f>IF(COUNT(C133:H133)=0,"",SUM(C133:H133))</f>
        <v/>
      </c>
      <c r="J133" s="11">
        <f>$I$3</f>
        <v/>
      </c>
      <c r="K133" s="23">
        <f>IF(I133="","",I133-J133)</f>
        <v/>
      </c>
      <c r="L133" s="24">
        <f>IF(OR(I133="",N(J133)=0),"",K133/J133)</f>
        <v/>
      </c>
      <c r="M133" s="12" t="n"/>
    </row>
    <row r="134">
      <c r="A134" s="14" t="n">
        <v>46422</v>
      </c>
      <c r="B134" s="7">
        <f>CHOOSE(WEEKDAY(A134,2),"lundi","mardi","mercredi","jeudi","vendredi","samedi","dimanche")</f>
        <v/>
      </c>
      <c r="C134" s="22" t="n"/>
      <c r="D134" s="22" t="n"/>
      <c r="E134" s="22" t="n"/>
      <c r="F134" s="22" t="n"/>
      <c r="G134" s="22" t="n"/>
      <c r="H134" s="22" t="n"/>
      <c r="I134" s="23">
        <f>IF(COUNT(C134:H134)=0,"",SUM(C134:H134))</f>
        <v/>
      </c>
      <c r="J134" s="11">
        <f>$I$3</f>
        <v/>
      </c>
      <c r="K134" s="23">
        <f>IF(I134="","",I134-J134)</f>
        <v/>
      </c>
      <c r="L134" s="24">
        <f>IF(OR(I134="",N(J134)=0),"",K134/J134)</f>
        <v/>
      </c>
      <c r="M134" s="12" t="n"/>
    </row>
    <row r="135">
      <c r="A135" s="14" t="n">
        <v>46423</v>
      </c>
      <c r="B135" s="7">
        <f>CHOOSE(WEEKDAY(A135,2),"lundi","mardi","mercredi","jeudi","vendredi","samedi","dimanche")</f>
        <v/>
      </c>
      <c r="C135" s="22" t="n"/>
      <c r="D135" s="22" t="n"/>
      <c r="E135" s="22" t="n"/>
      <c r="F135" s="22" t="n"/>
      <c r="G135" s="22" t="n"/>
      <c r="H135" s="22" t="n"/>
      <c r="I135" s="23">
        <f>IF(COUNT(C135:H135)=0,"",SUM(C135:H135))</f>
        <v/>
      </c>
      <c r="J135" s="11">
        <f>$I$3</f>
        <v/>
      </c>
      <c r="K135" s="23">
        <f>IF(I135="","",I135-J135)</f>
        <v/>
      </c>
      <c r="L135" s="24">
        <f>IF(OR(I135="",N(J135)=0),"",K135/J135)</f>
        <v/>
      </c>
      <c r="M135" s="12" t="n"/>
    </row>
    <row r="136">
      <c r="A136" s="14" t="n">
        <v>46424</v>
      </c>
      <c r="B136" s="7">
        <f>CHOOSE(WEEKDAY(A136,2),"lundi","mardi","mercredi","jeudi","vendredi","samedi","dimanche")</f>
        <v/>
      </c>
      <c r="C136" s="22" t="n"/>
      <c r="D136" s="22" t="n"/>
      <c r="E136" s="22" t="n"/>
      <c r="F136" s="22" t="n"/>
      <c r="G136" s="22" t="n"/>
      <c r="H136" s="22" t="n"/>
      <c r="I136" s="23">
        <f>IF(COUNT(C136:H136)=0,"",SUM(C136:H136))</f>
        <v/>
      </c>
      <c r="J136" s="11">
        <f>$I$3</f>
        <v/>
      </c>
      <c r="K136" s="23">
        <f>IF(I136="","",I136-J136)</f>
        <v/>
      </c>
      <c r="L136" s="24">
        <f>IF(OR(I136="",N(J136)=0),"",K136/J136)</f>
        <v/>
      </c>
      <c r="M136" s="12" t="n"/>
    </row>
    <row r="137">
      <c r="A137" s="14" t="n">
        <v>46425</v>
      </c>
      <c r="B137" s="7">
        <f>CHOOSE(WEEKDAY(A137,2),"lundi","mardi","mercredi","jeudi","vendredi","samedi","dimanche")</f>
        <v/>
      </c>
      <c r="C137" s="22" t="n"/>
      <c r="D137" s="22" t="n"/>
      <c r="E137" s="22" t="n"/>
      <c r="F137" s="22" t="n"/>
      <c r="G137" s="22" t="n"/>
      <c r="H137" s="22" t="n"/>
      <c r="I137" s="23">
        <f>IF(COUNT(C137:H137)=0,"",SUM(C137:H137))</f>
        <v/>
      </c>
      <c r="J137" s="11">
        <f>$I$3</f>
        <v/>
      </c>
      <c r="K137" s="23">
        <f>IF(I137="","",I137-J137)</f>
        <v/>
      </c>
      <c r="L137" s="24">
        <f>IF(OR(I137="",N(J137)=0),"",K137/J137)</f>
        <v/>
      </c>
      <c r="M137" s="12" t="n"/>
    </row>
    <row r="138">
      <c r="A138" s="25" t="n">
        <v>46426</v>
      </c>
      <c r="B138" s="26">
        <f>CHOOSE(WEEKDAY(A138,2),"lundi","mardi","mercredi","jeudi","vendredi","samedi","dimanche")</f>
        <v/>
      </c>
      <c r="C138" s="22" t="n"/>
      <c r="D138" s="22" t="n"/>
      <c r="E138" s="22" t="n"/>
      <c r="F138" s="22" t="n"/>
      <c r="G138" s="22" t="n"/>
      <c r="H138" s="22" t="n"/>
      <c r="I138" s="23">
        <f>IF(COUNT(C138:H138)=0,"",SUM(C138:H138))</f>
        <v/>
      </c>
      <c r="J138" s="11">
        <f>$I$3</f>
        <v/>
      </c>
      <c r="K138" s="23">
        <f>IF(I138="","",I138-J138)</f>
        <v/>
      </c>
      <c r="L138" s="24">
        <f>IF(OR(I138="",N(J138)=0),"",K138/J138)</f>
        <v/>
      </c>
      <c r="M138" s="12" t="n"/>
    </row>
    <row r="139">
      <c r="A139" s="14" t="n">
        <v>46427</v>
      </c>
      <c r="B139" s="7">
        <f>CHOOSE(WEEKDAY(A139,2),"lundi","mardi","mercredi","jeudi","vendredi","samedi","dimanche")</f>
        <v/>
      </c>
      <c r="C139" s="22" t="n"/>
      <c r="D139" s="22" t="n"/>
      <c r="E139" s="22" t="n"/>
      <c r="F139" s="22" t="n"/>
      <c r="G139" s="22" t="n"/>
      <c r="H139" s="22" t="n"/>
      <c r="I139" s="23">
        <f>IF(COUNT(C139:H139)=0,"",SUM(C139:H139))</f>
        <v/>
      </c>
      <c r="J139" s="11">
        <f>$I$3</f>
        <v/>
      </c>
      <c r="K139" s="23">
        <f>IF(I139="","",I139-J139)</f>
        <v/>
      </c>
      <c r="L139" s="24">
        <f>IF(OR(I139="",N(J139)=0),"",K139/J139)</f>
        <v/>
      </c>
      <c r="M139" s="12" t="n"/>
    </row>
    <row r="140">
      <c r="A140" s="14" t="n">
        <v>46428</v>
      </c>
      <c r="B140" s="7">
        <f>CHOOSE(WEEKDAY(A140,2),"lundi","mardi","mercredi","jeudi","vendredi","samedi","dimanche")</f>
        <v/>
      </c>
      <c r="C140" s="22" t="n"/>
      <c r="D140" s="22" t="n"/>
      <c r="E140" s="22" t="n"/>
      <c r="F140" s="22" t="n"/>
      <c r="G140" s="22" t="n"/>
      <c r="H140" s="22" t="n"/>
      <c r="I140" s="23">
        <f>IF(COUNT(C140:H140)=0,"",SUM(C140:H140))</f>
        <v/>
      </c>
      <c r="J140" s="11">
        <f>$I$3</f>
        <v/>
      </c>
      <c r="K140" s="23">
        <f>IF(I140="","",I140-J140)</f>
        <v/>
      </c>
      <c r="L140" s="24">
        <f>IF(OR(I140="",N(J140)=0),"",K140/J140)</f>
        <v/>
      </c>
      <c r="M140" s="12" t="n"/>
    </row>
    <row r="141">
      <c r="A141" s="14" t="n">
        <v>46429</v>
      </c>
      <c r="B141" s="7">
        <f>CHOOSE(WEEKDAY(A141,2),"lundi","mardi","mercredi","jeudi","vendredi","samedi","dimanche")</f>
        <v/>
      </c>
      <c r="C141" s="22" t="n"/>
      <c r="D141" s="22" t="n"/>
      <c r="E141" s="22" t="n"/>
      <c r="F141" s="22" t="n"/>
      <c r="G141" s="22" t="n"/>
      <c r="H141" s="22" t="n"/>
      <c r="I141" s="23">
        <f>IF(COUNT(C141:H141)=0,"",SUM(C141:H141))</f>
        <v/>
      </c>
      <c r="J141" s="11">
        <f>$I$3</f>
        <v/>
      </c>
      <c r="K141" s="23">
        <f>IF(I141="","",I141-J141)</f>
        <v/>
      </c>
      <c r="L141" s="24">
        <f>IF(OR(I141="",N(J141)=0),"",K141/J141)</f>
        <v/>
      </c>
      <c r="M141" s="12" t="n"/>
    </row>
    <row r="142">
      <c r="A142" s="14" t="n">
        <v>46430</v>
      </c>
      <c r="B142" s="7">
        <f>CHOOSE(WEEKDAY(A142,2),"lundi","mardi","mercredi","jeudi","vendredi","samedi","dimanche")</f>
        <v/>
      </c>
      <c r="C142" s="22" t="n"/>
      <c r="D142" s="22" t="n"/>
      <c r="E142" s="22" t="n"/>
      <c r="F142" s="22" t="n"/>
      <c r="G142" s="22" t="n"/>
      <c r="H142" s="22" t="n"/>
      <c r="I142" s="23">
        <f>IF(COUNT(C142:H142)=0,"",SUM(C142:H142))</f>
        <v/>
      </c>
      <c r="J142" s="11">
        <f>$I$3</f>
        <v/>
      </c>
      <c r="K142" s="23">
        <f>IF(I142="","",I142-J142)</f>
        <v/>
      </c>
      <c r="L142" s="24">
        <f>IF(OR(I142="",N(J142)=0),"",K142/J142)</f>
        <v/>
      </c>
      <c r="M142" s="12" t="n"/>
    </row>
    <row r="143">
      <c r="A143" s="14" t="n">
        <v>46431</v>
      </c>
      <c r="B143" s="7">
        <f>CHOOSE(WEEKDAY(A143,2),"lundi","mardi","mercredi","jeudi","vendredi","samedi","dimanche")</f>
        <v/>
      </c>
      <c r="C143" s="22" t="n"/>
      <c r="D143" s="22" t="n"/>
      <c r="E143" s="22" t="n"/>
      <c r="F143" s="22" t="n"/>
      <c r="G143" s="22" t="n"/>
      <c r="H143" s="22" t="n"/>
      <c r="I143" s="23">
        <f>IF(COUNT(C143:H143)=0,"",SUM(C143:H143))</f>
        <v/>
      </c>
      <c r="J143" s="11">
        <f>$I$3</f>
        <v/>
      </c>
      <c r="K143" s="23">
        <f>IF(I143="","",I143-J143)</f>
        <v/>
      </c>
      <c r="L143" s="24">
        <f>IF(OR(I143="",N(J143)=0),"",K143/J143)</f>
        <v/>
      </c>
      <c r="M143" s="12" t="n"/>
    </row>
    <row r="144">
      <c r="A144" s="14" t="n">
        <v>46432</v>
      </c>
      <c r="B144" s="7">
        <f>CHOOSE(WEEKDAY(A144,2),"lundi","mardi","mercredi","jeudi","vendredi","samedi","dimanche")</f>
        <v/>
      </c>
      <c r="C144" s="22" t="n"/>
      <c r="D144" s="22" t="n"/>
      <c r="E144" s="22" t="n"/>
      <c r="F144" s="22" t="n"/>
      <c r="G144" s="22" t="n"/>
      <c r="H144" s="22" t="n"/>
      <c r="I144" s="23">
        <f>IF(COUNT(C144:H144)=0,"",SUM(C144:H144))</f>
        <v/>
      </c>
      <c r="J144" s="11">
        <f>$I$3</f>
        <v/>
      </c>
      <c r="K144" s="23">
        <f>IF(I144="","",I144-J144)</f>
        <v/>
      </c>
      <c r="L144" s="24">
        <f>IF(OR(I144="",N(J144)=0),"",K144/J144)</f>
        <v/>
      </c>
      <c r="M144" s="12" t="n"/>
    </row>
    <row r="145">
      <c r="A145" s="25" t="n">
        <v>46433</v>
      </c>
      <c r="B145" s="26">
        <f>CHOOSE(WEEKDAY(A145,2),"lundi","mardi","mercredi","jeudi","vendredi","samedi","dimanche")</f>
        <v/>
      </c>
      <c r="C145" s="22" t="n"/>
      <c r="D145" s="22" t="n"/>
      <c r="E145" s="22" t="n"/>
      <c r="F145" s="22" t="n"/>
      <c r="G145" s="22" t="n"/>
      <c r="H145" s="22" t="n"/>
      <c r="I145" s="23">
        <f>IF(COUNT(C145:H145)=0,"",SUM(C145:H145))</f>
        <v/>
      </c>
      <c r="J145" s="11">
        <f>$I$3</f>
        <v/>
      </c>
      <c r="K145" s="23">
        <f>IF(I145="","",I145-J145)</f>
        <v/>
      </c>
      <c r="L145" s="24">
        <f>IF(OR(I145="",N(J145)=0),"",K145/J145)</f>
        <v/>
      </c>
      <c r="M145" s="12" t="n"/>
    </row>
    <row r="146">
      <c r="A146" s="14" t="n">
        <v>46434</v>
      </c>
      <c r="B146" s="7">
        <f>CHOOSE(WEEKDAY(A146,2),"lundi","mardi","mercredi","jeudi","vendredi","samedi","dimanche")</f>
        <v/>
      </c>
      <c r="C146" s="22" t="n"/>
      <c r="D146" s="22" t="n"/>
      <c r="E146" s="22" t="n"/>
      <c r="F146" s="22" t="n"/>
      <c r="G146" s="22" t="n"/>
      <c r="H146" s="22" t="n"/>
      <c r="I146" s="23">
        <f>IF(COUNT(C146:H146)=0,"",SUM(C146:H146))</f>
        <v/>
      </c>
      <c r="J146" s="11">
        <f>$I$3</f>
        <v/>
      </c>
      <c r="K146" s="23">
        <f>IF(I146="","",I146-J146)</f>
        <v/>
      </c>
      <c r="L146" s="24">
        <f>IF(OR(I146="",N(J146)=0),"",K146/J146)</f>
        <v/>
      </c>
      <c r="M146" s="12" t="n"/>
    </row>
    <row r="147">
      <c r="A147" s="14" t="n">
        <v>46435</v>
      </c>
      <c r="B147" s="7">
        <f>CHOOSE(WEEKDAY(A147,2),"lundi","mardi","mercredi","jeudi","vendredi","samedi","dimanche")</f>
        <v/>
      </c>
      <c r="C147" s="22" t="n"/>
      <c r="D147" s="22" t="n"/>
      <c r="E147" s="22" t="n"/>
      <c r="F147" s="22" t="n"/>
      <c r="G147" s="22" t="n"/>
      <c r="H147" s="22" t="n"/>
      <c r="I147" s="23">
        <f>IF(COUNT(C147:H147)=0,"",SUM(C147:H147))</f>
        <v/>
      </c>
      <c r="J147" s="11">
        <f>$I$3</f>
        <v/>
      </c>
      <c r="K147" s="23">
        <f>IF(I147="","",I147-J147)</f>
        <v/>
      </c>
      <c r="L147" s="24">
        <f>IF(OR(I147="",N(J147)=0),"",K147/J147)</f>
        <v/>
      </c>
      <c r="M147" s="12" t="n"/>
    </row>
    <row r="148">
      <c r="A148" s="14" t="n">
        <v>46436</v>
      </c>
      <c r="B148" s="7">
        <f>CHOOSE(WEEKDAY(A148,2),"lundi","mardi","mercredi","jeudi","vendredi","samedi","dimanche")</f>
        <v/>
      </c>
      <c r="C148" s="22" t="n"/>
      <c r="D148" s="22" t="n"/>
      <c r="E148" s="22" t="n"/>
      <c r="F148" s="22" t="n"/>
      <c r="G148" s="22" t="n"/>
      <c r="H148" s="22" t="n"/>
      <c r="I148" s="23">
        <f>IF(COUNT(C148:H148)=0,"",SUM(C148:H148))</f>
        <v/>
      </c>
      <c r="J148" s="11">
        <f>$I$3</f>
        <v/>
      </c>
      <c r="K148" s="23">
        <f>IF(I148="","",I148-J148)</f>
        <v/>
      </c>
      <c r="L148" s="24">
        <f>IF(OR(I148="",N(J148)=0),"",K148/J148)</f>
        <v/>
      </c>
      <c r="M148" s="12" t="n"/>
    </row>
    <row r="149">
      <c r="A149" s="14" t="n">
        <v>46437</v>
      </c>
      <c r="B149" s="7">
        <f>CHOOSE(WEEKDAY(A149,2),"lundi","mardi","mercredi","jeudi","vendredi","samedi","dimanche")</f>
        <v/>
      </c>
      <c r="C149" s="22" t="n"/>
      <c r="D149" s="22" t="n"/>
      <c r="E149" s="22" t="n"/>
      <c r="F149" s="22" t="n"/>
      <c r="G149" s="22" t="n"/>
      <c r="H149" s="22" t="n"/>
      <c r="I149" s="23">
        <f>IF(COUNT(C149:H149)=0,"",SUM(C149:H149))</f>
        <v/>
      </c>
      <c r="J149" s="11">
        <f>$I$3</f>
        <v/>
      </c>
      <c r="K149" s="23">
        <f>IF(I149="","",I149-J149)</f>
        <v/>
      </c>
      <c r="L149" s="24">
        <f>IF(OR(I149="",N(J149)=0),"",K149/J149)</f>
        <v/>
      </c>
      <c r="M149" s="12" t="n"/>
    </row>
    <row r="150">
      <c r="A150" s="14" t="n">
        <v>46438</v>
      </c>
      <c r="B150" s="7">
        <f>CHOOSE(WEEKDAY(A150,2),"lundi","mardi","mercredi","jeudi","vendredi","samedi","dimanche")</f>
        <v/>
      </c>
      <c r="C150" s="22" t="n"/>
      <c r="D150" s="22" t="n"/>
      <c r="E150" s="22" t="n"/>
      <c r="F150" s="22" t="n"/>
      <c r="G150" s="22" t="n"/>
      <c r="H150" s="22" t="n"/>
      <c r="I150" s="23">
        <f>IF(COUNT(C150:H150)=0,"",SUM(C150:H150))</f>
        <v/>
      </c>
      <c r="J150" s="11">
        <f>$I$3</f>
        <v/>
      </c>
      <c r="K150" s="23">
        <f>IF(I150="","",I150-J150)</f>
        <v/>
      </c>
      <c r="L150" s="24">
        <f>IF(OR(I150="",N(J150)=0),"",K150/J150)</f>
        <v/>
      </c>
      <c r="M150" s="12" t="n"/>
    </row>
    <row r="151">
      <c r="A151" s="14" t="n">
        <v>46439</v>
      </c>
      <c r="B151" s="7">
        <f>CHOOSE(WEEKDAY(A151,2),"lundi","mardi","mercredi","jeudi","vendredi","samedi","dimanche")</f>
        <v/>
      </c>
      <c r="C151" s="22" t="n"/>
      <c r="D151" s="22" t="n"/>
      <c r="E151" s="22" t="n"/>
      <c r="F151" s="22" t="n"/>
      <c r="G151" s="22" t="n"/>
      <c r="H151" s="22" t="n"/>
      <c r="I151" s="23">
        <f>IF(COUNT(C151:H151)=0,"",SUM(C151:H151))</f>
        <v/>
      </c>
      <c r="J151" s="11">
        <f>$I$3</f>
        <v/>
      </c>
      <c r="K151" s="23">
        <f>IF(I151="","",I151-J151)</f>
        <v/>
      </c>
      <c r="L151" s="24">
        <f>IF(OR(I151="",N(J151)=0),"",K151/J151)</f>
        <v/>
      </c>
      <c r="M151" s="12" t="n"/>
    </row>
    <row r="152">
      <c r="A152" s="25" t="n">
        <v>46440</v>
      </c>
      <c r="B152" s="26">
        <f>CHOOSE(WEEKDAY(A152,2),"lundi","mardi","mercredi","jeudi","vendredi","samedi","dimanche")</f>
        <v/>
      </c>
      <c r="C152" s="22" t="n"/>
      <c r="D152" s="22" t="n"/>
      <c r="E152" s="22" t="n"/>
      <c r="F152" s="22" t="n"/>
      <c r="G152" s="22" t="n"/>
      <c r="H152" s="22" t="n"/>
      <c r="I152" s="23">
        <f>IF(COUNT(C152:H152)=0,"",SUM(C152:H152))</f>
        <v/>
      </c>
      <c r="J152" s="11">
        <f>$I$3</f>
        <v/>
      </c>
      <c r="K152" s="23">
        <f>IF(I152="","",I152-J152)</f>
        <v/>
      </c>
      <c r="L152" s="24">
        <f>IF(OR(I152="",N(J152)=0),"",K152/J152)</f>
        <v/>
      </c>
      <c r="M152" s="12" t="n"/>
    </row>
    <row r="153">
      <c r="A153" s="14" t="n">
        <v>46441</v>
      </c>
      <c r="B153" s="7">
        <f>CHOOSE(WEEKDAY(A153,2),"lundi","mardi","mercredi","jeudi","vendredi","samedi","dimanche")</f>
        <v/>
      </c>
      <c r="C153" s="22" t="n"/>
      <c r="D153" s="22" t="n"/>
      <c r="E153" s="22" t="n"/>
      <c r="F153" s="22" t="n"/>
      <c r="G153" s="22" t="n"/>
      <c r="H153" s="22" t="n"/>
      <c r="I153" s="23">
        <f>IF(COUNT(C153:H153)=0,"",SUM(C153:H153))</f>
        <v/>
      </c>
      <c r="J153" s="11">
        <f>$I$3</f>
        <v/>
      </c>
      <c r="K153" s="23">
        <f>IF(I153="","",I153-J153)</f>
        <v/>
      </c>
      <c r="L153" s="24">
        <f>IF(OR(I153="",N(J153)=0),"",K153/J153)</f>
        <v/>
      </c>
      <c r="M153" s="12" t="n"/>
    </row>
    <row r="154">
      <c r="A154" s="14" t="n">
        <v>46442</v>
      </c>
      <c r="B154" s="7">
        <f>CHOOSE(WEEKDAY(A154,2),"lundi","mardi","mercredi","jeudi","vendredi","samedi","dimanche")</f>
        <v/>
      </c>
      <c r="C154" s="22" t="n"/>
      <c r="D154" s="22" t="n"/>
      <c r="E154" s="22" t="n"/>
      <c r="F154" s="22" t="n"/>
      <c r="G154" s="22" t="n"/>
      <c r="H154" s="22" t="n"/>
      <c r="I154" s="23">
        <f>IF(COUNT(C154:H154)=0,"",SUM(C154:H154))</f>
        <v/>
      </c>
      <c r="J154" s="11">
        <f>$I$3</f>
        <v/>
      </c>
      <c r="K154" s="23">
        <f>IF(I154="","",I154-J154)</f>
        <v/>
      </c>
      <c r="L154" s="24">
        <f>IF(OR(I154="",N(J154)=0),"",K154/J154)</f>
        <v/>
      </c>
      <c r="M154" s="12" t="n"/>
    </row>
    <row r="155">
      <c r="A155" s="14" t="n">
        <v>46443</v>
      </c>
      <c r="B155" s="7">
        <f>CHOOSE(WEEKDAY(A155,2),"lundi","mardi","mercredi","jeudi","vendredi","samedi","dimanche")</f>
        <v/>
      </c>
      <c r="C155" s="22" t="n"/>
      <c r="D155" s="22" t="n"/>
      <c r="E155" s="22" t="n"/>
      <c r="F155" s="22" t="n"/>
      <c r="G155" s="22" t="n"/>
      <c r="H155" s="22" t="n"/>
      <c r="I155" s="23">
        <f>IF(COUNT(C155:H155)=0,"",SUM(C155:H155))</f>
        <v/>
      </c>
      <c r="J155" s="11">
        <f>$I$3</f>
        <v/>
      </c>
      <c r="K155" s="23">
        <f>IF(I155="","",I155-J155)</f>
        <v/>
      </c>
      <c r="L155" s="24">
        <f>IF(OR(I155="",N(J155)=0),"",K155/J155)</f>
        <v/>
      </c>
      <c r="M155" s="12" t="n"/>
    </row>
    <row r="156">
      <c r="A156" s="14" t="n">
        <v>46444</v>
      </c>
      <c r="B156" s="7">
        <f>CHOOSE(WEEKDAY(A156,2),"lundi","mardi","mercredi","jeudi","vendredi","samedi","dimanche")</f>
        <v/>
      </c>
      <c r="C156" s="22" t="n"/>
      <c r="D156" s="22" t="n"/>
      <c r="E156" s="22" t="n"/>
      <c r="F156" s="22" t="n"/>
      <c r="G156" s="22" t="n"/>
      <c r="H156" s="22" t="n"/>
      <c r="I156" s="23">
        <f>IF(COUNT(C156:H156)=0,"",SUM(C156:H156))</f>
        <v/>
      </c>
      <c r="J156" s="11">
        <f>$I$3</f>
        <v/>
      </c>
      <c r="K156" s="23">
        <f>IF(I156="","",I156-J156)</f>
        <v/>
      </c>
      <c r="L156" s="24">
        <f>IF(OR(I156="",N(J156)=0),"",K156/J156)</f>
        <v/>
      </c>
      <c r="M156" s="12" t="n"/>
    </row>
    <row r="157">
      <c r="A157" s="14" t="n">
        <v>46445</v>
      </c>
      <c r="B157" s="7">
        <f>CHOOSE(WEEKDAY(A157,2),"lundi","mardi","mercredi","jeudi","vendredi","samedi","dimanche")</f>
        <v/>
      </c>
      <c r="C157" s="22" t="n"/>
      <c r="D157" s="22" t="n"/>
      <c r="E157" s="22" t="n"/>
      <c r="F157" s="22" t="n"/>
      <c r="G157" s="22" t="n"/>
      <c r="H157" s="22" t="n"/>
      <c r="I157" s="23">
        <f>IF(COUNT(C157:H157)=0,"",SUM(C157:H157))</f>
        <v/>
      </c>
      <c r="J157" s="11">
        <f>$I$3</f>
        <v/>
      </c>
      <c r="K157" s="23">
        <f>IF(I157="","",I157-J157)</f>
        <v/>
      </c>
      <c r="L157" s="24">
        <f>IF(OR(I157="",N(J157)=0),"",K157/J157)</f>
        <v/>
      </c>
      <c r="M157" s="12" t="n"/>
    </row>
    <row r="158">
      <c r="A158" s="14" t="n">
        <v>46446</v>
      </c>
      <c r="B158" s="7">
        <f>CHOOSE(WEEKDAY(A158,2),"lundi","mardi","mercredi","jeudi","vendredi","samedi","dimanche")</f>
        <v/>
      </c>
      <c r="C158" s="22" t="n"/>
      <c r="D158" s="22" t="n"/>
      <c r="E158" s="22" t="n"/>
      <c r="F158" s="22" t="n"/>
      <c r="G158" s="22" t="n"/>
      <c r="H158" s="22" t="n"/>
      <c r="I158" s="23">
        <f>IF(COUNT(C158:H158)=0,"",SUM(C158:H158))</f>
        <v/>
      </c>
      <c r="J158" s="11">
        <f>$I$3</f>
        <v/>
      </c>
      <c r="K158" s="23">
        <f>IF(I158="","",I158-J158)</f>
        <v/>
      </c>
      <c r="L158" s="24">
        <f>IF(OR(I158="",N(J158)=0),"",K158/J158)</f>
        <v/>
      </c>
      <c r="M158" s="12" t="n"/>
    </row>
    <row r="159">
      <c r="A159" s="25" t="n">
        <v>46447</v>
      </c>
      <c r="B159" s="26">
        <f>CHOOSE(WEEKDAY(A159,2),"lundi","mardi","mercredi","jeudi","vendredi","samedi","dimanche")</f>
        <v/>
      </c>
      <c r="C159" s="22" t="n"/>
      <c r="D159" s="22" t="n"/>
      <c r="E159" s="22" t="n"/>
      <c r="F159" s="22" t="n"/>
      <c r="G159" s="22" t="n"/>
      <c r="H159" s="22" t="n"/>
      <c r="I159" s="23">
        <f>IF(COUNT(C159:H159)=0,"",SUM(C159:H159))</f>
        <v/>
      </c>
      <c r="J159" s="11">
        <f>$I$3</f>
        <v/>
      </c>
      <c r="K159" s="23">
        <f>IF(I159="","",I159-J159)</f>
        <v/>
      </c>
      <c r="L159" s="24">
        <f>IF(OR(I159="",N(J159)=0),"",K159/J159)</f>
        <v/>
      </c>
      <c r="M159" s="12" t="n"/>
    </row>
    <row r="160">
      <c r="A160" s="14" t="n">
        <v>46448</v>
      </c>
      <c r="B160" s="7">
        <f>CHOOSE(WEEKDAY(A160,2),"lundi","mardi","mercredi","jeudi","vendredi","samedi","dimanche")</f>
        <v/>
      </c>
      <c r="C160" s="22" t="n"/>
      <c r="D160" s="22" t="n"/>
      <c r="E160" s="22" t="n"/>
      <c r="F160" s="22" t="n"/>
      <c r="G160" s="22" t="n"/>
      <c r="H160" s="22" t="n"/>
      <c r="I160" s="23">
        <f>IF(COUNT(C160:H160)=0,"",SUM(C160:H160))</f>
        <v/>
      </c>
      <c r="J160" s="11">
        <f>$I$3</f>
        <v/>
      </c>
      <c r="K160" s="23">
        <f>IF(I160="","",I160-J160)</f>
        <v/>
      </c>
      <c r="L160" s="24">
        <f>IF(OR(I160="",N(J160)=0),"",K160/J160)</f>
        <v/>
      </c>
      <c r="M160" s="12" t="n"/>
    </row>
    <row r="161">
      <c r="A161" s="14" t="n">
        <v>46449</v>
      </c>
      <c r="B161" s="7">
        <f>CHOOSE(WEEKDAY(A161,2),"lundi","mardi","mercredi","jeudi","vendredi","samedi","dimanche")</f>
        <v/>
      </c>
      <c r="C161" s="22" t="n"/>
      <c r="D161" s="22" t="n"/>
      <c r="E161" s="22" t="n"/>
      <c r="F161" s="22" t="n"/>
      <c r="G161" s="22" t="n"/>
      <c r="H161" s="22" t="n"/>
      <c r="I161" s="23">
        <f>IF(COUNT(C161:H161)=0,"",SUM(C161:H161))</f>
        <v/>
      </c>
      <c r="J161" s="11">
        <f>$I$3</f>
        <v/>
      </c>
      <c r="K161" s="23">
        <f>IF(I161="","",I161-J161)</f>
        <v/>
      </c>
      <c r="L161" s="24">
        <f>IF(OR(I161="",N(J161)=0),"",K161/J161)</f>
        <v/>
      </c>
      <c r="M161" s="12" t="n"/>
    </row>
    <row r="162">
      <c r="A162" s="14" t="n">
        <v>46450</v>
      </c>
      <c r="B162" s="7">
        <f>CHOOSE(WEEKDAY(A162,2),"lundi","mardi","mercredi","jeudi","vendredi","samedi","dimanche")</f>
        <v/>
      </c>
      <c r="C162" s="22" t="n"/>
      <c r="D162" s="22" t="n"/>
      <c r="E162" s="22" t="n"/>
      <c r="F162" s="22" t="n"/>
      <c r="G162" s="22" t="n"/>
      <c r="H162" s="22" t="n"/>
      <c r="I162" s="23">
        <f>IF(COUNT(C162:H162)=0,"",SUM(C162:H162))</f>
        <v/>
      </c>
      <c r="J162" s="11">
        <f>$I$3</f>
        <v/>
      </c>
      <c r="K162" s="23">
        <f>IF(I162="","",I162-J162)</f>
        <v/>
      </c>
      <c r="L162" s="24">
        <f>IF(OR(I162="",N(J162)=0),"",K162/J162)</f>
        <v/>
      </c>
      <c r="M162" s="12" t="n"/>
    </row>
    <row r="163">
      <c r="A163" s="14" t="n">
        <v>46451</v>
      </c>
      <c r="B163" s="7">
        <f>CHOOSE(WEEKDAY(A163,2),"lundi","mardi","mercredi","jeudi","vendredi","samedi","dimanche")</f>
        <v/>
      </c>
      <c r="C163" s="22" t="n"/>
      <c r="D163" s="22" t="n"/>
      <c r="E163" s="22" t="n"/>
      <c r="F163" s="22" t="n"/>
      <c r="G163" s="22" t="n"/>
      <c r="H163" s="22" t="n"/>
      <c r="I163" s="23">
        <f>IF(COUNT(C163:H163)=0,"",SUM(C163:H163))</f>
        <v/>
      </c>
      <c r="J163" s="11">
        <f>$I$3</f>
        <v/>
      </c>
      <c r="K163" s="23">
        <f>IF(I163="","",I163-J163)</f>
        <v/>
      </c>
      <c r="L163" s="24">
        <f>IF(OR(I163="",N(J163)=0),"",K163/J163)</f>
        <v/>
      </c>
      <c r="M163" s="12" t="n"/>
    </row>
    <row r="164">
      <c r="A164" s="14" t="n">
        <v>46452</v>
      </c>
      <c r="B164" s="7">
        <f>CHOOSE(WEEKDAY(A164,2),"lundi","mardi","mercredi","jeudi","vendredi","samedi","dimanche")</f>
        <v/>
      </c>
      <c r="C164" s="22" t="n"/>
      <c r="D164" s="22" t="n"/>
      <c r="E164" s="22" t="n"/>
      <c r="F164" s="22" t="n"/>
      <c r="G164" s="22" t="n"/>
      <c r="H164" s="22" t="n"/>
      <c r="I164" s="23">
        <f>IF(COUNT(C164:H164)=0,"",SUM(C164:H164))</f>
        <v/>
      </c>
      <c r="J164" s="11">
        <f>$I$3</f>
        <v/>
      </c>
      <c r="K164" s="23">
        <f>IF(I164="","",I164-J164)</f>
        <v/>
      </c>
      <c r="L164" s="24">
        <f>IF(OR(I164="",N(J164)=0),"",K164/J164)</f>
        <v/>
      </c>
      <c r="M164" s="12" t="n"/>
    </row>
    <row r="165">
      <c r="A165" s="14" t="n">
        <v>46453</v>
      </c>
      <c r="B165" s="7">
        <f>CHOOSE(WEEKDAY(A165,2),"lundi","mardi","mercredi","jeudi","vendredi","samedi","dimanche")</f>
        <v/>
      </c>
      <c r="C165" s="22" t="n"/>
      <c r="D165" s="22" t="n"/>
      <c r="E165" s="22" t="n"/>
      <c r="F165" s="22" t="n"/>
      <c r="G165" s="22" t="n"/>
      <c r="H165" s="22" t="n"/>
      <c r="I165" s="23">
        <f>IF(COUNT(C165:H165)=0,"",SUM(C165:H165))</f>
        <v/>
      </c>
      <c r="J165" s="11">
        <f>$I$3</f>
        <v/>
      </c>
      <c r="K165" s="23">
        <f>IF(I165="","",I165-J165)</f>
        <v/>
      </c>
      <c r="L165" s="24">
        <f>IF(OR(I165="",N(J165)=0),"",K165/J165)</f>
        <v/>
      </c>
      <c r="M165" s="12" t="n"/>
    </row>
    <row r="166">
      <c r="A166" s="25" t="n">
        <v>46454</v>
      </c>
      <c r="B166" s="26">
        <f>CHOOSE(WEEKDAY(A166,2),"lundi","mardi","mercredi","jeudi","vendredi","samedi","dimanche")</f>
        <v/>
      </c>
      <c r="C166" s="22" t="n"/>
      <c r="D166" s="22" t="n"/>
      <c r="E166" s="22" t="n"/>
      <c r="F166" s="22" t="n"/>
      <c r="G166" s="22" t="n"/>
      <c r="H166" s="22" t="n"/>
      <c r="I166" s="23">
        <f>IF(COUNT(C166:H166)=0,"",SUM(C166:H166))</f>
        <v/>
      </c>
      <c r="J166" s="11">
        <f>$I$3</f>
        <v/>
      </c>
      <c r="K166" s="23">
        <f>IF(I166="","",I166-J166)</f>
        <v/>
      </c>
      <c r="L166" s="24">
        <f>IF(OR(I166="",N(J166)=0),"",K166/J166)</f>
        <v/>
      </c>
      <c r="M166" s="12" t="n"/>
    </row>
    <row r="167">
      <c r="A167" s="14" t="n">
        <v>46455</v>
      </c>
      <c r="B167" s="7">
        <f>CHOOSE(WEEKDAY(A167,2),"lundi","mardi","mercredi","jeudi","vendredi","samedi","dimanche")</f>
        <v/>
      </c>
      <c r="C167" s="22" t="n"/>
      <c r="D167" s="22" t="n"/>
      <c r="E167" s="22" t="n"/>
      <c r="F167" s="22" t="n"/>
      <c r="G167" s="22" t="n"/>
      <c r="H167" s="22" t="n"/>
      <c r="I167" s="23">
        <f>IF(COUNT(C167:H167)=0,"",SUM(C167:H167))</f>
        <v/>
      </c>
      <c r="J167" s="11">
        <f>$I$3</f>
        <v/>
      </c>
      <c r="K167" s="23">
        <f>IF(I167="","",I167-J167)</f>
        <v/>
      </c>
      <c r="L167" s="24">
        <f>IF(OR(I167="",N(J167)=0),"",K167/J167)</f>
        <v/>
      </c>
      <c r="M167" s="12" t="n"/>
    </row>
    <row r="168">
      <c r="A168" s="14" t="n">
        <v>46456</v>
      </c>
      <c r="B168" s="7">
        <f>CHOOSE(WEEKDAY(A168,2),"lundi","mardi","mercredi","jeudi","vendredi","samedi","dimanche")</f>
        <v/>
      </c>
      <c r="C168" s="22" t="n"/>
      <c r="D168" s="22" t="n"/>
      <c r="E168" s="22" t="n"/>
      <c r="F168" s="22" t="n"/>
      <c r="G168" s="22" t="n"/>
      <c r="H168" s="22" t="n"/>
      <c r="I168" s="23">
        <f>IF(COUNT(C168:H168)=0,"",SUM(C168:H168))</f>
        <v/>
      </c>
      <c r="J168" s="11">
        <f>$I$3</f>
        <v/>
      </c>
      <c r="K168" s="23">
        <f>IF(I168="","",I168-J168)</f>
        <v/>
      </c>
      <c r="L168" s="24">
        <f>IF(OR(I168="",N(J168)=0),"",K168/J168)</f>
        <v/>
      </c>
      <c r="M168" s="12" t="n"/>
    </row>
    <row r="169">
      <c r="A169" s="14" t="n">
        <v>46457</v>
      </c>
      <c r="B169" s="7">
        <f>CHOOSE(WEEKDAY(A169,2),"lundi","mardi","mercredi","jeudi","vendredi","samedi","dimanche")</f>
        <v/>
      </c>
      <c r="C169" s="22" t="n"/>
      <c r="D169" s="22" t="n"/>
      <c r="E169" s="22" t="n"/>
      <c r="F169" s="22" t="n"/>
      <c r="G169" s="22" t="n"/>
      <c r="H169" s="22" t="n"/>
      <c r="I169" s="23">
        <f>IF(COUNT(C169:H169)=0,"",SUM(C169:H169))</f>
        <v/>
      </c>
      <c r="J169" s="11">
        <f>$I$3</f>
        <v/>
      </c>
      <c r="K169" s="23">
        <f>IF(I169="","",I169-J169)</f>
        <v/>
      </c>
      <c r="L169" s="24">
        <f>IF(OR(I169="",N(J169)=0),"",K169/J169)</f>
        <v/>
      </c>
      <c r="M169" s="12" t="n"/>
    </row>
    <row r="170">
      <c r="A170" s="14" t="n">
        <v>46458</v>
      </c>
      <c r="B170" s="7">
        <f>CHOOSE(WEEKDAY(A170,2),"lundi","mardi","mercredi","jeudi","vendredi","samedi","dimanche")</f>
        <v/>
      </c>
      <c r="C170" s="22" t="n"/>
      <c r="D170" s="22" t="n"/>
      <c r="E170" s="22" t="n"/>
      <c r="F170" s="22" t="n"/>
      <c r="G170" s="22" t="n"/>
      <c r="H170" s="22" t="n"/>
      <c r="I170" s="23">
        <f>IF(COUNT(C170:H170)=0,"",SUM(C170:H170))</f>
        <v/>
      </c>
      <c r="J170" s="11">
        <f>$I$3</f>
        <v/>
      </c>
      <c r="K170" s="23">
        <f>IF(I170="","",I170-J170)</f>
        <v/>
      </c>
      <c r="L170" s="24">
        <f>IF(OR(I170="",N(J170)=0),"",K170/J170)</f>
        <v/>
      </c>
      <c r="M170" s="12" t="n"/>
    </row>
    <row r="171">
      <c r="A171" s="14" t="n">
        <v>46459</v>
      </c>
      <c r="B171" s="7">
        <f>CHOOSE(WEEKDAY(A171,2),"lundi","mardi","mercredi","jeudi","vendredi","samedi","dimanche")</f>
        <v/>
      </c>
      <c r="C171" s="22" t="n"/>
      <c r="D171" s="22" t="n"/>
      <c r="E171" s="22" t="n"/>
      <c r="F171" s="22" t="n"/>
      <c r="G171" s="22" t="n"/>
      <c r="H171" s="22" t="n"/>
      <c r="I171" s="23">
        <f>IF(COUNT(C171:H171)=0,"",SUM(C171:H171))</f>
        <v/>
      </c>
      <c r="J171" s="11">
        <f>$I$3</f>
        <v/>
      </c>
      <c r="K171" s="23">
        <f>IF(I171="","",I171-J171)</f>
        <v/>
      </c>
      <c r="L171" s="24">
        <f>IF(OR(I171="",N(J171)=0),"",K171/J171)</f>
        <v/>
      </c>
      <c r="M171" s="12" t="n"/>
    </row>
    <row r="172">
      <c r="A172" s="14" t="n">
        <v>46460</v>
      </c>
      <c r="B172" s="7">
        <f>CHOOSE(WEEKDAY(A172,2),"lundi","mardi","mercredi","jeudi","vendredi","samedi","dimanche")</f>
        <v/>
      </c>
      <c r="C172" s="22" t="n"/>
      <c r="D172" s="22" t="n"/>
      <c r="E172" s="22" t="n"/>
      <c r="F172" s="22" t="n"/>
      <c r="G172" s="22" t="n"/>
      <c r="H172" s="22" t="n"/>
      <c r="I172" s="23">
        <f>IF(COUNT(C172:H172)=0,"",SUM(C172:H172))</f>
        <v/>
      </c>
      <c r="J172" s="11">
        <f>$I$3</f>
        <v/>
      </c>
      <c r="K172" s="23">
        <f>IF(I172="","",I172-J172)</f>
        <v/>
      </c>
      <c r="L172" s="24">
        <f>IF(OR(I172="",N(J172)=0),"",K172/J172)</f>
        <v/>
      </c>
      <c r="M172" s="12" t="n"/>
    </row>
    <row r="173">
      <c r="A173" s="25" t="n">
        <v>46461</v>
      </c>
      <c r="B173" s="26">
        <f>CHOOSE(WEEKDAY(A173,2),"lundi","mardi","mercredi","jeudi","vendredi","samedi","dimanche")</f>
        <v/>
      </c>
      <c r="C173" s="22" t="n"/>
      <c r="D173" s="22" t="n"/>
      <c r="E173" s="22" t="n"/>
      <c r="F173" s="22" t="n"/>
      <c r="G173" s="22" t="n"/>
      <c r="H173" s="22" t="n"/>
      <c r="I173" s="23">
        <f>IF(COUNT(C173:H173)=0,"",SUM(C173:H173))</f>
        <v/>
      </c>
      <c r="J173" s="11">
        <f>$I$3</f>
        <v/>
      </c>
      <c r="K173" s="23">
        <f>IF(I173="","",I173-J173)</f>
        <v/>
      </c>
      <c r="L173" s="24">
        <f>IF(OR(I173="",N(J173)=0),"",K173/J173)</f>
        <v/>
      </c>
      <c r="M173" s="12" t="n"/>
    </row>
    <row r="174">
      <c r="A174" s="14" t="n">
        <v>46462</v>
      </c>
      <c r="B174" s="7">
        <f>CHOOSE(WEEKDAY(A174,2),"lundi","mardi","mercredi","jeudi","vendredi","samedi","dimanche")</f>
        <v/>
      </c>
      <c r="C174" s="22" t="n"/>
      <c r="D174" s="22" t="n"/>
      <c r="E174" s="22" t="n"/>
      <c r="F174" s="22" t="n"/>
      <c r="G174" s="22" t="n"/>
      <c r="H174" s="22" t="n"/>
      <c r="I174" s="23">
        <f>IF(COUNT(C174:H174)=0,"",SUM(C174:H174))</f>
        <v/>
      </c>
      <c r="J174" s="11">
        <f>$I$3</f>
        <v/>
      </c>
      <c r="K174" s="23">
        <f>IF(I174="","",I174-J174)</f>
        <v/>
      </c>
      <c r="L174" s="24">
        <f>IF(OR(I174="",N(J174)=0),"",K174/J174)</f>
        <v/>
      </c>
      <c r="M174" s="12" t="n"/>
    </row>
    <row r="175">
      <c r="A175" s="14" t="n">
        <v>46463</v>
      </c>
      <c r="B175" s="7">
        <f>CHOOSE(WEEKDAY(A175,2),"lundi","mardi","mercredi","jeudi","vendredi","samedi","dimanche")</f>
        <v/>
      </c>
      <c r="C175" s="22" t="n"/>
      <c r="D175" s="22" t="n"/>
      <c r="E175" s="22" t="n"/>
      <c r="F175" s="22" t="n"/>
      <c r="G175" s="22" t="n"/>
      <c r="H175" s="22" t="n"/>
      <c r="I175" s="23">
        <f>IF(COUNT(C175:H175)=0,"",SUM(C175:H175))</f>
        <v/>
      </c>
      <c r="J175" s="11">
        <f>$I$3</f>
        <v/>
      </c>
      <c r="K175" s="23">
        <f>IF(I175="","",I175-J175)</f>
        <v/>
      </c>
      <c r="L175" s="24">
        <f>IF(OR(I175="",N(J175)=0),"",K175/J175)</f>
        <v/>
      </c>
      <c r="M175" s="12" t="n"/>
    </row>
    <row r="176">
      <c r="A176" s="14" t="n">
        <v>46464</v>
      </c>
      <c r="B176" s="7">
        <f>CHOOSE(WEEKDAY(A176,2),"lundi","mardi","mercredi","jeudi","vendredi","samedi","dimanche")</f>
        <v/>
      </c>
      <c r="C176" s="22" t="n"/>
      <c r="D176" s="22" t="n"/>
      <c r="E176" s="22" t="n"/>
      <c r="F176" s="22" t="n"/>
      <c r="G176" s="22" t="n"/>
      <c r="H176" s="22" t="n"/>
      <c r="I176" s="23">
        <f>IF(COUNT(C176:H176)=0,"",SUM(C176:H176))</f>
        <v/>
      </c>
      <c r="J176" s="11">
        <f>$I$3</f>
        <v/>
      </c>
      <c r="K176" s="23">
        <f>IF(I176="","",I176-J176)</f>
        <v/>
      </c>
      <c r="L176" s="24">
        <f>IF(OR(I176="",N(J176)=0),"",K176/J176)</f>
        <v/>
      </c>
      <c r="M176" s="12" t="n"/>
    </row>
    <row r="177">
      <c r="A177" s="14" t="n">
        <v>46465</v>
      </c>
      <c r="B177" s="7">
        <f>CHOOSE(WEEKDAY(A177,2),"lundi","mardi","mercredi","jeudi","vendredi","samedi","dimanche")</f>
        <v/>
      </c>
      <c r="C177" s="22" t="n"/>
      <c r="D177" s="22" t="n"/>
      <c r="E177" s="22" t="n"/>
      <c r="F177" s="22" t="n"/>
      <c r="G177" s="22" t="n"/>
      <c r="H177" s="22" t="n"/>
      <c r="I177" s="23">
        <f>IF(COUNT(C177:H177)=0,"",SUM(C177:H177))</f>
        <v/>
      </c>
      <c r="J177" s="11">
        <f>$I$3</f>
        <v/>
      </c>
      <c r="K177" s="23">
        <f>IF(I177="","",I177-J177)</f>
        <v/>
      </c>
      <c r="L177" s="24">
        <f>IF(OR(I177="",N(J177)=0),"",K177/J177)</f>
        <v/>
      </c>
      <c r="M177" s="12" t="n"/>
    </row>
    <row r="178">
      <c r="A178" s="14" t="n">
        <v>46466</v>
      </c>
      <c r="B178" s="7">
        <f>CHOOSE(WEEKDAY(A178,2),"lundi","mardi","mercredi","jeudi","vendredi","samedi","dimanche")</f>
        <v/>
      </c>
      <c r="C178" s="22" t="n"/>
      <c r="D178" s="22" t="n"/>
      <c r="E178" s="22" t="n"/>
      <c r="F178" s="22" t="n"/>
      <c r="G178" s="22" t="n"/>
      <c r="H178" s="22" t="n"/>
      <c r="I178" s="23">
        <f>IF(COUNT(C178:H178)=0,"",SUM(C178:H178))</f>
        <v/>
      </c>
      <c r="J178" s="11">
        <f>$I$3</f>
        <v/>
      </c>
      <c r="K178" s="23">
        <f>IF(I178="","",I178-J178)</f>
        <v/>
      </c>
      <c r="L178" s="24">
        <f>IF(OR(I178="",N(J178)=0),"",K178/J178)</f>
        <v/>
      </c>
      <c r="M178" s="12" t="n"/>
    </row>
    <row r="179">
      <c r="A179" s="14" t="n">
        <v>46467</v>
      </c>
      <c r="B179" s="7">
        <f>CHOOSE(WEEKDAY(A179,2),"lundi","mardi","mercredi","jeudi","vendredi","samedi","dimanche")</f>
        <v/>
      </c>
      <c r="C179" s="22" t="n"/>
      <c r="D179" s="22" t="n"/>
      <c r="E179" s="22" t="n"/>
      <c r="F179" s="22" t="n"/>
      <c r="G179" s="22" t="n"/>
      <c r="H179" s="22" t="n"/>
      <c r="I179" s="23">
        <f>IF(COUNT(C179:H179)=0,"",SUM(C179:H179))</f>
        <v/>
      </c>
      <c r="J179" s="11">
        <f>$I$3</f>
        <v/>
      </c>
      <c r="K179" s="23">
        <f>IF(I179="","",I179-J179)</f>
        <v/>
      </c>
      <c r="L179" s="24">
        <f>IF(OR(I179="",N(J179)=0),"",K179/J179)</f>
        <v/>
      </c>
      <c r="M179" s="12" t="n"/>
    </row>
    <row r="180">
      <c r="A180" s="25" t="n">
        <v>46468</v>
      </c>
      <c r="B180" s="26">
        <f>CHOOSE(WEEKDAY(A180,2),"lundi","mardi","mercredi","jeudi","vendredi","samedi","dimanche")</f>
        <v/>
      </c>
      <c r="C180" s="22" t="n"/>
      <c r="D180" s="22" t="n"/>
      <c r="E180" s="22" t="n"/>
      <c r="F180" s="22" t="n"/>
      <c r="G180" s="22" t="n"/>
      <c r="H180" s="22" t="n"/>
      <c r="I180" s="23">
        <f>IF(COUNT(C180:H180)=0,"",SUM(C180:H180))</f>
        <v/>
      </c>
      <c r="J180" s="11">
        <f>$I$3</f>
        <v/>
      </c>
      <c r="K180" s="23">
        <f>IF(I180="","",I180-J180)</f>
        <v/>
      </c>
      <c r="L180" s="24">
        <f>IF(OR(I180="",N(J180)=0),"",K180/J180)</f>
        <v/>
      </c>
      <c r="M180" s="12" t="n"/>
    </row>
    <row r="181">
      <c r="A181" s="14" t="n">
        <v>46469</v>
      </c>
      <c r="B181" s="7">
        <f>CHOOSE(WEEKDAY(A181,2),"lundi","mardi","mercredi","jeudi","vendredi","samedi","dimanche")</f>
        <v/>
      </c>
      <c r="C181" s="22" t="n"/>
      <c r="D181" s="22" t="n"/>
      <c r="E181" s="22" t="n"/>
      <c r="F181" s="22" t="n"/>
      <c r="G181" s="22" t="n"/>
      <c r="H181" s="22" t="n"/>
      <c r="I181" s="23">
        <f>IF(COUNT(C181:H181)=0,"",SUM(C181:H181))</f>
        <v/>
      </c>
      <c r="J181" s="11">
        <f>$I$3</f>
        <v/>
      </c>
      <c r="K181" s="23">
        <f>IF(I181="","",I181-J181)</f>
        <v/>
      </c>
      <c r="L181" s="24">
        <f>IF(OR(I181="",N(J181)=0),"",K181/J181)</f>
        <v/>
      </c>
      <c r="M181" s="12" t="n"/>
    </row>
    <row r="182">
      <c r="A182" s="14" t="n">
        <v>46470</v>
      </c>
      <c r="B182" s="7">
        <f>CHOOSE(WEEKDAY(A182,2),"lundi","mardi","mercredi","jeudi","vendredi","samedi","dimanche")</f>
        <v/>
      </c>
      <c r="C182" s="22" t="n"/>
      <c r="D182" s="22" t="n"/>
      <c r="E182" s="22" t="n"/>
      <c r="F182" s="22" t="n"/>
      <c r="G182" s="22" t="n"/>
      <c r="H182" s="22" t="n"/>
      <c r="I182" s="23">
        <f>IF(COUNT(C182:H182)=0,"",SUM(C182:H182))</f>
        <v/>
      </c>
      <c r="J182" s="11">
        <f>$I$3</f>
        <v/>
      </c>
      <c r="K182" s="23">
        <f>IF(I182="","",I182-J182)</f>
        <v/>
      </c>
      <c r="L182" s="24">
        <f>IF(OR(I182="",N(J182)=0),"",K182/J182)</f>
        <v/>
      </c>
      <c r="M182" s="12" t="n"/>
    </row>
    <row r="183">
      <c r="A183" s="14" t="n">
        <v>46471</v>
      </c>
      <c r="B183" s="7">
        <f>CHOOSE(WEEKDAY(A183,2),"lundi","mardi","mercredi","jeudi","vendredi","samedi","dimanche")</f>
        <v/>
      </c>
      <c r="C183" s="22" t="n"/>
      <c r="D183" s="22" t="n"/>
      <c r="E183" s="22" t="n"/>
      <c r="F183" s="22" t="n"/>
      <c r="G183" s="22" t="n"/>
      <c r="H183" s="22" t="n"/>
      <c r="I183" s="23">
        <f>IF(COUNT(C183:H183)=0,"",SUM(C183:H183))</f>
        <v/>
      </c>
      <c r="J183" s="11">
        <f>$I$3</f>
        <v/>
      </c>
      <c r="K183" s="23">
        <f>IF(I183="","",I183-J183)</f>
        <v/>
      </c>
      <c r="L183" s="24">
        <f>IF(OR(I183="",N(J183)=0),"",K183/J183)</f>
        <v/>
      </c>
      <c r="M183" s="12" t="n"/>
    </row>
    <row r="184">
      <c r="A184" s="14" t="n">
        <v>46472</v>
      </c>
      <c r="B184" s="7">
        <f>CHOOSE(WEEKDAY(A184,2),"lundi","mardi","mercredi","jeudi","vendredi","samedi","dimanche")</f>
        <v/>
      </c>
      <c r="C184" s="22" t="n"/>
      <c r="D184" s="22" t="n"/>
      <c r="E184" s="22" t="n"/>
      <c r="F184" s="22" t="n"/>
      <c r="G184" s="22" t="n"/>
      <c r="H184" s="22" t="n"/>
      <c r="I184" s="23">
        <f>IF(COUNT(C184:H184)=0,"",SUM(C184:H184))</f>
        <v/>
      </c>
      <c r="J184" s="11">
        <f>$I$3</f>
        <v/>
      </c>
      <c r="K184" s="23">
        <f>IF(I184="","",I184-J184)</f>
        <v/>
      </c>
      <c r="L184" s="24">
        <f>IF(OR(I184="",N(J184)=0),"",K184/J184)</f>
        <v/>
      </c>
      <c r="M184" s="12" t="n"/>
    </row>
    <row r="185">
      <c r="A185" s="14" t="n">
        <v>46473</v>
      </c>
      <c r="B185" s="7">
        <f>CHOOSE(WEEKDAY(A185,2),"lundi","mardi","mercredi","jeudi","vendredi","samedi","dimanche")</f>
        <v/>
      </c>
      <c r="C185" s="22" t="n"/>
      <c r="D185" s="22" t="n"/>
      <c r="E185" s="22" t="n"/>
      <c r="F185" s="22" t="n"/>
      <c r="G185" s="22" t="n"/>
      <c r="H185" s="22" t="n"/>
      <c r="I185" s="23">
        <f>IF(COUNT(C185:H185)=0,"",SUM(C185:H185))</f>
        <v/>
      </c>
      <c r="J185" s="11">
        <f>$I$3</f>
        <v/>
      </c>
      <c r="K185" s="23">
        <f>IF(I185="","",I185-J185)</f>
        <v/>
      </c>
      <c r="L185" s="24">
        <f>IF(OR(I185="",N(J185)=0),"",K185/J185)</f>
        <v/>
      </c>
      <c r="M185" s="12" t="n"/>
    </row>
    <row r="186">
      <c r="A186" s="14" t="n">
        <v>46474</v>
      </c>
      <c r="B186" s="7">
        <f>CHOOSE(WEEKDAY(A186,2),"lundi","mardi","mercredi","jeudi","vendredi","samedi","dimanche")</f>
        <v/>
      </c>
      <c r="C186" s="22" t="n"/>
      <c r="D186" s="22" t="n"/>
      <c r="E186" s="22" t="n"/>
      <c r="F186" s="22" t="n"/>
      <c r="G186" s="22" t="n"/>
      <c r="H186" s="22" t="n"/>
      <c r="I186" s="23">
        <f>IF(COUNT(C186:H186)=0,"",SUM(C186:H186))</f>
        <v/>
      </c>
      <c r="J186" s="11">
        <f>$I$3</f>
        <v/>
      </c>
      <c r="K186" s="23">
        <f>IF(I186="","",I186-J186)</f>
        <v/>
      </c>
      <c r="L186" s="24">
        <f>IF(OR(I186="",N(J186)=0),"",K186/J186)</f>
        <v/>
      </c>
      <c r="M186" s="12" t="n"/>
    </row>
    <row r="187">
      <c r="A187" s="25" t="n">
        <v>46475</v>
      </c>
      <c r="B187" s="26">
        <f>CHOOSE(WEEKDAY(A187,2),"lundi","mardi","mercredi","jeudi","vendredi","samedi","dimanche")</f>
        <v/>
      </c>
      <c r="C187" s="22" t="n"/>
      <c r="D187" s="22" t="n"/>
      <c r="E187" s="22" t="n"/>
      <c r="F187" s="22" t="n"/>
      <c r="G187" s="22" t="n"/>
      <c r="H187" s="22" t="n"/>
      <c r="I187" s="23">
        <f>IF(COUNT(C187:H187)=0,"",SUM(C187:H187))</f>
        <v/>
      </c>
      <c r="J187" s="11">
        <f>$I$3</f>
        <v/>
      </c>
      <c r="K187" s="23">
        <f>IF(I187="","",I187-J187)</f>
        <v/>
      </c>
      <c r="L187" s="24">
        <f>IF(OR(I187="",N(J187)=0),"",K187/J187)</f>
        <v/>
      </c>
      <c r="M187" s="12" t="n"/>
    </row>
    <row r="188">
      <c r="A188" s="14" t="n">
        <v>46476</v>
      </c>
      <c r="B188" s="7">
        <f>CHOOSE(WEEKDAY(A188,2),"lundi","mardi","mercredi","jeudi","vendredi","samedi","dimanche")</f>
        <v/>
      </c>
      <c r="C188" s="22" t="n"/>
      <c r="D188" s="22" t="n"/>
      <c r="E188" s="22" t="n"/>
      <c r="F188" s="22" t="n"/>
      <c r="G188" s="22" t="n"/>
      <c r="H188" s="22" t="n"/>
      <c r="I188" s="23">
        <f>IF(COUNT(C188:H188)=0,"",SUM(C188:H188))</f>
        <v/>
      </c>
      <c r="J188" s="11">
        <f>$I$3</f>
        <v/>
      </c>
      <c r="K188" s="23">
        <f>IF(I188="","",I188-J188)</f>
        <v/>
      </c>
      <c r="L188" s="24">
        <f>IF(OR(I188="",N(J188)=0),"",K188/J188)</f>
        <v/>
      </c>
      <c r="M188" s="12" t="n"/>
    </row>
    <row r="189">
      <c r="A189" s="14" t="n">
        <v>46477</v>
      </c>
      <c r="B189" s="7">
        <f>CHOOSE(WEEKDAY(A189,2),"lundi","mardi","mercredi","jeudi","vendredi","samedi","dimanche")</f>
        <v/>
      </c>
      <c r="C189" s="22" t="n"/>
      <c r="D189" s="22" t="n"/>
      <c r="E189" s="22" t="n"/>
      <c r="F189" s="22" t="n"/>
      <c r="G189" s="22" t="n"/>
      <c r="H189" s="22" t="n"/>
      <c r="I189" s="23">
        <f>IF(COUNT(C189:H189)=0,"",SUM(C189:H189))</f>
        <v/>
      </c>
      <c r="J189" s="11">
        <f>$I$3</f>
        <v/>
      </c>
      <c r="K189" s="23">
        <f>IF(I189="","",I189-J189)</f>
        <v/>
      </c>
      <c r="L189" s="24">
        <f>IF(OR(I189="",N(J189)=0),"",K189/J189)</f>
        <v/>
      </c>
      <c r="M189" s="12" t="n"/>
    </row>
    <row r="190">
      <c r="A190" s="14" t="n">
        <v>46478</v>
      </c>
      <c r="B190" s="7">
        <f>CHOOSE(WEEKDAY(A190,2),"lundi","mardi","mercredi","jeudi","vendredi","samedi","dimanche")</f>
        <v/>
      </c>
      <c r="C190" s="22" t="n"/>
      <c r="D190" s="22" t="n"/>
      <c r="E190" s="22" t="n"/>
      <c r="F190" s="22" t="n"/>
      <c r="G190" s="22" t="n"/>
      <c r="H190" s="22" t="n"/>
      <c r="I190" s="23">
        <f>IF(COUNT(C190:H190)=0,"",SUM(C190:H190))</f>
        <v/>
      </c>
      <c r="J190" s="11">
        <f>$I$3</f>
        <v/>
      </c>
      <c r="K190" s="23">
        <f>IF(I190="","",I190-J190)</f>
        <v/>
      </c>
      <c r="L190" s="24">
        <f>IF(OR(I190="",N(J190)=0),"",K190/J190)</f>
        <v/>
      </c>
      <c r="M190" s="12" t="n"/>
    </row>
    <row r="191">
      <c r="A191" s="14" t="n">
        <v>46479</v>
      </c>
      <c r="B191" s="7">
        <f>CHOOSE(WEEKDAY(A191,2),"lundi","mardi","mercredi","jeudi","vendredi","samedi","dimanche")</f>
        <v/>
      </c>
      <c r="C191" s="22" t="n"/>
      <c r="D191" s="22" t="n"/>
      <c r="E191" s="22" t="n"/>
      <c r="F191" s="22" t="n"/>
      <c r="G191" s="22" t="n"/>
      <c r="H191" s="22" t="n"/>
      <c r="I191" s="23">
        <f>IF(COUNT(C191:H191)=0,"",SUM(C191:H191))</f>
        <v/>
      </c>
      <c r="J191" s="11">
        <f>$I$3</f>
        <v/>
      </c>
      <c r="K191" s="23">
        <f>IF(I191="","",I191-J191)</f>
        <v/>
      </c>
      <c r="L191" s="24">
        <f>IF(OR(I191="",N(J191)=0),"",K191/J191)</f>
        <v/>
      </c>
      <c r="M191" s="12" t="n"/>
    </row>
    <row r="192">
      <c r="A192" s="14" t="n">
        <v>46480</v>
      </c>
      <c r="B192" s="7">
        <f>CHOOSE(WEEKDAY(A192,2),"lundi","mardi","mercredi","jeudi","vendredi","samedi","dimanche")</f>
        <v/>
      </c>
      <c r="C192" s="22" t="n"/>
      <c r="D192" s="22" t="n"/>
      <c r="E192" s="22" t="n"/>
      <c r="F192" s="22" t="n"/>
      <c r="G192" s="22" t="n"/>
      <c r="H192" s="22" t="n"/>
      <c r="I192" s="23">
        <f>IF(COUNT(C192:H192)=0,"",SUM(C192:H192))</f>
        <v/>
      </c>
      <c r="J192" s="11">
        <f>$I$3</f>
        <v/>
      </c>
      <c r="K192" s="23">
        <f>IF(I192="","",I192-J192)</f>
        <v/>
      </c>
      <c r="L192" s="24">
        <f>IF(OR(I192="",N(J192)=0),"",K192/J192)</f>
        <v/>
      </c>
      <c r="M192" s="12" t="n"/>
    </row>
    <row r="193">
      <c r="A193" s="14" t="n">
        <v>46481</v>
      </c>
      <c r="B193" s="7">
        <f>CHOOSE(WEEKDAY(A193,2),"lundi","mardi","mercredi","jeudi","vendredi","samedi","dimanche")</f>
        <v/>
      </c>
      <c r="C193" s="22" t="n"/>
      <c r="D193" s="22" t="n"/>
      <c r="E193" s="22" t="n"/>
      <c r="F193" s="22" t="n"/>
      <c r="G193" s="22" t="n"/>
      <c r="H193" s="22" t="n"/>
      <c r="I193" s="23">
        <f>IF(COUNT(C193:H193)=0,"",SUM(C193:H193))</f>
        <v/>
      </c>
      <c r="J193" s="11">
        <f>$I$3</f>
        <v/>
      </c>
      <c r="K193" s="23">
        <f>IF(I193="","",I193-J193)</f>
        <v/>
      </c>
      <c r="L193" s="24">
        <f>IF(OR(I193="",N(J193)=0),"",K193/J193)</f>
        <v/>
      </c>
      <c r="M193" s="12" t="n"/>
    </row>
    <row r="194">
      <c r="A194" s="25" t="n">
        <v>46482</v>
      </c>
      <c r="B194" s="26">
        <f>CHOOSE(WEEKDAY(A194,2),"lundi","mardi","mercredi","jeudi","vendredi","samedi","dimanche")</f>
        <v/>
      </c>
      <c r="C194" s="22" t="n"/>
      <c r="D194" s="22" t="n"/>
      <c r="E194" s="22" t="n"/>
      <c r="F194" s="22" t="n"/>
      <c r="G194" s="22" t="n"/>
      <c r="H194" s="22" t="n"/>
      <c r="I194" s="23">
        <f>IF(COUNT(C194:H194)=0,"",SUM(C194:H194))</f>
        <v/>
      </c>
      <c r="J194" s="11">
        <f>$I$3</f>
        <v/>
      </c>
      <c r="K194" s="23">
        <f>IF(I194="","",I194-J194)</f>
        <v/>
      </c>
      <c r="L194" s="24">
        <f>IF(OR(I194="",N(J194)=0),"",K194/J194)</f>
        <v/>
      </c>
      <c r="M194" s="12" t="n"/>
    </row>
    <row r="195">
      <c r="A195" s="14" t="n">
        <v>46483</v>
      </c>
      <c r="B195" s="7">
        <f>CHOOSE(WEEKDAY(A195,2),"lundi","mardi","mercredi","jeudi","vendredi","samedi","dimanche")</f>
        <v/>
      </c>
      <c r="C195" s="22" t="n"/>
      <c r="D195" s="22" t="n"/>
      <c r="E195" s="22" t="n"/>
      <c r="F195" s="22" t="n"/>
      <c r="G195" s="22" t="n"/>
      <c r="H195" s="22" t="n"/>
      <c r="I195" s="23">
        <f>IF(COUNT(C195:H195)=0,"",SUM(C195:H195))</f>
        <v/>
      </c>
      <c r="J195" s="11">
        <f>$I$3</f>
        <v/>
      </c>
      <c r="K195" s="23">
        <f>IF(I195="","",I195-J195)</f>
        <v/>
      </c>
      <c r="L195" s="24">
        <f>IF(OR(I195="",N(J195)=0),"",K195/J195)</f>
        <v/>
      </c>
      <c r="M195" s="12" t="n"/>
    </row>
    <row r="196">
      <c r="A196" s="14" t="n">
        <v>46484</v>
      </c>
      <c r="B196" s="7">
        <f>CHOOSE(WEEKDAY(A196,2),"lundi","mardi","mercredi","jeudi","vendredi","samedi","dimanche")</f>
        <v/>
      </c>
      <c r="C196" s="22" t="n"/>
      <c r="D196" s="22" t="n"/>
      <c r="E196" s="22" t="n"/>
      <c r="F196" s="22" t="n"/>
      <c r="G196" s="22" t="n"/>
      <c r="H196" s="22" t="n"/>
      <c r="I196" s="23">
        <f>IF(COUNT(C196:H196)=0,"",SUM(C196:H196))</f>
        <v/>
      </c>
      <c r="J196" s="11">
        <f>$I$3</f>
        <v/>
      </c>
      <c r="K196" s="23">
        <f>IF(I196="","",I196-J196)</f>
        <v/>
      </c>
      <c r="L196" s="24">
        <f>IF(OR(I196="",N(J196)=0),"",K196/J196)</f>
        <v/>
      </c>
      <c r="M196" s="12" t="n"/>
    </row>
    <row r="197">
      <c r="A197" s="14" t="n">
        <v>46485</v>
      </c>
      <c r="B197" s="7">
        <f>CHOOSE(WEEKDAY(A197,2),"lundi","mardi","mercredi","jeudi","vendredi","samedi","dimanche")</f>
        <v/>
      </c>
      <c r="C197" s="22" t="n"/>
      <c r="D197" s="22" t="n"/>
      <c r="E197" s="22" t="n"/>
      <c r="F197" s="22" t="n"/>
      <c r="G197" s="22" t="n"/>
      <c r="H197" s="22" t="n"/>
      <c r="I197" s="23">
        <f>IF(COUNT(C197:H197)=0,"",SUM(C197:H197))</f>
        <v/>
      </c>
      <c r="J197" s="11">
        <f>$I$3</f>
        <v/>
      </c>
      <c r="K197" s="23">
        <f>IF(I197="","",I197-J197)</f>
        <v/>
      </c>
      <c r="L197" s="24">
        <f>IF(OR(I197="",N(J197)=0),"",K197/J197)</f>
        <v/>
      </c>
      <c r="M197" s="12" t="n"/>
    </row>
    <row r="198">
      <c r="A198" s="14" t="n">
        <v>46486</v>
      </c>
      <c r="B198" s="7">
        <f>CHOOSE(WEEKDAY(A198,2),"lundi","mardi","mercredi","jeudi","vendredi","samedi","dimanche")</f>
        <v/>
      </c>
      <c r="C198" s="22" t="n"/>
      <c r="D198" s="22" t="n"/>
      <c r="E198" s="22" t="n"/>
      <c r="F198" s="22" t="n"/>
      <c r="G198" s="22" t="n"/>
      <c r="H198" s="22" t="n"/>
      <c r="I198" s="23">
        <f>IF(COUNT(C198:H198)=0,"",SUM(C198:H198))</f>
        <v/>
      </c>
      <c r="J198" s="11">
        <f>$I$3</f>
        <v/>
      </c>
      <c r="K198" s="23">
        <f>IF(I198="","",I198-J198)</f>
        <v/>
      </c>
      <c r="L198" s="24">
        <f>IF(OR(I198="",N(J198)=0),"",K198/J198)</f>
        <v/>
      </c>
      <c r="M198" s="12" t="n"/>
    </row>
    <row r="199">
      <c r="A199" s="14" t="n">
        <v>46487</v>
      </c>
      <c r="B199" s="7">
        <f>CHOOSE(WEEKDAY(A199,2),"lundi","mardi","mercredi","jeudi","vendredi","samedi","dimanche")</f>
        <v/>
      </c>
      <c r="C199" s="22" t="n"/>
      <c r="D199" s="22" t="n"/>
      <c r="E199" s="22" t="n"/>
      <c r="F199" s="22" t="n"/>
      <c r="G199" s="22" t="n"/>
      <c r="H199" s="22" t="n"/>
      <c r="I199" s="23">
        <f>IF(COUNT(C199:H199)=0,"",SUM(C199:H199))</f>
        <v/>
      </c>
      <c r="J199" s="11">
        <f>$I$3</f>
        <v/>
      </c>
      <c r="K199" s="23">
        <f>IF(I199="","",I199-J199)</f>
        <v/>
      </c>
      <c r="L199" s="24">
        <f>IF(OR(I199="",N(J199)=0),"",K199/J199)</f>
        <v/>
      </c>
      <c r="M199" s="12" t="n"/>
    </row>
    <row r="200">
      <c r="A200" s="14" t="n">
        <v>46488</v>
      </c>
      <c r="B200" s="7">
        <f>CHOOSE(WEEKDAY(A200,2),"lundi","mardi","mercredi","jeudi","vendredi","samedi","dimanche")</f>
        <v/>
      </c>
      <c r="C200" s="22" t="n"/>
      <c r="D200" s="22" t="n"/>
      <c r="E200" s="22" t="n"/>
      <c r="F200" s="22" t="n"/>
      <c r="G200" s="22" t="n"/>
      <c r="H200" s="22" t="n"/>
      <c r="I200" s="23">
        <f>IF(COUNT(C200:H200)=0,"",SUM(C200:H200))</f>
        <v/>
      </c>
      <c r="J200" s="11">
        <f>$I$3</f>
        <v/>
      </c>
      <c r="K200" s="23">
        <f>IF(I200="","",I200-J200)</f>
        <v/>
      </c>
      <c r="L200" s="24">
        <f>IF(OR(I200="",N(J200)=0),"",K200/J200)</f>
        <v/>
      </c>
      <c r="M200" s="12" t="n"/>
    </row>
    <row r="201">
      <c r="A201" s="25" t="n">
        <v>46489</v>
      </c>
      <c r="B201" s="26">
        <f>CHOOSE(WEEKDAY(A201,2),"lundi","mardi","mercredi","jeudi","vendredi","samedi","dimanche")</f>
        <v/>
      </c>
      <c r="C201" s="22" t="n"/>
      <c r="D201" s="22" t="n"/>
      <c r="E201" s="22" t="n"/>
      <c r="F201" s="22" t="n"/>
      <c r="G201" s="22" t="n"/>
      <c r="H201" s="22" t="n"/>
      <c r="I201" s="23">
        <f>IF(COUNT(C201:H201)=0,"",SUM(C201:H201))</f>
        <v/>
      </c>
      <c r="J201" s="11">
        <f>$I$3</f>
        <v/>
      </c>
      <c r="K201" s="23">
        <f>IF(I201="","",I201-J201)</f>
        <v/>
      </c>
      <c r="L201" s="24">
        <f>IF(OR(I201="",N(J201)=0),"",K201/J201)</f>
        <v/>
      </c>
      <c r="M201" s="12" t="n"/>
    </row>
    <row r="202">
      <c r="A202" s="14" t="n">
        <v>46490</v>
      </c>
      <c r="B202" s="7">
        <f>CHOOSE(WEEKDAY(A202,2),"lundi","mardi","mercredi","jeudi","vendredi","samedi","dimanche")</f>
        <v/>
      </c>
      <c r="C202" s="22" t="n"/>
      <c r="D202" s="22" t="n"/>
      <c r="E202" s="22" t="n"/>
      <c r="F202" s="22" t="n"/>
      <c r="G202" s="22" t="n"/>
      <c r="H202" s="22" t="n"/>
      <c r="I202" s="23">
        <f>IF(COUNT(C202:H202)=0,"",SUM(C202:H202))</f>
        <v/>
      </c>
      <c r="J202" s="11">
        <f>$I$3</f>
        <v/>
      </c>
      <c r="K202" s="23">
        <f>IF(I202="","",I202-J202)</f>
        <v/>
      </c>
      <c r="L202" s="24">
        <f>IF(OR(I202="",N(J202)=0),"",K202/J202)</f>
        <v/>
      </c>
      <c r="M202" s="12" t="n"/>
    </row>
    <row r="203">
      <c r="A203" s="14" t="n">
        <v>46491</v>
      </c>
      <c r="B203" s="7">
        <f>CHOOSE(WEEKDAY(A203,2),"lundi","mardi","mercredi","jeudi","vendredi","samedi","dimanche")</f>
        <v/>
      </c>
      <c r="C203" s="22" t="n"/>
      <c r="D203" s="22" t="n"/>
      <c r="E203" s="22" t="n"/>
      <c r="F203" s="22" t="n"/>
      <c r="G203" s="22" t="n"/>
      <c r="H203" s="22" t="n"/>
      <c r="I203" s="23">
        <f>IF(COUNT(C203:H203)=0,"",SUM(C203:H203))</f>
        <v/>
      </c>
      <c r="J203" s="11">
        <f>$I$3</f>
        <v/>
      </c>
      <c r="K203" s="23">
        <f>IF(I203="","",I203-J203)</f>
        <v/>
      </c>
      <c r="L203" s="24">
        <f>IF(OR(I203="",N(J203)=0),"",K203/J203)</f>
        <v/>
      </c>
      <c r="M203" s="12" t="n"/>
    </row>
    <row r="204">
      <c r="A204" s="14" t="n">
        <v>46492</v>
      </c>
      <c r="B204" s="7">
        <f>CHOOSE(WEEKDAY(A204,2),"lundi","mardi","mercredi","jeudi","vendredi","samedi","dimanche")</f>
        <v/>
      </c>
      <c r="C204" s="22" t="n"/>
      <c r="D204" s="22" t="n"/>
      <c r="E204" s="22" t="n"/>
      <c r="F204" s="22" t="n"/>
      <c r="G204" s="22" t="n"/>
      <c r="H204" s="22" t="n"/>
      <c r="I204" s="23">
        <f>IF(COUNT(C204:H204)=0,"",SUM(C204:H204))</f>
        <v/>
      </c>
      <c r="J204" s="11">
        <f>$I$3</f>
        <v/>
      </c>
      <c r="K204" s="23">
        <f>IF(I204="","",I204-J204)</f>
        <v/>
      </c>
      <c r="L204" s="24">
        <f>IF(OR(I204="",N(J204)=0),"",K204/J204)</f>
        <v/>
      </c>
      <c r="M204" s="12" t="n"/>
    </row>
    <row r="205">
      <c r="A205" s="14" t="n">
        <v>46493</v>
      </c>
      <c r="B205" s="7">
        <f>CHOOSE(WEEKDAY(A205,2),"lundi","mardi","mercredi","jeudi","vendredi","samedi","dimanche")</f>
        <v/>
      </c>
      <c r="C205" s="22" t="n"/>
      <c r="D205" s="22" t="n"/>
      <c r="E205" s="22" t="n"/>
      <c r="F205" s="22" t="n"/>
      <c r="G205" s="22" t="n"/>
      <c r="H205" s="22" t="n"/>
      <c r="I205" s="23">
        <f>IF(COUNT(C205:H205)=0,"",SUM(C205:H205))</f>
        <v/>
      </c>
      <c r="J205" s="11">
        <f>$I$3</f>
        <v/>
      </c>
      <c r="K205" s="23">
        <f>IF(I205="","",I205-J205)</f>
        <v/>
      </c>
      <c r="L205" s="24">
        <f>IF(OR(I205="",N(J205)=0),"",K205/J205)</f>
        <v/>
      </c>
      <c r="M205" s="12" t="n"/>
    </row>
    <row r="206">
      <c r="A206" s="14" t="n">
        <v>46494</v>
      </c>
      <c r="B206" s="7">
        <f>CHOOSE(WEEKDAY(A206,2),"lundi","mardi","mercredi","jeudi","vendredi","samedi","dimanche")</f>
        <v/>
      </c>
      <c r="C206" s="22" t="n"/>
      <c r="D206" s="22" t="n"/>
      <c r="E206" s="22" t="n"/>
      <c r="F206" s="22" t="n"/>
      <c r="G206" s="22" t="n"/>
      <c r="H206" s="22" t="n"/>
      <c r="I206" s="23">
        <f>IF(COUNT(C206:H206)=0,"",SUM(C206:H206))</f>
        <v/>
      </c>
      <c r="J206" s="11">
        <f>$I$3</f>
        <v/>
      </c>
      <c r="K206" s="23">
        <f>IF(I206="","",I206-J206)</f>
        <v/>
      </c>
      <c r="L206" s="24">
        <f>IF(OR(I206="",N(J206)=0),"",K206/J206)</f>
        <v/>
      </c>
      <c r="M206" s="12" t="n"/>
    </row>
    <row r="207">
      <c r="A207" s="14" t="n">
        <v>46495</v>
      </c>
      <c r="B207" s="7">
        <f>CHOOSE(WEEKDAY(A207,2),"lundi","mardi","mercredi","jeudi","vendredi","samedi","dimanche")</f>
        <v/>
      </c>
      <c r="C207" s="22" t="n"/>
      <c r="D207" s="22" t="n"/>
      <c r="E207" s="22" t="n"/>
      <c r="F207" s="22" t="n"/>
      <c r="G207" s="22" t="n"/>
      <c r="H207" s="22" t="n"/>
      <c r="I207" s="23">
        <f>IF(COUNT(C207:H207)=0,"",SUM(C207:H207))</f>
        <v/>
      </c>
      <c r="J207" s="11">
        <f>$I$3</f>
        <v/>
      </c>
      <c r="K207" s="23">
        <f>IF(I207="","",I207-J207)</f>
        <v/>
      </c>
      <c r="L207" s="24">
        <f>IF(OR(I207="",N(J207)=0),"",K207/J207)</f>
        <v/>
      </c>
      <c r="M207" s="12" t="n"/>
    </row>
    <row r="208">
      <c r="A208" s="25" t="n">
        <v>46496</v>
      </c>
      <c r="B208" s="26">
        <f>CHOOSE(WEEKDAY(A208,2),"lundi","mardi","mercredi","jeudi","vendredi","samedi","dimanche")</f>
        <v/>
      </c>
      <c r="C208" s="22" t="n"/>
      <c r="D208" s="22" t="n"/>
      <c r="E208" s="22" t="n"/>
      <c r="F208" s="22" t="n"/>
      <c r="G208" s="22" t="n"/>
      <c r="H208" s="22" t="n"/>
      <c r="I208" s="23">
        <f>IF(COUNT(C208:H208)=0,"",SUM(C208:H208))</f>
        <v/>
      </c>
      <c r="J208" s="11">
        <f>$I$3</f>
        <v/>
      </c>
      <c r="K208" s="23">
        <f>IF(I208="","",I208-J208)</f>
        <v/>
      </c>
      <c r="L208" s="24">
        <f>IF(OR(I208="",N(J208)=0),"",K208/J208)</f>
        <v/>
      </c>
      <c r="M208" s="12" t="n"/>
    </row>
    <row r="209">
      <c r="A209" s="14" t="n">
        <v>46497</v>
      </c>
      <c r="B209" s="7">
        <f>CHOOSE(WEEKDAY(A209,2),"lundi","mardi","mercredi","jeudi","vendredi","samedi","dimanche")</f>
        <v/>
      </c>
      <c r="C209" s="22" t="n"/>
      <c r="D209" s="22" t="n"/>
      <c r="E209" s="22" t="n"/>
      <c r="F209" s="22" t="n"/>
      <c r="G209" s="22" t="n"/>
      <c r="H209" s="22" t="n"/>
      <c r="I209" s="23">
        <f>IF(COUNT(C209:H209)=0,"",SUM(C209:H209))</f>
        <v/>
      </c>
      <c r="J209" s="11">
        <f>$I$3</f>
        <v/>
      </c>
      <c r="K209" s="23">
        <f>IF(I209="","",I209-J209)</f>
        <v/>
      </c>
      <c r="L209" s="24">
        <f>IF(OR(I209="",N(J209)=0),"",K209/J209)</f>
        <v/>
      </c>
      <c r="M209" s="12" t="n"/>
    </row>
    <row r="210">
      <c r="A210" s="14" t="n">
        <v>46498</v>
      </c>
      <c r="B210" s="7">
        <f>CHOOSE(WEEKDAY(A210,2),"lundi","mardi","mercredi","jeudi","vendredi","samedi","dimanche")</f>
        <v/>
      </c>
      <c r="C210" s="22" t="n"/>
      <c r="D210" s="22" t="n"/>
      <c r="E210" s="22" t="n"/>
      <c r="F210" s="22" t="n"/>
      <c r="G210" s="22" t="n"/>
      <c r="H210" s="22" t="n"/>
      <c r="I210" s="23">
        <f>IF(COUNT(C210:H210)=0,"",SUM(C210:H210))</f>
        <v/>
      </c>
      <c r="J210" s="11">
        <f>$I$3</f>
        <v/>
      </c>
      <c r="K210" s="23">
        <f>IF(I210="","",I210-J210)</f>
        <v/>
      </c>
      <c r="L210" s="24">
        <f>IF(OR(I210="",N(J210)=0),"",K210/J210)</f>
        <v/>
      </c>
      <c r="M210" s="12" t="n"/>
    </row>
    <row r="211">
      <c r="A211" s="14" t="n">
        <v>46499</v>
      </c>
      <c r="B211" s="7">
        <f>CHOOSE(WEEKDAY(A211,2),"lundi","mardi","mercredi","jeudi","vendredi","samedi","dimanche")</f>
        <v/>
      </c>
      <c r="C211" s="22" t="n"/>
      <c r="D211" s="22" t="n"/>
      <c r="E211" s="22" t="n"/>
      <c r="F211" s="22" t="n"/>
      <c r="G211" s="22" t="n"/>
      <c r="H211" s="22" t="n"/>
      <c r="I211" s="23">
        <f>IF(COUNT(C211:H211)=0,"",SUM(C211:H211))</f>
        <v/>
      </c>
      <c r="J211" s="11">
        <f>$I$3</f>
        <v/>
      </c>
      <c r="K211" s="23">
        <f>IF(I211="","",I211-J211)</f>
        <v/>
      </c>
      <c r="L211" s="24">
        <f>IF(OR(I211="",N(J211)=0),"",K211/J211)</f>
        <v/>
      </c>
      <c r="M211" s="12" t="n"/>
    </row>
    <row r="212">
      <c r="A212" s="14" t="n">
        <v>46500</v>
      </c>
      <c r="B212" s="7">
        <f>CHOOSE(WEEKDAY(A212,2),"lundi","mardi","mercredi","jeudi","vendredi","samedi","dimanche")</f>
        <v/>
      </c>
      <c r="C212" s="22" t="n"/>
      <c r="D212" s="22" t="n"/>
      <c r="E212" s="22" t="n"/>
      <c r="F212" s="22" t="n"/>
      <c r="G212" s="22" t="n"/>
      <c r="H212" s="22" t="n"/>
      <c r="I212" s="23">
        <f>IF(COUNT(C212:H212)=0,"",SUM(C212:H212))</f>
        <v/>
      </c>
      <c r="J212" s="11">
        <f>$I$3</f>
        <v/>
      </c>
      <c r="K212" s="23">
        <f>IF(I212="","",I212-J212)</f>
        <v/>
      </c>
      <c r="L212" s="24">
        <f>IF(OR(I212="",N(J212)=0),"",K212/J212)</f>
        <v/>
      </c>
      <c r="M212" s="12" t="n"/>
    </row>
    <row r="213">
      <c r="A213" s="14" t="n">
        <v>46501</v>
      </c>
      <c r="B213" s="7">
        <f>CHOOSE(WEEKDAY(A213,2),"lundi","mardi","mercredi","jeudi","vendredi","samedi","dimanche")</f>
        <v/>
      </c>
      <c r="C213" s="22" t="n"/>
      <c r="D213" s="22" t="n"/>
      <c r="E213" s="22" t="n"/>
      <c r="F213" s="22" t="n"/>
      <c r="G213" s="22" t="n"/>
      <c r="H213" s="22" t="n"/>
      <c r="I213" s="23">
        <f>IF(COUNT(C213:H213)=0,"",SUM(C213:H213))</f>
        <v/>
      </c>
      <c r="J213" s="11">
        <f>$I$3</f>
        <v/>
      </c>
      <c r="K213" s="23">
        <f>IF(I213="","",I213-J213)</f>
        <v/>
      </c>
      <c r="L213" s="24">
        <f>IF(OR(I213="",N(J213)=0),"",K213/J213)</f>
        <v/>
      </c>
      <c r="M213" s="12" t="n"/>
    </row>
    <row r="214">
      <c r="A214" s="14" t="n">
        <v>46502</v>
      </c>
      <c r="B214" s="7">
        <f>CHOOSE(WEEKDAY(A214,2),"lundi","mardi","mercredi","jeudi","vendredi","samedi","dimanche")</f>
        <v/>
      </c>
      <c r="C214" s="22" t="n"/>
      <c r="D214" s="22" t="n"/>
      <c r="E214" s="22" t="n"/>
      <c r="F214" s="22" t="n"/>
      <c r="G214" s="22" t="n"/>
      <c r="H214" s="22" t="n"/>
      <c r="I214" s="23">
        <f>IF(COUNT(C214:H214)=0,"",SUM(C214:H214))</f>
        <v/>
      </c>
      <c r="J214" s="11">
        <f>$I$3</f>
        <v/>
      </c>
      <c r="K214" s="23">
        <f>IF(I214="","",I214-J214)</f>
        <v/>
      </c>
      <c r="L214" s="24">
        <f>IF(OR(I214="",N(J214)=0),"",K214/J214)</f>
        <v/>
      </c>
      <c r="M214" s="12" t="n"/>
    </row>
    <row r="215">
      <c r="A215" s="25" t="n">
        <v>46503</v>
      </c>
      <c r="B215" s="26">
        <f>CHOOSE(WEEKDAY(A215,2),"lundi","mardi","mercredi","jeudi","vendredi","samedi","dimanche")</f>
        <v/>
      </c>
      <c r="C215" s="22" t="n"/>
      <c r="D215" s="22" t="n"/>
      <c r="E215" s="22" t="n"/>
      <c r="F215" s="22" t="n"/>
      <c r="G215" s="22" t="n"/>
      <c r="H215" s="22" t="n"/>
      <c r="I215" s="23">
        <f>IF(COUNT(C215:H215)=0,"",SUM(C215:H215))</f>
        <v/>
      </c>
      <c r="J215" s="11">
        <f>$I$3</f>
        <v/>
      </c>
      <c r="K215" s="23">
        <f>IF(I215="","",I215-J215)</f>
        <v/>
      </c>
      <c r="L215" s="24">
        <f>IF(OR(I215="",N(J215)=0),"",K215/J215)</f>
        <v/>
      </c>
      <c r="M215" s="12" t="n"/>
    </row>
    <row r="216">
      <c r="A216" s="14" t="n">
        <v>46504</v>
      </c>
      <c r="B216" s="7">
        <f>CHOOSE(WEEKDAY(A216,2),"lundi","mardi","mercredi","jeudi","vendredi","samedi","dimanche")</f>
        <v/>
      </c>
      <c r="C216" s="22" t="n"/>
      <c r="D216" s="22" t="n"/>
      <c r="E216" s="22" t="n"/>
      <c r="F216" s="22" t="n"/>
      <c r="G216" s="22" t="n"/>
      <c r="H216" s="22" t="n"/>
      <c r="I216" s="23">
        <f>IF(COUNT(C216:H216)=0,"",SUM(C216:H216))</f>
        <v/>
      </c>
      <c r="J216" s="11">
        <f>$I$3</f>
        <v/>
      </c>
      <c r="K216" s="23">
        <f>IF(I216="","",I216-J216)</f>
        <v/>
      </c>
      <c r="L216" s="24">
        <f>IF(OR(I216="",N(J216)=0),"",K216/J216)</f>
        <v/>
      </c>
      <c r="M216" s="12" t="n"/>
    </row>
    <row r="217">
      <c r="A217" s="14" t="n">
        <v>46505</v>
      </c>
      <c r="B217" s="7">
        <f>CHOOSE(WEEKDAY(A217,2),"lundi","mardi","mercredi","jeudi","vendredi","samedi","dimanche")</f>
        <v/>
      </c>
      <c r="C217" s="22" t="n"/>
      <c r="D217" s="22" t="n"/>
      <c r="E217" s="22" t="n"/>
      <c r="F217" s="22" t="n"/>
      <c r="G217" s="22" t="n"/>
      <c r="H217" s="22" t="n"/>
      <c r="I217" s="23">
        <f>IF(COUNT(C217:H217)=0,"",SUM(C217:H217))</f>
        <v/>
      </c>
      <c r="J217" s="11">
        <f>$I$3</f>
        <v/>
      </c>
      <c r="K217" s="23">
        <f>IF(I217="","",I217-J217)</f>
        <v/>
      </c>
      <c r="L217" s="24">
        <f>IF(OR(I217="",N(J217)=0),"",K217/J217)</f>
        <v/>
      </c>
      <c r="M217" s="12" t="n"/>
    </row>
    <row r="218">
      <c r="A218" s="14" t="n">
        <v>46506</v>
      </c>
      <c r="B218" s="7">
        <f>CHOOSE(WEEKDAY(A218,2),"lundi","mardi","mercredi","jeudi","vendredi","samedi","dimanche")</f>
        <v/>
      </c>
      <c r="C218" s="22" t="n"/>
      <c r="D218" s="22" t="n"/>
      <c r="E218" s="22" t="n"/>
      <c r="F218" s="22" t="n"/>
      <c r="G218" s="22" t="n"/>
      <c r="H218" s="22" t="n"/>
      <c r="I218" s="23">
        <f>IF(COUNT(C218:H218)=0,"",SUM(C218:H218))</f>
        <v/>
      </c>
      <c r="J218" s="11">
        <f>$I$3</f>
        <v/>
      </c>
      <c r="K218" s="23">
        <f>IF(I218="","",I218-J218)</f>
        <v/>
      </c>
      <c r="L218" s="24">
        <f>IF(OR(I218="",N(J218)=0),"",K218/J218)</f>
        <v/>
      </c>
      <c r="M218" s="12" t="n"/>
    </row>
    <row r="219">
      <c r="A219" s="14" t="n">
        <v>46507</v>
      </c>
      <c r="B219" s="7">
        <f>CHOOSE(WEEKDAY(A219,2),"lundi","mardi","mercredi","jeudi","vendredi","samedi","dimanche")</f>
        <v/>
      </c>
      <c r="C219" s="22" t="n"/>
      <c r="D219" s="22" t="n"/>
      <c r="E219" s="22" t="n"/>
      <c r="F219" s="22" t="n"/>
      <c r="G219" s="22" t="n"/>
      <c r="H219" s="22" t="n"/>
      <c r="I219" s="23">
        <f>IF(COUNT(C219:H219)=0,"",SUM(C219:H219))</f>
        <v/>
      </c>
      <c r="J219" s="11">
        <f>$I$3</f>
        <v/>
      </c>
      <c r="K219" s="23">
        <f>IF(I219="","",I219-J219)</f>
        <v/>
      </c>
      <c r="L219" s="24">
        <f>IF(OR(I219="",N(J219)=0),"",K219/J219)</f>
        <v/>
      </c>
      <c r="M219" s="12" t="n"/>
    </row>
    <row r="220">
      <c r="A220" s="14" t="n">
        <v>46508</v>
      </c>
      <c r="B220" s="7">
        <f>CHOOSE(WEEKDAY(A220,2),"lundi","mardi","mercredi","jeudi","vendredi","samedi","dimanche")</f>
        <v/>
      </c>
      <c r="C220" s="22" t="n"/>
      <c r="D220" s="22" t="n"/>
      <c r="E220" s="22" t="n"/>
      <c r="F220" s="22" t="n"/>
      <c r="G220" s="22" t="n"/>
      <c r="H220" s="22" t="n"/>
      <c r="I220" s="23">
        <f>IF(COUNT(C220:H220)=0,"",SUM(C220:H220))</f>
        <v/>
      </c>
      <c r="J220" s="11">
        <f>$I$3</f>
        <v/>
      </c>
      <c r="K220" s="23">
        <f>IF(I220="","",I220-J220)</f>
        <v/>
      </c>
      <c r="L220" s="24">
        <f>IF(OR(I220="",N(J220)=0),"",K220/J220)</f>
        <v/>
      </c>
      <c r="M220" s="12" t="n"/>
    </row>
    <row r="221">
      <c r="A221" s="14" t="n">
        <v>46509</v>
      </c>
      <c r="B221" s="7">
        <f>CHOOSE(WEEKDAY(A221,2),"lundi","mardi","mercredi","jeudi","vendredi","samedi","dimanche")</f>
        <v/>
      </c>
      <c r="C221" s="22" t="n"/>
      <c r="D221" s="22" t="n"/>
      <c r="E221" s="22" t="n"/>
      <c r="F221" s="22" t="n"/>
      <c r="G221" s="22" t="n"/>
      <c r="H221" s="22" t="n"/>
      <c r="I221" s="23">
        <f>IF(COUNT(C221:H221)=0,"",SUM(C221:H221))</f>
        <v/>
      </c>
      <c r="J221" s="11">
        <f>$I$3</f>
        <v/>
      </c>
      <c r="K221" s="23">
        <f>IF(I221="","",I221-J221)</f>
        <v/>
      </c>
      <c r="L221" s="24">
        <f>IF(OR(I221="",N(J221)=0),"",K221/J221)</f>
        <v/>
      </c>
      <c r="M221" s="12" t="n"/>
    </row>
    <row r="222">
      <c r="A222" s="25" t="n">
        <v>46510</v>
      </c>
      <c r="B222" s="26">
        <f>CHOOSE(WEEKDAY(A222,2),"lundi","mardi","mercredi","jeudi","vendredi","samedi","dimanche")</f>
        <v/>
      </c>
      <c r="C222" s="22" t="n"/>
      <c r="D222" s="22" t="n"/>
      <c r="E222" s="22" t="n"/>
      <c r="F222" s="22" t="n"/>
      <c r="G222" s="22" t="n"/>
      <c r="H222" s="22" t="n"/>
      <c r="I222" s="23">
        <f>IF(COUNT(C222:H222)=0,"",SUM(C222:H222))</f>
        <v/>
      </c>
      <c r="J222" s="11">
        <f>$I$3</f>
        <v/>
      </c>
      <c r="K222" s="23">
        <f>IF(I222="","",I222-J222)</f>
        <v/>
      </c>
      <c r="L222" s="24">
        <f>IF(OR(I222="",N(J222)=0),"",K222/J222)</f>
        <v/>
      </c>
      <c r="M222" s="12" t="n"/>
    </row>
    <row r="223">
      <c r="A223" s="14" t="n">
        <v>46511</v>
      </c>
      <c r="B223" s="7">
        <f>CHOOSE(WEEKDAY(A223,2),"lundi","mardi","mercredi","jeudi","vendredi","samedi","dimanche")</f>
        <v/>
      </c>
      <c r="C223" s="22" t="n"/>
      <c r="D223" s="22" t="n"/>
      <c r="E223" s="22" t="n"/>
      <c r="F223" s="22" t="n"/>
      <c r="G223" s="22" t="n"/>
      <c r="H223" s="22" t="n"/>
      <c r="I223" s="23">
        <f>IF(COUNT(C223:H223)=0,"",SUM(C223:H223))</f>
        <v/>
      </c>
      <c r="J223" s="11">
        <f>$I$3</f>
        <v/>
      </c>
      <c r="K223" s="23">
        <f>IF(I223="","",I223-J223)</f>
        <v/>
      </c>
      <c r="L223" s="24">
        <f>IF(OR(I223="",N(J223)=0),"",K223/J223)</f>
        <v/>
      </c>
      <c r="M223" s="12" t="n"/>
    </row>
    <row r="224">
      <c r="A224" s="14" t="n">
        <v>46512</v>
      </c>
      <c r="B224" s="7">
        <f>CHOOSE(WEEKDAY(A224,2),"lundi","mardi","mercredi","jeudi","vendredi","samedi","dimanche")</f>
        <v/>
      </c>
      <c r="C224" s="22" t="n"/>
      <c r="D224" s="22" t="n"/>
      <c r="E224" s="22" t="n"/>
      <c r="F224" s="22" t="n"/>
      <c r="G224" s="22" t="n"/>
      <c r="H224" s="22" t="n"/>
      <c r="I224" s="23">
        <f>IF(COUNT(C224:H224)=0,"",SUM(C224:H224))</f>
        <v/>
      </c>
      <c r="J224" s="11">
        <f>$I$3</f>
        <v/>
      </c>
      <c r="K224" s="23">
        <f>IF(I224="","",I224-J224)</f>
        <v/>
      </c>
      <c r="L224" s="24">
        <f>IF(OR(I224="",N(J224)=0),"",K224/J224)</f>
        <v/>
      </c>
      <c r="M224" s="12" t="n"/>
    </row>
    <row r="225">
      <c r="A225" s="14" t="n">
        <v>46513</v>
      </c>
      <c r="B225" s="7">
        <f>CHOOSE(WEEKDAY(A225,2),"lundi","mardi","mercredi","jeudi","vendredi","samedi","dimanche")</f>
        <v/>
      </c>
      <c r="C225" s="22" t="n"/>
      <c r="D225" s="22" t="n"/>
      <c r="E225" s="22" t="n"/>
      <c r="F225" s="22" t="n"/>
      <c r="G225" s="22" t="n"/>
      <c r="H225" s="22" t="n"/>
      <c r="I225" s="23">
        <f>IF(COUNT(C225:H225)=0,"",SUM(C225:H225))</f>
        <v/>
      </c>
      <c r="J225" s="11">
        <f>$I$3</f>
        <v/>
      </c>
      <c r="K225" s="23">
        <f>IF(I225="","",I225-J225)</f>
        <v/>
      </c>
      <c r="L225" s="24">
        <f>IF(OR(I225="",N(J225)=0),"",K225/J225)</f>
        <v/>
      </c>
      <c r="M225" s="12" t="n"/>
    </row>
    <row r="226">
      <c r="A226" s="14" t="n">
        <v>46514</v>
      </c>
      <c r="B226" s="7">
        <f>CHOOSE(WEEKDAY(A226,2),"lundi","mardi","mercredi","jeudi","vendredi","samedi","dimanche")</f>
        <v/>
      </c>
      <c r="C226" s="22" t="n"/>
      <c r="D226" s="22" t="n"/>
      <c r="E226" s="22" t="n"/>
      <c r="F226" s="22" t="n"/>
      <c r="G226" s="22" t="n"/>
      <c r="H226" s="22" t="n"/>
      <c r="I226" s="23">
        <f>IF(COUNT(C226:H226)=0,"",SUM(C226:H226))</f>
        <v/>
      </c>
      <c r="J226" s="11">
        <f>$I$3</f>
        <v/>
      </c>
      <c r="K226" s="23">
        <f>IF(I226="","",I226-J226)</f>
        <v/>
      </c>
      <c r="L226" s="24">
        <f>IF(OR(I226="",N(J226)=0),"",K226/J226)</f>
        <v/>
      </c>
      <c r="M226" s="12" t="n"/>
    </row>
    <row r="227">
      <c r="A227" s="14" t="n">
        <v>46515</v>
      </c>
      <c r="B227" s="7">
        <f>CHOOSE(WEEKDAY(A227,2),"lundi","mardi","mercredi","jeudi","vendredi","samedi","dimanche")</f>
        <v/>
      </c>
      <c r="C227" s="22" t="n"/>
      <c r="D227" s="22" t="n"/>
      <c r="E227" s="22" t="n"/>
      <c r="F227" s="22" t="n"/>
      <c r="G227" s="22" t="n"/>
      <c r="H227" s="22" t="n"/>
      <c r="I227" s="23">
        <f>IF(COUNT(C227:H227)=0,"",SUM(C227:H227))</f>
        <v/>
      </c>
      <c r="J227" s="11">
        <f>$I$3</f>
        <v/>
      </c>
      <c r="K227" s="23">
        <f>IF(I227="","",I227-J227)</f>
        <v/>
      </c>
      <c r="L227" s="24">
        <f>IF(OR(I227="",N(J227)=0),"",K227/J227)</f>
        <v/>
      </c>
      <c r="M227" s="12" t="n"/>
    </row>
    <row r="228">
      <c r="A228" s="14" t="n">
        <v>46516</v>
      </c>
      <c r="B228" s="7">
        <f>CHOOSE(WEEKDAY(A228,2),"lundi","mardi","mercredi","jeudi","vendredi","samedi","dimanche")</f>
        <v/>
      </c>
      <c r="C228" s="22" t="n"/>
      <c r="D228" s="22" t="n"/>
      <c r="E228" s="22" t="n"/>
      <c r="F228" s="22" t="n"/>
      <c r="G228" s="22" t="n"/>
      <c r="H228" s="22" t="n"/>
      <c r="I228" s="23">
        <f>IF(COUNT(C228:H228)=0,"",SUM(C228:H228))</f>
        <v/>
      </c>
      <c r="J228" s="11">
        <f>$I$3</f>
        <v/>
      </c>
      <c r="K228" s="23">
        <f>IF(I228="","",I228-J228)</f>
        <v/>
      </c>
      <c r="L228" s="24">
        <f>IF(OR(I228="",N(J228)=0),"",K228/J228)</f>
        <v/>
      </c>
      <c r="M228" s="12" t="n"/>
    </row>
    <row r="229">
      <c r="A229" s="25" t="n">
        <v>46517</v>
      </c>
      <c r="B229" s="26">
        <f>CHOOSE(WEEKDAY(A229,2),"lundi","mardi","mercredi","jeudi","vendredi","samedi","dimanche")</f>
        <v/>
      </c>
      <c r="C229" s="22" t="n"/>
      <c r="D229" s="22" t="n"/>
      <c r="E229" s="22" t="n"/>
      <c r="F229" s="22" t="n"/>
      <c r="G229" s="22" t="n"/>
      <c r="H229" s="22" t="n"/>
      <c r="I229" s="23">
        <f>IF(COUNT(C229:H229)=0,"",SUM(C229:H229))</f>
        <v/>
      </c>
      <c r="J229" s="11">
        <f>$I$3</f>
        <v/>
      </c>
      <c r="K229" s="23">
        <f>IF(I229="","",I229-J229)</f>
        <v/>
      </c>
      <c r="L229" s="24">
        <f>IF(OR(I229="",N(J229)=0),"",K229/J229)</f>
        <v/>
      </c>
      <c r="M229" s="12" t="n"/>
    </row>
    <row r="230">
      <c r="A230" s="14" t="n">
        <v>46518</v>
      </c>
      <c r="B230" s="7">
        <f>CHOOSE(WEEKDAY(A230,2),"lundi","mardi","mercredi","jeudi","vendredi","samedi","dimanche")</f>
        <v/>
      </c>
      <c r="C230" s="22" t="n"/>
      <c r="D230" s="22" t="n"/>
      <c r="E230" s="22" t="n"/>
      <c r="F230" s="22" t="n"/>
      <c r="G230" s="22" t="n"/>
      <c r="H230" s="22" t="n"/>
      <c r="I230" s="23">
        <f>IF(COUNT(C230:H230)=0,"",SUM(C230:H230))</f>
        <v/>
      </c>
      <c r="J230" s="11">
        <f>$I$3</f>
        <v/>
      </c>
      <c r="K230" s="23">
        <f>IF(I230="","",I230-J230)</f>
        <v/>
      </c>
      <c r="L230" s="24">
        <f>IF(OR(I230="",N(J230)=0),"",K230/J230)</f>
        <v/>
      </c>
      <c r="M230" s="12" t="n"/>
    </row>
    <row r="231">
      <c r="A231" s="14" t="n">
        <v>46519</v>
      </c>
      <c r="B231" s="7">
        <f>CHOOSE(WEEKDAY(A231,2),"lundi","mardi","mercredi","jeudi","vendredi","samedi","dimanche")</f>
        <v/>
      </c>
      <c r="C231" s="22" t="n"/>
      <c r="D231" s="22" t="n"/>
      <c r="E231" s="22" t="n"/>
      <c r="F231" s="22" t="n"/>
      <c r="G231" s="22" t="n"/>
      <c r="H231" s="22" t="n"/>
      <c r="I231" s="23">
        <f>IF(COUNT(C231:H231)=0,"",SUM(C231:H231))</f>
        <v/>
      </c>
      <c r="J231" s="11">
        <f>$I$3</f>
        <v/>
      </c>
      <c r="K231" s="23">
        <f>IF(I231="","",I231-J231)</f>
        <v/>
      </c>
      <c r="L231" s="24">
        <f>IF(OR(I231="",N(J231)=0),"",K231/J231)</f>
        <v/>
      </c>
      <c r="M231" s="12" t="n"/>
    </row>
    <row r="232">
      <c r="A232" s="14" t="n">
        <v>46520</v>
      </c>
      <c r="B232" s="7">
        <f>CHOOSE(WEEKDAY(A232,2),"lundi","mardi","mercredi","jeudi","vendredi","samedi","dimanche")</f>
        <v/>
      </c>
      <c r="C232" s="22" t="n"/>
      <c r="D232" s="22" t="n"/>
      <c r="E232" s="22" t="n"/>
      <c r="F232" s="22" t="n"/>
      <c r="G232" s="22" t="n"/>
      <c r="H232" s="22" t="n"/>
      <c r="I232" s="23">
        <f>IF(COUNT(C232:H232)=0,"",SUM(C232:H232))</f>
        <v/>
      </c>
      <c r="J232" s="11">
        <f>$I$3</f>
        <v/>
      </c>
      <c r="K232" s="23">
        <f>IF(I232="","",I232-J232)</f>
        <v/>
      </c>
      <c r="L232" s="24">
        <f>IF(OR(I232="",N(J232)=0),"",K232/J232)</f>
        <v/>
      </c>
      <c r="M232" s="12" t="n"/>
    </row>
    <row r="233">
      <c r="A233" s="14" t="n">
        <v>46521</v>
      </c>
      <c r="B233" s="7">
        <f>CHOOSE(WEEKDAY(A233,2),"lundi","mardi","mercredi","jeudi","vendredi","samedi","dimanche")</f>
        <v/>
      </c>
      <c r="C233" s="22" t="n"/>
      <c r="D233" s="22" t="n"/>
      <c r="E233" s="22" t="n"/>
      <c r="F233" s="22" t="n"/>
      <c r="G233" s="22" t="n"/>
      <c r="H233" s="22" t="n"/>
      <c r="I233" s="23">
        <f>IF(COUNT(C233:H233)=0,"",SUM(C233:H233))</f>
        <v/>
      </c>
      <c r="J233" s="11">
        <f>$I$3</f>
        <v/>
      </c>
      <c r="K233" s="23">
        <f>IF(I233="","",I233-J233)</f>
        <v/>
      </c>
      <c r="L233" s="24">
        <f>IF(OR(I233="",N(J233)=0),"",K233/J233)</f>
        <v/>
      </c>
      <c r="M233" s="12" t="n"/>
    </row>
    <row r="234">
      <c r="A234" s="14" t="n">
        <v>46522</v>
      </c>
      <c r="B234" s="7">
        <f>CHOOSE(WEEKDAY(A234,2),"lundi","mardi","mercredi","jeudi","vendredi","samedi","dimanche")</f>
        <v/>
      </c>
      <c r="C234" s="22" t="n"/>
      <c r="D234" s="22" t="n"/>
      <c r="E234" s="22" t="n"/>
      <c r="F234" s="22" t="n"/>
      <c r="G234" s="22" t="n"/>
      <c r="H234" s="22" t="n"/>
      <c r="I234" s="23">
        <f>IF(COUNT(C234:H234)=0,"",SUM(C234:H234))</f>
        <v/>
      </c>
      <c r="J234" s="11">
        <f>$I$3</f>
        <v/>
      </c>
      <c r="K234" s="23">
        <f>IF(I234="","",I234-J234)</f>
        <v/>
      </c>
      <c r="L234" s="24">
        <f>IF(OR(I234="",N(J234)=0),"",K234/J234)</f>
        <v/>
      </c>
      <c r="M234" s="12" t="n"/>
    </row>
    <row r="235">
      <c r="A235" s="14" t="n">
        <v>46523</v>
      </c>
      <c r="B235" s="7">
        <f>CHOOSE(WEEKDAY(A235,2),"lundi","mardi","mercredi","jeudi","vendredi","samedi","dimanche")</f>
        <v/>
      </c>
      <c r="C235" s="22" t="n"/>
      <c r="D235" s="22" t="n"/>
      <c r="E235" s="22" t="n"/>
      <c r="F235" s="22" t="n"/>
      <c r="G235" s="22" t="n"/>
      <c r="H235" s="22" t="n"/>
      <c r="I235" s="23">
        <f>IF(COUNT(C235:H235)=0,"",SUM(C235:H235))</f>
        <v/>
      </c>
      <c r="J235" s="11">
        <f>$I$3</f>
        <v/>
      </c>
      <c r="K235" s="23">
        <f>IF(I235="","",I235-J235)</f>
        <v/>
      </c>
      <c r="L235" s="24">
        <f>IF(OR(I235="",N(J235)=0),"",K235/J235)</f>
        <v/>
      </c>
      <c r="M235" s="12" t="n"/>
    </row>
    <row r="236">
      <c r="A236" s="25" t="n">
        <v>46524</v>
      </c>
      <c r="B236" s="26">
        <f>CHOOSE(WEEKDAY(A236,2),"lundi","mardi","mercredi","jeudi","vendredi","samedi","dimanche")</f>
        <v/>
      </c>
      <c r="C236" s="22" t="n"/>
      <c r="D236" s="22" t="n"/>
      <c r="E236" s="22" t="n"/>
      <c r="F236" s="22" t="n"/>
      <c r="G236" s="22" t="n"/>
      <c r="H236" s="22" t="n"/>
      <c r="I236" s="23">
        <f>IF(COUNT(C236:H236)=0,"",SUM(C236:H236))</f>
        <v/>
      </c>
      <c r="J236" s="11">
        <f>$I$3</f>
        <v/>
      </c>
      <c r="K236" s="23">
        <f>IF(I236="","",I236-J236)</f>
        <v/>
      </c>
      <c r="L236" s="24">
        <f>IF(OR(I236="",N(J236)=0),"",K236/J236)</f>
        <v/>
      </c>
      <c r="M236" s="12" t="n"/>
    </row>
    <row r="237">
      <c r="A237" s="14" t="n">
        <v>46525</v>
      </c>
      <c r="B237" s="7">
        <f>CHOOSE(WEEKDAY(A237,2),"lundi","mardi","mercredi","jeudi","vendredi","samedi","dimanche")</f>
        <v/>
      </c>
      <c r="C237" s="22" t="n"/>
      <c r="D237" s="22" t="n"/>
      <c r="E237" s="22" t="n"/>
      <c r="F237" s="22" t="n"/>
      <c r="G237" s="22" t="n"/>
      <c r="H237" s="22" t="n"/>
      <c r="I237" s="23">
        <f>IF(COUNT(C237:H237)=0,"",SUM(C237:H237))</f>
        <v/>
      </c>
      <c r="J237" s="11">
        <f>$I$3</f>
        <v/>
      </c>
      <c r="K237" s="23">
        <f>IF(I237="","",I237-J237)</f>
        <v/>
      </c>
      <c r="L237" s="24">
        <f>IF(OR(I237="",N(J237)=0),"",K237/J237)</f>
        <v/>
      </c>
      <c r="M237" s="12" t="n"/>
    </row>
    <row r="238">
      <c r="A238" s="14" t="n">
        <v>46526</v>
      </c>
      <c r="B238" s="7">
        <f>CHOOSE(WEEKDAY(A238,2),"lundi","mardi","mercredi","jeudi","vendredi","samedi","dimanche")</f>
        <v/>
      </c>
      <c r="C238" s="22" t="n"/>
      <c r="D238" s="22" t="n"/>
      <c r="E238" s="22" t="n"/>
      <c r="F238" s="22" t="n"/>
      <c r="G238" s="22" t="n"/>
      <c r="H238" s="22" t="n"/>
      <c r="I238" s="23">
        <f>IF(COUNT(C238:H238)=0,"",SUM(C238:H238))</f>
        <v/>
      </c>
      <c r="J238" s="11">
        <f>$I$3</f>
        <v/>
      </c>
      <c r="K238" s="23">
        <f>IF(I238="","",I238-J238)</f>
        <v/>
      </c>
      <c r="L238" s="24">
        <f>IF(OR(I238="",N(J238)=0),"",K238/J238)</f>
        <v/>
      </c>
      <c r="M238" s="12" t="n"/>
    </row>
    <row r="239">
      <c r="A239" s="14" t="n">
        <v>46527</v>
      </c>
      <c r="B239" s="7">
        <f>CHOOSE(WEEKDAY(A239,2),"lundi","mardi","mercredi","jeudi","vendredi","samedi","dimanche")</f>
        <v/>
      </c>
      <c r="C239" s="22" t="n"/>
      <c r="D239" s="22" t="n"/>
      <c r="E239" s="22" t="n"/>
      <c r="F239" s="22" t="n"/>
      <c r="G239" s="22" t="n"/>
      <c r="H239" s="22" t="n"/>
      <c r="I239" s="23">
        <f>IF(COUNT(C239:H239)=0,"",SUM(C239:H239))</f>
        <v/>
      </c>
      <c r="J239" s="11">
        <f>$I$3</f>
        <v/>
      </c>
      <c r="K239" s="23">
        <f>IF(I239="","",I239-J239)</f>
        <v/>
      </c>
      <c r="L239" s="24">
        <f>IF(OR(I239="",N(J239)=0),"",K239/J239)</f>
        <v/>
      </c>
      <c r="M239" s="12" t="n"/>
    </row>
    <row r="240">
      <c r="A240" s="14" t="n">
        <v>46528</v>
      </c>
      <c r="B240" s="7">
        <f>CHOOSE(WEEKDAY(A240,2),"lundi","mardi","mercredi","jeudi","vendredi","samedi","dimanche")</f>
        <v/>
      </c>
      <c r="C240" s="22" t="n"/>
      <c r="D240" s="22" t="n"/>
      <c r="E240" s="22" t="n"/>
      <c r="F240" s="22" t="n"/>
      <c r="G240" s="22" t="n"/>
      <c r="H240" s="22" t="n"/>
      <c r="I240" s="23">
        <f>IF(COUNT(C240:H240)=0,"",SUM(C240:H240))</f>
        <v/>
      </c>
      <c r="J240" s="11">
        <f>$I$3</f>
        <v/>
      </c>
      <c r="K240" s="23">
        <f>IF(I240="","",I240-J240)</f>
        <v/>
      </c>
      <c r="L240" s="24">
        <f>IF(OR(I240="",N(J240)=0),"",K240/J240)</f>
        <v/>
      </c>
      <c r="M240" s="12" t="n"/>
    </row>
    <row r="241">
      <c r="A241" s="14" t="n">
        <v>46529</v>
      </c>
      <c r="B241" s="7">
        <f>CHOOSE(WEEKDAY(A241,2),"lundi","mardi","mercredi","jeudi","vendredi","samedi","dimanche")</f>
        <v/>
      </c>
      <c r="C241" s="22" t="n"/>
      <c r="D241" s="22" t="n"/>
      <c r="E241" s="22" t="n"/>
      <c r="F241" s="22" t="n"/>
      <c r="G241" s="22" t="n"/>
      <c r="H241" s="22" t="n"/>
      <c r="I241" s="23">
        <f>IF(COUNT(C241:H241)=0,"",SUM(C241:H241))</f>
        <v/>
      </c>
      <c r="J241" s="11">
        <f>$I$3</f>
        <v/>
      </c>
      <c r="K241" s="23">
        <f>IF(I241="","",I241-J241)</f>
        <v/>
      </c>
      <c r="L241" s="24">
        <f>IF(OR(I241="",N(J241)=0),"",K241/J241)</f>
        <v/>
      </c>
      <c r="M241" s="12" t="n"/>
    </row>
    <row r="242">
      <c r="A242" s="14" t="n">
        <v>46530</v>
      </c>
      <c r="B242" s="7">
        <f>CHOOSE(WEEKDAY(A242,2),"lundi","mardi","mercredi","jeudi","vendredi","samedi","dimanche")</f>
        <v/>
      </c>
      <c r="C242" s="22" t="n"/>
      <c r="D242" s="22" t="n"/>
      <c r="E242" s="22" t="n"/>
      <c r="F242" s="22" t="n"/>
      <c r="G242" s="22" t="n"/>
      <c r="H242" s="22" t="n"/>
      <c r="I242" s="23">
        <f>IF(COUNT(C242:H242)=0,"",SUM(C242:H242))</f>
        <v/>
      </c>
      <c r="J242" s="11">
        <f>$I$3</f>
        <v/>
      </c>
      <c r="K242" s="23">
        <f>IF(I242="","",I242-J242)</f>
        <v/>
      </c>
      <c r="L242" s="24">
        <f>IF(OR(I242="",N(J242)=0),"",K242/J242)</f>
        <v/>
      </c>
      <c r="M242" s="12" t="n"/>
    </row>
    <row r="243">
      <c r="A243" s="25" t="n">
        <v>46531</v>
      </c>
      <c r="B243" s="26">
        <f>CHOOSE(WEEKDAY(A243,2),"lundi","mardi","mercredi","jeudi","vendredi","samedi","dimanche")</f>
        <v/>
      </c>
      <c r="C243" s="22" t="n"/>
      <c r="D243" s="22" t="n"/>
      <c r="E243" s="22" t="n"/>
      <c r="F243" s="22" t="n"/>
      <c r="G243" s="22" t="n"/>
      <c r="H243" s="22" t="n"/>
      <c r="I243" s="23">
        <f>IF(COUNT(C243:H243)=0,"",SUM(C243:H243))</f>
        <v/>
      </c>
      <c r="J243" s="11">
        <f>$I$3</f>
        <v/>
      </c>
      <c r="K243" s="23">
        <f>IF(I243="","",I243-J243)</f>
        <v/>
      </c>
      <c r="L243" s="24">
        <f>IF(OR(I243="",N(J243)=0),"",K243/J243)</f>
        <v/>
      </c>
      <c r="M243" s="12" t="n"/>
    </row>
    <row r="244">
      <c r="A244" s="14" t="n">
        <v>46532</v>
      </c>
      <c r="B244" s="7">
        <f>CHOOSE(WEEKDAY(A244,2),"lundi","mardi","mercredi","jeudi","vendredi","samedi","dimanche")</f>
        <v/>
      </c>
      <c r="C244" s="22" t="n"/>
      <c r="D244" s="22" t="n"/>
      <c r="E244" s="22" t="n"/>
      <c r="F244" s="22" t="n"/>
      <c r="G244" s="22" t="n"/>
      <c r="H244" s="22" t="n"/>
      <c r="I244" s="23">
        <f>IF(COUNT(C244:H244)=0,"",SUM(C244:H244))</f>
        <v/>
      </c>
      <c r="J244" s="11">
        <f>$I$3</f>
        <v/>
      </c>
      <c r="K244" s="23">
        <f>IF(I244="","",I244-J244)</f>
        <v/>
      </c>
      <c r="L244" s="24">
        <f>IF(OR(I244="",N(J244)=0),"",K244/J244)</f>
        <v/>
      </c>
      <c r="M244" s="12" t="n"/>
    </row>
    <row r="245">
      <c r="A245" s="14" t="n">
        <v>46533</v>
      </c>
      <c r="B245" s="7">
        <f>CHOOSE(WEEKDAY(A245,2),"lundi","mardi","mercredi","jeudi","vendredi","samedi","dimanche")</f>
        <v/>
      </c>
      <c r="C245" s="22" t="n"/>
      <c r="D245" s="22" t="n"/>
      <c r="E245" s="22" t="n"/>
      <c r="F245" s="22" t="n"/>
      <c r="G245" s="22" t="n"/>
      <c r="H245" s="22" t="n"/>
      <c r="I245" s="23">
        <f>IF(COUNT(C245:H245)=0,"",SUM(C245:H245))</f>
        <v/>
      </c>
      <c r="J245" s="11">
        <f>$I$3</f>
        <v/>
      </c>
      <c r="K245" s="23">
        <f>IF(I245="","",I245-J245)</f>
        <v/>
      </c>
      <c r="L245" s="24">
        <f>IF(OR(I245="",N(J245)=0),"",K245/J245)</f>
        <v/>
      </c>
      <c r="M245" s="12" t="n"/>
    </row>
    <row r="246">
      <c r="A246" s="14" t="n">
        <v>46534</v>
      </c>
      <c r="B246" s="7">
        <f>CHOOSE(WEEKDAY(A246,2),"lundi","mardi","mercredi","jeudi","vendredi","samedi","dimanche")</f>
        <v/>
      </c>
      <c r="C246" s="22" t="n"/>
      <c r="D246" s="22" t="n"/>
      <c r="E246" s="22" t="n"/>
      <c r="F246" s="22" t="n"/>
      <c r="G246" s="22" t="n"/>
      <c r="H246" s="22" t="n"/>
      <c r="I246" s="23">
        <f>IF(COUNT(C246:H246)=0,"",SUM(C246:H246))</f>
        <v/>
      </c>
      <c r="J246" s="11">
        <f>$I$3</f>
        <v/>
      </c>
      <c r="K246" s="23">
        <f>IF(I246="","",I246-J246)</f>
        <v/>
      </c>
      <c r="L246" s="24">
        <f>IF(OR(I246="",N(J246)=0),"",K246/J246)</f>
        <v/>
      </c>
      <c r="M246" s="12" t="n"/>
    </row>
    <row r="247">
      <c r="A247" s="14" t="n">
        <v>46535</v>
      </c>
      <c r="B247" s="7">
        <f>CHOOSE(WEEKDAY(A247,2),"lundi","mardi","mercredi","jeudi","vendredi","samedi","dimanche")</f>
        <v/>
      </c>
      <c r="C247" s="22" t="n"/>
      <c r="D247" s="22" t="n"/>
      <c r="E247" s="22" t="n"/>
      <c r="F247" s="22" t="n"/>
      <c r="G247" s="22" t="n"/>
      <c r="H247" s="22" t="n"/>
      <c r="I247" s="23">
        <f>IF(COUNT(C247:H247)=0,"",SUM(C247:H247))</f>
        <v/>
      </c>
      <c r="J247" s="11">
        <f>$I$3</f>
        <v/>
      </c>
      <c r="K247" s="23">
        <f>IF(I247="","",I247-J247)</f>
        <v/>
      </c>
      <c r="L247" s="24">
        <f>IF(OR(I247="",N(J247)=0),"",K247/J247)</f>
        <v/>
      </c>
      <c r="M247" s="12" t="n"/>
    </row>
    <row r="248">
      <c r="A248" s="14" t="n">
        <v>46536</v>
      </c>
      <c r="B248" s="7">
        <f>CHOOSE(WEEKDAY(A248,2),"lundi","mardi","mercredi","jeudi","vendredi","samedi","dimanche")</f>
        <v/>
      </c>
      <c r="C248" s="22" t="n"/>
      <c r="D248" s="22" t="n"/>
      <c r="E248" s="22" t="n"/>
      <c r="F248" s="22" t="n"/>
      <c r="G248" s="22" t="n"/>
      <c r="H248" s="22" t="n"/>
      <c r="I248" s="23">
        <f>IF(COUNT(C248:H248)=0,"",SUM(C248:H248))</f>
        <v/>
      </c>
      <c r="J248" s="11">
        <f>$I$3</f>
        <v/>
      </c>
      <c r="K248" s="23">
        <f>IF(I248="","",I248-J248)</f>
        <v/>
      </c>
      <c r="L248" s="24">
        <f>IF(OR(I248="",N(J248)=0),"",K248/J248)</f>
        <v/>
      </c>
      <c r="M248" s="12" t="n"/>
    </row>
    <row r="249">
      <c r="A249" s="14" t="n">
        <v>46537</v>
      </c>
      <c r="B249" s="7">
        <f>CHOOSE(WEEKDAY(A249,2),"lundi","mardi","mercredi","jeudi","vendredi","samedi","dimanche")</f>
        <v/>
      </c>
      <c r="C249" s="22" t="n"/>
      <c r="D249" s="22" t="n"/>
      <c r="E249" s="22" t="n"/>
      <c r="F249" s="22" t="n"/>
      <c r="G249" s="22" t="n"/>
      <c r="H249" s="22" t="n"/>
      <c r="I249" s="23">
        <f>IF(COUNT(C249:H249)=0,"",SUM(C249:H249))</f>
        <v/>
      </c>
      <c r="J249" s="11">
        <f>$I$3</f>
        <v/>
      </c>
      <c r="K249" s="23">
        <f>IF(I249="","",I249-J249)</f>
        <v/>
      </c>
      <c r="L249" s="24">
        <f>IF(OR(I249="",N(J249)=0),"",K249/J249)</f>
        <v/>
      </c>
      <c r="M249" s="12" t="n"/>
    </row>
    <row r="250">
      <c r="A250" s="25" t="n">
        <v>46538</v>
      </c>
      <c r="B250" s="26">
        <f>CHOOSE(WEEKDAY(A250,2),"lundi","mardi","mercredi","jeudi","vendredi","samedi","dimanche")</f>
        <v/>
      </c>
      <c r="C250" s="22" t="n"/>
      <c r="D250" s="22" t="n"/>
      <c r="E250" s="22" t="n"/>
      <c r="F250" s="22" t="n"/>
      <c r="G250" s="22" t="n"/>
      <c r="H250" s="22" t="n"/>
      <c r="I250" s="23">
        <f>IF(COUNT(C250:H250)=0,"",SUM(C250:H250))</f>
        <v/>
      </c>
      <c r="J250" s="11">
        <f>$I$3</f>
        <v/>
      </c>
      <c r="K250" s="23">
        <f>IF(I250="","",I250-J250)</f>
        <v/>
      </c>
      <c r="L250" s="24">
        <f>IF(OR(I250="",N(J250)=0),"",K250/J250)</f>
        <v/>
      </c>
      <c r="M250" s="12" t="n"/>
    </row>
    <row r="251">
      <c r="A251" s="14" t="n">
        <v>46539</v>
      </c>
      <c r="B251" s="7">
        <f>CHOOSE(WEEKDAY(A251,2),"lundi","mardi","mercredi","jeudi","vendredi","samedi","dimanche")</f>
        <v/>
      </c>
      <c r="C251" s="22" t="n"/>
      <c r="D251" s="22" t="n"/>
      <c r="E251" s="22" t="n"/>
      <c r="F251" s="22" t="n"/>
      <c r="G251" s="22" t="n"/>
      <c r="H251" s="22" t="n"/>
      <c r="I251" s="23">
        <f>IF(COUNT(C251:H251)=0,"",SUM(C251:H251))</f>
        <v/>
      </c>
      <c r="J251" s="11">
        <f>$I$3</f>
        <v/>
      </c>
      <c r="K251" s="23">
        <f>IF(I251="","",I251-J251)</f>
        <v/>
      </c>
      <c r="L251" s="24">
        <f>IF(OR(I251="",N(J251)=0),"",K251/J251)</f>
        <v/>
      </c>
      <c r="M251" s="12" t="n"/>
    </row>
    <row r="252">
      <c r="A252" s="14" t="n">
        <v>46540</v>
      </c>
      <c r="B252" s="7">
        <f>CHOOSE(WEEKDAY(A252,2),"lundi","mardi","mercredi","jeudi","vendredi","samedi","dimanche")</f>
        <v/>
      </c>
      <c r="C252" s="22" t="n"/>
      <c r="D252" s="22" t="n"/>
      <c r="E252" s="22" t="n"/>
      <c r="F252" s="22" t="n"/>
      <c r="G252" s="22" t="n"/>
      <c r="H252" s="22" t="n"/>
      <c r="I252" s="23">
        <f>IF(COUNT(C252:H252)=0,"",SUM(C252:H252))</f>
        <v/>
      </c>
      <c r="J252" s="11">
        <f>$I$3</f>
        <v/>
      </c>
      <c r="K252" s="23">
        <f>IF(I252="","",I252-J252)</f>
        <v/>
      </c>
      <c r="L252" s="24">
        <f>IF(OR(I252="",N(J252)=0),"",K252/J252)</f>
        <v/>
      </c>
      <c r="M252" s="12" t="n"/>
    </row>
    <row r="253">
      <c r="A253" s="14" t="n">
        <v>46541</v>
      </c>
      <c r="B253" s="7">
        <f>CHOOSE(WEEKDAY(A253,2),"lundi","mardi","mercredi","jeudi","vendredi","samedi","dimanche")</f>
        <v/>
      </c>
      <c r="C253" s="22" t="n"/>
      <c r="D253" s="22" t="n"/>
      <c r="E253" s="22" t="n"/>
      <c r="F253" s="22" t="n"/>
      <c r="G253" s="22" t="n"/>
      <c r="H253" s="22" t="n"/>
      <c r="I253" s="23">
        <f>IF(COUNT(C253:H253)=0,"",SUM(C253:H253))</f>
        <v/>
      </c>
      <c r="J253" s="11">
        <f>$I$3</f>
        <v/>
      </c>
      <c r="K253" s="23">
        <f>IF(I253="","",I253-J253)</f>
        <v/>
      </c>
      <c r="L253" s="24">
        <f>IF(OR(I253="",N(J253)=0),"",K253/J253)</f>
        <v/>
      </c>
      <c r="M253" s="12" t="n"/>
    </row>
    <row r="254">
      <c r="A254" s="14" t="n">
        <v>46542</v>
      </c>
      <c r="B254" s="7">
        <f>CHOOSE(WEEKDAY(A254,2),"lundi","mardi","mercredi","jeudi","vendredi","samedi","dimanche")</f>
        <v/>
      </c>
      <c r="C254" s="22" t="n"/>
      <c r="D254" s="22" t="n"/>
      <c r="E254" s="22" t="n"/>
      <c r="F254" s="22" t="n"/>
      <c r="G254" s="22" t="n"/>
      <c r="H254" s="22" t="n"/>
      <c r="I254" s="23">
        <f>IF(COUNT(C254:H254)=0,"",SUM(C254:H254))</f>
        <v/>
      </c>
      <c r="J254" s="11">
        <f>$I$3</f>
        <v/>
      </c>
      <c r="K254" s="23">
        <f>IF(I254="","",I254-J254)</f>
        <v/>
      </c>
      <c r="L254" s="24">
        <f>IF(OR(I254="",N(J254)=0),"",K254/J254)</f>
        <v/>
      </c>
      <c r="M254" s="12" t="n"/>
    </row>
    <row r="255">
      <c r="A255" s="14" t="n">
        <v>46543</v>
      </c>
      <c r="B255" s="7">
        <f>CHOOSE(WEEKDAY(A255,2),"lundi","mardi","mercredi","jeudi","vendredi","samedi","dimanche")</f>
        <v/>
      </c>
      <c r="C255" s="22" t="n"/>
      <c r="D255" s="22" t="n"/>
      <c r="E255" s="22" t="n"/>
      <c r="F255" s="22" t="n"/>
      <c r="G255" s="22" t="n"/>
      <c r="H255" s="22" t="n"/>
      <c r="I255" s="23">
        <f>IF(COUNT(C255:H255)=0,"",SUM(C255:H255))</f>
        <v/>
      </c>
      <c r="J255" s="11">
        <f>$I$3</f>
        <v/>
      </c>
      <c r="K255" s="23">
        <f>IF(I255="","",I255-J255)</f>
        <v/>
      </c>
      <c r="L255" s="24">
        <f>IF(OR(I255="",N(J255)=0),"",K255/J255)</f>
        <v/>
      </c>
      <c r="M255" s="12" t="n"/>
    </row>
    <row r="256">
      <c r="A256" s="14" t="n">
        <v>46544</v>
      </c>
      <c r="B256" s="7">
        <f>CHOOSE(WEEKDAY(A256,2),"lundi","mardi","mercredi","jeudi","vendredi","samedi","dimanche")</f>
        <v/>
      </c>
      <c r="C256" s="22" t="n"/>
      <c r="D256" s="22" t="n"/>
      <c r="E256" s="22" t="n"/>
      <c r="F256" s="22" t="n"/>
      <c r="G256" s="22" t="n"/>
      <c r="H256" s="22" t="n"/>
      <c r="I256" s="23">
        <f>IF(COUNT(C256:H256)=0,"",SUM(C256:H256))</f>
        <v/>
      </c>
      <c r="J256" s="11">
        <f>$I$3</f>
        <v/>
      </c>
      <c r="K256" s="23">
        <f>IF(I256="","",I256-J256)</f>
        <v/>
      </c>
      <c r="L256" s="24">
        <f>IF(OR(I256="",N(J256)=0),"",K256/J256)</f>
        <v/>
      </c>
      <c r="M256" s="12" t="n"/>
    </row>
    <row r="257">
      <c r="A257" s="25" t="n">
        <v>46545</v>
      </c>
      <c r="B257" s="26">
        <f>CHOOSE(WEEKDAY(A257,2),"lundi","mardi","mercredi","jeudi","vendredi","samedi","dimanche")</f>
        <v/>
      </c>
      <c r="C257" s="22" t="n"/>
      <c r="D257" s="22" t="n"/>
      <c r="E257" s="22" t="n"/>
      <c r="F257" s="22" t="n"/>
      <c r="G257" s="22" t="n"/>
      <c r="H257" s="22" t="n"/>
      <c r="I257" s="23">
        <f>IF(COUNT(C257:H257)=0,"",SUM(C257:H257))</f>
        <v/>
      </c>
      <c r="J257" s="11">
        <f>$I$3</f>
        <v/>
      </c>
      <c r="K257" s="23">
        <f>IF(I257="","",I257-J257)</f>
        <v/>
      </c>
      <c r="L257" s="24">
        <f>IF(OR(I257="",N(J257)=0),"",K257/J257)</f>
        <v/>
      </c>
      <c r="M257" s="12" t="n"/>
    </row>
    <row r="258">
      <c r="A258" s="14" t="n">
        <v>46546</v>
      </c>
      <c r="B258" s="7">
        <f>CHOOSE(WEEKDAY(A258,2),"lundi","mardi","mercredi","jeudi","vendredi","samedi","dimanche")</f>
        <v/>
      </c>
      <c r="C258" s="22" t="n"/>
      <c r="D258" s="22" t="n"/>
      <c r="E258" s="22" t="n"/>
      <c r="F258" s="22" t="n"/>
      <c r="G258" s="22" t="n"/>
      <c r="H258" s="22" t="n"/>
      <c r="I258" s="23">
        <f>IF(COUNT(C258:H258)=0,"",SUM(C258:H258))</f>
        <v/>
      </c>
      <c r="J258" s="11">
        <f>$I$3</f>
        <v/>
      </c>
      <c r="K258" s="23">
        <f>IF(I258="","",I258-J258)</f>
        <v/>
      </c>
      <c r="L258" s="24">
        <f>IF(OR(I258="",N(J258)=0),"",K258/J258)</f>
        <v/>
      </c>
      <c r="M258" s="12" t="n"/>
    </row>
    <row r="259">
      <c r="A259" s="14" t="n">
        <v>46547</v>
      </c>
      <c r="B259" s="7">
        <f>CHOOSE(WEEKDAY(A259,2),"lundi","mardi","mercredi","jeudi","vendredi","samedi","dimanche")</f>
        <v/>
      </c>
      <c r="C259" s="22" t="n"/>
      <c r="D259" s="22" t="n"/>
      <c r="E259" s="22" t="n"/>
      <c r="F259" s="22" t="n"/>
      <c r="G259" s="22" t="n"/>
      <c r="H259" s="22" t="n"/>
      <c r="I259" s="23">
        <f>IF(COUNT(C259:H259)=0,"",SUM(C259:H259))</f>
        <v/>
      </c>
      <c r="J259" s="11">
        <f>$I$3</f>
        <v/>
      </c>
      <c r="K259" s="23">
        <f>IF(I259="","",I259-J259)</f>
        <v/>
      </c>
      <c r="L259" s="24">
        <f>IF(OR(I259="",N(J259)=0),"",K259/J259)</f>
        <v/>
      </c>
      <c r="M259" s="12" t="n"/>
    </row>
    <row r="260">
      <c r="A260" s="14" t="n">
        <v>46548</v>
      </c>
      <c r="B260" s="7">
        <f>CHOOSE(WEEKDAY(A260,2),"lundi","mardi","mercredi","jeudi","vendredi","samedi","dimanche")</f>
        <v/>
      </c>
      <c r="C260" s="22" t="n"/>
      <c r="D260" s="22" t="n"/>
      <c r="E260" s="22" t="n"/>
      <c r="F260" s="22" t="n"/>
      <c r="G260" s="22" t="n"/>
      <c r="H260" s="22" t="n"/>
      <c r="I260" s="23">
        <f>IF(COUNT(C260:H260)=0,"",SUM(C260:H260))</f>
        <v/>
      </c>
      <c r="J260" s="11">
        <f>$I$3</f>
        <v/>
      </c>
      <c r="K260" s="23">
        <f>IF(I260="","",I260-J260)</f>
        <v/>
      </c>
      <c r="L260" s="24">
        <f>IF(OR(I260="",N(J260)=0),"",K260/J260)</f>
        <v/>
      </c>
      <c r="M260" s="12" t="n"/>
    </row>
    <row r="261">
      <c r="A261" s="14" t="n">
        <v>46549</v>
      </c>
      <c r="B261" s="7">
        <f>CHOOSE(WEEKDAY(A261,2),"lundi","mardi","mercredi","jeudi","vendredi","samedi","dimanche")</f>
        <v/>
      </c>
      <c r="C261" s="22" t="n"/>
      <c r="D261" s="22" t="n"/>
      <c r="E261" s="22" t="n"/>
      <c r="F261" s="22" t="n"/>
      <c r="G261" s="22" t="n"/>
      <c r="H261" s="22" t="n"/>
      <c r="I261" s="23">
        <f>IF(COUNT(C261:H261)=0,"",SUM(C261:H261))</f>
        <v/>
      </c>
      <c r="J261" s="11">
        <f>$I$3</f>
        <v/>
      </c>
      <c r="K261" s="23">
        <f>IF(I261="","",I261-J261)</f>
        <v/>
      </c>
      <c r="L261" s="24">
        <f>IF(OR(I261="",N(J261)=0),"",K261/J261)</f>
        <v/>
      </c>
      <c r="M261" s="12" t="n"/>
    </row>
    <row r="262">
      <c r="A262" s="14" t="n">
        <v>46550</v>
      </c>
      <c r="B262" s="7">
        <f>CHOOSE(WEEKDAY(A262,2),"lundi","mardi","mercredi","jeudi","vendredi","samedi","dimanche")</f>
        <v/>
      </c>
      <c r="C262" s="22" t="n"/>
      <c r="D262" s="22" t="n"/>
      <c r="E262" s="22" t="n"/>
      <c r="F262" s="22" t="n"/>
      <c r="G262" s="22" t="n"/>
      <c r="H262" s="22" t="n"/>
      <c r="I262" s="23">
        <f>IF(COUNT(C262:H262)=0,"",SUM(C262:H262))</f>
        <v/>
      </c>
      <c r="J262" s="11">
        <f>$I$3</f>
        <v/>
      </c>
      <c r="K262" s="23">
        <f>IF(I262="","",I262-J262)</f>
        <v/>
      </c>
      <c r="L262" s="24">
        <f>IF(OR(I262="",N(J262)=0),"",K262/J262)</f>
        <v/>
      </c>
      <c r="M262" s="12" t="n"/>
    </row>
    <row r="263">
      <c r="A263" s="14" t="n">
        <v>46551</v>
      </c>
      <c r="B263" s="7">
        <f>CHOOSE(WEEKDAY(A263,2),"lundi","mardi","mercredi","jeudi","vendredi","samedi","dimanche")</f>
        <v/>
      </c>
      <c r="C263" s="22" t="n"/>
      <c r="D263" s="22" t="n"/>
      <c r="E263" s="22" t="n"/>
      <c r="F263" s="22" t="n"/>
      <c r="G263" s="22" t="n"/>
      <c r="H263" s="22" t="n"/>
      <c r="I263" s="23">
        <f>IF(COUNT(C263:H263)=0,"",SUM(C263:H263))</f>
        <v/>
      </c>
      <c r="J263" s="11">
        <f>$I$3</f>
        <v/>
      </c>
      <c r="K263" s="23">
        <f>IF(I263="","",I263-J263)</f>
        <v/>
      </c>
      <c r="L263" s="24">
        <f>IF(OR(I263="",N(J263)=0),"",K263/J263)</f>
        <v/>
      </c>
      <c r="M263" s="12" t="n"/>
    </row>
    <row r="264">
      <c r="A264" s="25" t="n">
        <v>46552</v>
      </c>
      <c r="B264" s="26">
        <f>CHOOSE(WEEKDAY(A264,2),"lundi","mardi","mercredi","jeudi","vendredi","samedi","dimanche")</f>
        <v/>
      </c>
      <c r="C264" s="22" t="n"/>
      <c r="D264" s="22" t="n"/>
      <c r="E264" s="22" t="n"/>
      <c r="F264" s="22" t="n"/>
      <c r="G264" s="22" t="n"/>
      <c r="H264" s="22" t="n"/>
      <c r="I264" s="23">
        <f>IF(COUNT(C264:H264)=0,"",SUM(C264:H264))</f>
        <v/>
      </c>
      <c r="J264" s="11">
        <f>$I$3</f>
        <v/>
      </c>
      <c r="K264" s="23">
        <f>IF(I264="","",I264-J264)</f>
        <v/>
      </c>
      <c r="L264" s="24">
        <f>IF(OR(I264="",N(J264)=0),"",K264/J264)</f>
        <v/>
      </c>
      <c r="M264" s="12" t="n"/>
    </row>
    <row r="265">
      <c r="A265" s="14" t="n">
        <v>46553</v>
      </c>
      <c r="B265" s="7">
        <f>CHOOSE(WEEKDAY(A265,2),"lundi","mardi","mercredi","jeudi","vendredi","samedi","dimanche")</f>
        <v/>
      </c>
      <c r="C265" s="22" t="n"/>
      <c r="D265" s="22" t="n"/>
      <c r="E265" s="22" t="n"/>
      <c r="F265" s="22" t="n"/>
      <c r="G265" s="22" t="n"/>
      <c r="H265" s="22" t="n"/>
      <c r="I265" s="23">
        <f>IF(COUNT(C265:H265)=0,"",SUM(C265:H265))</f>
        <v/>
      </c>
      <c r="J265" s="11">
        <f>$I$3</f>
        <v/>
      </c>
      <c r="K265" s="23">
        <f>IF(I265="","",I265-J265)</f>
        <v/>
      </c>
      <c r="L265" s="24">
        <f>IF(OR(I265="",N(J265)=0),"",K265/J265)</f>
        <v/>
      </c>
      <c r="M265" s="12" t="n"/>
    </row>
    <row r="266">
      <c r="A266" s="14" t="n">
        <v>46554</v>
      </c>
      <c r="B266" s="7">
        <f>CHOOSE(WEEKDAY(A266,2),"lundi","mardi","mercredi","jeudi","vendredi","samedi","dimanche")</f>
        <v/>
      </c>
      <c r="C266" s="22" t="n"/>
      <c r="D266" s="22" t="n"/>
      <c r="E266" s="22" t="n"/>
      <c r="F266" s="22" t="n"/>
      <c r="G266" s="22" t="n"/>
      <c r="H266" s="22" t="n"/>
      <c r="I266" s="23">
        <f>IF(COUNT(C266:H266)=0,"",SUM(C266:H266))</f>
        <v/>
      </c>
      <c r="J266" s="11">
        <f>$I$3</f>
        <v/>
      </c>
      <c r="K266" s="23">
        <f>IF(I266="","",I266-J266)</f>
        <v/>
      </c>
      <c r="L266" s="24">
        <f>IF(OR(I266="",N(J266)=0),"",K266/J266)</f>
        <v/>
      </c>
      <c r="M266" s="12" t="n"/>
    </row>
    <row r="267">
      <c r="A267" s="14" t="n">
        <v>46555</v>
      </c>
      <c r="B267" s="7">
        <f>CHOOSE(WEEKDAY(A267,2),"lundi","mardi","mercredi","jeudi","vendredi","samedi","dimanche")</f>
        <v/>
      </c>
      <c r="C267" s="22" t="n"/>
      <c r="D267" s="22" t="n"/>
      <c r="E267" s="22" t="n"/>
      <c r="F267" s="22" t="n"/>
      <c r="G267" s="22" t="n"/>
      <c r="H267" s="22" t="n"/>
      <c r="I267" s="23">
        <f>IF(COUNT(C267:H267)=0,"",SUM(C267:H267))</f>
        <v/>
      </c>
      <c r="J267" s="11">
        <f>$I$3</f>
        <v/>
      </c>
      <c r="K267" s="23">
        <f>IF(I267="","",I267-J267)</f>
        <v/>
      </c>
      <c r="L267" s="24">
        <f>IF(OR(I267="",N(J267)=0),"",K267/J267)</f>
        <v/>
      </c>
      <c r="M267" s="12" t="n"/>
    </row>
    <row r="268">
      <c r="A268" s="14" t="n">
        <v>46556</v>
      </c>
      <c r="B268" s="7">
        <f>CHOOSE(WEEKDAY(A268,2),"lundi","mardi","mercredi","jeudi","vendredi","samedi","dimanche")</f>
        <v/>
      </c>
      <c r="C268" s="22" t="n"/>
      <c r="D268" s="22" t="n"/>
      <c r="E268" s="22" t="n"/>
      <c r="F268" s="22" t="n"/>
      <c r="G268" s="22" t="n"/>
      <c r="H268" s="22" t="n"/>
      <c r="I268" s="23">
        <f>IF(COUNT(C268:H268)=0,"",SUM(C268:H268))</f>
        <v/>
      </c>
      <c r="J268" s="11">
        <f>$I$3</f>
        <v/>
      </c>
      <c r="K268" s="23">
        <f>IF(I268="","",I268-J268)</f>
        <v/>
      </c>
      <c r="L268" s="24">
        <f>IF(OR(I268="",N(J268)=0),"",K268/J268)</f>
        <v/>
      </c>
      <c r="M268" s="12" t="n"/>
    </row>
    <row r="269">
      <c r="A269" s="14" t="n">
        <v>46557</v>
      </c>
      <c r="B269" s="7">
        <f>CHOOSE(WEEKDAY(A269,2),"lundi","mardi","mercredi","jeudi","vendredi","samedi","dimanche")</f>
        <v/>
      </c>
      <c r="C269" s="22" t="n"/>
      <c r="D269" s="22" t="n"/>
      <c r="E269" s="22" t="n"/>
      <c r="F269" s="22" t="n"/>
      <c r="G269" s="22" t="n"/>
      <c r="H269" s="22" t="n"/>
      <c r="I269" s="23">
        <f>IF(COUNT(C269:H269)=0,"",SUM(C269:H269))</f>
        <v/>
      </c>
      <c r="J269" s="11">
        <f>$I$3</f>
        <v/>
      </c>
      <c r="K269" s="23">
        <f>IF(I269="","",I269-J269)</f>
        <v/>
      </c>
      <c r="L269" s="24">
        <f>IF(OR(I269="",N(J269)=0),"",K269/J269)</f>
        <v/>
      </c>
      <c r="M269" s="12" t="n"/>
    </row>
    <row r="270">
      <c r="A270" s="14" t="n">
        <v>46558</v>
      </c>
      <c r="B270" s="7">
        <f>CHOOSE(WEEKDAY(A270,2),"lundi","mardi","mercredi","jeudi","vendredi","samedi","dimanche")</f>
        <v/>
      </c>
      <c r="C270" s="22" t="n"/>
      <c r="D270" s="22" t="n"/>
      <c r="E270" s="22" t="n"/>
      <c r="F270" s="22" t="n"/>
      <c r="G270" s="22" t="n"/>
      <c r="H270" s="22" t="n"/>
      <c r="I270" s="23">
        <f>IF(COUNT(C270:H270)=0,"",SUM(C270:H270))</f>
        <v/>
      </c>
      <c r="J270" s="11">
        <f>$I$3</f>
        <v/>
      </c>
      <c r="K270" s="23">
        <f>IF(I270="","",I270-J270)</f>
        <v/>
      </c>
      <c r="L270" s="24">
        <f>IF(OR(I270="",N(J270)=0),"",K270/J270)</f>
        <v/>
      </c>
      <c r="M270" s="12" t="n"/>
    </row>
    <row r="271">
      <c r="A271" s="25" t="n">
        <v>46559</v>
      </c>
      <c r="B271" s="26">
        <f>CHOOSE(WEEKDAY(A271,2),"lundi","mardi","mercredi","jeudi","vendredi","samedi","dimanche")</f>
        <v/>
      </c>
      <c r="C271" s="22" t="n"/>
      <c r="D271" s="22" t="n"/>
      <c r="E271" s="22" t="n"/>
      <c r="F271" s="22" t="n"/>
      <c r="G271" s="22" t="n"/>
      <c r="H271" s="22" t="n"/>
      <c r="I271" s="23">
        <f>IF(COUNT(C271:H271)=0,"",SUM(C271:H271))</f>
        <v/>
      </c>
      <c r="J271" s="11">
        <f>$I$3</f>
        <v/>
      </c>
      <c r="K271" s="23">
        <f>IF(I271="","",I271-J271)</f>
        <v/>
      </c>
      <c r="L271" s="24">
        <f>IF(OR(I271="",N(J271)=0),"",K271/J271)</f>
        <v/>
      </c>
      <c r="M271" s="12" t="n"/>
    </row>
    <row r="272">
      <c r="A272" s="14" t="n">
        <v>46560</v>
      </c>
      <c r="B272" s="7">
        <f>CHOOSE(WEEKDAY(A272,2),"lundi","mardi","mercredi","jeudi","vendredi","samedi","dimanche")</f>
        <v/>
      </c>
      <c r="C272" s="22" t="n"/>
      <c r="D272" s="22" t="n"/>
      <c r="E272" s="22" t="n"/>
      <c r="F272" s="22" t="n"/>
      <c r="G272" s="22" t="n"/>
      <c r="H272" s="22" t="n"/>
      <c r="I272" s="23">
        <f>IF(COUNT(C272:H272)=0,"",SUM(C272:H272))</f>
        <v/>
      </c>
      <c r="J272" s="11">
        <f>$I$3</f>
        <v/>
      </c>
      <c r="K272" s="23">
        <f>IF(I272="","",I272-J272)</f>
        <v/>
      </c>
      <c r="L272" s="24">
        <f>IF(OR(I272="",N(J272)=0),"",K272/J272)</f>
        <v/>
      </c>
      <c r="M272" s="12" t="n"/>
    </row>
    <row r="273">
      <c r="A273" s="14" t="n">
        <v>46561</v>
      </c>
      <c r="B273" s="7">
        <f>CHOOSE(WEEKDAY(A273,2),"lundi","mardi","mercredi","jeudi","vendredi","samedi","dimanche")</f>
        <v/>
      </c>
      <c r="C273" s="22" t="n"/>
      <c r="D273" s="22" t="n"/>
      <c r="E273" s="22" t="n"/>
      <c r="F273" s="22" t="n"/>
      <c r="G273" s="22" t="n"/>
      <c r="H273" s="22" t="n"/>
      <c r="I273" s="23">
        <f>IF(COUNT(C273:H273)=0,"",SUM(C273:H273))</f>
        <v/>
      </c>
      <c r="J273" s="11">
        <f>$I$3</f>
        <v/>
      </c>
      <c r="K273" s="23">
        <f>IF(I273="","",I273-J273)</f>
        <v/>
      </c>
      <c r="L273" s="24">
        <f>IF(OR(I273="",N(J273)=0),"",K273/J273)</f>
        <v/>
      </c>
      <c r="M273" s="12" t="n"/>
    </row>
    <row r="274">
      <c r="A274" s="14" t="n">
        <v>46562</v>
      </c>
      <c r="B274" s="7">
        <f>CHOOSE(WEEKDAY(A274,2),"lundi","mardi","mercredi","jeudi","vendredi","samedi","dimanche")</f>
        <v/>
      </c>
      <c r="C274" s="22" t="n"/>
      <c r="D274" s="22" t="n"/>
      <c r="E274" s="22" t="n"/>
      <c r="F274" s="22" t="n"/>
      <c r="G274" s="22" t="n"/>
      <c r="H274" s="22" t="n"/>
      <c r="I274" s="23">
        <f>IF(COUNT(C274:H274)=0,"",SUM(C274:H274))</f>
        <v/>
      </c>
      <c r="J274" s="11">
        <f>$I$3</f>
        <v/>
      </c>
      <c r="K274" s="23">
        <f>IF(I274="","",I274-J274)</f>
        <v/>
      </c>
      <c r="L274" s="24">
        <f>IF(OR(I274="",N(J274)=0),"",K274/J274)</f>
        <v/>
      </c>
      <c r="M274" s="12" t="n"/>
    </row>
    <row r="275">
      <c r="A275" s="14" t="n">
        <v>46563</v>
      </c>
      <c r="B275" s="7">
        <f>CHOOSE(WEEKDAY(A275,2),"lundi","mardi","mercredi","jeudi","vendredi","samedi","dimanche")</f>
        <v/>
      </c>
      <c r="C275" s="22" t="n"/>
      <c r="D275" s="22" t="n"/>
      <c r="E275" s="22" t="n"/>
      <c r="F275" s="22" t="n"/>
      <c r="G275" s="22" t="n"/>
      <c r="H275" s="22" t="n"/>
      <c r="I275" s="23">
        <f>IF(COUNT(C275:H275)=0,"",SUM(C275:H275))</f>
        <v/>
      </c>
      <c r="J275" s="11">
        <f>$I$3</f>
        <v/>
      </c>
      <c r="K275" s="23">
        <f>IF(I275="","",I275-J275)</f>
        <v/>
      </c>
      <c r="L275" s="24">
        <f>IF(OR(I275="",N(J275)=0),"",K275/J275)</f>
        <v/>
      </c>
      <c r="M275" s="12" t="n"/>
    </row>
    <row r="276">
      <c r="A276" s="14" t="n">
        <v>46564</v>
      </c>
      <c r="B276" s="7">
        <f>CHOOSE(WEEKDAY(A276,2),"lundi","mardi","mercredi","jeudi","vendredi","samedi","dimanche")</f>
        <v/>
      </c>
      <c r="C276" s="22" t="n"/>
      <c r="D276" s="22" t="n"/>
      <c r="E276" s="22" t="n"/>
      <c r="F276" s="22" t="n"/>
      <c r="G276" s="22" t="n"/>
      <c r="H276" s="22" t="n"/>
      <c r="I276" s="23">
        <f>IF(COUNT(C276:H276)=0,"",SUM(C276:H276))</f>
        <v/>
      </c>
      <c r="J276" s="11">
        <f>$I$3</f>
        <v/>
      </c>
      <c r="K276" s="23">
        <f>IF(I276="","",I276-J276)</f>
        <v/>
      </c>
      <c r="L276" s="24">
        <f>IF(OR(I276="",N(J276)=0),"",K276/J276)</f>
        <v/>
      </c>
      <c r="M276" s="12" t="n"/>
    </row>
    <row r="277">
      <c r="A277" s="14" t="n">
        <v>46565</v>
      </c>
      <c r="B277" s="7">
        <f>CHOOSE(WEEKDAY(A277,2),"lundi","mardi","mercredi","jeudi","vendredi","samedi","dimanche")</f>
        <v/>
      </c>
      <c r="C277" s="22" t="n"/>
      <c r="D277" s="22" t="n"/>
      <c r="E277" s="22" t="n"/>
      <c r="F277" s="22" t="n"/>
      <c r="G277" s="22" t="n"/>
      <c r="H277" s="22" t="n"/>
      <c r="I277" s="23">
        <f>IF(COUNT(C277:H277)=0,"",SUM(C277:H277))</f>
        <v/>
      </c>
      <c r="J277" s="11">
        <f>$I$3</f>
        <v/>
      </c>
      <c r="K277" s="23">
        <f>IF(I277="","",I277-J277)</f>
        <v/>
      </c>
      <c r="L277" s="24">
        <f>IF(OR(I277="",N(J277)=0),"",K277/J277)</f>
        <v/>
      </c>
      <c r="M277" s="12" t="n"/>
    </row>
    <row r="278">
      <c r="A278" s="25" t="n">
        <v>46566</v>
      </c>
      <c r="B278" s="26">
        <f>CHOOSE(WEEKDAY(A278,2),"lundi","mardi","mercredi","jeudi","vendredi","samedi","dimanche")</f>
        <v/>
      </c>
      <c r="C278" s="22" t="n"/>
      <c r="D278" s="22" t="n"/>
      <c r="E278" s="22" t="n"/>
      <c r="F278" s="22" t="n"/>
      <c r="G278" s="22" t="n"/>
      <c r="H278" s="22" t="n"/>
      <c r="I278" s="23">
        <f>IF(COUNT(C278:H278)=0,"",SUM(C278:H278))</f>
        <v/>
      </c>
      <c r="J278" s="11">
        <f>$I$3</f>
        <v/>
      </c>
      <c r="K278" s="23">
        <f>IF(I278="","",I278-J278)</f>
        <v/>
      </c>
      <c r="L278" s="24">
        <f>IF(OR(I278="",N(J278)=0),"",K278/J278)</f>
        <v/>
      </c>
      <c r="M278" s="12" t="n"/>
    </row>
    <row r="279">
      <c r="A279" s="14" t="n">
        <v>46567</v>
      </c>
      <c r="B279" s="7">
        <f>CHOOSE(WEEKDAY(A279,2),"lundi","mardi","mercredi","jeudi","vendredi","samedi","dimanche")</f>
        <v/>
      </c>
      <c r="C279" s="22" t="n"/>
      <c r="D279" s="22" t="n"/>
      <c r="E279" s="22" t="n"/>
      <c r="F279" s="22" t="n"/>
      <c r="G279" s="22" t="n"/>
      <c r="H279" s="22" t="n"/>
      <c r="I279" s="23">
        <f>IF(COUNT(C279:H279)=0,"",SUM(C279:H279))</f>
        <v/>
      </c>
      <c r="J279" s="11">
        <f>$I$3</f>
        <v/>
      </c>
      <c r="K279" s="23">
        <f>IF(I279="","",I279-J279)</f>
        <v/>
      </c>
      <c r="L279" s="24">
        <f>IF(OR(I279="",N(J279)=0),"",K279/J279)</f>
        <v/>
      </c>
      <c r="M279" s="12" t="n"/>
    </row>
    <row r="280">
      <c r="A280" s="14" t="n">
        <v>46568</v>
      </c>
      <c r="B280" s="7">
        <f>CHOOSE(WEEKDAY(A280,2),"lundi","mardi","mercredi","jeudi","vendredi","samedi","dimanche")</f>
        <v/>
      </c>
      <c r="C280" s="22" t="n"/>
      <c r="D280" s="22" t="n"/>
      <c r="E280" s="22" t="n"/>
      <c r="F280" s="22" t="n"/>
      <c r="G280" s="22" t="n"/>
      <c r="H280" s="22" t="n"/>
      <c r="I280" s="23">
        <f>IF(COUNT(C280:H280)=0,"",SUM(C280:H280))</f>
        <v/>
      </c>
      <c r="J280" s="11">
        <f>$I$3</f>
        <v/>
      </c>
      <c r="K280" s="23">
        <f>IF(I280="","",I280-J280)</f>
        <v/>
      </c>
      <c r="L280" s="24">
        <f>IF(OR(I280="",N(J280)=0),"",K280/J280)</f>
        <v/>
      </c>
      <c r="M280" s="12" t="n"/>
    </row>
    <row r="281">
      <c r="A281" s="14" t="n">
        <v>46569</v>
      </c>
      <c r="B281" s="7">
        <f>CHOOSE(WEEKDAY(A281,2),"lundi","mardi","mercredi","jeudi","vendredi","samedi","dimanche")</f>
        <v/>
      </c>
      <c r="C281" s="22" t="n"/>
      <c r="D281" s="22" t="n"/>
      <c r="E281" s="22" t="n"/>
      <c r="F281" s="22" t="n"/>
      <c r="G281" s="22" t="n"/>
      <c r="H281" s="22" t="n"/>
      <c r="I281" s="23">
        <f>IF(COUNT(C281:H281)=0,"",SUM(C281:H281))</f>
        <v/>
      </c>
      <c r="J281" s="11">
        <f>$I$3</f>
        <v/>
      </c>
      <c r="K281" s="23">
        <f>IF(I281="","",I281-J281)</f>
        <v/>
      </c>
      <c r="L281" s="24">
        <f>IF(OR(I281="",N(J281)=0),"",K281/J281)</f>
        <v/>
      </c>
      <c r="M281" s="12" t="n"/>
    </row>
    <row r="282">
      <c r="A282" s="14" t="n">
        <v>46570</v>
      </c>
      <c r="B282" s="7">
        <f>CHOOSE(WEEKDAY(A282,2),"lundi","mardi","mercredi","jeudi","vendredi","samedi","dimanche")</f>
        <v/>
      </c>
      <c r="C282" s="22" t="n"/>
      <c r="D282" s="22" t="n"/>
      <c r="E282" s="22" t="n"/>
      <c r="F282" s="22" t="n"/>
      <c r="G282" s="22" t="n"/>
      <c r="H282" s="22" t="n"/>
      <c r="I282" s="23">
        <f>IF(COUNT(C282:H282)=0,"",SUM(C282:H282))</f>
        <v/>
      </c>
      <c r="J282" s="11">
        <f>$I$3</f>
        <v/>
      </c>
      <c r="K282" s="23">
        <f>IF(I282="","",I282-J282)</f>
        <v/>
      </c>
      <c r="L282" s="24">
        <f>IF(OR(I282="",N(J282)=0),"",K282/J282)</f>
        <v/>
      </c>
      <c r="M282" s="12" t="n"/>
    </row>
    <row r="283">
      <c r="A283" s="14" t="n">
        <v>46571</v>
      </c>
      <c r="B283" s="7">
        <f>CHOOSE(WEEKDAY(A283,2),"lundi","mardi","mercredi","jeudi","vendredi","samedi","dimanche")</f>
        <v/>
      </c>
      <c r="C283" s="22" t="n"/>
      <c r="D283" s="22" t="n"/>
      <c r="E283" s="22" t="n"/>
      <c r="F283" s="22" t="n"/>
      <c r="G283" s="22" t="n"/>
      <c r="H283" s="22" t="n"/>
      <c r="I283" s="23">
        <f>IF(COUNT(C283:H283)=0,"",SUM(C283:H283))</f>
        <v/>
      </c>
      <c r="J283" s="11">
        <f>$I$3</f>
        <v/>
      </c>
      <c r="K283" s="23">
        <f>IF(I283="","",I283-J283)</f>
        <v/>
      </c>
      <c r="L283" s="24">
        <f>IF(OR(I283="",N(J283)=0),"",K283/J283)</f>
        <v/>
      </c>
      <c r="M283" s="12" t="n"/>
    </row>
    <row r="284">
      <c r="A284" s="14" t="n">
        <v>46572</v>
      </c>
      <c r="B284" s="7">
        <f>CHOOSE(WEEKDAY(A284,2),"lundi","mardi","mercredi","jeudi","vendredi","samedi","dimanche")</f>
        <v/>
      </c>
      <c r="C284" s="22" t="n"/>
      <c r="D284" s="22" t="n"/>
      <c r="E284" s="22" t="n"/>
      <c r="F284" s="22" t="n"/>
      <c r="G284" s="22" t="n"/>
      <c r="H284" s="22" t="n"/>
      <c r="I284" s="23">
        <f>IF(COUNT(C284:H284)=0,"",SUM(C284:H284))</f>
        <v/>
      </c>
      <c r="J284" s="11">
        <f>$I$3</f>
        <v/>
      </c>
      <c r="K284" s="23">
        <f>IF(I284="","",I284-J284)</f>
        <v/>
      </c>
      <c r="L284" s="24">
        <f>IF(OR(I284="",N(J284)=0),"",K284/J284)</f>
        <v/>
      </c>
      <c r="M284" s="12" t="n"/>
    </row>
    <row r="285">
      <c r="A285" s="25" t="n">
        <v>46573</v>
      </c>
      <c r="B285" s="26">
        <f>CHOOSE(WEEKDAY(A285,2),"lundi","mardi","mercredi","jeudi","vendredi","samedi","dimanche")</f>
        <v/>
      </c>
      <c r="C285" s="22" t="n"/>
      <c r="D285" s="22" t="n"/>
      <c r="E285" s="22" t="n"/>
      <c r="F285" s="22" t="n"/>
      <c r="G285" s="22" t="n"/>
      <c r="H285" s="22" t="n"/>
      <c r="I285" s="23">
        <f>IF(COUNT(C285:H285)=0,"",SUM(C285:H285))</f>
        <v/>
      </c>
      <c r="J285" s="11">
        <f>$I$3</f>
        <v/>
      </c>
      <c r="K285" s="23">
        <f>IF(I285="","",I285-J285)</f>
        <v/>
      </c>
      <c r="L285" s="24">
        <f>IF(OR(I285="",N(J285)=0),"",K285/J285)</f>
        <v/>
      </c>
      <c r="M285" s="12" t="n"/>
    </row>
    <row r="286">
      <c r="A286" s="14" t="n">
        <v>46574</v>
      </c>
      <c r="B286" s="7">
        <f>CHOOSE(WEEKDAY(A286,2),"lundi","mardi","mercredi","jeudi","vendredi","samedi","dimanche")</f>
        <v/>
      </c>
      <c r="C286" s="22" t="n"/>
      <c r="D286" s="22" t="n"/>
      <c r="E286" s="22" t="n"/>
      <c r="F286" s="22" t="n"/>
      <c r="G286" s="22" t="n"/>
      <c r="H286" s="22" t="n"/>
      <c r="I286" s="23">
        <f>IF(COUNT(C286:H286)=0,"",SUM(C286:H286))</f>
        <v/>
      </c>
      <c r="J286" s="11">
        <f>$I$3</f>
        <v/>
      </c>
      <c r="K286" s="23">
        <f>IF(I286="","",I286-J286)</f>
        <v/>
      </c>
      <c r="L286" s="24">
        <f>IF(OR(I286="",N(J286)=0),"",K286/J286)</f>
        <v/>
      </c>
      <c r="M286" s="12" t="n"/>
    </row>
    <row r="287">
      <c r="A287" s="14" t="n">
        <v>46575</v>
      </c>
      <c r="B287" s="7">
        <f>CHOOSE(WEEKDAY(A287,2),"lundi","mardi","mercredi","jeudi","vendredi","samedi","dimanche")</f>
        <v/>
      </c>
      <c r="C287" s="22" t="n"/>
      <c r="D287" s="22" t="n"/>
      <c r="E287" s="22" t="n"/>
      <c r="F287" s="22" t="n"/>
      <c r="G287" s="22" t="n"/>
      <c r="H287" s="22" t="n"/>
      <c r="I287" s="23">
        <f>IF(COUNT(C287:H287)=0,"",SUM(C287:H287))</f>
        <v/>
      </c>
      <c r="J287" s="11">
        <f>$I$3</f>
        <v/>
      </c>
      <c r="K287" s="23">
        <f>IF(I287="","",I287-J287)</f>
        <v/>
      </c>
      <c r="L287" s="24">
        <f>IF(OR(I287="",N(J287)=0),"",K287/J287)</f>
        <v/>
      </c>
      <c r="M287" s="12" t="n"/>
    </row>
    <row r="288">
      <c r="A288" s="14" t="n">
        <v>46576</v>
      </c>
      <c r="B288" s="7">
        <f>CHOOSE(WEEKDAY(A288,2),"lundi","mardi","mercredi","jeudi","vendredi","samedi","dimanche")</f>
        <v/>
      </c>
      <c r="C288" s="22" t="n"/>
      <c r="D288" s="22" t="n"/>
      <c r="E288" s="22" t="n"/>
      <c r="F288" s="22" t="n"/>
      <c r="G288" s="22" t="n"/>
      <c r="H288" s="22" t="n"/>
      <c r="I288" s="23">
        <f>IF(COUNT(C288:H288)=0,"",SUM(C288:H288))</f>
        <v/>
      </c>
      <c r="J288" s="11">
        <f>$I$3</f>
        <v/>
      </c>
      <c r="K288" s="23">
        <f>IF(I288="","",I288-J288)</f>
        <v/>
      </c>
      <c r="L288" s="24">
        <f>IF(OR(I288="",N(J288)=0),"",K288/J288)</f>
        <v/>
      </c>
      <c r="M288" s="12" t="n"/>
    </row>
    <row r="289">
      <c r="A289" s="14" t="n">
        <v>46577</v>
      </c>
      <c r="B289" s="7">
        <f>CHOOSE(WEEKDAY(A289,2),"lundi","mardi","mercredi","jeudi","vendredi","samedi","dimanche")</f>
        <v/>
      </c>
      <c r="C289" s="22" t="n"/>
      <c r="D289" s="22" t="n"/>
      <c r="E289" s="22" t="n"/>
      <c r="F289" s="22" t="n"/>
      <c r="G289" s="22" t="n"/>
      <c r="H289" s="22" t="n"/>
      <c r="I289" s="23">
        <f>IF(COUNT(C289:H289)=0,"",SUM(C289:H289))</f>
        <v/>
      </c>
      <c r="J289" s="11">
        <f>$I$3</f>
        <v/>
      </c>
      <c r="K289" s="23">
        <f>IF(I289="","",I289-J289)</f>
        <v/>
      </c>
      <c r="L289" s="24">
        <f>IF(OR(I289="",N(J289)=0),"",K289/J289)</f>
        <v/>
      </c>
      <c r="M289" s="12" t="n"/>
    </row>
    <row r="290">
      <c r="A290" s="14" t="n">
        <v>46578</v>
      </c>
      <c r="B290" s="7">
        <f>CHOOSE(WEEKDAY(A290,2),"lundi","mardi","mercredi","jeudi","vendredi","samedi","dimanche")</f>
        <v/>
      </c>
      <c r="C290" s="22" t="n"/>
      <c r="D290" s="22" t="n"/>
      <c r="E290" s="22" t="n"/>
      <c r="F290" s="22" t="n"/>
      <c r="G290" s="22" t="n"/>
      <c r="H290" s="22" t="n"/>
      <c r="I290" s="23">
        <f>IF(COUNT(C290:H290)=0,"",SUM(C290:H290))</f>
        <v/>
      </c>
      <c r="J290" s="11">
        <f>$I$3</f>
        <v/>
      </c>
      <c r="K290" s="23">
        <f>IF(I290="","",I290-J290)</f>
        <v/>
      </c>
      <c r="L290" s="24">
        <f>IF(OR(I290="",N(J290)=0),"",K290/J290)</f>
        <v/>
      </c>
      <c r="M290" s="12" t="n"/>
    </row>
    <row r="291">
      <c r="A291" s="14" t="n">
        <v>46579</v>
      </c>
      <c r="B291" s="7">
        <f>CHOOSE(WEEKDAY(A291,2),"lundi","mardi","mercredi","jeudi","vendredi","samedi","dimanche")</f>
        <v/>
      </c>
      <c r="C291" s="22" t="n"/>
      <c r="D291" s="22" t="n"/>
      <c r="E291" s="22" t="n"/>
      <c r="F291" s="22" t="n"/>
      <c r="G291" s="22" t="n"/>
      <c r="H291" s="22" t="n"/>
      <c r="I291" s="23">
        <f>IF(COUNT(C291:H291)=0,"",SUM(C291:H291))</f>
        <v/>
      </c>
      <c r="J291" s="11">
        <f>$I$3</f>
        <v/>
      </c>
      <c r="K291" s="23">
        <f>IF(I291="","",I291-J291)</f>
        <v/>
      </c>
      <c r="L291" s="24">
        <f>IF(OR(I291="",N(J291)=0),"",K291/J291)</f>
        <v/>
      </c>
      <c r="M291" s="12" t="n"/>
    </row>
    <row r="292">
      <c r="A292" s="25" t="n">
        <v>46580</v>
      </c>
      <c r="B292" s="26">
        <f>CHOOSE(WEEKDAY(A292,2),"lundi","mardi","mercredi","jeudi","vendredi","samedi","dimanche")</f>
        <v/>
      </c>
      <c r="C292" s="22" t="n"/>
      <c r="D292" s="22" t="n"/>
      <c r="E292" s="22" t="n"/>
      <c r="F292" s="22" t="n"/>
      <c r="G292" s="22" t="n"/>
      <c r="H292" s="22" t="n"/>
      <c r="I292" s="23">
        <f>IF(COUNT(C292:H292)=0,"",SUM(C292:H292))</f>
        <v/>
      </c>
      <c r="J292" s="11">
        <f>$I$3</f>
        <v/>
      </c>
      <c r="K292" s="23">
        <f>IF(I292="","",I292-J292)</f>
        <v/>
      </c>
      <c r="L292" s="24">
        <f>IF(OR(I292="",N(J292)=0),"",K292/J292)</f>
        <v/>
      </c>
      <c r="M292" s="12" t="n"/>
    </row>
    <row r="293">
      <c r="A293" s="14" t="n">
        <v>46581</v>
      </c>
      <c r="B293" s="7">
        <f>CHOOSE(WEEKDAY(A293,2),"lundi","mardi","mercredi","jeudi","vendredi","samedi","dimanche")</f>
        <v/>
      </c>
      <c r="C293" s="22" t="n"/>
      <c r="D293" s="22" t="n"/>
      <c r="E293" s="22" t="n"/>
      <c r="F293" s="22" t="n"/>
      <c r="G293" s="22" t="n"/>
      <c r="H293" s="22" t="n"/>
      <c r="I293" s="23">
        <f>IF(COUNT(C293:H293)=0,"",SUM(C293:H293))</f>
        <v/>
      </c>
      <c r="J293" s="11">
        <f>$I$3</f>
        <v/>
      </c>
      <c r="K293" s="23">
        <f>IF(I293="","",I293-J293)</f>
        <v/>
      </c>
      <c r="L293" s="24">
        <f>IF(OR(I293="",N(J293)=0),"",K293/J293)</f>
        <v/>
      </c>
      <c r="M293" s="12" t="n"/>
    </row>
    <row r="294">
      <c r="A294" s="14" t="n">
        <v>46582</v>
      </c>
      <c r="B294" s="7">
        <f>CHOOSE(WEEKDAY(A294,2),"lundi","mardi","mercredi","jeudi","vendredi","samedi","dimanche")</f>
        <v/>
      </c>
      <c r="C294" s="22" t="n"/>
      <c r="D294" s="22" t="n"/>
      <c r="E294" s="22" t="n"/>
      <c r="F294" s="22" t="n"/>
      <c r="G294" s="22" t="n"/>
      <c r="H294" s="22" t="n"/>
      <c r="I294" s="23">
        <f>IF(COUNT(C294:H294)=0,"",SUM(C294:H294))</f>
        <v/>
      </c>
      <c r="J294" s="11">
        <f>$I$3</f>
        <v/>
      </c>
      <c r="K294" s="23">
        <f>IF(I294="","",I294-J294)</f>
        <v/>
      </c>
      <c r="L294" s="24">
        <f>IF(OR(I294="",N(J294)=0),"",K294/J294)</f>
        <v/>
      </c>
      <c r="M294" s="12" t="n"/>
    </row>
    <row r="295">
      <c r="A295" s="14" t="n">
        <v>46583</v>
      </c>
      <c r="B295" s="7">
        <f>CHOOSE(WEEKDAY(A295,2),"lundi","mardi","mercredi","jeudi","vendredi","samedi","dimanche")</f>
        <v/>
      </c>
      <c r="C295" s="22" t="n"/>
      <c r="D295" s="22" t="n"/>
      <c r="E295" s="22" t="n"/>
      <c r="F295" s="22" t="n"/>
      <c r="G295" s="22" t="n"/>
      <c r="H295" s="22" t="n"/>
      <c r="I295" s="23">
        <f>IF(COUNT(C295:H295)=0,"",SUM(C295:H295))</f>
        <v/>
      </c>
      <c r="J295" s="11">
        <f>$I$3</f>
        <v/>
      </c>
      <c r="K295" s="23">
        <f>IF(I295="","",I295-J295)</f>
        <v/>
      </c>
      <c r="L295" s="24">
        <f>IF(OR(I295="",N(J295)=0),"",K295/J295)</f>
        <v/>
      </c>
      <c r="M295" s="12" t="n"/>
    </row>
    <row r="296">
      <c r="A296" s="14" t="n">
        <v>46584</v>
      </c>
      <c r="B296" s="7">
        <f>CHOOSE(WEEKDAY(A296,2),"lundi","mardi","mercredi","jeudi","vendredi","samedi","dimanche")</f>
        <v/>
      </c>
      <c r="C296" s="22" t="n"/>
      <c r="D296" s="22" t="n"/>
      <c r="E296" s="22" t="n"/>
      <c r="F296" s="22" t="n"/>
      <c r="G296" s="22" t="n"/>
      <c r="H296" s="22" t="n"/>
      <c r="I296" s="23">
        <f>IF(COUNT(C296:H296)=0,"",SUM(C296:H296))</f>
        <v/>
      </c>
      <c r="J296" s="11">
        <f>$I$3</f>
        <v/>
      </c>
      <c r="K296" s="23">
        <f>IF(I296="","",I296-J296)</f>
        <v/>
      </c>
      <c r="L296" s="24">
        <f>IF(OR(I296="",N(J296)=0),"",K296/J296)</f>
        <v/>
      </c>
      <c r="M296" s="12" t="n"/>
    </row>
    <row r="297">
      <c r="A297" s="14" t="n">
        <v>46585</v>
      </c>
      <c r="B297" s="7">
        <f>CHOOSE(WEEKDAY(A297,2),"lundi","mardi","mercredi","jeudi","vendredi","samedi","dimanche")</f>
        <v/>
      </c>
      <c r="C297" s="22" t="n"/>
      <c r="D297" s="22" t="n"/>
      <c r="E297" s="22" t="n"/>
      <c r="F297" s="22" t="n"/>
      <c r="G297" s="22" t="n"/>
      <c r="H297" s="22" t="n"/>
      <c r="I297" s="23">
        <f>IF(COUNT(C297:H297)=0,"",SUM(C297:H297))</f>
        <v/>
      </c>
      <c r="J297" s="11">
        <f>$I$3</f>
        <v/>
      </c>
      <c r="K297" s="23">
        <f>IF(I297="","",I297-J297)</f>
        <v/>
      </c>
      <c r="L297" s="24">
        <f>IF(OR(I297="",N(J297)=0),"",K297/J297)</f>
        <v/>
      </c>
      <c r="M297" s="12" t="n"/>
    </row>
    <row r="298">
      <c r="A298" s="14" t="n">
        <v>46586</v>
      </c>
      <c r="B298" s="7">
        <f>CHOOSE(WEEKDAY(A298,2),"lundi","mardi","mercredi","jeudi","vendredi","samedi","dimanche")</f>
        <v/>
      </c>
      <c r="C298" s="22" t="n"/>
      <c r="D298" s="22" t="n"/>
      <c r="E298" s="22" t="n"/>
      <c r="F298" s="22" t="n"/>
      <c r="G298" s="22" t="n"/>
      <c r="H298" s="22" t="n"/>
      <c r="I298" s="23">
        <f>IF(COUNT(C298:H298)=0,"",SUM(C298:H298))</f>
        <v/>
      </c>
      <c r="J298" s="11">
        <f>$I$3</f>
        <v/>
      </c>
      <c r="K298" s="23">
        <f>IF(I298="","",I298-J298)</f>
        <v/>
      </c>
      <c r="L298" s="24">
        <f>IF(OR(I298="",N(J298)=0),"",K298/J298)</f>
        <v/>
      </c>
      <c r="M298" s="12" t="n"/>
    </row>
    <row r="299">
      <c r="A299" s="25" t="n">
        <v>46587</v>
      </c>
      <c r="B299" s="26">
        <f>CHOOSE(WEEKDAY(A299,2),"lundi","mardi","mercredi","jeudi","vendredi","samedi","dimanche")</f>
        <v/>
      </c>
      <c r="C299" s="22" t="n"/>
      <c r="D299" s="22" t="n"/>
      <c r="E299" s="22" t="n"/>
      <c r="F299" s="22" t="n"/>
      <c r="G299" s="22" t="n"/>
      <c r="H299" s="22" t="n"/>
      <c r="I299" s="23">
        <f>IF(COUNT(C299:H299)=0,"",SUM(C299:H299))</f>
        <v/>
      </c>
      <c r="J299" s="11">
        <f>$I$3</f>
        <v/>
      </c>
      <c r="K299" s="23">
        <f>IF(I299="","",I299-J299)</f>
        <v/>
      </c>
      <c r="L299" s="24">
        <f>IF(OR(I299="",N(J299)=0),"",K299/J299)</f>
        <v/>
      </c>
      <c r="M299" s="12" t="n"/>
    </row>
    <row r="300">
      <c r="A300" s="14" t="n">
        <v>46588</v>
      </c>
      <c r="B300" s="7">
        <f>CHOOSE(WEEKDAY(A300,2),"lundi","mardi","mercredi","jeudi","vendredi","samedi","dimanche")</f>
        <v/>
      </c>
      <c r="C300" s="22" t="n"/>
      <c r="D300" s="22" t="n"/>
      <c r="E300" s="22" t="n"/>
      <c r="F300" s="22" t="n"/>
      <c r="G300" s="22" t="n"/>
      <c r="H300" s="22" t="n"/>
      <c r="I300" s="23">
        <f>IF(COUNT(C300:H300)=0,"",SUM(C300:H300))</f>
        <v/>
      </c>
      <c r="J300" s="11">
        <f>$I$3</f>
        <v/>
      </c>
      <c r="K300" s="23">
        <f>IF(I300="","",I300-J300)</f>
        <v/>
      </c>
      <c r="L300" s="24">
        <f>IF(OR(I300="",N(J300)=0),"",K300/J300)</f>
        <v/>
      </c>
      <c r="M300" s="12" t="n"/>
    </row>
    <row r="301">
      <c r="A301" s="14" t="n">
        <v>46589</v>
      </c>
      <c r="B301" s="7">
        <f>CHOOSE(WEEKDAY(A301,2),"lundi","mardi","mercredi","jeudi","vendredi","samedi","dimanche")</f>
        <v/>
      </c>
      <c r="C301" s="22" t="n"/>
      <c r="D301" s="22" t="n"/>
      <c r="E301" s="22" t="n"/>
      <c r="F301" s="22" t="n"/>
      <c r="G301" s="22" t="n"/>
      <c r="H301" s="22" t="n"/>
      <c r="I301" s="23">
        <f>IF(COUNT(C301:H301)=0,"",SUM(C301:H301))</f>
        <v/>
      </c>
      <c r="J301" s="11">
        <f>$I$3</f>
        <v/>
      </c>
      <c r="K301" s="23">
        <f>IF(I301="","",I301-J301)</f>
        <v/>
      </c>
      <c r="L301" s="24">
        <f>IF(OR(I301="",N(J301)=0),"",K301/J301)</f>
        <v/>
      </c>
      <c r="M301" s="12" t="n"/>
    </row>
    <row r="302">
      <c r="A302" s="14" t="n">
        <v>46590</v>
      </c>
      <c r="B302" s="7">
        <f>CHOOSE(WEEKDAY(A302,2),"lundi","mardi","mercredi","jeudi","vendredi","samedi","dimanche")</f>
        <v/>
      </c>
      <c r="C302" s="22" t="n"/>
      <c r="D302" s="22" t="n"/>
      <c r="E302" s="22" t="n"/>
      <c r="F302" s="22" t="n"/>
      <c r="G302" s="22" t="n"/>
      <c r="H302" s="22" t="n"/>
      <c r="I302" s="23">
        <f>IF(COUNT(C302:H302)=0,"",SUM(C302:H302))</f>
        <v/>
      </c>
      <c r="J302" s="11">
        <f>$I$3</f>
        <v/>
      </c>
      <c r="K302" s="23">
        <f>IF(I302="","",I302-J302)</f>
        <v/>
      </c>
      <c r="L302" s="24">
        <f>IF(OR(I302="",N(J302)=0),"",K302/J302)</f>
        <v/>
      </c>
      <c r="M302" s="12" t="n"/>
    </row>
    <row r="303">
      <c r="A303" s="14" t="n">
        <v>46591</v>
      </c>
      <c r="B303" s="7">
        <f>CHOOSE(WEEKDAY(A303,2),"lundi","mardi","mercredi","jeudi","vendredi","samedi","dimanche")</f>
        <v/>
      </c>
      <c r="C303" s="22" t="n"/>
      <c r="D303" s="22" t="n"/>
      <c r="E303" s="22" t="n"/>
      <c r="F303" s="22" t="n"/>
      <c r="G303" s="22" t="n"/>
      <c r="H303" s="22" t="n"/>
      <c r="I303" s="23">
        <f>IF(COUNT(C303:H303)=0,"",SUM(C303:H303))</f>
        <v/>
      </c>
      <c r="J303" s="11">
        <f>$I$3</f>
        <v/>
      </c>
      <c r="K303" s="23">
        <f>IF(I303="","",I303-J303)</f>
        <v/>
      </c>
      <c r="L303" s="24">
        <f>IF(OR(I303="",N(J303)=0),"",K303/J303)</f>
        <v/>
      </c>
      <c r="M303" s="12" t="n"/>
    </row>
    <row r="304">
      <c r="A304" s="14" t="n">
        <v>46592</v>
      </c>
      <c r="B304" s="7">
        <f>CHOOSE(WEEKDAY(A304,2),"lundi","mardi","mercredi","jeudi","vendredi","samedi","dimanche")</f>
        <v/>
      </c>
      <c r="C304" s="22" t="n"/>
      <c r="D304" s="22" t="n"/>
      <c r="E304" s="22" t="n"/>
      <c r="F304" s="22" t="n"/>
      <c r="G304" s="22" t="n"/>
      <c r="H304" s="22" t="n"/>
      <c r="I304" s="23">
        <f>IF(COUNT(C304:H304)=0,"",SUM(C304:H304))</f>
        <v/>
      </c>
      <c r="J304" s="11">
        <f>$I$3</f>
        <v/>
      </c>
      <c r="K304" s="23">
        <f>IF(I304="","",I304-J304)</f>
        <v/>
      </c>
      <c r="L304" s="24">
        <f>IF(OR(I304="",N(J304)=0),"",K304/J304)</f>
        <v/>
      </c>
      <c r="M304" s="12" t="n"/>
    </row>
    <row r="305">
      <c r="A305" s="14" t="n">
        <v>46593</v>
      </c>
      <c r="B305" s="7">
        <f>CHOOSE(WEEKDAY(A305,2),"lundi","mardi","mercredi","jeudi","vendredi","samedi","dimanche")</f>
        <v/>
      </c>
      <c r="C305" s="22" t="n"/>
      <c r="D305" s="22" t="n"/>
      <c r="E305" s="22" t="n"/>
      <c r="F305" s="22" t="n"/>
      <c r="G305" s="22" t="n"/>
      <c r="H305" s="22" t="n"/>
      <c r="I305" s="23">
        <f>IF(COUNT(C305:H305)=0,"",SUM(C305:H305))</f>
        <v/>
      </c>
      <c r="J305" s="11">
        <f>$I$3</f>
        <v/>
      </c>
      <c r="K305" s="23">
        <f>IF(I305="","",I305-J305)</f>
        <v/>
      </c>
      <c r="L305" s="24">
        <f>IF(OR(I305="",N(J305)=0),"",K305/J305)</f>
        <v/>
      </c>
      <c r="M305" s="12" t="n"/>
    </row>
    <row r="306">
      <c r="A306" s="25" t="n">
        <v>46594</v>
      </c>
      <c r="B306" s="26">
        <f>CHOOSE(WEEKDAY(A306,2),"lundi","mardi","mercredi","jeudi","vendredi","samedi","dimanche")</f>
        <v/>
      </c>
      <c r="C306" s="22" t="n"/>
      <c r="D306" s="22" t="n"/>
      <c r="E306" s="22" t="n"/>
      <c r="F306" s="22" t="n"/>
      <c r="G306" s="22" t="n"/>
      <c r="H306" s="22" t="n"/>
      <c r="I306" s="23">
        <f>IF(COUNT(C306:H306)=0,"",SUM(C306:H306))</f>
        <v/>
      </c>
      <c r="J306" s="11">
        <f>$I$3</f>
        <v/>
      </c>
      <c r="K306" s="23">
        <f>IF(I306="","",I306-J306)</f>
        <v/>
      </c>
      <c r="L306" s="24">
        <f>IF(OR(I306="",N(J306)=0),"",K306/J306)</f>
        <v/>
      </c>
      <c r="M306" s="12" t="n"/>
    </row>
    <row r="307">
      <c r="A307" s="14" t="n">
        <v>46595</v>
      </c>
      <c r="B307" s="7">
        <f>CHOOSE(WEEKDAY(A307,2),"lundi","mardi","mercredi","jeudi","vendredi","samedi","dimanche")</f>
        <v/>
      </c>
      <c r="C307" s="22" t="n"/>
      <c r="D307" s="22" t="n"/>
      <c r="E307" s="22" t="n"/>
      <c r="F307" s="22" t="n"/>
      <c r="G307" s="22" t="n"/>
      <c r="H307" s="22" t="n"/>
      <c r="I307" s="23">
        <f>IF(COUNT(C307:H307)=0,"",SUM(C307:H307))</f>
        <v/>
      </c>
      <c r="J307" s="11">
        <f>$I$3</f>
        <v/>
      </c>
      <c r="K307" s="23">
        <f>IF(I307="","",I307-J307)</f>
        <v/>
      </c>
      <c r="L307" s="24">
        <f>IF(OR(I307="",N(J307)=0),"",K307/J307)</f>
        <v/>
      </c>
      <c r="M307" s="12" t="n"/>
    </row>
    <row r="308">
      <c r="A308" s="14" t="n">
        <v>46596</v>
      </c>
      <c r="B308" s="7">
        <f>CHOOSE(WEEKDAY(A308,2),"lundi","mardi","mercredi","jeudi","vendredi","samedi","dimanche")</f>
        <v/>
      </c>
      <c r="C308" s="22" t="n"/>
      <c r="D308" s="22" t="n"/>
      <c r="E308" s="22" t="n"/>
      <c r="F308" s="22" t="n"/>
      <c r="G308" s="22" t="n"/>
      <c r="H308" s="22" t="n"/>
      <c r="I308" s="23">
        <f>IF(COUNT(C308:H308)=0,"",SUM(C308:H308))</f>
        <v/>
      </c>
      <c r="J308" s="11">
        <f>$I$3</f>
        <v/>
      </c>
      <c r="K308" s="23">
        <f>IF(I308="","",I308-J308)</f>
        <v/>
      </c>
      <c r="L308" s="24">
        <f>IF(OR(I308="",N(J308)=0),"",K308/J308)</f>
        <v/>
      </c>
      <c r="M308" s="12" t="n"/>
    </row>
    <row r="309">
      <c r="A309" s="14" t="n">
        <v>46597</v>
      </c>
      <c r="B309" s="7">
        <f>CHOOSE(WEEKDAY(A309,2),"lundi","mardi","mercredi","jeudi","vendredi","samedi","dimanche")</f>
        <v/>
      </c>
      <c r="C309" s="22" t="n"/>
      <c r="D309" s="22" t="n"/>
      <c r="E309" s="22" t="n"/>
      <c r="F309" s="22" t="n"/>
      <c r="G309" s="22" t="n"/>
      <c r="H309" s="22" t="n"/>
      <c r="I309" s="23">
        <f>IF(COUNT(C309:H309)=0,"",SUM(C309:H309))</f>
        <v/>
      </c>
      <c r="J309" s="11">
        <f>$I$3</f>
        <v/>
      </c>
      <c r="K309" s="23">
        <f>IF(I309="","",I309-J309)</f>
        <v/>
      </c>
      <c r="L309" s="24">
        <f>IF(OR(I309="",N(J309)=0),"",K309/J309)</f>
        <v/>
      </c>
      <c r="M309" s="12" t="n"/>
    </row>
    <row r="310">
      <c r="A310" s="14" t="n">
        <v>46598</v>
      </c>
      <c r="B310" s="7">
        <f>CHOOSE(WEEKDAY(A310,2),"lundi","mardi","mercredi","jeudi","vendredi","samedi","dimanche")</f>
        <v/>
      </c>
      <c r="C310" s="22" t="n"/>
      <c r="D310" s="22" t="n"/>
      <c r="E310" s="22" t="n"/>
      <c r="F310" s="22" t="n"/>
      <c r="G310" s="22" t="n"/>
      <c r="H310" s="22" t="n"/>
      <c r="I310" s="23">
        <f>IF(COUNT(C310:H310)=0,"",SUM(C310:H310))</f>
        <v/>
      </c>
      <c r="J310" s="11">
        <f>$I$3</f>
        <v/>
      </c>
      <c r="K310" s="23">
        <f>IF(I310="","",I310-J310)</f>
        <v/>
      </c>
      <c r="L310" s="24">
        <f>IF(OR(I310="",N(J310)=0),"",K310/J310)</f>
        <v/>
      </c>
      <c r="M310" s="12" t="n"/>
    </row>
    <row r="311">
      <c r="A311" s="14" t="n">
        <v>46599</v>
      </c>
      <c r="B311" s="7">
        <f>CHOOSE(WEEKDAY(A311,2),"lundi","mardi","mercredi","jeudi","vendredi","samedi","dimanche")</f>
        <v/>
      </c>
      <c r="C311" s="22" t="n"/>
      <c r="D311" s="22" t="n"/>
      <c r="E311" s="22" t="n"/>
      <c r="F311" s="22" t="n"/>
      <c r="G311" s="22" t="n"/>
      <c r="H311" s="22" t="n"/>
      <c r="I311" s="23">
        <f>IF(COUNT(C311:H311)=0,"",SUM(C311:H311))</f>
        <v/>
      </c>
      <c r="J311" s="11">
        <f>$I$3</f>
        <v/>
      </c>
      <c r="K311" s="23">
        <f>IF(I311="","",I311-J311)</f>
        <v/>
      </c>
      <c r="L311" s="24">
        <f>IF(OR(I311="",N(J311)=0),"",K311/J311)</f>
        <v/>
      </c>
      <c r="M311" s="12" t="n"/>
    </row>
    <row r="312">
      <c r="A312" s="14" t="n">
        <v>46600</v>
      </c>
      <c r="B312" s="7">
        <f>CHOOSE(WEEKDAY(A312,2),"lundi","mardi","mercredi","jeudi","vendredi","samedi","dimanche")</f>
        <v/>
      </c>
      <c r="C312" s="22" t="n"/>
      <c r="D312" s="22" t="n"/>
      <c r="E312" s="22" t="n"/>
      <c r="F312" s="22" t="n"/>
      <c r="G312" s="22" t="n"/>
      <c r="H312" s="22" t="n"/>
      <c r="I312" s="23">
        <f>IF(COUNT(C312:H312)=0,"",SUM(C312:H312))</f>
        <v/>
      </c>
      <c r="J312" s="11">
        <f>$I$3</f>
        <v/>
      </c>
      <c r="K312" s="23">
        <f>IF(I312="","",I312-J312)</f>
        <v/>
      </c>
      <c r="L312" s="24">
        <f>IF(OR(I312="",N(J312)=0),"",K312/J312)</f>
        <v/>
      </c>
      <c r="M312" s="12" t="n"/>
    </row>
    <row r="313">
      <c r="A313" s="25" t="n">
        <v>46601</v>
      </c>
      <c r="B313" s="26">
        <f>CHOOSE(WEEKDAY(A313,2),"lundi","mardi","mercredi","jeudi","vendredi","samedi","dimanche")</f>
        <v/>
      </c>
      <c r="C313" s="22" t="n"/>
      <c r="D313" s="22" t="n"/>
      <c r="E313" s="22" t="n"/>
      <c r="F313" s="22" t="n"/>
      <c r="G313" s="22" t="n"/>
      <c r="H313" s="22" t="n"/>
      <c r="I313" s="23">
        <f>IF(COUNT(C313:H313)=0,"",SUM(C313:H313))</f>
        <v/>
      </c>
      <c r="J313" s="11">
        <f>$I$3</f>
        <v/>
      </c>
      <c r="K313" s="23">
        <f>IF(I313="","",I313-J313)</f>
        <v/>
      </c>
      <c r="L313" s="24">
        <f>IF(OR(I313="",N(J313)=0),"",K313/J313)</f>
        <v/>
      </c>
      <c r="M313" s="12" t="n"/>
    </row>
    <row r="314">
      <c r="A314" s="14" t="n">
        <v>46602</v>
      </c>
      <c r="B314" s="7">
        <f>CHOOSE(WEEKDAY(A314,2),"lundi","mardi","mercredi","jeudi","vendredi","samedi","dimanche")</f>
        <v/>
      </c>
      <c r="C314" s="22" t="n"/>
      <c r="D314" s="22" t="n"/>
      <c r="E314" s="22" t="n"/>
      <c r="F314" s="22" t="n"/>
      <c r="G314" s="22" t="n"/>
      <c r="H314" s="22" t="n"/>
      <c r="I314" s="23">
        <f>IF(COUNT(C314:H314)=0,"",SUM(C314:H314))</f>
        <v/>
      </c>
      <c r="J314" s="11">
        <f>$I$3</f>
        <v/>
      </c>
      <c r="K314" s="23">
        <f>IF(I314="","",I314-J314)</f>
        <v/>
      </c>
      <c r="L314" s="24">
        <f>IF(OR(I314="",N(J314)=0),"",K314/J314)</f>
        <v/>
      </c>
      <c r="M314" s="12" t="n"/>
    </row>
    <row r="315">
      <c r="A315" s="14" t="n">
        <v>46603</v>
      </c>
      <c r="B315" s="7">
        <f>CHOOSE(WEEKDAY(A315,2),"lundi","mardi","mercredi","jeudi","vendredi","samedi","dimanche")</f>
        <v/>
      </c>
      <c r="C315" s="22" t="n"/>
      <c r="D315" s="22" t="n"/>
      <c r="E315" s="22" t="n"/>
      <c r="F315" s="22" t="n"/>
      <c r="G315" s="22" t="n"/>
      <c r="H315" s="22" t="n"/>
      <c r="I315" s="23">
        <f>IF(COUNT(C315:H315)=0,"",SUM(C315:H315))</f>
        <v/>
      </c>
      <c r="J315" s="11">
        <f>$I$3</f>
        <v/>
      </c>
      <c r="K315" s="23">
        <f>IF(I315="","",I315-J315)</f>
        <v/>
      </c>
      <c r="L315" s="24">
        <f>IF(OR(I315="",N(J315)=0),"",K315/J315)</f>
        <v/>
      </c>
      <c r="M315" s="12" t="n"/>
    </row>
    <row r="316">
      <c r="A316" s="14" t="n">
        <v>46604</v>
      </c>
      <c r="B316" s="7">
        <f>CHOOSE(WEEKDAY(A316,2),"lundi","mardi","mercredi","jeudi","vendredi","samedi","dimanche")</f>
        <v/>
      </c>
      <c r="C316" s="22" t="n"/>
      <c r="D316" s="22" t="n"/>
      <c r="E316" s="22" t="n"/>
      <c r="F316" s="22" t="n"/>
      <c r="G316" s="22" t="n"/>
      <c r="H316" s="22" t="n"/>
      <c r="I316" s="23">
        <f>IF(COUNT(C316:H316)=0,"",SUM(C316:H316))</f>
        <v/>
      </c>
      <c r="J316" s="11">
        <f>$I$3</f>
        <v/>
      </c>
      <c r="K316" s="23">
        <f>IF(I316="","",I316-J316)</f>
        <v/>
      </c>
      <c r="L316" s="24">
        <f>IF(OR(I316="",N(J316)=0),"",K316/J316)</f>
        <v/>
      </c>
      <c r="M316" s="12" t="n"/>
    </row>
    <row r="317">
      <c r="A317" s="14" t="n">
        <v>46605</v>
      </c>
      <c r="B317" s="7">
        <f>CHOOSE(WEEKDAY(A317,2),"lundi","mardi","mercredi","jeudi","vendredi","samedi","dimanche")</f>
        <v/>
      </c>
      <c r="C317" s="22" t="n"/>
      <c r="D317" s="22" t="n"/>
      <c r="E317" s="22" t="n"/>
      <c r="F317" s="22" t="n"/>
      <c r="G317" s="22" t="n"/>
      <c r="H317" s="22" t="n"/>
      <c r="I317" s="23">
        <f>IF(COUNT(C317:H317)=0,"",SUM(C317:H317))</f>
        <v/>
      </c>
      <c r="J317" s="11">
        <f>$I$3</f>
        <v/>
      </c>
      <c r="K317" s="23">
        <f>IF(I317="","",I317-J317)</f>
        <v/>
      </c>
      <c r="L317" s="24">
        <f>IF(OR(I317="",N(J317)=0),"",K317/J317)</f>
        <v/>
      </c>
      <c r="M317" s="12" t="n"/>
    </row>
    <row r="318">
      <c r="A318" s="14" t="n">
        <v>46606</v>
      </c>
      <c r="B318" s="7">
        <f>CHOOSE(WEEKDAY(A318,2),"lundi","mardi","mercredi","jeudi","vendredi","samedi","dimanche")</f>
        <v/>
      </c>
      <c r="C318" s="22" t="n"/>
      <c r="D318" s="22" t="n"/>
      <c r="E318" s="22" t="n"/>
      <c r="F318" s="22" t="n"/>
      <c r="G318" s="22" t="n"/>
      <c r="H318" s="22" t="n"/>
      <c r="I318" s="23">
        <f>IF(COUNT(C318:H318)=0,"",SUM(C318:H318))</f>
        <v/>
      </c>
      <c r="J318" s="11">
        <f>$I$3</f>
        <v/>
      </c>
      <c r="K318" s="23">
        <f>IF(I318="","",I318-J318)</f>
        <v/>
      </c>
      <c r="L318" s="24">
        <f>IF(OR(I318="",N(J318)=0),"",K318/J318)</f>
        <v/>
      </c>
      <c r="M318" s="12" t="n"/>
    </row>
    <row r="319">
      <c r="A319" s="14" t="n">
        <v>46607</v>
      </c>
      <c r="B319" s="7">
        <f>CHOOSE(WEEKDAY(A319,2),"lundi","mardi","mercredi","jeudi","vendredi","samedi","dimanche")</f>
        <v/>
      </c>
      <c r="C319" s="22" t="n"/>
      <c r="D319" s="22" t="n"/>
      <c r="E319" s="22" t="n"/>
      <c r="F319" s="22" t="n"/>
      <c r="G319" s="22" t="n"/>
      <c r="H319" s="22" t="n"/>
      <c r="I319" s="23">
        <f>IF(COUNT(C319:H319)=0,"",SUM(C319:H319))</f>
        <v/>
      </c>
      <c r="J319" s="11">
        <f>$I$3</f>
        <v/>
      </c>
      <c r="K319" s="23">
        <f>IF(I319="","",I319-J319)</f>
        <v/>
      </c>
      <c r="L319" s="24">
        <f>IF(OR(I319="",N(J319)=0),"",K319/J319)</f>
        <v/>
      </c>
      <c r="M319" s="12" t="n"/>
    </row>
    <row r="320">
      <c r="A320" s="25" t="n">
        <v>46608</v>
      </c>
      <c r="B320" s="26">
        <f>CHOOSE(WEEKDAY(A320,2),"lundi","mardi","mercredi","jeudi","vendredi","samedi","dimanche")</f>
        <v/>
      </c>
      <c r="C320" s="22" t="n"/>
      <c r="D320" s="22" t="n"/>
      <c r="E320" s="22" t="n"/>
      <c r="F320" s="22" t="n"/>
      <c r="G320" s="22" t="n"/>
      <c r="H320" s="22" t="n"/>
      <c r="I320" s="23">
        <f>IF(COUNT(C320:H320)=0,"",SUM(C320:H320))</f>
        <v/>
      </c>
      <c r="J320" s="11">
        <f>$I$3</f>
        <v/>
      </c>
      <c r="K320" s="23">
        <f>IF(I320="","",I320-J320)</f>
        <v/>
      </c>
      <c r="L320" s="24">
        <f>IF(OR(I320="",N(J320)=0),"",K320/J320)</f>
        <v/>
      </c>
      <c r="M320" s="12" t="n"/>
    </row>
    <row r="321">
      <c r="A321" s="14" t="n">
        <v>46609</v>
      </c>
      <c r="B321" s="7">
        <f>CHOOSE(WEEKDAY(A321,2),"lundi","mardi","mercredi","jeudi","vendredi","samedi","dimanche")</f>
        <v/>
      </c>
      <c r="C321" s="22" t="n"/>
      <c r="D321" s="22" t="n"/>
      <c r="E321" s="22" t="n"/>
      <c r="F321" s="22" t="n"/>
      <c r="G321" s="22" t="n"/>
      <c r="H321" s="22" t="n"/>
      <c r="I321" s="23">
        <f>IF(COUNT(C321:H321)=0,"",SUM(C321:H321))</f>
        <v/>
      </c>
      <c r="J321" s="11">
        <f>$I$3</f>
        <v/>
      </c>
      <c r="K321" s="23">
        <f>IF(I321="","",I321-J321)</f>
        <v/>
      </c>
      <c r="L321" s="24">
        <f>IF(OR(I321="",N(J321)=0),"",K321/J321)</f>
        <v/>
      </c>
      <c r="M321" s="12" t="n"/>
    </row>
    <row r="322">
      <c r="A322" s="14" t="n">
        <v>46610</v>
      </c>
      <c r="B322" s="7">
        <f>CHOOSE(WEEKDAY(A322,2),"lundi","mardi","mercredi","jeudi","vendredi","samedi","dimanche")</f>
        <v/>
      </c>
      <c r="C322" s="22" t="n"/>
      <c r="D322" s="22" t="n"/>
      <c r="E322" s="22" t="n"/>
      <c r="F322" s="22" t="n"/>
      <c r="G322" s="22" t="n"/>
      <c r="H322" s="22" t="n"/>
      <c r="I322" s="23">
        <f>IF(COUNT(C322:H322)=0,"",SUM(C322:H322))</f>
        <v/>
      </c>
      <c r="J322" s="11">
        <f>$I$3</f>
        <v/>
      </c>
      <c r="K322" s="23">
        <f>IF(I322="","",I322-J322)</f>
        <v/>
      </c>
      <c r="L322" s="24">
        <f>IF(OR(I322="",N(J322)=0),"",K322/J322)</f>
        <v/>
      </c>
      <c r="M322" s="12" t="n"/>
    </row>
    <row r="323">
      <c r="A323" s="14" t="n">
        <v>46611</v>
      </c>
      <c r="B323" s="7">
        <f>CHOOSE(WEEKDAY(A323,2),"lundi","mardi","mercredi","jeudi","vendredi","samedi","dimanche")</f>
        <v/>
      </c>
      <c r="C323" s="22" t="n"/>
      <c r="D323" s="22" t="n"/>
      <c r="E323" s="22" t="n"/>
      <c r="F323" s="22" t="n"/>
      <c r="G323" s="22" t="n"/>
      <c r="H323" s="22" t="n"/>
      <c r="I323" s="23">
        <f>IF(COUNT(C323:H323)=0,"",SUM(C323:H323))</f>
        <v/>
      </c>
      <c r="J323" s="11">
        <f>$I$3</f>
        <v/>
      </c>
      <c r="K323" s="23">
        <f>IF(I323="","",I323-J323)</f>
        <v/>
      </c>
      <c r="L323" s="24">
        <f>IF(OR(I323="",N(J323)=0),"",K323/J323)</f>
        <v/>
      </c>
      <c r="M323" s="12" t="n"/>
    </row>
    <row r="324">
      <c r="A324" s="14" t="n">
        <v>46612</v>
      </c>
      <c r="B324" s="7">
        <f>CHOOSE(WEEKDAY(A324,2),"lundi","mardi","mercredi","jeudi","vendredi","samedi","dimanche")</f>
        <v/>
      </c>
      <c r="C324" s="22" t="n"/>
      <c r="D324" s="22" t="n"/>
      <c r="E324" s="22" t="n"/>
      <c r="F324" s="22" t="n"/>
      <c r="G324" s="22" t="n"/>
      <c r="H324" s="22" t="n"/>
      <c r="I324" s="23">
        <f>IF(COUNT(C324:H324)=0,"",SUM(C324:H324))</f>
        <v/>
      </c>
      <c r="J324" s="11">
        <f>$I$3</f>
        <v/>
      </c>
      <c r="K324" s="23">
        <f>IF(I324="","",I324-J324)</f>
        <v/>
      </c>
      <c r="L324" s="24">
        <f>IF(OR(I324="",N(J324)=0),"",K324/J324)</f>
        <v/>
      </c>
      <c r="M324" s="12" t="n"/>
    </row>
    <row r="325">
      <c r="A325" s="14" t="n">
        <v>46613</v>
      </c>
      <c r="B325" s="7">
        <f>CHOOSE(WEEKDAY(A325,2),"lundi","mardi","mercredi","jeudi","vendredi","samedi","dimanche")</f>
        <v/>
      </c>
      <c r="C325" s="22" t="n"/>
      <c r="D325" s="22" t="n"/>
      <c r="E325" s="22" t="n"/>
      <c r="F325" s="22" t="n"/>
      <c r="G325" s="22" t="n"/>
      <c r="H325" s="22" t="n"/>
      <c r="I325" s="23">
        <f>IF(COUNT(C325:H325)=0,"",SUM(C325:H325))</f>
        <v/>
      </c>
      <c r="J325" s="11">
        <f>$I$3</f>
        <v/>
      </c>
      <c r="K325" s="23">
        <f>IF(I325="","",I325-J325)</f>
        <v/>
      </c>
      <c r="L325" s="24">
        <f>IF(OR(I325="",N(J325)=0),"",K325/J325)</f>
        <v/>
      </c>
      <c r="M325" s="12" t="n"/>
    </row>
    <row r="326">
      <c r="A326" s="14" t="n">
        <v>46614</v>
      </c>
      <c r="B326" s="7">
        <f>CHOOSE(WEEKDAY(A326,2),"lundi","mardi","mercredi","jeudi","vendredi","samedi","dimanche")</f>
        <v/>
      </c>
      <c r="C326" s="22" t="n"/>
      <c r="D326" s="22" t="n"/>
      <c r="E326" s="22" t="n"/>
      <c r="F326" s="22" t="n"/>
      <c r="G326" s="22" t="n"/>
      <c r="H326" s="22" t="n"/>
      <c r="I326" s="23">
        <f>IF(COUNT(C326:H326)=0,"",SUM(C326:H326))</f>
        <v/>
      </c>
      <c r="J326" s="11">
        <f>$I$3</f>
        <v/>
      </c>
      <c r="K326" s="23">
        <f>IF(I326="","",I326-J326)</f>
        <v/>
      </c>
      <c r="L326" s="24">
        <f>IF(OR(I326="",N(J326)=0),"",K326/J326)</f>
        <v/>
      </c>
      <c r="M326" s="12" t="n"/>
    </row>
    <row r="327">
      <c r="A327" s="25" t="n">
        <v>46615</v>
      </c>
      <c r="B327" s="26">
        <f>CHOOSE(WEEKDAY(A327,2),"lundi","mardi","mercredi","jeudi","vendredi","samedi","dimanche")</f>
        <v/>
      </c>
      <c r="C327" s="22" t="n"/>
      <c r="D327" s="22" t="n"/>
      <c r="E327" s="22" t="n"/>
      <c r="F327" s="22" t="n"/>
      <c r="G327" s="22" t="n"/>
      <c r="H327" s="22" t="n"/>
      <c r="I327" s="23">
        <f>IF(COUNT(C327:H327)=0,"",SUM(C327:H327))</f>
        <v/>
      </c>
      <c r="J327" s="11">
        <f>$I$3</f>
        <v/>
      </c>
      <c r="K327" s="23">
        <f>IF(I327="","",I327-J327)</f>
        <v/>
      </c>
      <c r="L327" s="24">
        <f>IF(OR(I327="",N(J327)=0),"",K327/J327)</f>
        <v/>
      </c>
      <c r="M327" s="12" t="n"/>
    </row>
    <row r="328">
      <c r="A328" s="14" t="n">
        <v>46616</v>
      </c>
      <c r="B328" s="7">
        <f>CHOOSE(WEEKDAY(A328,2),"lundi","mardi","mercredi","jeudi","vendredi","samedi","dimanche")</f>
        <v/>
      </c>
      <c r="C328" s="22" t="n"/>
      <c r="D328" s="22" t="n"/>
      <c r="E328" s="22" t="n"/>
      <c r="F328" s="22" t="n"/>
      <c r="G328" s="22" t="n"/>
      <c r="H328" s="22" t="n"/>
      <c r="I328" s="23">
        <f>IF(COUNT(C328:H328)=0,"",SUM(C328:H328))</f>
        <v/>
      </c>
      <c r="J328" s="11">
        <f>$I$3</f>
        <v/>
      </c>
      <c r="K328" s="23">
        <f>IF(I328="","",I328-J328)</f>
        <v/>
      </c>
      <c r="L328" s="24">
        <f>IF(OR(I328="",N(J328)=0),"",K328/J328)</f>
        <v/>
      </c>
      <c r="M328" s="12" t="n"/>
    </row>
    <row r="329">
      <c r="A329" s="14" t="n">
        <v>46617</v>
      </c>
      <c r="B329" s="7">
        <f>CHOOSE(WEEKDAY(A329,2),"lundi","mardi","mercredi","jeudi","vendredi","samedi","dimanche")</f>
        <v/>
      </c>
      <c r="C329" s="22" t="n"/>
      <c r="D329" s="22" t="n"/>
      <c r="E329" s="22" t="n"/>
      <c r="F329" s="22" t="n"/>
      <c r="G329" s="22" t="n"/>
      <c r="H329" s="22" t="n"/>
      <c r="I329" s="23">
        <f>IF(COUNT(C329:H329)=0,"",SUM(C329:H329))</f>
        <v/>
      </c>
      <c r="J329" s="11">
        <f>$I$3</f>
        <v/>
      </c>
      <c r="K329" s="23">
        <f>IF(I329="","",I329-J329)</f>
        <v/>
      </c>
      <c r="L329" s="24">
        <f>IF(OR(I329="",N(J329)=0),"",K329/J329)</f>
        <v/>
      </c>
      <c r="M329" s="12" t="n"/>
    </row>
    <row r="330">
      <c r="A330" s="14" t="n">
        <v>46618</v>
      </c>
      <c r="B330" s="7">
        <f>CHOOSE(WEEKDAY(A330,2),"lundi","mardi","mercredi","jeudi","vendredi","samedi","dimanche")</f>
        <v/>
      </c>
      <c r="C330" s="22" t="n"/>
      <c r="D330" s="22" t="n"/>
      <c r="E330" s="22" t="n"/>
      <c r="F330" s="22" t="n"/>
      <c r="G330" s="22" t="n"/>
      <c r="H330" s="22" t="n"/>
      <c r="I330" s="23">
        <f>IF(COUNT(C330:H330)=0,"",SUM(C330:H330))</f>
        <v/>
      </c>
      <c r="J330" s="11">
        <f>$I$3</f>
        <v/>
      </c>
      <c r="K330" s="23">
        <f>IF(I330="","",I330-J330)</f>
        <v/>
      </c>
      <c r="L330" s="24">
        <f>IF(OR(I330="",N(J330)=0),"",K330/J330)</f>
        <v/>
      </c>
      <c r="M330" s="12" t="n"/>
    </row>
    <row r="331">
      <c r="A331" s="14" t="n">
        <v>46619</v>
      </c>
      <c r="B331" s="7">
        <f>CHOOSE(WEEKDAY(A331,2),"lundi","mardi","mercredi","jeudi","vendredi","samedi","dimanche")</f>
        <v/>
      </c>
      <c r="C331" s="22" t="n"/>
      <c r="D331" s="22" t="n"/>
      <c r="E331" s="22" t="n"/>
      <c r="F331" s="22" t="n"/>
      <c r="G331" s="22" t="n"/>
      <c r="H331" s="22" t="n"/>
      <c r="I331" s="23">
        <f>IF(COUNT(C331:H331)=0,"",SUM(C331:H331))</f>
        <v/>
      </c>
      <c r="J331" s="11">
        <f>$I$3</f>
        <v/>
      </c>
      <c r="K331" s="23">
        <f>IF(I331="","",I331-J331)</f>
        <v/>
      </c>
      <c r="L331" s="24">
        <f>IF(OR(I331="",N(J331)=0),"",K331/J331)</f>
        <v/>
      </c>
      <c r="M331" s="12" t="n"/>
    </row>
    <row r="332">
      <c r="A332" s="14" t="n">
        <v>46620</v>
      </c>
      <c r="B332" s="7">
        <f>CHOOSE(WEEKDAY(A332,2),"lundi","mardi","mercredi","jeudi","vendredi","samedi","dimanche")</f>
        <v/>
      </c>
      <c r="C332" s="22" t="n"/>
      <c r="D332" s="22" t="n"/>
      <c r="E332" s="22" t="n"/>
      <c r="F332" s="22" t="n"/>
      <c r="G332" s="22" t="n"/>
      <c r="H332" s="22" t="n"/>
      <c r="I332" s="23">
        <f>IF(COUNT(C332:H332)=0,"",SUM(C332:H332))</f>
        <v/>
      </c>
      <c r="J332" s="11">
        <f>$I$3</f>
        <v/>
      </c>
      <c r="K332" s="23">
        <f>IF(I332="","",I332-J332)</f>
        <v/>
      </c>
      <c r="L332" s="24">
        <f>IF(OR(I332="",N(J332)=0),"",K332/J332)</f>
        <v/>
      </c>
      <c r="M332" s="12" t="n"/>
    </row>
    <row r="333">
      <c r="A333" s="14" t="n">
        <v>46621</v>
      </c>
      <c r="B333" s="7">
        <f>CHOOSE(WEEKDAY(A333,2),"lundi","mardi","mercredi","jeudi","vendredi","samedi","dimanche")</f>
        <v/>
      </c>
      <c r="C333" s="22" t="n"/>
      <c r="D333" s="22" t="n"/>
      <c r="E333" s="22" t="n"/>
      <c r="F333" s="22" t="n"/>
      <c r="G333" s="22" t="n"/>
      <c r="H333" s="22" t="n"/>
      <c r="I333" s="23">
        <f>IF(COUNT(C333:H333)=0,"",SUM(C333:H333))</f>
        <v/>
      </c>
      <c r="J333" s="11">
        <f>$I$3</f>
        <v/>
      </c>
      <c r="K333" s="23">
        <f>IF(I333="","",I333-J333)</f>
        <v/>
      </c>
      <c r="L333" s="24">
        <f>IF(OR(I333="",N(J333)=0),"",K333/J333)</f>
        <v/>
      </c>
      <c r="M333" s="12" t="n"/>
    </row>
    <row r="334">
      <c r="A334" s="25" t="n">
        <v>46622</v>
      </c>
      <c r="B334" s="26">
        <f>CHOOSE(WEEKDAY(A334,2),"lundi","mardi","mercredi","jeudi","vendredi","samedi","dimanche")</f>
        <v/>
      </c>
      <c r="C334" s="22" t="n"/>
      <c r="D334" s="22" t="n"/>
      <c r="E334" s="22" t="n"/>
      <c r="F334" s="22" t="n"/>
      <c r="G334" s="22" t="n"/>
      <c r="H334" s="22" t="n"/>
      <c r="I334" s="23">
        <f>IF(COUNT(C334:H334)=0,"",SUM(C334:H334))</f>
        <v/>
      </c>
      <c r="J334" s="11">
        <f>$I$3</f>
        <v/>
      </c>
      <c r="K334" s="23">
        <f>IF(I334="","",I334-J334)</f>
        <v/>
      </c>
      <c r="L334" s="24">
        <f>IF(OR(I334="",N(J334)=0),"",K334/J334)</f>
        <v/>
      </c>
      <c r="M334" s="12" t="n"/>
    </row>
    <row r="335">
      <c r="A335" s="14" t="n">
        <v>46623</v>
      </c>
      <c r="B335" s="7">
        <f>CHOOSE(WEEKDAY(A335,2),"lundi","mardi","mercredi","jeudi","vendredi","samedi","dimanche")</f>
        <v/>
      </c>
      <c r="C335" s="22" t="n"/>
      <c r="D335" s="22" t="n"/>
      <c r="E335" s="22" t="n"/>
      <c r="F335" s="22" t="n"/>
      <c r="G335" s="22" t="n"/>
      <c r="H335" s="22" t="n"/>
      <c r="I335" s="23">
        <f>IF(COUNT(C335:H335)=0,"",SUM(C335:H335))</f>
        <v/>
      </c>
      <c r="J335" s="11">
        <f>$I$3</f>
        <v/>
      </c>
      <c r="K335" s="23">
        <f>IF(I335="","",I335-J335)</f>
        <v/>
      </c>
      <c r="L335" s="24">
        <f>IF(OR(I335="",N(J335)=0),"",K335/J335)</f>
        <v/>
      </c>
      <c r="M335" s="12" t="n"/>
    </row>
    <row r="336">
      <c r="A336" s="14" t="n">
        <v>46624</v>
      </c>
      <c r="B336" s="7">
        <f>CHOOSE(WEEKDAY(A336,2),"lundi","mardi","mercredi","jeudi","vendredi","samedi","dimanche")</f>
        <v/>
      </c>
      <c r="C336" s="22" t="n"/>
      <c r="D336" s="22" t="n"/>
      <c r="E336" s="22" t="n"/>
      <c r="F336" s="22" t="n"/>
      <c r="G336" s="22" t="n"/>
      <c r="H336" s="22" t="n"/>
      <c r="I336" s="23">
        <f>IF(COUNT(C336:H336)=0,"",SUM(C336:H336))</f>
        <v/>
      </c>
      <c r="J336" s="11">
        <f>$I$3</f>
        <v/>
      </c>
      <c r="K336" s="23">
        <f>IF(I336="","",I336-J336)</f>
        <v/>
      </c>
      <c r="L336" s="24">
        <f>IF(OR(I336="",N(J336)=0),"",K336/J336)</f>
        <v/>
      </c>
      <c r="M336" s="12" t="n"/>
    </row>
    <row r="337">
      <c r="A337" s="14" t="n">
        <v>46625</v>
      </c>
      <c r="B337" s="7">
        <f>CHOOSE(WEEKDAY(A337,2),"lundi","mardi","mercredi","jeudi","vendredi","samedi","dimanche")</f>
        <v/>
      </c>
      <c r="C337" s="22" t="n"/>
      <c r="D337" s="22" t="n"/>
      <c r="E337" s="22" t="n"/>
      <c r="F337" s="22" t="n"/>
      <c r="G337" s="22" t="n"/>
      <c r="H337" s="22" t="n"/>
      <c r="I337" s="23">
        <f>IF(COUNT(C337:H337)=0,"",SUM(C337:H337))</f>
        <v/>
      </c>
      <c r="J337" s="11">
        <f>$I$3</f>
        <v/>
      </c>
      <c r="K337" s="23">
        <f>IF(I337="","",I337-J337)</f>
        <v/>
      </c>
      <c r="L337" s="24">
        <f>IF(OR(I337="",N(J337)=0),"",K337/J337)</f>
        <v/>
      </c>
      <c r="M337" s="12" t="n"/>
    </row>
    <row r="338">
      <c r="A338" s="14" t="n">
        <v>46626</v>
      </c>
      <c r="B338" s="7">
        <f>CHOOSE(WEEKDAY(A338,2),"lundi","mardi","mercredi","jeudi","vendredi","samedi","dimanche")</f>
        <v/>
      </c>
      <c r="C338" s="22" t="n"/>
      <c r="D338" s="22" t="n"/>
      <c r="E338" s="22" t="n"/>
      <c r="F338" s="22" t="n"/>
      <c r="G338" s="22" t="n"/>
      <c r="H338" s="22" t="n"/>
      <c r="I338" s="23">
        <f>IF(COUNT(C338:H338)=0,"",SUM(C338:H338))</f>
        <v/>
      </c>
      <c r="J338" s="11">
        <f>$I$3</f>
        <v/>
      </c>
      <c r="K338" s="23">
        <f>IF(I338="","",I338-J338)</f>
        <v/>
      </c>
      <c r="L338" s="24">
        <f>IF(OR(I338="",N(J338)=0),"",K338/J338)</f>
        <v/>
      </c>
      <c r="M338" s="12" t="n"/>
    </row>
    <row r="339">
      <c r="A339" s="14" t="n">
        <v>46627</v>
      </c>
      <c r="B339" s="7">
        <f>CHOOSE(WEEKDAY(A339,2),"lundi","mardi","mercredi","jeudi","vendredi","samedi","dimanche")</f>
        <v/>
      </c>
      <c r="C339" s="22" t="n"/>
      <c r="D339" s="22" t="n"/>
      <c r="E339" s="22" t="n"/>
      <c r="F339" s="22" t="n"/>
      <c r="G339" s="22" t="n"/>
      <c r="H339" s="22" t="n"/>
      <c r="I339" s="23">
        <f>IF(COUNT(C339:H339)=0,"",SUM(C339:H339))</f>
        <v/>
      </c>
      <c r="J339" s="11">
        <f>$I$3</f>
        <v/>
      </c>
      <c r="K339" s="23">
        <f>IF(I339="","",I339-J339)</f>
        <v/>
      </c>
      <c r="L339" s="24">
        <f>IF(OR(I339="",N(J339)=0),"",K339/J339)</f>
        <v/>
      </c>
      <c r="M339" s="12" t="n"/>
    </row>
    <row r="340">
      <c r="A340" s="14" t="n">
        <v>46628</v>
      </c>
      <c r="B340" s="7">
        <f>CHOOSE(WEEKDAY(A340,2),"lundi","mardi","mercredi","jeudi","vendredi","samedi","dimanche")</f>
        <v/>
      </c>
      <c r="C340" s="22" t="n"/>
      <c r="D340" s="22" t="n"/>
      <c r="E340" s="22" t="n"/>
      <c r="F340" s="22" t="n"/>
      <c r="G340" s="22" t="n"/>
      <c r="H340" s="22" t="n"/>
      <c r="I340" s="23">
        <f>IF(COUNT(C340:H340)=0,"",SUM(C340:H340))</f>
        <v/>
      </c>
      <c r="J340" s="11">
        <f>$I$3</f>
        <v/>
      </c>
      <c r="K340" s="23">
        <f>IF(I340="","",I340-J340)</f>
        <v/>
      </c>
      <c r="L340" s="24">
        <f>IF(OR(I340="",N(J340)=0),"",K340/J340)</f>
        <v/>
      </c>
      <c r="M340" s="12" t="n"/>
    </row>
    <row r="341">
      <c r="A341" s="25" t="n">
        <v>46629</v>
      </c>
      <c r="B341" s="26">
        <f>CHOOSE(WEEKDAY(A341,2),"lundi","mardi","mercredi","jeudi","vendredi","samedi","dimanche")</f>
        <v/>
      </c>
      <c r="C341" s="22" t="n"/>
      <c r="D341" s="22" t="n"/>
      <c r="E341" s="22" t="n"/>
      <c r="F341" s="22" t="n"/>
      <c r="G341" s="22" t="n"/>
      <c r="H341" s="22" t="n"/>
      <c r="I341" s="23">
        <f>IF(COUNT(C341:H341)=0,"",SUM(C341:H341))</f>
        <v/>
      </c>
      <c r="J341" s="11">
        <f>$I$3</f>
        <v/>
      </c>
      <c r="K341" s="23">
        <f>IF(I341="","",I341-J341)</f>
        <v/>
      </c>
      <c r="L341" s="24">
        <f>IF(OR(I341="",N(J341)=0),"",K341/J341)</f>
        <v/>
      </c>
      <c r="M341" s="12" t="n"/>
    </row>
    <row r="342">
      <c r="A342" s="14" t="n">
        <v>46630</v>
      </c>
      <c r="B342" s="7">
        <f>CHOOSE(WEEKDAY(A342,2),"lundi","mardi","mercredi","jeudi","vendredi","samedi","dimanche")</f>
        <v/>
      </c>
      <c r="C342" s="22" t="n"/>
      <c r="D342" s="22" t="n"/>
      <c r="E342" s="22" t="n"/>
      <c r="F342" s="22" t="n"/>
      <c r="G342" s="22" t="n"/>
      <c r="H342" s="22" t="n"/>
      <c r="I342" s="23">
        <f>IF(COUNT(C342:H342)=0,"",SUM(C342:H342))</f>
        <v/>
      </c>
      <c r="J342" s="11">
        <f>$I$3</f>
        <v/>
      </c>
      <c r="K342" s="23">
        <f>IF(I342="","",I342-J342)</f>
        <v/>
      </c>
      <c r="L342" s="24">
        <f>IF(OR(I342="",N(J342)=0),"",K342/J342)</f>
        <v/>
      </c>
      <c r="M342" s="12" t="n"/>
    </row>
    <row r="343">
      <c r="A343" s="14" t="n">
        <v>46631</v>
      </c>
      <c r="B343" s="7">
        <f>CHOOSE(WEEKDAY(A343,2),"lundi","mardi","mercredi","jeudi","vendredi","samedi","dimanche")</f>
        <v/>
      </c>
      <c r="C343" s="22" t="n"/>
      <c r="D343" s="22" t="n"/>
      <c r="E343" s="22" t="n"/>
      <c r="F343" s="22" t="n"/>
      <c r="G343" s="22" t="n"/>
      <c r="H343" s="22" t="n"/>
      <c r="I343" s="23">
        <f>IF(COUNT(C343:H343)=0,"",SUM(C343:H343))</f>
        <v/>
      </c>
      <c r="J343" s="11">
        <f>$I$3</f>
        <v/>
      </c>
      <c r="K343" s="23">
        <f>IF(I343="","",I343-J343)</f>
        <v/>
      </c>
      <c r="L343" s="24">
        <f>IF(OR(I343="",N(J343)=0),"",K343/J343)</f>
        <v/>
      </c>
      <c r="M343" s="12" t="n"/>
    </row>
    <row r="344">
      <c r="A344" s="14" t="n">
        <v>46632</v>
      </c>
      <c r="B344" s="7">
        <f>CHOOSE(WEEKDAY(A344,2),"lundi","mardi","mercredi","jeudi","vendredi","samedi","dimanche")</f>
        <v/>
      </c>
      <c r="C344" s="22" t="n"/>
      <c r="D344" s="22" t="n"/>
      <c r="E344" s="22" t="n"/>
      <c r="F344" s="22" t="n"/>
      <c r="G344" s="22" t="n"/>
      <c r="H344" s="22" t="n"/>
      <c r="I344" s="23">
        <f>IF(COUNT(C344:H344)=0,"",SUM(C344:H344))</f>
        <v/>
      </c>
      <c r="J344" s="11">
        <f>$I$3</f>
        <v/>
      </c>
      <c r="K344" s="23">
        <f>IF(I344="","",I344-J344)</f>
        <v/>
      </c>
      <c r="L344" s="24">
        <f>IF(OR(I344="",N(J344)=0),"",K344/J344)</f>
        <v/>
      </c>
      <c r="M344" s="12" t="n"/>
    </row>
    <row r="345">
      <c r="A345" s="14" t="n">
        <v>46633</v>
      </c>
      <c r="B345" s="7">
        <f>CHOOSE(WEEKDAY(A345,2),"lundi","mardi","mercredi","jeudi","vendredi","samedi","dimanche")</f>
        <v/>
      </c>
      <c r="C345" s="22" t="n"/>
      <c r="D345" s="22" t="n"/>
      <c r="E345" s="22" t="n"/>
      <c r="F345" s="22" t="n"/>
      <c r="G345" s="22" t="n"/>
      <c r="H345" s="22" t="n"/>
      <c r="I345" s="23">
        <f>IF(COUNT(C345:H345)=0,"",SUM(C345:H345))</f>
        <v/>
      </c>
      <c r="J345" s="11">
        <f>$I$3</f>
        <v/>
      </c>
      <c r="K345" s="23">
        <f>IF(I345="","",I345-J345)</f>
        <v/>
      </c>
      <c r="L345" s="24">
        <f>IF(OR(I345="",N(J345)=0),"",K345/J345)</f>
        <v/>
      </c>
      <c r="M345" s="12" t="n"/>
    </row>
    <row r="346">
      <c r="A346" s="14" t="n">
        <v>46634</v>
      </c>
      <c r="B346" s="7">
        <f>CHOOSE(WEEKDAY(A346,2),"lundi","mardi","mercredi","jeudi","vendredi","samedi","dimanche")</f>
        <v/>
      </c>
      <c r="C346" s="22" t="n"/>
      <c r="D346" s="22" t="n"/>
      <c r="E346" s="22" t="n"/>
      <c r="F346" s="22" t="n"/>
      <c r="G346" s="22" t="n"/>
      <c r="H346" s="22" t="n"/>
      <c r="I346" s="23">
        <f>IF(COUNT(C346:H346)=0,"",SUM(C346:H346))</f>
        <v/>
      </c>
      <c r="J346" s="11">
        <f>$I$3</f>
        <v/>
      </c>
      <c r="K346" s="23">
        <f>IF(I346="","",I346-J346)</f>
        <v/>
      </c>
      <c r="L346" s="24">
        <f>IF(OR(I346="",N(J346)=0),"",K346/J346)</f>
        <v/>
      </c>
      <c r="M346" s="12" t="n"/>
    </row>
    <row r="347">
      <c r="A347" s="14" t="n">
        <v>46635</v>
      </c>
      <c r="B347" s="7">
        <f>CHOOSE(WEEKDAY(A347,2),"lundi","mardi","mercredi","jeudi","vendredi","samedi","dimanche")</f>
        <v/>
      </c>
      <c r="C347" s="22" t="n"/>
      <c r="D347" s="22" t="n"/>
      <c r="E347" s="22" t="n"/>
      <c r="F347" s="22" t="n"/>
      <c r="G347" s="22" t="n"/>
      <c r="H347" s="22" t="n"/>
      <c r="I347" s="23">
        <f>IF(COUNT(C347:H347)=0,"",SUM(C347:H347))</f>
        <v/>
      </c>
      <c r="J347" s="11">
        <f>$I$3</f>
        <v/>
      </c>
      <c r="K347" s="23">
        <f>IF(I347="","",I347-J347)</f>
        <v/>
      </c>
      <c r="L347" s="24">
        <f>IF(OR(I347="",N(J347)=0),"",K347/J347)</f>
        <v/>
      </c>
      <c r="M347" s="12" t="n"/>
    </row>
    <row r="348">
      <c r="A348" s="25" t="n">
        <v>46636</v>
      </c>
      <c r="B348" s="26">
        <f>CHOOSE(WEEKDAY(A348,2),"lundi","mardi","mercredi","jeudi","vendredi","samedi","dimanche")</f>
        <v/>
      </c>
      <c r="C348" s="22" t="n"/>
      <c r="D348" s="22" t="n"/>
      <c r="E348" s="22" t="n"/>
      <c r="F348" s="22" t="n"/>
      <c r="G348" s="22" t="n"/>
      <c r="H348" s="22" t="n"/>
      <c r="I348" s="23">
        <f>IF(COUNT(C348:H348)=0,"",SUM(C348:H348))</f>
        <v/>
      </c>
      <c r="J348" s="11">
        <f>$I$3</f>
        <v/>
      </c>
      <c r="K348" s="23">
        <f>IF(I348="","",I348-J348)</f>
        <v/>
      </c>
      <c r="L348" s="24">
        <f>IF(OR(I348="",N(J348)=0),"",K348/J348)</f>
        <v/>
      </c>
      <c r="M348" s="12" t="n"/>
    </row>
    <row r="349">
      <c r="A349" s="14" t="n">
        <v>46637</v>
      </c>
      <c r="B349" s="7">
        <f>CHOOSE(WEEKDAY(A349,2),"lundi","mardi","mercredi","jeudi","vendredi","samedi","dimanche")</f>
        <v/>
      </c>
      <c r="C349" s="22" t="n"/>
      <c r="D349" s="22" t="n"/>
      <c r="E349" s="22" t="n"/>
      <c r="F349" s="22" t="n"/>
      <c r="G349" s="22" t="n"/>
      <c r="H349" s="22" t="n"/>
      <c r="I349" s="23">
        <f>IF(COUNT(C349:H349)=0,"",SUM(C349:H349))</f>
        <v/>
      </c>
      <c r="J349" s="11">
        <f>$I$3</f>
        <v/>
      </c>
      <c r="K349" s="23">
        <f>IF(I349="","",I349-J349)</f>
        <v/>
      </c>
      <c r="L349" s="24">
        <f>IF(OR(I349="",N(J349)=0),"",K349/J349)</f>
        <v/>
      </c>
      <c r="M349" s="12" t="n"/>
    </row>
    <row r="350">
      <c r="A350" s="14" t="n">
        <v>46638</v>
      </c>
      <c r="B350" s="7">
        <f>CHOOSE(WEEKDAY(A350,2),"lundi","mardi","mercredi","jeudi","vendredi","samedi","dimanche")</f>
        <v/>
      </c>
      <c r="C350" s="22" t="n"/>
      <c r="D350" s="22" t="n"/>
      <c r="E350" s="22" t="n"/>
      <c r="F350" s="22" t="n"/>
      <c r="G350" s="22" t="n"/>
      <c r="H350" s="22" t="n"/>
      <c r="I350" s="23">
        <f>IF(COUNT(C350:H350)=0,"",SUM(C350:H350))</f>
        <v/>
      </c>
      <c r="J350" s="11">
        <f>$I$3</f>
        <v/>
      </c>
      <c r="K350" s="23">
        <f>IF(I350="","",I350-J350)</f>
        <v/>
      </c>
      <c r="L350" s="24">
        <f>IF(OR(I350="",N(J350)=0),"",K350/J350)</f>
        <v/>
      </c>
      <c r="M350" s="12" t="n"/>
    </row>
    <row r="351">
      <c r="A351" s="14" t="n">
        <v>46639</v>
      </c>
      <c r="B351" s="7">
        <f>CHOOSE(WEEKDAY(A351,2),"lundi","mardi","mercredi","jeudi","vendredi","samedi","dimanche")</f>
        <v/>
      </c>
      <c r="C351" s="22" t="n"/>
      <c r="D351" s="22" t="n"/>
      <c r="E351" s="22" t="n"/>
      <c r="F351" s="22" t="n"/>
      <c r="G351" s="22" t="n"/>
      <c r="H351" s="22" t="n"/>
      <c r="I351" s="23">
        <f>IF(COUNT(C351:H351)=0,"",SUM(C351:H351))</f>
        <v/>
      </c>
      <c r="J351" s="11">
        <f>$I$3</f>
        <v/>
      </c>
      <c r="K351" s="23">
        <f>IF(I351="","",I351-J351)</f>
        <v/>
      </c>
      <c r="L351" s="24">
        <f>IF(OR(I351="",N(J351)=0),"",K351/J351)</f>
        <v/>
      </c>
      <c r="M351" s="12" t="n"/>
    </row>
    <row r="352">
      <c r="A352" s="14" t="n">
        <v>46640</v>
      </c>
      <c r="B352" s="7">
        <f>CHOOSE(WEEKDAY(A352,2),"lundi","mardi","mercredi","jeudi","vendredi","samedi","dimanche")</f>
        <v/>
      </c>
      <c r="C352" s="22" t="n"/>
      <c r="D352" s="22" t="n"/>
      <c r="E352" s="22" t="n"/>
      <c r="F352" s="22" t="n"/>
      <c r="G352" s="22" t="n"/>
      <c r="H352" s="22" t="n"/>
      <c r="I352" s="23">
        <f>IF(COUNT(C352:H352)=0,"",SUM(C352:H352))</f>
        <v/>
      </c>
      <c r="J352" s="11">
        <f>$I$3</f>
        <v/>
      </c>
      <c r="K352" s="23">
        <f>IF(I352="","",I352-J352)</f>
        <v/>
      </c>
      <c r="L352" s="24">
        <f>IF(OR(I352="",N(J352)=0),"",K352/J352)</f>
        <v/>
      </c>
      <c r="M352" s="12" t="n"/>
    </row>
    <row r="353">
      <c r="A353" s="14" t="n">
        <v>46641</v>
      </c>
      <c r="B353" s="7">
        <f>CHOOSE(WEEKDAY(A353,2),"lundi","mardi","mercredi","jeudi","vendredi","samedi","dimanche")</f>
        <v/>
      </c>
      <c r="C353" s="22" t="n"/>
      <c r="D353" s="22" t="n"/>
      <c r="E353" s="22" t="n"/>
      <c r="F353" s="22" t="n"/>
      <c r="G353" s="22" t="n"/>
      <c r="H353" s="22" t="n"/>
      <c r="I353" s="23">
        <f>IF(COUNT(C353:H353)=0,"",SUM(C353:H353))</f>
        <v/>
      </c>
      <c r="J353" s="11">
        <f>$I$3</f>
        <v/>
      </c>
      <c r="K353" s="23">
        <f>IF(I353="","",I353-J353)</f>
        <v/>
      </c>
      <c r="L353" s="24">
        <f>IF(OR(I353="",N(J353)=0),"",K353/J353)</f>
        <v/>
      </c>
      <c r="M353" s="12" t="n"/>
    </row>
    <row r="354">
      <c r="A354" s="14" t="n">
        <v>46642</v>
      </c>
      <c r="B354" s="7">
        <f>CHOOSE(WEEKDAY(A354,2),"lundi","mardi","mercredi","jeudi","vendredi","samedi","dimanche")</f>
        <v/>
      </c>
      <c r="C354" s="22" t="n"/>
      <c r="D354" s="22" t="n"/>
      <c r="E354" s="22" t="n"/>
      <c r="F354" s="22" t="n"/>
      <c r="G354" s="22" t="n"/>
      <c r="H354" s="22" t="n"/>
      <c r="I354" s="23">
        <f>IF(COUNT(C354:H354)=0,"",SUM(C354:H354))</f>
        <v/>
      </c>
      <c r="J354" s="11">
        <f>$I$3</f>
        <v/>
      </c>
      <c r="K354" s="23">
        <f>IF(I354="","",I354-J354)</f>
        <v/>
      </c>
      <c r="L354" s="24">
        <f>IF(OR(I354="",N(J354)=0),"",K354/J354)</f>
        <v/>
      </c>
      <c r="M354" s="12" t="n"/>
    </row>
    <row r="355">
      <c r="A355" s="25" t="n">
        <v>46643</v>
      </c>
      <c r="B355" s="26">
        <f>CHOOSE(WEEKDAY(A355,2),"lundi","mardi","mercredi","jeudi","vendredi","samedi","dimanche")</f>
        <v/>
      </c>
      <c r="C355" s="22" t="n"/>
      <c r="D355" s="22" t="n"/>
      <c r="E355" s="22" t="n"/>
      <c r="F355" s="22" t="n"/>
      <c r="G355" s="22" t="n"/>
      <c r="H355" s="22" t="n"/>
      <c r="I355" s="23">
        <f>IF(COUNT(C355:H355)=0,"",SUM(C355:H355))</f>
        <v/>
      </c>
      <c r="J355" s="11">
        <f>$I$3</f>
        <v/>
      </c>
      <c r="K355" s="23">
        <f>IF(I355="","",I355-J355)</f>
        <v/>
      </c>
      <c r="L355" s="24">
        <f>IF(OR(I355="",N(J355)=0),"",K355/J355)</f>
        <v/>
      </c>
      <c r="M355" s="12" t="n"/>
    </row>
    <row r="356">
      <c r="A356" s="14" t="n">
        <v>46644</v>
      </c>
      <c r="B356" s="7">
        <f>CHOOSE(WEEKDAY(A356,2),"lundi","mardi","mercredi","jeudi","vendredi","samedi","dimanche")</f>
        <v/>
      </c>
      <c r="C356" s="22" t="n"/>
      <c r="D356" s="22" t="n"/>
      <c r="E356" s="22" t="n"/>
      <c r="F356" s="22" t="n"/>
      <c r="G356" s="22" t="n"/>
      <c r="H356" s="22" t="n"/>
      <c r="I356" s="23">
        <f>IF(COUNT(C356:H356)=0,"",SUM(C356:H356))</f>
        <v/>
      </c>
      <c r="J356" s="11">
        <f>$I$3</f>
        <v/>
      </c>
      <c r="K356" s="23">
        <f>IF(I356="","",I356-J356)</f>
        <v/>
      </c>
      <c r="L356" s="24">
        <f>IF(OR(I356="",N(J356)=0),"",K356/J356)</f>
        <v/>
      </c>
      <c r="M356" s="12" t="n"/>
    </row>
    <row r="357">
      <c r="A357" s="14" t="n">
        <v>46645</v>
      </c>
      <c r="B357" s="7">
        <f>CHOOSE(WEEKDAY(A357,2),"lundi","mardi","mercredi","jeudi","vendredi","samedi","dimanche")</f>
        <v/>
      </c>
      <c r="C357" s="22" t="n"/>
      <c r="D357" s="22" t="n"/>
      <c r="E357" s="22" t="n"/>
      <c r="F357" s="22" t="n"/>
      <c r="G357" s="22" t="n"/>
      <c r="H357" s="22" t="n"/>
      <c r="I357" s="23">
        <f>IF(COUNT(C357:H357)=0,"",SUM(C357:H357))</f>
        <v/>
      </c>
      <c r="J357" s="11">
        <f>$I$3</f>
        <v/>
      </c>
      <c r="K357" s="23">
        <f>IF(I357="","",I357-J357)</f>
        <v/>
      </c>
      <c r="L357" s="24">
        <f>IF(OR(I357="",N(J357)=0),"",K357/J357)</f>
        <v/>
      </c>
      <c r="M357" s="12" t="n"/>
    </row>
    <row r="358">
      <c r="A358" s="14" t="n">
        <v>46646</v>
      </c>
      <c r="B358" s="7">
        <f>CHOOSE(WEEKDAY(A358,2),"lundi","mardi","mercredi","jeudi","vendredi","samedi","dimanche")</f>
        <v/>
      </c>
      <c r="C358" s="22" t="n"/>
      <c r="D358" s="22" t="n"/>
      <c r="E358" s="22" t="n"/>
      <c r="F358" s="22" t="n"/>
      <c r="G358" s="22" t="n"/>
      <c r="H358" s="22" t="n"/>
      <c r="I358" s="23">
        <f>IF(COUNT(C358:H358)=0,"",SUM(C358:H358))</f>
        <v/>
      </c>
      <c r="J358" s="11">
        <f>$I$3</f>
        <v/>
      </c>
      <c r="K358" s="23">
        <f>IF(I358="","",I358-J358)</f>
        <v/>
      </c>
      <c r="L358" s="24">
        <f>IF(OR(I358="",N(J358)=0),"",K358/J358)</f>
        <v/>
      </c>
      <c r="M358" s="12" t="n"/>
    </row>
    <row r="359">
      <c r="A359" s="14" t="n">
        <v>46647</v>
      </c>
      <c r="B359" s="7">
        <f>CHOOSE(WEEKDAY(A359,2),"lundi","mardi","mercredi","jeudi","vendredi","samedi","dimanche")</f>
        <v/>
      </c>
      <c r="C359" s="22" t="n"/>
      <c r="D359" s="22" t="n"/>
      <c r="E359" s="22" t="n"/>
      <c r="F359" s="22" t="n"/>
      <c r="G359" s="22" t="n"/>
      <c r="H359" s="22" t="n"/>
      <c r="I359" s="23">
        <f>IF(COUNT(C359:H359)=0,"",SUM(C359:H359))</f>
        <v/>
      </c>
      <c r="J359" s="11">
        <f>$I$3</f>
        <v/>
      </c>
      <c r="K359" s="23">
        <f>IF(I359="","",I359-J359)</f>
        <v/>
      </c>
      <c r="L359" s="24">
        <f>IF(OR(I359="",N(J359)=0),"",K359/J359)</f>
        <v/>
      </c>
      <c r="M359" s="12" t="n"/>
    </row>
    <row r="360">
      <c r="A360" s="14" t="n">
        <v>46648</v>
      </c>
      <c r="B360" s="7">
        <f>CHOOSE(WEEKDAY(A360,2),"lundi","mardi","mercredi","jeudi","vendredi","samedi","dimanche")</f>
        <v/>
      </c>
      <c r="C360" s="22" t="n"/>
      <c r="D360" s="22" t="n"/>
      <c r="E360" s="22" t="n"/>
      <c r="F360" s="22" t="n"/>
      <c r="G360" s="22" t="n"/>
      <c r="H360" s="22" t="n"/>
      <c r="I360" s="23">
        <f>IF(COUNT(C360:H360)=0,"",SUM(C360:H360))</f>
        <v/>
      </c>
      <c r="J360" s="11">
        <f>$I$3</f>
        <v/>
      </c>
      <c r="K360" s="23">
        <f>IF(I360="","",I360-J360)</f>
        <v/>
      </c>
      <c r="L360" s="24">
        <f>IF(OR(I360="",N(J360)=0),"",K360/J360)</f>
        <v/>
      </c>
      <c r="M360" s="12" t="n"/>
    </row>
    <row r="361">
      <c r="A361" s="14" t="n">
        <v>46649</v>
      </c>
      <c r="B361" s="7">
        <f>CHOOSE(WEEKDAY(A361,2),"lundi","mardi","mercredi","jeudi","vendredi","samedi","dimanche")</f>
        <v/>
      </c>
      <c r="C361" s="22" t="n"/>
      <c r="D361" s="22" t="n"/>
      <c r="E361" s="22" t="n"/>
      <c r="F361" s="22" t="n"/>
      <c r="G361" s="22" t="n"/>
      <c r="H361" s="22" t="n"/>
      <c r="I361" s="23">
        <f>IF(COUNT(C361:H361)=0,"",SUM(C361:H361))</f>
        <v/>
      </c>
      <c r="J361" s="11">
        <f>$I$3</f>
        <v/>
      </c>
      <c r="K361" s="23">
        <f>IF(I361="","",I361-J361)</f>
        <v/>
      </c>
      <c r="L361" s="24">
        <f>IF(OR(I361="",N(J361)=0),"",K361/J361)</f>
        <v/>
      </c>
      <c r="M361" s="12" t="n"/>
    </row>
    <row r="362">
      <c r="A362" s="25" t="n">
        <v>46650</v>
      </c>
      <c r="B362" s="26">
        <f>CHOOSE(WEEKDAY(A362,2),"lundi","mardi","mercredi","jeudi","vendredi","samedi","dimanche")</f>
        <v/>
      </c>
      <c r="C362" s="22" t="n"/>
      <c r="D362" s="22" t="n"/>
      <c r="E362" s="22" t="n"/>
      <c r="F362" s="22" t="n"/>
      <c r="G362" s="22" t="n"/>
      <c r="H362" s="22" t="n"/>
      <c r="I362" s="23">
        <f>IF(COUNT(C362:H362)=0,"",SUM(C362:H362))</f>
        <v/>
      </c>
      <c r="J362" s="11">
        <f>$I$3</f>
        <v/>
      </c>
      <c r="K362" s="23">
        <f>IF(I362="","",I362-J362)</f>
        <v/>
      </c>
      <c r="L362" s="24">
        <f>IF(OR(I362="",N(J362)=0),"",K362/J362)</f>
        <v/>
      </c>
      <c r="M362" s="12" t="n"/>
    </row>
    <row r="363">
      <c r="A363" s="14" t="n">
        <v>46651</v>
      </c>
      <c r="B363" s="7">
        <f>CHOOSE(WEEKDAY(A363,2),"lundi","mardi","mercredi","jeudi","vendredi","samedi","dimanche")</f>
        <v/>
      </c>
      <c r="C363" s="22" t="n"/>
      <c r="D363" s="22" t="n"/>
      <c r="E363" s="22" t="n"/>
      <c r="F363" s="22" t="n"/>
      <c r="G363" s="22" t="n"/>
      <c r="H363" s="22" t="n"/>
      <c r="I363" s="23">
        <f>IF(COUNT(C363:H363)=0,"",SUM(C363:H363))</f>
        <v/>
      </c>
      <c r="J363" s="11">
        <f>$I$3</f>
        <v/>
      </c>
      <c r="K363" s="23">
        <f>IF(I363="","",I363-J363)</f>
        <v/>
      </c>
      <c r="L363" s="24">
        <f>IF(OR(I363="",N(J363)=0),"",K363/J363)</f>
        <v/>
      </c>
      <c r="M363" s="12" t="n"/>
    </row>
    <row r="364">
      <c r="A364" s="14" t="n">
        <v>46652</v>
      </c>
      <c r="B364" s="7">
        <f>CHOOSE(WEEKDAY(A364,2),"lundi","mardi","mercredi","jeudi","vendredi","samedi","dimanche")</f>
        <v/>
      </c>
      <c r="C364" s="22" t="n"/>
      <c r="D364" s="22" t="n"/>
      <c r="E364" s="22" t="n"/>
      <c r="F364" s="22" t="n"/>
      <c r="G364" s="22" t="n"/>
      <c r="H364" s="22" t="n"/>
      <c r="I364" s="23">
        <f>IF(COUNT(C364:H364)=0,"",SUM(C364:H364))</f>
        <v/>
      </c>
      <c r="J364" s="11">
        <f>$I$3</f>
        <v/>
      </c>
      <c r="K364" s="23">
        <f>IF(I364="","",I364-J364)</f>
        <v/>
      </c>
      <c r="L364" s="24">
        <f>IF(OR(I364="",N(J364)=0),"",K364/J364)</f>
        <v/>
      </c>
      <c r="M364" s="12" t="n"/>
    </row>
    <row r="365">
      <c r="A365" s="14" t="n">
        <v>46653</v>
      </c>
      <c r="B365" s="7">
        <f>CHOOSE(WEEKDAY(A365,2),"lundi","mardi","mercredi","jeudi","vendredi","samedi","dimanche")</f>
        <v/>
      </c>
      <c r="C365" s="22" t="n"/>
      <c r="D365" s="22" t="n"/>
      <c r="E365" s="22" t="n"/>
      <c r="F365" s="22" t="n"/>
      <c r="G365" s="22" t="n"/>
      <c r="H365" s="22" t="n"/>
      <c r="I365" s="23">
        <f>IF(COUNT(C365:H365)=0,"",SUM(C365:H365))</f>
        <v/>
      </c>
      <c r="J365" s="11">
        <f>$I$3</f>
        <v/>
      </c>
      <c r="K365" s="23">
        <f>IF(I365="","",I365-J365)</f>
        <v/>
      </c>
      <c r="L365" s="24">
        <f>IF(OR(I365="",N(J365)=0),"",K365/J365)</f>
        <v/>
      </c>
      <c r="M365" s="12" t="n"/>
    </row>
    <row r="366">
      <c r="A366" s="14" t="n">
        <v>46654</v>
      </c>
      <c r="B366" s="7">
        <f>CHOOSE(WEEKDAY(A366,2),"lundi","mardi","mercredi","jeudi","vendredi","samedi","dimanche")</f>
        <v/>
      </c>
      <c r="C366" s="22" t="n"/>
      <c r="D366" s="22" t="n"/>
      <c r="E366" s="22" t="n"/>
      <c r="F366" s="22" t="n"/>
      <c r="G366" s="22" t="n"/>
      <c r="H366" s="22" t="n"/>
      <c r="I366" s="23">
        <f>IF(COUNT(C366:H366)=0,"",SUM(C366:H366))</f>
        <v/>
      </c>
      <c r="J366" s="11">
        <f>$I$3</f>
        <v/>
      </c>
      <c r="K366" s="23">
        <f>IF(I366="","",I366-J366)</f>
        <v/>
      </c>
      <c r="L366" s="24">
        <f>IF(OR(I366="",N(J366)=0),"",K366/J366)</f>
        <v/>
      </c>
      <c r="M366" s="12" t="n"/>
    </row>
    <row r="367">
      <c r="A367" s="14" t="n">
        <v>46655</v>
      </c>
      <c r="B367" s="7">
        <f>CHOOSE(WEEKDAY(A367,2),"lundi","mardi","mercredi","jeudi","vendredi","samedi","dimanche")</f>
        <v/>
      </c>
      <c r="C367" s="22" t="n"/>
      <c r="D367" s="22" t="n"/>
      <c r="E367" s="22" t="n"/>
      <c r="F367" s="22" t="n"/>
      <c r="G367" s="22" t="n"/>
      <c r="H367" s="22" t="n"/>
      <c r="I367" s="23">
        <f>IF(COUNT(C367:H367)=0,"",SUM(C367:H367))</f>
        <v/>
      </c>
      <c r="J367" s="11">
        <f>$I$3</f>
        <v/>
      </c>
      <c r="K367" s="23">
        <f>IF(I367="","",I367-J367)</f>
        <v/>
      </c>
      <c r="L367" s="24">
        <f>IF(OR(I367="",N(J367)=0),"",K367/J367)</f>
        <v/>
      </c>
      <c r="M367" s="12" t="n"/>
    </row>
    <row r="368">
      <c r="A368" s="14" t="n">
        <v>46656</v>
      </c>
      <c r="B368" s="7">
        <f>CHOOSE(WEEKDAY(A368,2),"lundi","mardi","mercredi","jeudi","vendredi","samedi","dimanche")</f>
        <v/>
      </c>
      <c r="C368" s="22" t="n"/>
      <c r="D368" s="22" t="n"/>
      <c r="E368" s="22" t="n"/>
      <c r="F368" s="22" t="n"/>
      <c r="G368" s="22" t="n"/>
      <c r="H368" s="22" t="n"/>
      <c r="I368" s="23">
        <f>IF(COUNT(C368:H368)=0,"",SUM(C368:H368))</f>
        <v/>
      </c>
      <c r="J368" s="11">
        <f>$I$3</f>
        <v/>
      </c>
      <c r="K368" s="23">
        <f>IF(I368="","",I368-J368)</f>
        <v/>
      </c>
      <c r="L368" s="24">
        <f>IF(OR(I368="",N(J368)=0),"",K368/J368)</f>
        <v/>
      </c>
      <c r="M368" s="12" t="n"/>
    </row>
    <row r="369">
      <c r="A369" s="25" t="n">
        <v>46657</v>
      </c>
      <c r="B369" s="26">
        <f>CHOOSE(WEEKDAY(A369,2),"lundi","mardi","mercredi","jeudi","vendredi","samedi","dimanche")</f>
        <v/>
      </c>
      <c r="C369" s="22" t="n"/>
      <c r="D369" s="22" t="n"/>
      <c r="E369" s="22" t="n"/>
      <c r="F369" s="22" t="n"/>
      <c r="G369" s="22" t="n"/>
      <c r="H369" s="22" t="n"/>
      <c r="I369" s="23">
        <f>IF(COUNT(C369:H369)=0,"",SUM(C369:H369))</f>
        <v/>
      </c>
      <c r="J369" s="11">
        <f>$I$3</f>
        <v/>
      </c>
      <c r="K369" s="23">
        <f>IF(I369="","",I369-J369)</f>
        <v/>
      </c>
      <c r="L369" s="24">
        <f>IF(OR(I369="",N(J369)=0),"",K369/J369)</f>
        <v/>
      </c>
      <c r="M369" s="12" t="n"/>
    </row>
    <row r="370">
      <c r="A370" s="14" t="n">
        <v>46658</v>
      </c>
      <c r="B370" s="7">
        <f>CHOOSE(WEEKDAY(A370,2),"lundi","mardi","mercredi","jeudi","vendredi","samedi","dimanche")</f>
        <v/>
      </c>
      <c r="C370" s="22" t="n"/>
      <c r="D370" s="22" t="n"/>
      <c r="E370" s="22" t="n"/>
      <c r="F370" s="22" t="n"/>
      <c r="G370" s="22" t="n"/>
      <c r="H370" s="22" t="n"/>
      <c r="I370" s="23">
        <f>IF(COUNT(C370:H370)=0,"",SUM(C370:H370))</f>
        <v/>
      </c>
      <c r="J370" s="11">
        <f>$I$3</f>
        <v/>
      </c>
      <c r="K370" s="23">
        <f>IF(I370="","",I370-J370)</f>
        <v/>
      </c>
      <c r="L370" s="24">
        <f>IF(OR(I370="",N(J370)=0),"",K370/J370)</f>
        <v/>
      </c>
      <c r="M370" s="12" t="n"/>
    </row>
    <row r="371">
      <c r="A371" s="14" t="n">
        <v>46659</v>
      </c>
      <c r="B371" s="7">
        <f>CHOOSE(WEEKDAY(A371,2),"lundi","mardi","mercredi","jeudi","vendredi","samedi","dimanche")</f>
        <v/>
      </c>
      <c r="C371" s="22" t="n"/>
      <c r="D371" s="22" t="n"/>
      <c r="E371" s="22" t="n"/>
      <c r="F371" s="22" t="n"/>
      <c r="G371" s="22" t="n"/>
      <c r="H371" s="22" t="n"/>
      <c r="I371" s="23">
        <f>IF(COUNT(C371:H371)=0,"",SUM(C371:H371))</f>
        <v/>
      </c>
      <c r="J371" s="11">
        <f>$I$3</f>
        <v/>
      </c>
      <c r="K371" s="23">
        <f>IF(I371="","",I371-J371)</f>
        <v/>
      </c>
      <c r="L371" s="24">
        <f>IF(OR(I371="",N(J371)=0),"",K371/J371)</f>
        <v/>
      </c>
      <c r="M371" s="12" t="n"/>
    </row>
    <row r="372">
      <c r="A372" s="14" t="n">
        <v>46660</v>
      </c>
      <c r="B372" s="7">
        <f>CHOOSE(WEEKDAY(A372,2),"lundi","mardi","mercredi","jeudi","vendredi","samedi","dimanche")</f>
        <v/>
      </c>
      <c r="C372" s="22" t="n"/>
      <c r="D372" s="22" t="n"/>
      <c r="E372" s="22" t="n"/>
      <c r="F372" s="22" t="n"/>
      <c r="G372" s="22" t="n"/>
      <c r="H372" s="22" t="n"/>
      <c r="I372" s="23">
        <f>IF(COUNT(C372:H372)=0,"",SUM(C372:H372))</f>
        <v/>
      </c>
      <c r="J372" s="11">
        <f>$I$3</f>
        <v/>
      </c>
      <c r="K372" s="23">
        <f>IF(I372="","",I372-J372)</f>
        <v/>
      </c>
      <c r="L372" s="24">
        <f>IF(OR(I372="",N(J372)=0),"",K372/J372)</f>
        <v/>
      </c>
      <c r="M372" s="12" t="n"/>
    </row>
    <row r="373">
      <c r="A373" s="14" t="n">
        <v>46661</v>
      </c>
      <c r="B373" s="7">
        <f>CHOOSE(WEEKDAY(A373,2),"lundi","mardi","mercredi","jeudi","vendredi","samedi","dimanche")</f>
        <v/>
      </c>
      <c r="C373" s="22" t="n"/>
      <c r="D373" s="22" t="n"/>
      <c r="E373" s="22" t="n"/>
      <c r="F373" s="22" t="n"/>
      <c r="G373" s="22" t="n"/>
      <c r="H373" s="22" t="n"/>
      <c r="I373" s="23">
        <f>IF(COUNT(C373:H373)=0,"",SUM(C373:H373))</f>
        <v/>
      </c>
      <c r="J373" s="11">
        <f>$I$3</f>
        <v/>
      </c>
      <c r="K373" s="23">
        <f>IF(I373="","",I373-J373)</f>
        <v/>
      </c>
      <c r="L373" s="24">
        <f>IF(OR(I373="",N(J373)=0),"",K373/J373)</f>
        <v/>
      </c>
      <c r="M373" s="12" t="n"/>
    </row>
    <row r="374">
      <c r="A374" s="14" t="n">
        <v>46662</v>
      </c>
      <c r="B374" s="7">
        <f>CHOOSE(WEEKDAY(A374,2),"lundi","mardi","mercredi","jeudi","vendredi","samedi","dimanche")</f>
        <v/>
      </c>
      <c r="C374" s="22" t="n"/>
      <c r="D374" s="22" t="n"/>
      <c r="E374" s="22" t="n"/>
      <c r="F374" s="22" t="n"/>
      <c r="G374" s="22" t="n"/>
      <c r="H374" s="22" t="n"/>
      <c r="I374" s="23">
        <f>IF(COUNT(C374:H374)=0,"",SUM(C374:H374))</f>
        <v/>
      </c>
      <c r="J374" s="11">
        <f>$I$3</f>
        <v/>
      </c>
      <c r="K374" s="23">
        <f>IF(I374="","",I374-J374)</f>
        <v/>
      </c>
      <c r="L374" s="24">
        <f>IF(OR(I374="",N(J374)=0),"",K374/J374)</f>
        <v/>
      </c>
      <c r="M374" s="12" t="n"/>
    </row>
    <row r="375">
      <c r="A375" s="14" t="n">
        <v>46663</v>
      </c>
      <c r="B375" s="7">
        <f>CHOOSE(WEEKDAY(A375,2),"lundi","mardi","mercredi","jeudi","vendredi","samedi","dimanche")</f>
        <v/>
      </c>
      <c r="C375" s="22" t="n"/>
      <c r="D375" s="22" t="n"/>
      <c r="E375" s="22" t="n"/>
      <c r="F375" s="22" t="n"/>
      <c r="G375" s="22" t="n"/>
      <c r="H375" s="22" t="n"/>
      <c r="I375" s="23">
        <f>IF(COUNT(C375:H375)=0,"",SUM(C375:H375))</f>
        <v/>
      </c>
      <c r="J375" s="11">
        <f>$I$3</f>
        <v/>
      </c>
      <c r="K375" s="23">
        <f>IF(I375="","",I375-J375)</f>
        <v/>
      </c>
      <c r="L375" s="24">
        <f>IF(OR(I375="",N(J375)=0),"",K375/J375)</f>
        <v/>
      </c>
      <c r="M375" s="12" t="n"/>
    </row>
    <row r="376">
      <c r="A376" s="25" t="n">
        <v>46664</v>
      </c>
      <c r="B376" s="26">
        <f>CHOOSE(WEEKDAY(A376,2),"lundi","mardi","mercredi","jeudi","vendredi","samedi","dimanche")</f>
        <v/>
      </c>
      <c r="C376" s="22" t="n"/>
      <c r="D376" s="22" t="n"/>
      <c r="E376" s="22" t="n"/>
      <c r="F376" s="22" t="n"/>
      <c r="G376" s="22" t="n"/>
      <c r="H376" s="22" t="n"/>
      <c r="I376" s="23">
        <f>IF(COUNT(C376:H376)=0,"",SUM(C376:H376))</f>
        <v/>
      </c>
      <c r="J376" s="11">
        <f>$I$3</f>
        <v/>
      </c>
      <c r="K376" s="23">
        <f>IF(I376="","",I376-J376)</f>
        <v/>
      </c>
      <c r="L376" s="24">
        <f>IF(OR(I376="",N(J376)=0),"",K376/J376)</f>
        <v/>
      </c>
      <c r="M376" s="12" t="n"/>
    </row>
    <row r="377">
      <c r="A377" s="14" t="n">
        <v>46665</v>
      </c>
      <c r="B377" s="7">
        <f>CHOOSE(WEEKDAY(A377,2),"lundi","mardi","mercredi","jeudi","vendredi","samedi","dimanche")</f>
        <v/>
      </c>
      <c r="C377" s="22" t="n"/>
      <c r="D377" s="22" t="n"/>
      <c r="E377" s="22" t="n"/>
      <c r="F377" s="22" t="n"/>
      <c r="G377" s="22" t="n"/>
      <c r="H377" s="22" t="n"/>
      <c r="I377" s="23">
        <f>IF(COUNT(C377:H377)=0,"",SUM(C377:H377))</f>
        <v/>
      </c>
      <c r="J377" s="11">
        <f>$I$3</f>
        <v/>
      </c>
      <c r="K377" s="23">
        <f>IF(I377="","",I377-J377)</f>
        <v/>
      </c>
      <c r="L377" s="24">
        <f>IF(OR(I377="",N(J377)=0),"",K377/J377)</f>
        <v/>
      </c>
      <c r="M377" s="12" t="n"/>
    </row>
    <row r="378">
      <c r="A378" s="14" t="n">
        <v>46666</v>
      </c>
      <c r="B378" s="7">
        <f>CHOOSE(WEEKDAY(A378,2),"lundi","mardi","mercredi","jeudi","vendredi","samedi","dimanche")</f>
        <v/>
      </c>
      <c r="C378" s="22" t="n"/>
      <c r="D378" s="22" t="n"/>
      <c r="E378" s="22" t="n"/>
      <c r="F378" s="22" t="n"/>
      <c r="G378" s="22" t="n"/>
      <c r="H378" s="22" t="n"/>
      <c r="I378" s="23">
        <f>IF(COUNT(C378:H378)=0,"",SUM(C378:H378))</f>
        <v/>
      </c>
      <c r="J378" s="11">
        <f>$I$3</f>
        <v/>
      </c>
      <c r="K378" s="23">
        <f>IF(I378="","",I378-J378)</f>
        <v/>
      </c>
      <c r="L378" s="24">
        <f>IF(OR(I378="",N(J378)=0),"",K378/J378)</f>
        <v/>
      </c>
      <c r="M378" s="12" t="n"/>
    </row>
    <row r="379">
      <c r="A379" s="14" t="n">
        <v>46667</v>
      </c>
      <c r="B379" s="7">
        <f>CHOOSE(WEEKDAY(A379,2),"lundi","mardi","mercredi","jeudi","vendredi","samedi","dimanche")</f>
        <v/>
      </c>
      <c r="C379" s="22" t="n"/>
      <c r="D379" s="22" t="n"/>
      <c r="E379" s="22" t="n"/>
      <c r="F379" s="22" t="n"/>
      <c r="G379" s="22" t="n"/>
      <c r="H379" s="22" t="n"/>
      <c r="I379" s="23">
        <f>IF(COUNT(C379:H379)=0,"",SUM(C379:H379))</f>
        <v/>
      </c>
      <c r="J379" s="11">
        <f>$I$3</f>
        <v/>
      </c>
      <c r="K379" s="23">
        <f>IF(I379="","",I379-J379)</f>
        <v/>
      </c>
      <c r="L379" s="24">
        <f>IF(OR(I379="",N(J379)=0),"",K379/J379)</f>
        <v/>
      </c>
      <c r="M379" s="12" t="n"/>
    </row>
    <row r="380">
      <c r="A380" s="14" t="n">
        <v>46668</v>
      </c>
      <c r="B380" s="7">
        <f>CHOOSE(WEEKDAY(A380,2),"lundi","mardi","mercredi","jeudi","vendredi","samedi","dimanche")</f>
        <v/>
      </c>
      <c r="C380" s="22" t="n"/>
      <c r="D380" s="22" t="n"/>
      <c r="E380" s="22" t="n"/>
      <c r="F380" s="22" t="n"/>
      <c r="G380" s="22" t="n"/>
      <c r="H380" s="22" t="n"/>
      <c r="I380" s="23">
        <f>IF(COUNT(C380:H380)=0,"",SUM(C380:H380))</f>
        <v/>
      </c>
      <c r="J380" s="11">
        <f>$I$3</f>
        <v/>
      </c>
      <c r="K380" s="23">
        <f>IF(I380="","",I380-J380)</f>
        <v/>
      </c>
      <c r="L380" s="24">
        <f>IF(OR(I380="",N(J380)=0),"",K380/J380)</f>
        <v/>
      </c>
      <c r="M380" s="12" t="n"/>
    </row>
    <row r="381">
      <c r="A381" s="14" t="n">
        <v>46669</v>
      </c>
      <c r="B381" s="7">
        <f>CHOOSE(WEEKDAY(A381,2),"lundi","mardi","mercredi","jeudi","vendredi","samedi","dimanche")</f>
        <v/>
      </c>
      <c r="C381" s="22" t="n"/>
      <c r="D381" s="22" t="n"/>
      <c r="E381" s="22" t="n"/>
      <c r="F381" s="22" t="n"/>
      <c r="G381" s="22" t="n"/>
      <c r="H381" s="22" t="n"/>
      <c r="I381" s="23">
        <f>IF(COUNT(C381:H381)=0,"",SUM(C381:H381))</f>
        <v/>
      </c>
      <c r="J381" s="11">
        <f>$I$3</f>
        <v/>
      </c>
      <c r="K381" s="23">
        <f>IF(I381="","",I381-J381)</f>
        <v/>
      </c>
      <c r="L381" s="24">
        <f>IF(OR(I381="",N(J381)=0),"",K381/J381)</f>
        <v/>
      </c>
      <c r="M381" s="12" t="n"/>
    </row>
    <row r="382">
      <c r="A382" s="14" t="n">
        <v>46670</v>
      </c>
      <c r="B382" s="7">
        <f>CHOOSE(WEEKDAY(A382,2),"lundi","mardi","mercredi","jeudi","vendredi","samedi","dimanche")</f>
        <v/>
      </c>
      <c r="C382" s="22" t="n"/>
      <c r="D382" s="22" t="n"/>
      <c r="E382" s="22" t="n"/>
      <c r="F382" s="22" t="n"/>
      <c r="G382" s="22" t="n"/>
      <c r="H382" s="22" t="n"/>
      <c r="I382" s="23">
        <f>IF(COUNT(C382:H382)=0,"",SUM(C382:H382))</f>
        <v/>
      </c>
      <c r="J382" s="11">
        <f>$I$3</f>
        <v/>
      </c>
      <c r="K382" s="23">
        <f>IF(I382="","",I382-J382)</f>
        <v/>
      </c>
      <c r="L382" s="24">
        <f>IF(OR(I382="",N(J382)=0),"",K382/J382)</f>
        <v/>
      </c>
      <c r="M382" s="12" t="n"/>
    </row>
    <row r="383">
      <c r="A383" s="25" t="n">
        <v>46671</v>
      </c>
      <c r="B383" s="26">
        <f>CHOOSE(WEEKDAY(A383,2),"lundi","mardi","mercredi","jeudi","vendredi","samedi","dimanche")</f>
        <v/>
      </c>
      <c r="C383" s="22" t="n"/>
      <c r="D383" s="22" t="n"/>
      <c r="E383" s="22" t="n"/>
      <c r="F383" s="22" t="n"/>
      <c r="G383" s="22" t="n"/>
      <c r="H383" s="22" t="n"/>
      <c r="I383" s="23">
        <f>IF(COUNT(C383:H383)=0,"",SUM(C383:H383))</f>
        <v/>
      </c>
      <c r="J383" s="11">
        <f>$I$3</f>
        <v/>
      </c>
      <c r="K383" s="23">
        <f>IF(I383="","",I383-J383)</f>
        <v/>
      </c>
      <c r="L383" s="24">
        <f>IF(OR(I383="",N(J383)=0),"",K383/J383)</f>
        <v/>
      </c>
      <c r="M383" s="12" t="n"/>
    </row>
    <row r="384">
      <c r="A384" s="14" t="n">
        <v>46672</v>
      </c>
      <c r="B384" s="7">
        <f>CHOOSE(WEEKDAY(A384,2),"lundi","mardi","mercredi","jeudi","vendredi","samedi","dimanche")</f>
        <v/>
      </c>
      <c r="C384" s="22" t="n"/>
      <c r="D384" s="22" t="n"/>
      <c r="E384" s="22" t="n"/>
      <c r="F384" s="22" t="n"/>
      <c r="G384" s="22" t="n"/>
      <c r="H384" s="22" t="n"/>
      <c r="I384" s="23">
        <f>IF(COUNT(C384:H384)=0,"",SUM(C384:H384))</f>
        <v/>
      </c>
      <c r="J384" s="11">
        <f>$I$3</f>
        <v/>
      </c>
      <c r="K384" s="23">
        <f>IF(I384="","",I384-J384)</f>
        <v/>
      </c>
      <c r="L384" s="24">
        <f>IF(OR(I384="",N(J384)=0),"",K384/J384)</f>
        <v/>
      </c>
      <c r="M384" s="12" t="n"/>
    </row>
    <row r="385">
      <c r="A385" s="14" t="n">
        <v>46673</v>
      </c>
      <c r="B385" s="7">
        <f>CHOOSE(WEEKDAY(A385,2),"lundi","mardi","mercredi","jeudi","vendredi","samedi","dimanche")</f>
        <v/>
      </c>
      <c r="C385" s="22" t="n"/>
      <c r="D385" s="22" t="n"/>
      <c r="E385" s="22" t="n"/>
      <c r="F385" s="22" t="n"/>
      <c r="G385" s="22" t="n"/>
      <c r="H385" s="22" t="n"/>
      <c r="I385" s="23">
        <f>IF(COUNT(C385:H385)=0,"",SUM(C385:H385))</f>
        <v/>
      </c>
      <c r="J385" s="11">
        <f>$I$3</f>
        <v/>
      </c>
      <c r="K385" s="23">
        <f>IF(I385="","",I385-J385)</f>
        <v/>
      </c>
      <c r="L385" s="24">
        <f>IF(OR(I385="",N(J385)=0),"",K385/J385)</f>
        <v/>
      </c>
      <c r="M385" s="12" t="n"/>
    </row>
    <row r="386">
      <c r="A386" s="14" t="n">
        <v>46674</v>
      </c>
      <c r="B386" s="7">
        <f>CHOOSE(WEEKDAY(A386,2),"lundi","mardi","mercredi","jeudi","vendredi","samedi","dimanche")</f>
        <v/>
      </c>
      <c r="C386" s="22" t="n"/>
      <c r="D386" s="22" t="n"/>
      <c r="E386" s="22" t="n"/>
      <c r="F386" s="22" t="n"/>
      <c r="G386" s="22" t="n"/>
      <c r="H386" s="22" t="n"/>
      <c r="I386" s="23">
        <f>IF(COUNT(C386:H386)=0,"",SUM(C386:H386))</f>
        <v/>
      </c>
      <c r="J386" s="11">
        <f>$I$3</f>
        <v/>
      </c>
      <c r="K386" s="23">
        <f>IF(I386="","",I386-J386)</f>
        <v/>
      </c>
      <c r="L386" s="24">
        <f>IF(OR(I386="",N(J386)=0),"",K386/J386)</f>
        <v/>
      </c>
      <c r="M386" s="12" t="n"/>
    </row>
    <row r="387">
      <c r="A387" s="14" t="n">
        <v>46675</v>
      </c>
      <c r="B387" s="7">
        <f>CHOOSE(WEEKDAY(A387,2),"lundi","mardi","mercredi","jeudi","vendredi","samedi","dimanche")</f>
        <v/>
      </c>
      <c r="C387" s="22" t="n"/>
      <c r="D387" s="22" t="n"/>
      <c r="E387" s="22" t="n"/>
      <c r="F387" s="22" t="n"/>
      <c r="G387" s="22" t="n"/>
      <c r="H387" s="22" t="n"/>
      <c r="I387" s="23">
        <f>IF(COUNT(C387:H387)=0,"",SUM(C387:H387))</f>
        <v/>
      </c>
      <c r="J387" s="11">
        <f>$I$3</f>
        <v/>
      </c>
      <c r="K387" s="23">
        <f>IF(I387="","",I387-J387)</f>
        <v/>
      </c>
      <c r="L387" s="24">
        <f>IF(OR(I387="",N(J387)=0),"",K387/J387)</f>
        <v/>
      </c>
      <c r="M387" s="12" t="n"/>
    </row>
    <row r="388">
      <c r="A388" s="14" t="n">
        <v>46676</v>
      </c>
      <c r="B388" s="7">
        <f>CHOOSE(WEEKDAY(A388,2),"lundi","mardi","mercredi","jeudi","vendredi","samedi","dimanche")</f>
        <v/>
      </c>
      <c r="C388" s="22" t="n"/>
      <c r="D388" s="22" t="n"/>
      <c r="E388" s="22" t="n"/>
      <c r="F388" s="22" t="n"/>
      <c r="G388" s="22" t="n"/>
      <c r="H388" s="22" t="n"/>
      <c r="I388" s="23">
        <f>IF(COUNT(C388:H388)=0,"",SUM(C388:H388))</f>
        <v/>
      </c>
      <c r="J388" s="11">
        <f>$I$3</f>
        <v/>
      </c>
      <c r="K388" s="23">
        <f>IF(I388="","",I388-J388)</f>
        <v/>
      </c>
      <c r="L388" s="24">
        <f>IF(OR(I388="",N(J388)=0),"",K388/J388)</f>
        <v/>
      </c>
      <c r="M388" s="12" t="n"/>
    </row>
    <row r="389">
      <c r="A389" s="14" t="n">
        <v>46677</v>
      </c>
      <c r="B389" s="7">
        <f>CHOOSE(WEEKDAY(A389,2),"lundi","mardi","mercredi","jeudi","vendredi","samedi","dimanche")</f>
        <v/>
      </c>
      <c r="C389" s="22" t="n"/>
      <c r="D389" s="22" t="n"/>
      <c r="E389" s="22" t="n"/>
      <c r="F389" s="22" t="n"/>
      <c r="G389" s="22" t="n"/>
      <c r="H389" s="22" t="n"/>
      <c r="I389" s="23">
        <f>IF(COUNT(C389:H389)=0,"",SUM(C389:H389))</f>
        <v/>
      </c>
      <c r="J389" s="11">
        <f>$I$3</f>
        <v/>
      </c>
      <c r="K389" s="23">
        <f>IF(I389="","",I389-J389)</f>
        <v/>
      </c>
      <c r="L389" s="24">
        <f>IF(OR(I389="",N(J389)=0),"",K389/J389)</f>
        <v/>
      </c>
      <c r="M389" s="12" t="n"/>
    </row>
    <row r="390">
      <c r="A390" s="25" t="n">
        <v>46678</v>
      </c>
      <c r="B390" s="26">
        <f>CHOOSE(WEEKDAY(A390,2),"lundi","mardi","mercredi","jeudi","vendredi","samedi","dimanche")</f>
        <v/>
      </c>
      <c r="C390" s="22" t="n"/>
      <c r="D390" s="22" t="n"/>
      <c r="E390" s="22" t="n"/>
      <c r="F390" s="22" t="n"/>
      <c r="G390" s="22" t="n"/>
      <c r="H390" s="22" t="n"/>
      <c r="I390" s="23">
        <f>IF(COUNT(C390:H390)=0,"",SUM(C390:H390))</f>
        <v/>
      </c>
      <c r="J390" s="11">
        <f>$I$3</f>
        <v/>
      </c>
      <c r="K390" s="23">
        <f>IF(I390="","",I390-J390)</f>
        <v/>
      </c>
      <c r="L390" s="24">
        <f>IF(OR(I390="",N(J390)=0),"",K390/J390)</f>
        <v/>
      </c>
      <c r="M390" s="12" t="n"/>
    </row>
    <row r="391">
      <c r="A391" s="14" t="n">
        <v>46679</v>
      </c>
      <c r="B391" s="7">
        <f>CHOOSE(WEEKDAY(A391,2),"lundi","mardi","mercredi","jeudi","vendredi","samedi","dimanche")</f>
        <v/>
      </c>
      <c r="C391" s="22" t="n"/>
      <c r="D391" s="22" t="n"/>
      <c r="E391" s="22" t="n"/>
      <c r="F391" s="22" t="n"/>
      <c r="G391" s="22" t="n"/>
      <c r="H391" s="22" t="n"/>
      <c r="I391" s="23">
        <f>IF(COUNT(C391:H391)=0,"",SUM(C391:H391))</f>
        <v/>
      </c>
      <c r="J391" s="11">
        <f>$I$3</f>
        <v/>
      </c>
      <c r="K391" s="23">
        <f>IF(I391="","",I391-J391)</f>
        <v/>
      </c>
      <c r="L391" s="24">
        <f>IF(OR(I391="",N(J391)=0),"",K391/J391)</f>
        <v/>
      </c>
      <c r="M391" s="12" t="n"/>
    </row>
    <row r="392">
      <c r="A392" s="14" t="n">
        <v>46680</v>
      </c>
      <c r="B392" s="7">
        <f>CHOOSE(WEEKDAY(A392,2),"lundi","mardi","mercredi","jeudi","vendredi","samedi","dimanche")</f>
        <v/>
      </c>
      <c r="C392" s="22" t="n"/>
      <c r="D392" s="22" t="n"/>
      <c r="E392" s="22" t="n"/>
      <c r="F392" s="22" t="n"/>
      <c r="G392" s="22" t="n"/>
      <c r="H392" s="22" t="n"/>
      <c r="I392" s="23">
        <f>IF(COUNT(C392:H392)=0,"",SUM(C392:H392))</f>
        <v/>
      </c>
      <c r="J392" s="11">
        <f>$I$3</f>
        <v/>
      </c>
      <c r="K392" s="23">
        <f>IF(I392="","",I392-J392)</f>
        <v/>
      </c>
      <c r="L392" s="24">
        <f>IF(OR(I392="",N(J392)=0),"",K392/J392)</f>
        <v/>
      </c>
      <c r="M392" s="12" t="n"/>
    </row>
    <row r="393">
      <c r="A393" s="14" t="n">
        <v>46681</v>
      </c>
      <c r="B393" s="7">
        <f>CHOOSE(WEEKDAY(A393,2),"lundi","mardi","mercredi","jeudi","vendredi","samedi","dimanche")</f>
        <v/>
      </c>
      <c r="C393" s="22" t="n"/>
      <c r="D393" s="22" t="n"/>
      <c r="E393" s="22" t="n"/>
      <c r="F393" s="22" t="n"/>
      <c r="G393" s="22" t="n"/>
      <c r="H393" s="22" t="n"/>
      <c r="I393" s="23">
        <f>IF(COUNT(C393:H393)=0,"",SUM(C393:H393))</f>
        <v/>
      </c>
      <c r="J393" s="11">
        <f>$I$3</f>
        <v/>
      </c>
      <c r="K393" s="23">
        <f>IF(I393="","",I393-J393)</f>
        <v/>
      </c>
      <c r="L393" s="24">
        <f>IF(OR(I393="",N(J393)=0),"",K393/J393)</f>
        <v/>
      </c>
      <c r="M393" s="12" t="n"/>
    </row>
    <row r="394">
      <c r="A394" s="14" t="n">
        <v>46682</v>
      </c>
      <c r="B394" s="7">
        <f>CHOOSE(WEEKDAY(A394,2),"lundi","mardi","mercredi","jeudi","vendredi","samedi","dimanche")</f>
        <v/>
      </c>
      <c r="C394" s="22" t="n"/>
      <c r="D394" s="22" t="n"/>
      <c r="E394" s="22" t="n"/>
      <c r="F394" s="22" t="n"/>
      <c r="G394" s="22" t="n"/>
      <c r="H394" s="22" t="n"/>
      <c r="I394" s="23">
        <f>IF(COUNT(C394:H394)=0,"",SUM(C394:H394))</f>
        <v/>
      </c>
      <c r="J394" s="11">
        <f>$I$3</f>
        <v/>
      </c>
      <c r="K394" s="23">
        <f>IF(I394="","",I394-J394)</f>
        <v/>
      </c>
      <c r="L394" s="24">
        <f>IF(OR(I394="",N(J394)=0),"",K394/J394)</f>
        <v/>
      </c>
      <c r="M394" s="12" t="n"/>
    </row>
    <row r="395">
      <c r="A395" s="14" t="n">
        <v>46683</v>
      </c>
      <c r="B395" s="7">
        <f>CHOOSE(WEEKDAY(A395,2),"lundi","mardi","mercredi","jeudi","vendredi","samedi","dimanche")</f>
        <v/>
      </c>
      <c r="C395" s="22" t="n"/>
      <c r="D395" s="22" t="n"/>
      <c r="E395" s="22" t="n"/>
      <c r="F395" s="22" t="n"/>
      <c r="G395" s="22" t="n"/>
      <c r="H395" s="22" t="n"/>
      <c r="I395" s="23">
        <f>IF(COUNT(C395:H395)=0,"",SUM(C395:H395))</f>
        <v/>
      </c>
      <c r="J395" s="11">
        <f>$I$3</f>
        <v/>
      </c>
      <c r="K395" s="23">
        <f>IF(I395="","",I395-J395)</f>
        <v/>
      </c>
      <c r="L395" s="24">
        <f>IF(OR(I395="",N(J395)=0),"",K395/J395)</f>
        <v/>
      </c>
      <c r="M395" s="12" t="n"/>
    </row>
    <row r="396">
      <c r="A396" s="14" t="n">
        <v>46684</v>
      </c>
      <c r="B396" s="7">
        <f>CHOOSE(WEEKDAY(A396,2),"lundi","mardi","mercredi","jeudi","vendredi","samedi","dimanche")</f>
        <v/>
      </c>
      <c r="C396" s="22" t="n"/>
      <c r="D396" s="22" t="n"/>
      <c r="E396" s="22" t="n"/>
      <c r="F396" s="22" t="n"/>
      <c r="G396" s="22" t="n"/>
      <c r="H396" s="22" t="n"/>
      <c r="I396" s="23">
        <f>IF(COUNT(C396:H396)=0,"",SUM(C396:H396))</f>
        <v/>
      </c>
      <c r="J396" s="11">
        <f>$I$3</f>
        <v/>
      </c>
      <c r="K396" s="23">
        <f>IF(I396="","",I396-J396)</f>
        <v/>
      </c>
      <c r="L396" s="24">
        <f>IF(OR(I396="",N(J396)=0),"",K396/J396)</f>
        <v/>
      </c>
      <c r="M396" s="12" t="n"/>
    </row>
    <row r="397">
      <c r="A397" s="25" t="n">
        <v>46685</v>
      </c>
      <c r="B397" s="26">
        <f>CHOOSE(WEEKDAY(A397,2),"lundi","mardi","mercredi","jeudi","vendredi","samedi","dimanche")</f>
        <v/>
      </c>
      <c r="C397" s="22" t="n"/>
      <c r="D397" s="22" t="n"/>
      <c r="E397" s="22" t="n"/>
      <c r="F397" s="22" t="n"/>
      <c r="G397" s="22" t="n"/>
      <c r="H397" s="22" t="n"/>
      <c r="I397" s="23">
        <f>IF(COUNT(C397:H397)=0,"",SUM(C397:H397))</f>
        <v/>
      </c>
      <c r="J397" s="11">
        <f>$I$3</f>
        <v/>
      </c>
      <c r="K397" s="23">
        <f>IF(I397="","",I397-J397)</f>
        <v/>
      </c>
      <c r="L397" s="24">
        <f>IF(OR(I397="",N(J397)=0),"",K397/J397)</f>
        <v/>
      </c>
      <c r="M397" s="12" t="n"/>
    </row>
    <row r="398">
      <c r="A398" s="14" t="n">
        <v>46686</v>
      </c>
      <c r="B398" s="7">
        <f>CHOOSE(WEEKDAY(A398,2),"lundi","mardi","mercredi","jeudi","vendredi","samedi","dimanche")</f>
        <v/>
      </c>
      <c r="C398" s="22" t="n"/>
      <c r="D398" s="22" t="n"/>
      <c r="E398" s="22" t="n"/>
      <c r="F398" s="22" t="n"/>
      <c r="G398" s="22" t="n"/>
      <c r="H398" s="22" t="n"/>
      <c r="I398" s="23">
        <f>IF(COUNT(C398:H398)=0,"",SUM(C398:H398))</f>
        <v/>
      </c>
      <c r="J398" s="11">
        <f>$I$3</f>
        <v/>
      </c>
      <c r="K398" s="23">
        <f>IF(I398="","",I398-J398)</f>
        <v/>
      </c>
      <c r="L398" s="24">
        <f>IF(OR(I398="",N(J398)=0),"",K398/J398)</f>
        <v/>
      </c>
      <c r="M398" s="12" t="n"/>
    </row>
    <row r="399">
      <c r="A399" s="14" t="n">
        <v>46687</v>
      </c>
      <c r="B399" s="7">
        <f>CHOOSE(WEEKDAY(A399,2),"lundi","mardi","mercredi","jeudi","vendredi","samedi","dimanche")</f>
        <v/>
      </c>
      <c r="C399" s="22" t="n"/>
      <c r="D399" s="22" t="n"/>
      <c r="E399" s="22" t="n"/>
      <c r="F399" s="22" t="n"/>
      <c r="G399" s="22" t="n"/>
      <c r="H399" s="22" t="n"/>
      <c r="I399" s="23">
        <f>IF(COUNT(C399:H399)=0,"",SUM(C399:H399))</f>
        <v/>
      </c>
      <c r="J399" s="11">
        <f>$I$3</f>
        <v/>
      </c>
      <c r="K399" s="23">
        <f>IF(I399="","",I399-J399)</f>
        <v/>
      </c>
      <c r="L399" s="24">
        <f>IF(OR(I399="",N(J399)=0),"",K399/J399)</f>
        <v/>
      </c>
      <c r="M399" s="12" t="n"/>
    </row>
    <row r="400">
      <c r="A400" s="14" t="n">
        <v>46688</v>
      </c>
      <c r="B400" s="7">
        <f>CHOOSE(WEEKDAY(A400,2),"lundi","mardi","mercredi","jeudi","vendredi","samedi","dimanche")</f>
        <v/>
      </c>
      <c r="C400" s="22" t="n"/>
      <c r="D400" s="22" t="n"/>
      <c r="E400" s="22" t="n"/>
      <c r="F400" s="22" t="n"/>
      <c r="G400" s="22" t="n"/>
      <c r="H400" s="22" t="n"/>
      <c r="I400" s="23">
        <f>IF(COUNT(C400:H400)=0,"",SUM(C400:H400))</f>
        <v/>
      </c>
      <c r="J400" s="11">
        <f>$I$3</f>
        <v/>
      </c>
      <c r="K400" s="23">
        <f>IF(I400="","",I400-J400)</f>
        <v/>
      </c>
      <c r="L400" s="24">
        <f>IF(OR(I400="",N(J400)=0),"",K400/J400)</f>
        <v/>
      </c>
      <c r="M400" s="12" t="n"/>
    </row>
    <row r="401">
      <c r="A401" s="14" t="n">
        <v>46689</v>
      </c>
      <c r="B401" s="7">
        <f>CHOOSE(WEEKDAY(A401,2),"lundi","mardi","mercredi","jeudi","vendredi","samedi","dimanche")</f>
        <v/>
      </c>
      <c r="C401" s="22" t="n"/>
      <c r="D401" s="22" t="n"/>
      <c r="E401" s="22" t="n"/>
      <c r="F401" s="22" t="n"/>
      <c r="G401" s="22" t="n"/>
      <c r="H401" s="22" t="n"/>
      <c r="I401" s="23">
        <f>IF(COUNT(C401:H401)=0,"",SUM(C401:H401))</f>
        <v/>
      </c>
      <c r="J401" s="11">
        <f>$I$3</f>
        <v/>
      </c>
      <c r="K401" s="23">
        <f>IF(I401="","",I401-J401)</f>
        <v/>
      </c>
      <c r="L401" s="24">
        <f>IF(OR(I401="",N(J401)=0),"",K401/J401)</f>
        <v/>
      </c>
      <c r="M401" s="12" t="n"/>
    </row>
    <row r="402">
      <c r="A402" s="14" t="n">
        <v>46690</v>
      </c>
      <c r="B402" s="7">
        <f>CHOOSE(WEEKDAY(A402,2),"lundi","mardi","mercredi","jeudi","vendredi","samedi","dimanche")</f>
        <v/>
      </c>
      <c r="C402" s="22" t="n"/>
      <c r="D402" s="22" t="n"/>
      <c r="E402" s="22" t="n"/>
      <c r="F402" s="22" t="n"/>
      <c r="G402" s="22" t="n"/>
      <c r="H402" s="22" t="n"/>
      <c r="I402" s="23">
        <f>IF(COUNT(C402:H402)=0,"",SUM(C402:H402))</f>
        <v/>
      </c>
      <c r="J402" s="11">
        <f>$I$3</f>
        <v/>
      </c>
      <c r="K402" s="23">
        <f>IF(I402="","",I402-J402)</f>
        <v/>
      </c>
      <c r="L402" s="24">
        <f>IF(OR(I402="",N(J402)=0),"",K402/J402)</f>
        <v/>
      </c>
      <c r="M402" s="12" t="n"/>
    </row>
    <row r="403">
      <c r="A403" s="14" t="n">
        <v>46691</v>
      </c>
      <c r="B403" s="7">
        <f>CHOOSE(WEEKDAY(A403,2),"lundi","mardi","mercredi","jeudi","vendredi","samedi","dimanche")</f>
        <v/>
      </c>
      <c r="C403" s="22" t="n"/>
      <c r="D403" s="22" t="n"/>
      <c r="E403" s="22" t="n"/>
      <c r="F403" s="22" t="n"/>
      <c r="G403" s="22" t="n"/>
      <c r="H403" s="22" t="n"/>
      <c r="I403" s="23">
        <f>IF(COUNT(C403:H403)=0,"",SUM(C403:H403))</f>
        <v/>
      </c>
      <c r="J403" s="11">
        <f>$I$3</f>
        <v/>
      </c>
      <c r="K403" s="23">
        <f>IF(I403="","",I403-J403)</f>
        <v/>
      </c>
      <c r="L403" s="24">
        <f>IF(OR(I403="",N(J403)=0),"",K403/J403)</f>
        <v/>
      </c>
      <c r="M403" s="12" t="n"/>
    </row>
    <row r="404">
      <c r="A404" s="25" t="n">
        <v>46692</v>
      </c>
      <c r="B404" s="26">
        <f>CHOOSE(WEEKDAY(A404,2),"lundi","mardi","mercredi","jeudi","vendredi","samedi","dimanche")</f>
        <v/>
      </c>
      <c r="C404" s="22" t="n"/>
      <c r="D404" s="22" t="n"/>
      <c r="E404" s="22" t="n"/>
      <c r="F404" s="22" t="n"/>
      <c r="G404" s="22" t="n"/>
      <c r="H404" s="22" t="n"/>
      <c r="I404" s="23">
        <f>IF(COUNT(C404:H404)=0,"",SUM(C404:H404))</f>
        <v/>
      </c>
      <c r="J404" s="11">
        <f>$I$3</f>
        <v/>
      </c>
      <c r="K404" s="23">
        <f>IF(I404="","",I404-J404)</f>
        <v/>
      </c>
      <c r="L404" s="24">
        <f>IF(OR(I404="",N(J404)=0),"",K404/J404)</f>
        <v/>
      </c>
      <c r="M404" s="12" t="n"/>
    </row>
    <row r="405">
      <c r="A405" s="14" t="n">
        <v>46693</v>
      </c>
      <c r="B405" s="7">
        <f>CHOOSE(WEEKDAY(A405,2),"lundi","mardi","mercredi","jeudi","vendredi","samedi","dimanche")</f>
        <v/>
      </c>
      <c r="C405" s="22" t="n"/>
      <c r="D405" s="22" t="n"/>
      <c r="E405" s="22" t="n"/>
      <c r="F405" s="22" t="n"/>
      <c r="G405" s="22" t="n"/>
      <c r="H405" s="22" t="n"/>
      <c r="I405" s="23">
        <f>IF(COUNT(C405:H405)=0,"",SUM(C405:H405))</f>
        <v/>
      </c>
      <c r="J405" s="11">
        <f>$I$3</f>
        <v/>
      </c>
      <c r="K405" s="23">
        <f>IF(I405="","",I405-J405)</f>
        <v/>
      </c>
      <c r="L405" s="24">
        <f>IF(OR(I405="",N(J405)=0),"",K405/J405)</f>
        <v/>
      </c>
      <c r="M405" s="12" t="n"/>
    </row>
    <row r="406">
      <c r="A406" s="14" t="n">
        <v>46694</v>
      </c>
      <c r="B406" s="7">
        <f>CHOOSE(WEEKDAY(A406,2),"lundi","mardi","mercredi","jeudi","vendredi","samedi","dimanche")</f>
        <v/>
      </c>
      <c r="C406" s="22" t="n"/>
      <c r="D406" s="22" t="n"/>
      <c r="E406" s="22" t="n"/>
      <c r="F406" s="22" t="n"/>
      <c r="G406" s="22" t="n"/>
      <c r="H406" s="22" t="n"/>
      <c r="I406" s="23">
        <f>IF(COUNT(C406:H406)=0,"",SUM(C406:H406))</f>
        <v/>
      </c>
      <c r="J406" s="11">
        <f>$I$3</f>
        <v/>
      </c>
      <c r="K406" s="23">
        <f>IF(I406="","",I406-J406)</f>
        <v/>
      </c>
      <c r="L406" s="24">
        <f>IF(OR(I406="",N(J406)=0),"",K406/J406)</f>
        <v/>
      </c>
      <c r="M406" s="12" t="n"/>
    </row>
    <row r="407">
      <c r="A407" s="14" t="n">
        <v>46695</v>
      </c>
      <c r="B407" s="7">
        <f>CHOOSE(WEEKDAY(A407,2),"lundi","mardi","mercredi","jeudi","vendredi","samedi","dimanche")</f>
        <v/>
      </c>
      <c r="C407" s="22" t="n"/>
      <c r="D407" s="22" t="n"/>
      <c r="E407" s="22" t="n"/>
      <c r="F407" s="22" t="n"/>
      <c r="G407" s="22" t="n"/>
      <c r="H407" s="22" t="n"/>
      <c r="I407" s="23">
        <f>IF(COUNT(C407:H407)=0,"",SUM(C407:H407))</f>
        <v/>
      </c>
      <c r="J407" s="11">
        <f>$I$3</f>
        <v/>
      </c>
      <c r="K407" s="23">
        <f>IF(I407="","",I407-J407)</f>
        <v/>
      </c>
      <c r="L407" s="24">
        <f>IF(OR(I407="",N(J407)=0),"",K407/J407)</f>
        <v/>
      </c>
      <c r="M407" s="12" t="n"/>
    </row>
    <row r="408">
      <c r="A408" s="14" t="n">
        <v>46696</v>
      </c>
      <c r="B408" s="7">
        <f>CHOOSE(WEEKDAY(A408,2),"lundi","mardi","mercredi","jeudi","vendredi","samedi","dimanche")</f>
        <v/>
      </c>
      <c r="C408" s="22" t="n"/>
      <c r="D408" s="22" t="n"/>
      <c r="E408" s="22" t="n"/>
      <c r="F408" s="22" t="n"/>
      <c r="G408" s="22" t="n"/>
      <c r="H408" s="22" t="n"/>
      <c r="I408" s="23">
        <f>IF(COUNT(C408:H408)=0,"",SUM(C408:H408))</f>
        <v/>
      </c>
      <c r="J408" s="11">
        <f>$I$3</f>
        <v/>
      </c>
      <c r="K408" s="23">
        <f>IF(I408="","",I408-J408)</f>
        <v/>
      </c>
      <c r="L408" s="24">
        <f>IF(OR(I408="",N(J408)=0),"",K408/J408)</f>
        <v/>
      </c>
      <c r="M408" s="12" t="n"/>
    </row>
    <row r="409">
      <c r="A409" s="14" t="n">
        <v>46697</v>
      </c>
      <c r="B409" s="7">
        <f>CHOOSE(WEEKDAY(A409,2),"lundi","mardi","mercredi","jeudi","vendredi","samedi","dimanche")</f>
        <v/>
      </c>
      <c r="C409" s="22" t="n"/>
      <c r="D409" s="22" t="n"/>
      <c r="E409" s="22" t="n"/>
      <c r="F409" s="22" t="n"/>
      <c r="G409" s="22" t="n"/>
      <c r="H409" s="22" t="n"/>
      <c r="I409" s="23">
        <f>IF(COUNT(C409:H409)=0,"",SUM(C409:H409))</f>
        <v/>
      </c>
      <c r="J409" s="11">
        <f>$I$3</f>
        <v/>
      </c>
      <c r="K409" s="23">
        <f>IF(I409="","",I409-J409)</f>
        <v/>
      </c>
      <c r="L409" s="24">
        <f>IF(OR(I409="",N(J409)=0),"",K409/J409)</f>
        <v/>
      </c>
      <c r="M409" s="12" t="n"/>
    </row>
    <row r="410">
      <c r="A410" s="14" t="n">
        <v>46698</v>
      </c>
      <c r="B410" s="7">
        <f>CHOOSE(WEEKDAY(A410,2),"lundi","mardi","mercredi","jeudi","vendredi","samedi","dimanche")</f>
        <v/>
      </c>
      <c r="C410" s="22" t="n"/>
      <c r="D410" s="22" t="n"/>
      <c r="E410" s="22" t="n"/>
      <c r="F410" s="22" t="n"/>
      <c r="G410" s="22" t="n"/>
      <c r="H410" s="22" t="n"/>
      <c r="I410" s="23">
        <f>IF(COUNT(C410:H410)=0,"",SUM(C410:H410))</f>
        <v/>
      </c>
      <c r="J410" s="11">
        <f>$I$3</f>
        <v/>
      </c>
      <c r="K410" s="23">
        <f>IF(I410="","",I410-J410)</f>
        <v/>
      </c>
      <c r="L410" s="24">
        <f>IF(OR(I410="",N(J410)=0),"",K410/J410)</f>
        <v/>
      </c>
      <c r="M410" s="12" t="n"/>
    </row>
    <row r="411">
      <c r="A411" s="25" t="n">
        <v>46699</v>
      </c>
      <c r="B411" s="26">
        <f>CHOOSE(WEEKDAY(A411,2),"lundi","mardi","mercredi","jeudi","vendredi","samedi","dimanche")</f>
        <v/>
      </c>
      <c r="C411" s="22" t="n"/>
      <c r="D411" s="22" t="n"/>
      <c r="E411" s="22" t="n"/>
      <c r="F411" s="22" t="n"/>
      <c r="G411" s="22" t="n"/>
      <c r="H411" s="22" t="n"/>
      <c r="I411" s="23">
        <f>IF(COUNT(C411:H411)=0,"",SUM(C411:H411))</f>
        <v/>
      </c>
      <c r="J411" s="11">
        <f>$I$3</f>
        <v/>
      </c>
      <c r="K411" s="23">
        <f>IF(I411="","",I411-J411)</f>
        <v/>
      </c>
      <c r="L411" s="24">
        <f>IF(OR(I411="",N(J411)=0),"",K411/J411)</f>
        <v/>
      </c>
      <c r="M411" s="12" t="n"/>
    </row>
    <row r="412">
      <c r="A412" s="14" t="n">
        <v>46700</v>
      </c>
      <c r="B412" s="7">
        <f>CHOOSE(WEEKDAY(A412,2),"lundi","mardi","mercredi","jeudi","vendredi","samedi","dimanche")</f>
        <v/>
      </c>
      <c r="C412" s="22" t="n"/>
      <c r="D412" s="22" t="n"/>
      <c r="E412" s="22" t="n"/>
      <c r="F412" s="22" t="n"/>
      <c r="G412" s="22" t="n"/>
      <c r="H412" s="22" t="n"/>
      <c r="I412" s="23">
        <f>IF(COUNT(C412:H412)=0,"",SUM(C412:H412))</f>
        <v/>
      </c>
      <c r="J412" s="11">
        <f>$I$3</f>
        <v/>
      </c>
      <c r="K412" s="23">
        <f>IF(I412="","",I412-J412)</f>
        <v/>
      </c>
      <c r="L412" s="24">
        <f>IF(OR(I412="",N(J412)=0),"",K412/J412)</f>
        <v/>
      </c>
      <c r="M412" s="12" t="n"/>
    </row>
    <row r="413">
      <c r="A413" s="14" t="n">
        <v>46701</v>
      </c>
      <c r="B413" s="7">
        <f>CHOOSE(WEEKDAY(A413,2),"lundi","mardi","mercredi","jeudi","vendredi","samedi","dimanche")</f>
        <v/>
      </c>
      <c r="C413" s="22" t="n"/>
      <c r="D413" s="22" t="n"/>
      <c r="E413" s="22" t="n"/>
      <c r="F413" s="22" t="n"/>
      <c r="G413" s="22" t="n"/>
      <c r="H413" s="22" t="n"/>
      <c r="I413" s="23">
        <f>IF(COUNT(C413:H413)=0,"",SUM(C413:H413))</f>
        <v/>
      </c>
      <c r="J413" s="11">
        <f>$I$3</f>
        <v/>
      </c>
      <c r="K413" s="23">
        <f>IF(I413="","",I413-J413)</f>
        <v/>
      </c>
      <c r="L413" s="24">
        <f>IF(OR(I413="",N(J413)=0),"",K413/J413)</f>
        <v/>
      </c>
      <c r="M413" s="12" t="n"/>
    </row>
    <row r="414">
      <c r="A414" s="14" t="n">
        <v>46702</v>
      </c>
      <c r="B414" s="7">
        <f>CHOOSE(WEEKDAY(A414,2),"lundi","mardi","mercredi","jeudi","vendredi","samedi","dimanche")</f>
        <v/>
      </c>
      <c r="C414" s="22" t="n"/>
      <c r="D414" s="22" t="n"/>
      <c r="E414" s="22" t="n"/>
      <c r="F414" s="22" t="n"/>
      <c r="G414" s="22" t="n"/>
      <c r="H414" s="22" t="n"/>
      <c r="I414" s="23">
        <f>IF(COUNT(C414:H414)=0,"",SUM(C414:H414))</f>
        <v/>
      </c>
      <c r="J414" s="11">
        <f>$I$3</f>
        <v/>
      </c>
      <c r="K414" s="23">
        <f>IF(I414="","",I414-J414)</f>
        <v/>
      </c>
      <c r="L414" s="24">
        <f>IF(OR(I414="",N(J414)=0),"",K414/J414)</f>
        <v/>
      </c>
      <c r="M414" s="12" t="n"/>
    </row>
    <row r="415">
      <c r="A415" s="14" t="n">
        <v>46703</v>
      </c>
      <c r="B415" s="7">
        <f>CHOOSE(WEEKDAY(A415,2),"lundi","mardi","mercredi","jeudi","vendredi","samedi","dimanche")</f>
        <v/>
      </c>
      <c r="C415" s="22" t="n"/>
      <c r="D415" s="22" t="n"/>
      <c r="E415" s="22" t="n"/>
      <c r="F415" s="22" t="n"/>
      <c r="G415" s="22" t="n"/>
      <c r="H415" s="22" t="n"/>
      <c r="I415" s="23">
        <f>IF(COUNT(C415:H415)=0,"",SUM(C415:H415))</f>
        <v/>
      </c>
      <c r="J415" s="11">
        <f>$I$3</f>
        <v/>
      </c>
      <c r="K415" s="23">
        <f>IF(I415="","",I415-J415)</f>
        <v/>
      </c>
      <c r="L415" s="24">
        <f>IF(OR(I415="",N(J415)=0),"",K415/J415)</f>
        <v/>
      </c>
      <c r="M415" s="12" t="n"/>
    </row>
    <row r="416">
      <c r="A416" s="14" t="n">
        <v>46704</v>
      </c>
      <c r="B416" s="7">
        <f>CHOOSE(WEEKDAY(A416,2),"lundi","mardi","mercredi","jeudi","vendredi","samedi","dimanche")</f>
        <v/>
      </c>
      <c r="C416" s="22" t="n"/>
      <c r="D416" s="22" t="n"/>
      <c r="E416" s="22" t="n"/>
      <c r="F416" s="22" t="n"/>
      <c r="G416" s="22" t="n"/>
      <c r="H416" s="22" t="n"/>
      <c r="I416" s="23">
        <f>IF(COUNT(C416:H416)=0,"",SUM(C416:H416))</f>
        <v/>
      </c>
      <c r="J416" s="11">
        <f>$I$3</f>
        <v/>
      </c>
      <c r="K416" s="23">
        <f>IF(I416="","",I416-J416)</f>
        <v/>
      </c>
      <c r="L416" s="24">
        <f>IF(OR(I416="",N(J416)=0),"",K416/J416)</f>
        <v/>
      </c>
      <c r="M416" s="12" t="n"/>
    </row>
    <row r="417">
      <c r="A417" s="14" t="n">
        <v>46705</v>
      </c>
      <c r="B417" s="7">
        <f>CHOOSE(WEEKDAY(A417,2),"lundi","mardi","mercredi","jeudi","vendredi","samedi","dimanche")</f>
        <v/>
      </c>
      <c r="C417" s="22" t="n"/>
      <c r="D417" s="22" t="n"/>
      <c r="E417" s="22" t="n"/>
      <c r="F417" s="22" t="n"/>
      <c r="G417" s="22" t="n"/>
      <c r="H417" s="22" t="n"/>
      <c r="I417" s="23">
        <f>IF(COUNT(C417:H417)=0,"",SUM(C417:H417))</f>
        <v/>
      </c>
      <c r="J417" s="11">
        <f>$I$3</f>
        <v/>
      </c>
      <c r="K417" s="23">
        <f>IF(I417="","",I417-J417)</f>
        <v/>
      </c>
      <c r="L417" s="24">
        <f>IF(OR(I417="",N(J417)=0),"",K417/J417)</f>
        <v/>
      </c>
      <c r="M417" s="12" t="n"/>
    </row>
    <row r="418">
      <c r="A418" s="25" t="n">
        <v>46706</v>
      </c>
      <c r="B418" s="26">
        <f>CHOOSE(WEEKDAY(A418,2),"lundi","mardi","mercredi","jeudi","vendredi","samedi","dimanche")</f>
        <v/>
      </c>
      <c r="C418" s="22" t="n"/>
      <c r="D418" s="22" t="n"/>
      <c r="E418" s="22" t="n"/>
      <c r="F418" s="22" t="n"/>
      <c r="G418" s="22" t="n"/>
      <c r="H418" s="22" t="n"/>
      <c r="I418" s="23">
        <f>IF(COUNT(C418:H418)=0,"",SUM(C418:H418))</f>
        <v/>
      </c>
      <c r="J418" s="11">
        <f>$I$3</f>
        <v/>
      </c>
      <c r="K418" s="23">
        <f>IF(I418="","",I418-J418)</f>
        <v/>
      </c>
      <c r="L418" s="24">
        <f>IF(OR(I418="",N(J418)=0),"",K418/J418)</f>
        <v/>
      </c>
      <c r="M418" s="12" t="n"/>
    </row>
    <row r="419">
      <c r="A419" s="14" t="n">
        <v>46707</v>
      </c>
      <c r="B419" s="7">
        <f>CHOOSE(WEEKDAY(A419,2),"lundi","mardi","mercredi","jeudi","vendredi","samedi","dimanche")</f>
        <v/>
      </c>
      <c r="C419" s="22" t="n"/>
      <c r="D419" s="22" t="n"/>
      <c r="E419" s="22" t="n"/>
      <c r="F419" s="22" t="n"/>
      <c r="G419" s="22" t="n"/>
      <c r="H419" s="22" t="n"/>
      <c r="I419" s="23">
        <f>IF(COUNT(C419:H419)=0,"",SUM(C419:H419))</f>
        <v/>
      </c>
      <c r="J419" s="11">
        <f>$I$3</f>
        <v/>
      </c>
      <c r="K419" s="23">
        <f>IF(I419="","",I419-J419)</f>
        <v/>
      </c>
      <c r="L419" s="24">
        <f>IF(OR(I419="",N(J419)=0),"",K419/J419)</f>
        <v/>
      </c>
      <c r="M419" s="12" t="n"/>
    </row>
    <row r="420">
      <c r="A420" s="14" t="n">
        <v>46708</v>
      </c>
      <c r="B420" s="7">
        <f>CHOOSE(WEEKDAY(A420,2),"lundi","mardi","mercredi","jeudi","vendredi","samedi","dimanche")</f>
        <v/>
      </c>
      <c r="C420" s="22" t="n"/>
      <c r="D420" s="22" t="n"/>
      <c r="E420" s="22" t="n"/>
      <c r="F420" s="22" t="n"/>
      <c r="G420" s="22" t="n"/>
      <c r="H420" s="22" t="n"/>
      <c r="I420" s="23">
        <f>IF(COUNT(C420:H420)=0,"",SUM(C420:H420))</f>
        <v/>
      </c>
      <c r="J420" s="11">
        <f>$I$3</f>
        <v/>
      </c>
      <c r="K420" s="23">
        <f>IF(I420="","",I420-J420)</f>
        <v/>
      </c>
      <c r="L420" s="24">
        <f>IF(OR(I420="",N(J420)=0),"",K420/J420)</f>
        <v/>
      </c>
      <c r="M420" s="12" t="n"/>
    </row>
    <row r="421">
      <c r="A421" s="14" t="n">
        <v>46709</v>
      </c>
      <c r="B421" s="7">
        <f>CHOOSE(WEEKDAY(A421,2),"lundi","mardi","mercredi","jeudi","vendredi","samedi","dimanche")</f>
        <v/>
      </c>
      <c r="C421" s="22" t="n"/>
      <c r="D421" s="22" t="n"/>
      <c r="E421" s="22" t="n"/>
      <c r="F421" s="22" t="n"/>
      <c r="G421" s="22" t="n"/>
      <c r="H421" s="22" t="n"/>
      <c r="I421" s="23">
        <f>IF(COUNT(C421:H421)=0,"",SUM(C421:H421))</f>
        <v/>
      </c>
      <c r="J421" s="11">
        <f>$I$3</f>
        <v/>
      </c>
      <c r="K421" s="23">
        <f>IF(I421="","",I421-J421)</f>
        <v/>
      </c>
      <c r="L421" s="24">
        <f>IF(OR(I421="",N(J421)=0),"",K421/J421)</f>
        <v/>
      </c>
      <c r="M421" s="12" t="n"/>
    </row>
    <row r="422">
      <c r="A422" s="14" t="n">
        <v>46710</v>
      </c>
      <c r="B422" s="7">
        <f>CHOOSE(WEEKDAY(A422,2),"lundi","mardi","mercredi","jeudi","vendredi","samedi","dimanche")</f>
        <v/>
      </c>
      <c r="C422" s="22" t="n"/>
      <c r="D422" s="22" t="n"/>
      <c r="E422" s="22" t="n"/>
      <c r="F422" s="22" t="n"/>
      <c r="G422" s="22" t="n"/>
      <c r="H422" s="22" t="n"/>
      <c r="I422" s="23">
        <f>IF(COUNT(C422:H422)=0,"",SUM(C422:H422))</f>
        <v/>
      </c>
      <c r="J422" s="11">
        <f>$I$3</f>
        <v/>
      </c>
      <c r="K422" s="23">
        <f>IF(I422="","",I422-J422)</f>
        <v/>
      </c>
      <c r="L422" s="24">
        <f>IF(OR(I422="",N(J422)=0),"",K422/J422)</f>
        <v/>
      </c>
      <c r="M422" s="12" t="n"/>
    </row>
    <row r="423">
      <c r="A423" s="14" t="n">
        <v>46711</v>
      </c>
      <c r="B423" s="7">
        <f>CHOOSE(WEEKDAY(A423,2),"lundi","mardi","mercredi","jeudi","vendredi","samedi","dimanche")</f>
        <v/>
      </c>
      <c r="C423" s="22" t="n"/>
      <c r="D423" s="22" t="n"/>
      <c r="E423" s="22" t="n"/>
      <c r="F423" s="22" t="n"/>
      <c r="G423" s="22" t="n"/>
      <c r="H423" s="22" t="n"/>
      <c r="I423" s="23">
        <f>IF(COUNT(C423:H423)=0,"",SUM(C423:H423))</f>
        <v/>
      </c>
      <c r="J423" s="11">
        <f>$I$3</f>
        <v/>
      </c>
      <c r="K423" s="23">
        <f>IF(I423="","",I423-J423)</f>
        <v/>
      </c>
      <c r="L423" s="24">
        <f>IF(OR(I423="",N(J423)=0),"",K423/J423)</f>
        <v/>
      </c>
      <c r="M423" s="12" t="n"/>
    </row>
    <row r="424">
      <c r="A424" s="14" t="n">
        <v>46712</v>
      </c>
      <c r="B424" s="7">
        <f>CHOOSE(WEEKDAY(A424,2),"lundi","mardi","mercredi","jeudi","vendredi","samedi","dimanche")</f>
        <v/>
      </c>
      <c r="C424" s="22" t="n"/>
      <c r="D424" s="22" t="n"/>
      <c r="E424" s="22" t="n"/>
      <c r="F424" s="22" t="n"/>
      <c r="G424" s="22" t="n"/>
      <c r="H424" s="22" t="n"/>
      <c r="I424" s="23">
        <f>IF(COUNT(C424:H424)=0,"",SUM(C424:H424))</f>
        <v/>
      </c>
      <c r="J424" s="11">
        <f>$I$3</f>
        <v/>
      </c>
      <c r="K424" s="23">
        <f>IF(I424="","",I424-J424)</f>
        <v/>
      </c>
      <c r="L424" s="24">
        <f>IF(OR(I424="",N(J424)=0),"",K424/J424)</f>
        <v/>
      </c>
      <c r="M424" s="12" t="n"/>
    </row>
    <row r="425">
      <c r="A425" s="25" t="n">
        <v>46713</v>
      </c>
      <c r="B425" s="26">
        <f>CHOOSE(WEEKDAY(A425,2),"lundi","mardi","mercredi","jeudi","vendredi","samedi","dimanche")</f>
        <v/>
      </c>
      <c r="C425" s="22" t="n"/>
      <c r="D425" s="22" t="n"/>
      <c r="E425" s="22" t="n"/>
      <c r="F425" s="22" t="n"/>
      <c r="G425" s="22" t="n"/>
      <c r="H425" s="22" t="n"/>
      <c r="I425" s="23">
        <f>IF(COUNT(C425:H425)=0,"",SUM(C425:H425))</f>
        <v/>
      </c>
      <c r="J425" s="11">
        <f>$I$3</f>
        <v/>
      </c>
      <c r="K425" s="23">
        <f>IF(I425="","",I425-J425)</f>
        <v/>
      </c>
      <c r="L425" s="24">
        <f>IF(OR(I425="",N(J425)=0),"",K425/J425)</f>
        <v/>
      </c>
      <c r="M425" s="12" t="n"/>
    </row>
    <row r="426">
      <c r="A426" s="14" t="n">
        <v>46714</v>
      </c>
      <c r="B426" s="7">
        <f>CHOOSE(WEEKDAY(A426,2),"lundi","mardi","mercredi","jeudi","vendredi","samedi","dimanche")</f>
        <v/>
      </c>
      <c r="C426" s="22" t="n"/>
      <c r="D426" s="22" t="n"/>
      <c r="E426" s="22" t="n"/>
      <c r="F426" s="22" t="n"/>
      <c r="G426" s="22" t="n"/>
      <c r="H426" s="22" t="n"/>
      <c r="I426" s="23">
        <f>IF(COUNT(C426:H426)=0,"",SUM(C426:H426))</f>
        <v/>
      </c>
      <c r="J426" s="11">
        <f>$I$3</f>
        <v/>
      </c>
      <c r="K426" s="23">
        <f>IF(I426="","",I426-J426)</f>
        <v/>
      </c>
      <c r="L426" s="24">
        <f>IF(OR(I426="",N(J426)=0),"",K426/J426)</f>
        <v/>
      </c>
      <c r="M426" s="12" t="n"/>
    </row>
    <row r="427">
      <c r="A427" s="14" t="n">
        <v>46715</v>
      </c>
      <c r="B427" s="7">
        <f>CHOOSE(WEEKDAY(A427,2),"lundi","mardi","mercredi","jeudi","vendredi","samedi","dimanche")</f>
        <v/>
      </c>
      <c r="C427" s="22" t="n"/>
      <c r="D427" s="22" t="n"/>
      <c r="E427" s="22" t="n"/>
      <c r="F427" s="22" t="n"/>
      <c r="G427" s="22" t="n"/>
      <c r="H427" s="22" t="n"/>
      <c r="I427" s="23">
        <f>IF(COUNT(C427:H427)=0,"",SUM(C427:H427))</f>
        <v/>
      </c>
      <c r="J427" s="11">
        <f>$I$3</f>
        <v/>
      </c>
      <c r="K427" s="23">
        <f>IF(I427="","",I427-J427)</f>
        <v/>
      </c>
      <c r="L427" s="24">
        <f>IF(OR(I427="",N(J427)=0),"",K427/J427)</f>
        <v/>
      </c>
      <c r="M427" s="12" t="n"/>
    </row>
    <row r="428">
      <c r="A428" s="14" t="n">
        <v>46716</v>
      </c>
      <c r="B428" s="7">
        <f>CHOOSE(WEEKDAY(A428,2),"lundi","mardi","mercredi","jeudi","vendredi","samedi","dimanche")</f>
        <v/>
      </c>
      <c r="C428" s="22" t="n"/>
      <c r="D428" s="22" t="n"/>
      <c r="E428" s="22" t="n"/>
      <c r="F428" s="22" t="n"/>
      <c r="G428" s="22" t="n"/>
      <c r="H428" s="22" t="n"/>
      <c r="I428" s="23">
        <f>IF(COUNT(C428:H428)=0,"",SUM(C428:H428))</f>
        <v/>
      </c>
      <c r="J428" s="11">
        <f>$I$3</f>
        <v/>
      </c>
      <c r="K428" s="23">
        <f>IF(I428="","",I428-J428)</f>
        <v/>
      </c>
      <c r="L428" s="24">
        <f>IF(OR(I428="",N(J428)=0),"",K428/J428)</f>
        <v/>
      </c>
      <c r="M428" s="12" t="n"/>
    </row>
    <row r="429">
      <c r="A429" s="14" t="n">
        <v>46717</v>
      </c>
      <c r="B429" s="7">
        <f>CHOOSE(WEEKDAY(A429,2),"lundi","mardi","mercredi","jeudi","vendredi","samedi","dimanche")</f>
        <v/>
      </c>
      <c r="C429" s="22" t="n"/>
      <c r="D429" s="22" t="n"/>
      <c r="E429" s="22" t="n"/>
      <c r="F429" s="22" t="n"/>
      <c r="G429" s="22" t="n"/>
      <c r="H429" s="22" t="n"/>
      <c r="I429" s="23">
        <f>IF(COUNT(C429:H429)=0,"",SUM(C429:H429))</f>
        <v/>
      </c>
      <c r="J429" s="11">
        <f>$I$3</f>
        <v/>
      </c>
      <c r="K429" s="23">
        <f>IF(I429="","",I429-J429)</f>
        <v/>
      </c>
      <c r="L429" s="24">
        <f>IF(OR(I429="",N(J429)=0),"",K429/J429)</f>
        <v/>
      </c>
      <c r="M429" s="12" t="n"/>
    </row>
    <row r="430">
      <c r="A430" s="14" t="n">
        <v>46718</v>
      </c>
      <c r="B430" s="7">
        <f>CHOOSE(WEEKDAY(A430,2),"lundi","mardi","mercredi","jeudi","vendredi","samedi","dimanche")</f>
        <v/>
      </c>
      <c r="C430" s="22" t="n"/>
      <c r="D430" s="22" t="n"/>
      <c r="E430" s="22" t="n"/>
      <c r="F430" s="22" t="n"/>
      <c r="G430" s="22" t="n"/>
      <c r="H430" s="22" t="n"/>
      <c r="I430" s="23">
        <f>IF(COUNT(C430:H430)=0,"",SUM(C430:H430))</f>
        <v/>
      </c>
      <c r="J430" s="11">
        <f>$I$3</f>
        <v/>
      </c>
      <c r="K430" s="23">
        <f>IF(I430="","",I430-J430)</f>
        <v/>
      </c>
      <c r="L430" s="24">
        <f>IF(OR(I430="",N(J430)=0),"",K430/J430)</f>
        <v/>
      </c>
      <c r="M430" s="12" t="n"/>
    </row>
    <row r="431">
      <c r="A431" s="14" t="n">
        <v>46719</v>
      </c>
      <c r="B431" s="7">
        <f>CHOOSE(WEEKDAY(A431,2),"lundi","mardi","mercredi","jeudi","vendredi","samedi","dimanche")</f>
        <v/>
      </c>
      <c r="C431" s="22" t="n"/>
      <c r="D431" s="22" t="n"/>
      <c r="E431" s="22" t="n"/>
      <c r="F431" s="22" t="n"/>
      <c r="G431" s="22" t="n"/>
      <c r="H431" s="22" t="n"/>
      <c r="I431" s="23">
        <f>IF(COUNT(C431:H431)=0,"",SUM(C431:H431))</f>
        <v/>
      </c>
      <c r="J431" s="11">
        <f>$I$3</f>
        <v/>
      </c>
      <c r="K431" s="23">
        <f>IF(I431="","",I431-J431)</f>
        <v/>
      </c>
      <c r="L431" s="24">
        <f>IF(OR(I431="",N(J431)=0),"",K431/J431)</f>
        <v/>
      </c>
      <c r="M431" s="12" t="n"/>
    </row>
    <row r="432">
      <c r="A432" s="25" t="n">
        <v>46720</v>
      </c>
      <c r="B432" s="26">
        <f>CHOOSE(WEEKDAY(A432,2),"lundi","mardi","mercredi","jeudi","vendredi","samedi","dimanche")</f>
        <v/>
      </c>
      <c r="C432" s="22" t="n"/>
      <c r="D432" s="22" t="n"/>
      <c r="E432" s="22" t="n"/>
      <c r="F432" s="22" t="n"/>
      <c r="G432" s="22" t="n"/>
      <c r="H432" s="22" t="n"/>
      <c r="I432" s="23">
        <f>IF(COUNT(C432:H432)=0,"",SUM(C432:H432))</f>
        <v/>
      </c>
      <c r="J432" s="11">
        <f>$I$3</f>
        <v/>
      </c>
      <c r="K432" s="23">
        <f>IF(I432="","",I432-J432)</f>
        <v/>
      </c>
      <c r="L432" s="24">
        <f>IF(OR(I432="",N(J432)=0),"",K432/J432)</f>
        <v/>
      </c>
      <c r="M432" s="12" t="n"/>
    </row>
    <row r="433">
      <c r="A433" s="14" t="n">
        <v>46721</v>
      </c>
      <c r="B433" s="7">
        <f>CHOOSE(WEEKDAY(A433,2),"lundi","mardi","mercredi","jeudi","vendredi","samedi","dimanche")</f>
        <v/>
      </c>
      <c r="C433" s="22" t="n"/>
      <c r="D433" s="22" t="n"/>
      <c r="E433" s="22" t="n"/>
      <c r="F433" s="22" t="n"/>
      <c r="G433" s="22" t="n"/>
      <c r="H433" s="22" t="n"/>
      <c r="I433" s="23">
        <f>IF(COUNT(C433:H433)=0,"",SUM(C433:H433))</f>
        <v/>
      </c>
      <c r="J433" s="11">
        <f>$I$3</f>
        <v/>
      </c>
      <c r="K433" s="23">
        <f>IF(I433="","",I433-J433)</f>
        <v/>
      </c>
      <c r="L433" s="24">
        <f>IF(OR(I433="",N(J433)=0),"",K433/J433)</f>
        <v/>
      </c>
      <c r="M433" s="12" t="n"/>
    </row>
    <row r="434">
      <c r="A434" s="14" t="n">
        <v>46722</v>
      </c>
      <c r="B434" s="7">
        <f>CHOOSE(WEEKDAY(A434,2),"lundi","mardi","mercredi","jeudi","vendredi","samedi","dimanche")</f>
        <v/>
      </c>
      <c r="C434" s="22" t="n"/>
      <c r="D434" s="22" t="n"/>
      <c r="E434" s="22" t="n"/>
      <c r="F434" s="22" t="n"/>
      <c r="G434" s="22" t="n"/>
      <c r="H434" s="22" t="n"/>
      <c r="I434" s="23">
        <f>IF(COUNT(C434:H434)=0,"",SUM(C434:H434))</f>
        <v/>
      </c>
      <c r="J434" s="11">
        <f>$I$3</f>
        <v/>
      </c>
      <c r="K434" s="23">
        <f>IF(I434="","",I434-J434)</f>
        <v/>
      </c>
      <c r="L434" s="24">
        <f>IF(OR(I434="",N(J434)=0),"",K434/J434)</f>
        <v/>
      </c>
      <c r="M434" s="12" t="n"/>
    </row>
    <row r="435">
      <c r="A435" s="14" t="n">
        <v>46723</v>
      </c>
      <c r="B435" s="7">
        <f>CHOOSE(WEEKDAY(A435,2),"lundi","mardi","mercredi","jeudi","vendredi","samedi","dimanche")</f>
        <v/>
      </c>
      <c r="C435" s="22" t="n"/>
      <c r="D435" s="22" t="n"/>
      <c r="E435" s="22" t="n"/>
      <c r="F435" s="22" t="n"/>
      <c r="G435" s="22" t="n"/>
      <c r="H435" s="22" t="n"/>
      <c r="I435" s="23">
        <f>IF(COUNT(C435:H435)=0,"",SUM(C435:H435))</f>
        <v/>
      </c>
      <c r="J435" s="11">
        <f>$I$3</f>
        <v/>
      </c>
      <c r="K435" s="23">
        <f>IF(I435="","",I435-J435)</f>
        <v/>
      </c>
      <c r="L435" s="24">
        <f>IF(OR(I435="",N(J435)=0),"",K435/J435)</f>
        <v/>
      </c>
      <c r="M435" s="12" t="n"/>
    </row>
    <row r="436">
      <c r="A436" s="14" t="n">
        <v>46724</v>
      </c>
      <c r="B436" s="7">
        <f>CHOOSE(WEEKDAY(A436,2),"lundi","mardi","mercredi","jeudi","vendredi","samedi","dimanche")</f>
        <v/>
      </c>
      <c r="C436" s="22" t="n"/>
      <c r="D436" s="22" t="n"/>
      <c r="E436" s="22" t="n"/>
      <c r="F436" s="22" t="n"/>
      <c r="G436" s="22" t="n"/>
      <c r="H436" s="22" t="n"/>
      <c r="I436" s="23">
        <f>IF(COUNT(C436:H436)=0,"",SUM(C436:H436))</f>
        <v/>
      </c>
      <c r="J436" s="11">
        <f>$I$3</f>
        <v/>
      </c>
      <c r="K436" s="23">
        <f>IF(I436="","",I436-J436)</f>
        <v/>
      </c>
      <c r="L436" s="24">
        <f>IF(OR(I436="",N(J436)=0),"",K436/J436)</f>
        <v/>
      </c>
      <c r="M436" s="12" t="n"/>
    </row>
    <row r="437">
      <c r="A437" s="14" t="n">
        <v>46725</v>
      </c>
      <c r="B437" s="7">
        <f>CHOOSE(WEEKDAY(A437,2),"lundi","mardi","mercredi","jeudi","vendredi","samedi","dimanche")</f>
        <v/>
      </c>
      <c r="C437" s="22" t="n"/>
      <c r="D437" s="22" t="n"/>
      <c r="E437" s="22" t="n"/>
      <c r="F437" s="22" t="n"/>
      <c r="G437" s="22" t="n"/>
      <c r="H437" s="22" t="n"/>
      <c r="I437" s="23">
        <f>IF(COUNT(C437:H437)=0,"",SUM(C437:H437))</f>
        <v/>
      </c>
      <c r="J437" s="11">
        <f>$I$3</f>
        <v/>
      </c>
      <c r="K437" s="23">
        <f>IF(I437="","",I437-J437)</f>
        <v/>
      </c>
      <c r="L437" s="24">
        <f>IF(OR(I437="",N(J437)=0),"",K437/J437)</f>
        <v/>
      </c>
      <c r="M437" s="12" t="n"/>
    </row>
    <row r="438">
      <c r="A438" s="14" t="n">
        <v>46726</v>
      </c>
      <c r="B438" s="7">
        <f>CHOOSE(WEEKDAY(A438,2),"lundi","mardi","mercredi","jeudi","vendredi","samedi","dimanche")</f>
        <v/>
      </c>
      <c r="C438" s="22" t="n"/>
      <c r="D438" s="22" t="n"/>
      <c r="E438" s="22" t="n"/>
      <c r="F438" s="22" t="n"/>
      <c r="G438" s="22" t="n"/>
      <c r="H438" s="22" t="n"/>
      <c r="I438" s="23">
        <f>IF(COUNT(C438:H438)=0,"",SUM(C438:H438))</f>
        <v/>
      </c>
      <c r="J438" s="11">
        <f>$I$3</f>
        <v/>
      </c>
      <c r="K438" s="23">
        <f>IF(I438="","",I438-J438)</f>
        <v/>
      </c>
      <c r="L438" s="24">
        <f>IF(OR(I438="",N(J438)=0),"",K438/J438)</f>
        <v/>
      </c>
      <c r="M438" s="12" t="n"/>
    </row>
    <row r="439">
      <c r="A439" s="25" t="n">
        <v>46727</v>
      </c>
      <c r="B439" s="26">
        <f>CHOOSE(WEEKDAY(A439,2),"lundi","mardi","mercredi","jeudi","vendredi","samedi","dimanche")</f>
        <v/>
      </c>
      <c r="C439" s="22" t="n"/>
      <c r="D439" s="22" t="n"/>
      <c r="E439" s="22" t="n"/>
      <c r="F439" s="22" t="n"/>
      <c r="G439" s="22" t="n"/>
      <c r="H439" s="22" t="n"/>
      <c r="I439" s="23">
        <f>IF(COUNT(C439:H439)=0,"",SUM(C439:H439))</f>
        <v/>
      </c>
      <c r="J439" s="11">
        <f>$I$3</f>
        <v/>
      </c>
      <c r="K439" s="23">
        <f>IF(I439="","",I439-J439)</f>
        <v/>
      </c>
      <c r="L439" s="24">
        <f>IF(OR(I439="",N(J439)=0),"",K439/J439)</f>
        <v/>
      </c>
      <c r="M439" s="12" t="n"/>
    </row>
    <row r="440">
      <c r="A440" s="14" t="n">
        <v>46728</v>
      </c>
      <c r="B440" s="7">
        <f>CHOOSE(WEEKDAY(A440,2),"lundi","mardi","mercredi","jeudi","vendredi","samedi","dimanche")</f>
        <v/>
      </c>
      <c r="C440" s="22" t="n"/>
      <c r="D440" s="22" t="n"/>
      <c r="E440" s="22" t="n"/>
      <c r="F440" s="22" t="n"/>
      <c r="G440" s="22" t="n"/>
      <c r="H440" s="22" t="n"/>
      <c r="I440" s="23">
        <f>IF(COUNT(C440:H440)=0,"",SUM(C440:H440))</f>
        <v/>
      </c>
      <c r="J440" s="11">
        <f>$I$3</f>
        <v/>
      </c>
      <c r="K440" s="23">
        <f>IF(I440="","",I440-J440)</f>
        <v/>
      </c>
      <c r="L440" s="24">
        <f>IF(OR(I440="",N(J440)=0),"",K440/J440)</f>
        <v/>
      </c>
      <c r="M440" s="12" t="n"/>
    </row>
    <row r="441">
      <c r="A441" s="14" t="n">
        <v>46729</v>
      </c>
      <c r="B441" s="7">
        <f>CHOOSE(WEEKDAY(A441,2),"lundi","mardi","mercredi","jeudi","vendredi","samedi","dimanche")</f>
        <v/>
      </c>
      <c r="C441" s="22" t="n"/>
      <c r="D441" s="22" t="n"/>
      <c r="E441" s="22" t="n"/>
      <c r="F441" s="22" t="n"/>
      <c r="G441" s="22" t="n"/>
      <c r="H441" s="22" t="n"/>
      <c r="I441" s="23">
        <f>IF(COUNT(C441:H441)=0,"",SUM(C441:H441))</f>
        <v/>
      </c>
      <c r="J441" s="11">
        <f>$I$3</f>
        <v/>
      </c>
      <c r="K441" s="23">
        <f>IF(I441="","",I441-J441)</f>
        <v/>
      </c>
      <c r="L441" s="24">
        <f>IF(OR(I441="",N(J441)=0),"",K441/J441)</f>
        <v/>
      </c>
      <c r="M441" s="12" t="n"/>
    </row>
    <row r="442">
      <c r="A442" s="14" t="n">
        <v>46730</v>
      </c>
      <c r="B442" s="7">
        <f>CHOOSE(WEEKDAY(A442,2),"lundi","mardi","mercredi","jeudi","vendredi","samedi","dimanche")</f>
        <v/>
      </c>
      <c r="C442" s="22" t="n"/>
      <c r="D442" s="22" t="n"/>
      <c r="E442" s="22" t="n"/>
      <c r="F442" s="22" t="n"/>
      <c r="G442" s="22" t="n"/>
      <c r="H442" s="22" t="n"/>
      <c r="I442" s="23">
        <f>IF(COUNT(C442:H442)=0,"",SUM(C442:H442))</f>
        <v/>
      </c>
      <c r="J442" s="11">
        <f>$I$3</f>
        <v/>
      </c>
      <c r="K442" s="23">
        <f>IF(I442="","",I442-J442)</f>
        <v/>
      </c>
      <c r="L442" s="24">
        <f>IF(OR(I442="",N(J442)=0),"",K442/J442)</f>
        <v/>
      </c>
      <c r="M442" s="12" t="n"/>
    </row>
    <row r="443">
      <c r="A443" s="14" t="n">
        <v>46731</v>
      </c>
      <c r="B443" s="7">
        <f>CHOOSE(WEEKDAY(A443,2),"lundi","mardi","mercredi","jeudi","vendredi","samedi","dimanche")</f>
        <v/>
      </c>
      <c r="C443" s="22" t="n"/>
      <c r="D443" s="22" t="n"/>
      <c r="E443" s="22" t="n"/>
      <c r="F443" s="22" t="n"/>
      <c r="G443" s="22" t="n"/>
      <c r="H443" s="22" t="n"/>
      <c r="I443" s="23">
        <f>IF(COUNT(C443:H443)=0,"",SUM(C443:H443))</f>
        <v/>
      </c>
      <c r="J443" s="11">
        <f>$I$3</f>
        <v/>
      </c>
      <c r="K443" s="23">
        <f>IF(I443="","",I443-J443)</f>
        <v/>
      </c>
      <c r="L443" s="24">
        <f>IF(OR(I443="",N(J443)=0),"",K443/J443)</f>
        <v/>
      </c>
      <c r="M443" s="12" t="n"/>
    </row>
    <row r="444">
      <c r="A444" s="14" t="n">
        <v>46732</v>
      </c>
      <c r="B444" s="7">
        <f>CHOOSE(WEEKDAY(A444,2),"lundi","mardi","mercredi","jeudi","vendredi","samedi","dimanche")</f>
        <v/>
      </c>
      <c r="C444" s="22" t="n"/>
      <c r="D444" s="22" t="n"/>
      <c r="E444" s="22" t="n"/>
      <c r="F444" s="22" t="n"/>
      <c r="G444" s="22" t="n"/>
      <c r="H444" s="22" t="n"/>
      <c r="I444" s="23">
        <f>IF(COUNT(C444:H444)=0,"",SUM(C444:H444))</f>
        <v/>
      </c>
      <c r="J444" s="11">
        <f>$I$3</f>
        <v/>
      </c>
      <c r="K444" s="23">
        <f>IF(I444="","",I444-J444)</f>
        <v/>
      </c>
      <c r="L444" s="24">
        <f>IF(OR(I444="",N(J444)=0),"",K444/J444)</f>
        <v/>
      </c>
      <c r="M444" s="12" t="n"/>
    </row>
    <row r="445">
      <c r="A445" s="14" t="n">
        <v>46733</v>
      </c>
      <c r="B445" s="7">
        <f>CHOOSE(WEEKDAY(A445,2),"lundi","mardi","mercredi","jeudi","vendredi","samedi","dimanche")</f>
        <v/>
      </c>
      <c r="C445" s="22" t="n"/>
      <c r="D445" s="22" t="n"/>
      <c r="E445" s="22" t="n"/>
      <c r="F445" s="22" t="n"/>
      <c r="G445" s="22" t="n"/>
      <c r="H445" s="22" t="n"/>
      <c r="I445" s="23">
        <f>IF(COUNT(C445:H445)=0,"",SUM(C445:H445))</f>
        <v/>
      </c>
      <c r="J445" s="11">
        <f>$I$3</f>
        <v/>
      </c>
      <c r="K445" s="23">
        <f>IF(I445="","",I445-J445)</f>
        <v/>
      </c>
      <c r="L445" s="24">
        <f>IF(OR(I445="",N(J445)=0),"",K445/J445)</f>
        <v/>
      </c>
      <c r="M445" s="12" t="n"/>
    </row>
    <row r="446">
      <c r="A446" s="25" t="n">
        <v>46734</v>
      </c>
      <c r="B446" s="26">
        <f>CHOOSE(WEEKDAY(A446,2),"lundi","mardi","mercredi","jeudi","vendredi","samedi","dimanche")</f>
        <v/>
      </c>
      <c r="C446" s="22" t="n"/>
      <c r="D446" s="22" t="n"/>
      <c r="E446" s="22" t="n"/>
      <c r="F446" s="22" t="n"/>
      <c r="G446" s="22" t="n"/>
      <c r="H446" s="22" t="n"/>
      <c r="I446" s="23">
        <f>IF(COUNT(C446:H446)=0,"",SUM(C446:H446))</f>
        <v/>
      </c>
      <c r="J446" s="11">
        <f>$I$3</f>
        <v/>
      </c>
      <c r="K446" s="23">
        <f>IF(I446="","",I446-J446)</f>
        <v/>
      </c>
      <c r="L446" s="24">
        <f>IF(OR(I446="",N(J446)=0),"",K446/J446)</f>
        <v/>
      </c>
      <c r="M446" s="12" t="n"/>
    </row>
    <row r="447">
      <c r="A447" s="14" t="n">
        <v>46735</v>
      </c>
      <c r="B447" s="7">
        <f>CHOOSE(WEEKDAY(A447,2),"lundi","mardi","mercredi","jeudi","vendredi","samedi","dimanche")</f>
        <v/>
      </c>
      <c r="C447" s="22" t="n"/>
      <c r="D447" s="22" t="n"/>
      <c r="E447" s="22" t="n"/>
      <c r="F447" s="22" t="n"/>
      <c r="G447" s="22" t="n"/>
      <c r="H447" s="22" t="n"/>
      <c r="I447" s="23">
        <f>IF(COUNT(C447:H447)=0,"",SUM(C447:H447))</f>
        <v/>
      </c>
      <c r="J447" s="11">
        <f>$I$3</f>
        <v/>
      </c>
      <c r="K447" s="23">
        <f>IF(I447="","",I447-J447)</f>
        <v/>
      </c>
      <c r="L447" s="24">
        <f>IF(OR(I447="",N(J447)=0),"",K447/J447)</f>
        <v/>
      </c>
      <c r="M447" s="12" t="n"/>
    </row>
    <row r="448">
      <c r="A448" s="14" t="n">
        <v>46736</v>
      </c>
      <c r="B448" s="7">
        <f>CHOOSE(WEEKDAY(A448,2),"lundi","mardi","mercredi","jeudi","vendredi","samedi","dimanche")</f>
        <v/>
      </c>
      <c r="C448" s="22" t="n"/>
      <c r="D448" s="22" t="n"/>
      <c r="E448" s="22" t="n"/>
      <c r="F448" s="22" t="n"/>
      <c r="G448" s="22" t="n"/>
      <c r="H448" s="22" t="n"/>
      <c r="I448" s="23">
        <f>IF(COUNT(C448:H448)=0,"",SUM(C448:H448))</f>
        <v/>
      </c>
      <c r="J448" s="11">
        <f>$I$3</f>
        <v/>
      </c>
      <c r="K448" s="23">
        <f>IF(I448="","",I448-J448)</f>
        <v/>
      </c>
      <c r="L448" s="24">
        <f>IF(OR(I448="",N(J448)=0),"",K448/J448)</f>
        <v/>
      </c>
      <c r="M448" s="12" t="n"/>
    </row>
    <row r="449">
      <c r="A449" s="14" t="n">
        <v>46737</v>
      </c>
      <c r="B449" s="7">
        <f>CHOOSE(WEEKDAY(A449,2),"lundi","mardi","mercredi","jeudi","vendredi","samedi","dimanche")</f>
        <v/>
      </c>
      <c r="C449" s="22" t="n"/>
      <c r="D449" s="22" t="n"/>
      <c r="E449" s="22" t="n"/>
      <c r="F449" s="22" t="n"/>
      <c r="G449" s="22" t="n"/>
      <c r="H449" s="22" t="n"/>
      <c r="I449" s="23">
        <f>IF(COUNT(C449:H449)=0,"",SUM(C449:H449))</f>
        <v/>
      </c>
      <c r="J449" s="11">
        <f>$I$3</f>
        <v/>
      </c>
      <c r="K449" s="23">
        <f>IF(I449="","",I449-J449)</f>
        <v/>
      </c>
      <c r="L449" s="24">
        <f>IF(OR(I449="",N(J449)=0),"",K449/J449)</f>
        <v/>
      </c>
      <c r="M449" s="12" t="n"/>
    </row>
    <row r="450">
      <c r="A450" s="14" t="n">
        <v>46738</v>
      </c>
      <c r="B450" s="7">
        <f>CHOOSE(WEEKDAY(A450,2),"lundi","mardi","mercredi","jeudi","vendredi","samedi","dimanche")</f>
        <v/>
      </c>
      <c r="C450" s="22" t="n"/>
      <c r="D450" s="22" t="n"/>
      <c r="E450" s="22" t="n"/>
      <c r="F450" s="22" t="n"/>
      <c r="G450" s="22" t="n"/>
      <c r="H450" s="22" t="n"/>
      <c r="I450" s="23">
        <f>IF(COUNT(C450:H450)=0,"",SUM(C450:H450))</f>
        <v/>
      </c>
      <c r="J450" s="11">
        <f>$I$3</f>
        <v/>
      </c>
      <c r="K450" s="23">
        <f>IF(I450="","",I450-J450)</f>
        <v/>
      </c>
      <c r="L450" s="24">
        <f>IF(OR(I450="",N(J450)=0),"",K450/J450)</f>
        <v/>
      </c>
      <c r="M450" s="12" t="n"/>
    </row>
    <row r="451">
      <c r="A451" s="14" t="n">
        <v>46739</v>
      </c>
      <c r="B451" s="7">
        <f>CHOOSE(WEEKDAY(A451,2),"lundi","mardi","mercredi","jeudi","vendredi","samedi","dimanche")</f>
        <v/>
      </c>
      <c r="C451" s="22" t="n"/>
      <c r="D451" s="22" t="n"/>
      <c r="E451" s="22" t="n"/>
      <c r="F451" s="22" t="n"/>
      <c r="G451" s="22" t="n"/>
      <c r="H451" s="22" t="n"/>
      <c r="I451" s="23">
        <f>IF(COUNT(C451:H451)=0,"",SUM(C451:H451))</f>
        <v/>
      </c>
      <c r="J451" s="11">
        <f>$I$3</f>
        <v/>
      </c>
      <c r="K451" s="23">
        <f>IF(I451="","",I451-J451)</f>
        <v/>
      </c>
      <c r="L451" s="24">
        <f>IF(OR(I451="",N(J451)=0),"",K451/J451)</f>
        <v/>
      </c>
      <c r="M451" s="12" t="n"/>
    </row>
    <row r="452">
      <c r="A452" s="14" t="n">
        <v>46740</v>
      </c>
      <c r="B452" s="7">
        <f>CHOOSE(WEEKDAY(A452,2),"lundi","mardi","mercredi","jeudi","vendredi","samedi","dimanche")</f>
        <v/>
      </c>
      <c r="C452" s="22" t="n"/>
      <c r="D452" s="22" t="n"/>
      <c r="E452" s="22" t="n"/>
      <c r="F452" s="22" t="n"/>
      <c r="G452" s="22" t="n"/>
      <c r="H452" s="22" t="n"/>
      <c r="I452" s="23">
        <f>IF(COUNT(C452:H452)=0,"",SUM(C452:H452))</f>
        <v/>
      </c>
      <c r="J452" s="11">
        <f>$I$3</f>
        <v/>
      </c>
      <c r="K452" s="23">
        <f>IF(I452="","",I452-J452)</f>
        <v/>
      </c>
      <c r="L452" s="24">
        <f>IF(OR(I452="",N(J452)=0),"",K452/J452)</f>
        <v/>
      </c>
      <c r="M452" s="12" t="n"/>
    </row>
    <row r="453">
      <c r="A453" s="25" t="n">
        <v>46741</v>
      </c>
      <c r="B453" s="26">
        <f>CHOOSE(WEEKDAY(A453,2),"lundi","mardi","mercredi","jeudi","vendredi","samedi","dimanche")</f>
        <v/>
      </c>
      <c r="C453" s="22" t="n"/>
      <c r="D453" s="22" t="n"/>
      <c r="E453" s="22" t="n"/>
      <c r="F453" s="22" t="n"/>
      <c r="G453" s="22" t="n"/>
      <c r="H453" s="22" t="n"/>
      <c r="I453" s="23">
        <f>IF(COUNT(C453:H453)=0,"",SUM(C453:H453))</f>
        <v/>
      </c>
      <c r="J453" s="11">
        <f>$I$3</f>
        <v/>
      </c>
      <c r="K453" s="23">
        <f>IF(I453="","",I453-J453)</f>
        <v/>
      </c>
      <c r="L453" s="24">
        <f>IF(OR(I453="",N(J453)=0),"",K453/J453)</f>
        <v/>
      </c>
      <c r="M453" s="12" t="n"/>
    </row>
    <row r="454">
      <c r="A454" s="14" t="n">
        <v>46742</v>
      </c>
      <c r="B454" s="7">
        <f>CHOOSE(WEEKDAY(A454,2),"lundi","mardi","mercredi","jeudi","vendredi","samedi","dimanche")</f>
        <v/>
      </c>
      <c r="C454" s="22" t="n"/>
      <c r="D454" s="22" t="n"/>
      <c r="E454" s="22" t="n"/>
      <c r="F454" s="22" t="n"/>
      <c r="G454" s="22" t="n"/>
      <c r="H454" s="22" t="n"/>
      <c r="I454" s="23">
        <f>IF(COUNT(C454:H454)=0,"",SUM(C454:H454))</f>
        <v/>
      </c>
      <c r="J454" s="11">
        <f>$I$3</f>
        <v/>
      </c>
      <c r="K454" s="23">
        <f>IF(I454="","",I454-J454)</f>
        <v/>
      </c>
      <c r="L454" s="24">
        <f>IF(OR(I454="",N(J454)=0),"",K454/J454)</f>
        <v/>
      </c>
      <c r="M454" s="12" t="n"/>
    </row>
    <row r="455">
      <c r="A455" s="14" t="n">
        <v>46743</v>
      </c>
      <c r="B455" s="7">
        <f>CHOOSE(WEEKDAY(A455,2),"lundi","mardi","mercredi","jeudi","vendredi","samedi","dimanche")</f>
        <v/>
      </c>
      <c r="C455" s="22" t="n"/>
      <c r="D455" s="22" t="n"/>
      <c r="E455" s="22" t="n"/>
      <c r="F455" s="22" t="n"/>
      <c r="G455" s="22" t="n"/>
      <c r="H455" s="22" t="n"/>
      <c r="I455" s="23">
        <f>IF(COUNT(C455:H455)=0,"",SUM(C455:H455))</f>
        <v/>
      </c>
      <c r="J455" s="11">
        <f>$I$3</f>
        <v/>
      </c>
      <c r="K455" s="23">
        <f>IF(I455="","",I455-J455)</f>
        <v/>
      </c>
      <c r="L455" s="24">
        <f>IF(OR(I455="",N(J455)=0),"",K455/J455)</f>
        <v/>
      </c>
      <c r="M455" s="12" t="n"/>
    </row>
    <row r="456">
      <c r="A456" s="14" t="n">
        <v>46744</v>
      </c>
      <c r="B456" s="7">
        <f>CHOOSE(WEEKDAY(A456,2),"lundi","mardi","mercredi","jeudi","vendredi","samedi","dimanche")</f>
        <v/>
      </c>
      <c r="C456" s="22" t="n"/>
      <c r="D456" s="22" t="n"/>
      <c r="E456" s="22" t="n"/>
      <c r="F456" s="22" t="n"/>
      <c r="G456" s="22" t="n"/>
      <c r="H456" s="22" t="n"/>
      <c r="I456" s="23">
        <f>IF(COUNT(C456:H456)=0,"",SUM(C456:H456))</f>
        <v/>
      </c>
      <c r="J456" s="11">
        <f>$I$3</f>
        <v/>
      </c>
      <c r="K456" s="23">
        <f>IF(I456="","",I456-J456)</f>
        <v/>
      </c>
      <c r="L456" s="24">
        <f>IF(OR(I456="",N(J456)=0),"",K456/J456)</f>
        <v/>
      </c>
      <c r="M456" s="12" t="n"/>
    </row>
    <row r="457">
      <c r="A457" s="14" t="n">
        <v>46745</v>
      </c>
      <c r="B457" s="7">
        <f>CHOOSE(WEEKDAY(A457,2),"lundi","mardi","mercredi","jeudi","vendredi","samedi","dimanche")</f>
        <v/>
      </c>
      <c r="C457" s="22" t="n"/>
      <c r="D457" s="22" t="n"/>
      <c r="E457" s="22" t="n"/>
      <c r="F457" s="22" t="n"/>
      <c r="G457" s="22" t="n"/>
      <c r="H457" s="22" t="n"/>
      <c r="I457" s="23">
        <f>IF(COUNT(C457:H457)=0,"",SUM(C457:H457))</f>
        <v/>
      </c>
      <c r="J457" s="11">
        <f>$I$3</f>
        <v/>
      </c>
      <c r="K457" s="23">
        <f>IF(I457="","",I457-J457)</f>
        <v/>
      </c>
      <c r="L457" s="24">
        <f>IF(OR(I457="",N(J457)=0),"",K457/J457)</f>
        <v/>
      </c>
      <c r="M457" s="12" t="n"/>
    </row>
    <row r="458">
      <c r="A458" s="14" t="n">
        <v>46746</v>
      </c>
      <c r="B458" s="7">
        <f>CHOOSE(WEEKDAY(A458,2),"lundi","mardi","mercredi","jeudi","vendredi","samedi","dimanche")</f>
        <v/>
      </c>
      <c r="C458" s="22" t="n"/>
      <c r="D458" s="22" t="n"/>
      <c r="E458" s="22" t="n"/>
      <c r="F458" s="22" t="n"/>
      <c r="G458" s="22" t="n"/>
      <c r="H458" s="22" t="n"/>
      <c r="I458" s="23">
        <f>IF(COUNT(C458:H458)=0,"",SUM(C458:H458))</f>
        <v/>
      </c>
      <c r="J458" s="11">
        <f>$I$3</f>
        <v/>
      </c>
      <c r="K458" s="23">
        <f>IF(I458="","",I458-J458)</f>
        <v/>
      </c>
      <c r="L458" s="24">
        <f>IF(OR(I458="",N(J458)=0),"",K458/J458)</f>
        <v/>
      </c>
      <c r="M458" s="12" t="n"/>
    </row>
    <row r="459">
      <c r="A459" s="14" t="n">
        <v>46747</v>
      </c>
      <c r="B459" s="7">
        <f>CHOOSE(WEEKDAY(A459,2),"lundi","mardi","mercredi","jeudi","vendredi","samedi","dimanche")</f>
        <v/>
      </c>
      <c r="C459" s="22" t="n"/>
      <c r="D459" s="22" t="n"/>
      <c r="E459" s="22" t="n"/>
      <c r="F459" s="22" t="n"/>
      <c r="G459" s="22" t="n"/>
      <c r="H459" s="22" t="n"/>
      <c r="I459" s="23">
        <f>IF(COUNT(C459:H459)=0,"",SUM(C459:H459))</f>
        <v/>
      </c>
      <c r="J459" s="11">
        <f>$I$3</f>
        <v/>
      </c>
      <c r="K459" s="23">
        <f>IF(I459="","",I459-J459)</f>
        <v/>
      </c>
      <c r="L459" s="24">
        <f>IF(OR(I459="",N(J459)=0),"",K459/J459)</f>
        <v/>
      </c>
      <c r="M459" s="12" t="n"/>
    </row>
    <row r="460">
      <c r="A460" s="25" t="n">
        <v>46748</v>
      </c>
      <c r="B460" s="26">
        <f>CHOOSE(WEEKDAY(A460,2),"lundi","mardi","mercredi","jeudi","vendredi","samedi","dimanche")</f>
        <v/>
      </c>
      <c r="C460" s="22" t="n"/>
      <c r="D460" s="22" t="n"/>
      <c r="E460" s="22" t="n"/>
      <c r="F460" s="22" t="n"/>
      <c r="G460" s="22" t="n"/>
      <c r="H460" s="22" t="n"/>
      <c r="I460" s="23">
        <f>IF(COUNT(C460:H460)=0,"",SUM(C460:H460))</f>
        <v/>
      </c>
      <c r="J460" s="11">
        <f>$I$3</f>
        <v/>
      </c>
      <c r="K460" s="23">
        <f>IF(I460="","",I460-J460)</f>
        <v/>
      </c>
      <c r="L460" s="24">
        <f>IF(OR(I460="",N(J460)=0),"",K460/J460)</f>
        <v/>
      </c>
      <c r="M460" s="12" t="n"/>
    </row>
    <row r="461">
      <c r="A461" s="14" t="n">
        <v>46749</v>
      </c>
      <c r="B461" s="7">
        <f>CHOOSE(WEEKDAY(A461,2),"lundi","mardi","mercredi","jeudi","vendredi","samedi","dimanche")</f>
        <v/>
      </c>
      <c r="C461" s="22" t="n"/>
      <c r="D461" s="22" t="n"/>
      <c r="E461" s="22" t="n"/>
      <c r="F461" s="22" t="n"/>
      <c r="G461" s="22" t="n"/>
      <c r="H461" s="22" t="n"/>
      <c r="I461" s="23">
        <f>IF(COUNT(C461:H461)=0,"",SUM(C461:H461))</f>
        <v/>
      </c>
      <c r="J461" s="11">
        <f>$I$3</f>
        <v/>
      </c>
      <c r="K461" s="23">
        <f>IF(I461="","",I461-J461)</f>
        <v/>
      </c>
      <c r="L461" s="24">
        <f>IF(OR(I461="",N(J461)=0),"",K461/J461)</f>
        <v/>
      </c>
      <c r="M461" s="12" t="n"/>
    </row>
    <row r="462">
      <c r="A462" s="14" t="n">
        <v>46750</v>
      </c>
      <c r="B462" s="7">
        <f>CHOOSE(WEEKDAY(A462,2),"lundi","mardi","mercredi","jeudi","vendredi","samedi","dimanche")</f>
        <v/>
      </c>
      <c r="C462" s="22" t="n"/>
      <c r="D462" s="22" t="n"/>
      <c r="E462" s="22" t="n"/>
      <c r="F462" s="22" t="n"/>
      <c r="G462" s="22" t="n"/>
      <c r="H462" s="22" t="n"/>
      <c r="I462" s="23">
        <f>IF(COUNT(C462:H462)=0,"",SUM(C462:H462))</f>
        <v/>
      </c>
      <c r="J462" s="11">
        <f>$I$3</f>
        <v/>
      </c>
      <c r="K462" s="23">
        <f>IF(I462="","",I462-J462)</f>
        <v/>
      </c>
      <c r="L462" s="24">
        <f>IF(OR(I462="",N(J462)=0),"",K462/J462)</f>
        <v/>
      </c>
      <c r="M462" s="12" t="n"/>
    </row>
    <row r="463">
      <c r="A463" s="14" t="n">
        <v>46751</v>
      </c>
      <c r="B463" s="7">
        <f>CHOOSE(WEEKDAY(A463,2),"lundi","mardi","mercredi","jeudi","vendredi","samedi","dimanche")</f>
        <v/>
      </c>
      <c r="C463" s="22" t="n"/>
      <c r="D463" s="22" t="n"/>
      <c r="E463" s="22" t="n"/>
      <c r="F463" s="22" t="n"/>
      <c r="G463" s="22" t="n"/>
      <c r="H463" s="22" t="n"/>
      <c r="I463" s="23">
        <f>IF(COUNT(C463:H463)=0,"",SUM(C463:H463))</f>
        <v/>
      </c>
      <c r="J463" s="11">
        <f>$I$3</f>
        <v/>
      </c>
      <c r="K463" s="23">
        <f>IF(I463="","",I463-J463)</f>
        <v/>
      </c>
      <c r="L463" s="24">
        <f>IF(OR(I463="",N(J463)=0),"",K463/J463)</f>
        <v/>
      </c>
      <c r="M463" s="12" t="n"/>
    </row>
    <row r="464">
      <c r="A464" s="14" t="n">
        <v>46752</v>
      </c>
      <c r="B464" s="7">
        <f>CHOOSE(WEEKDAY(A464,2),"lundi","mardi","mercredi","jeudi","vendredi","samedi","dimanche")</f>
        <v/>
      </c>
      <c r="C464" s="22" t="n"/>
      <c r="D464" s="22" t="n"/>
      <c r="E464" s="22" t="n"/>
      <c r="F464" s="22" t="n"/>
      <c r="G464" s="22" t="n"/>
      <c r="H464" s="22" t="n"/>
      <c r="I464" s="23">
        <f>IF(COUNT(C464:H464)=0,"",SUM(C464:H464))</f>
        <v/>
      </c>
      <c r="J464" s="11">
        <f>$I$3</f>
        <v/>
      </c>
      <c r="K464" s="23">
        <f>IF(I464="","",I464-J464)</f>
        <v/>
      </c>
      <c r="L464" s="24">
        <f>IF(OR(I464="",N(J464)=0),"",K464/J464)</f>
        <v/>
      </c>
      <c r="M464" s="12" t="n"/>
    </row>
  </sheetData>
  <conditionalFormatting sqref="L8:L464">
    <cfRule type="expression" priority="1" dxfId="0">
      <formula>AND(ISNUMBER(L8),L8&gt;0.1)</formula>
    </cfRule>
    <cfRule type="expression" priority="2" dxfId="1">
      <formula>AND(ISNUMBER(L8),L8&lt;-0.1)</formula>
    </cfRule>
  </conditionalFormatting>
  <conditionalFormatting sqref="C6">
    <cfRule type="expression" priority="3" dxfId="3">
      <formula>C6&gt;0</formula>
    </cfRule>
  </conditionalFormatting>
  <conditionalFormatting sqref="D6">
    <cfRule type="expression" priority="4" dxfId="3">
      <formula>D6&gt;0</formula>
    </cfRule>
  </conditionalFormatting>
  <conditionalFormatting sqref="E6">
    <cfRule type="expression" priority="5" dxfId="3">
      <formula>E6&gt;0</formula>
    </cfRule>
  </conditionalFormatting>
  <conditionalFormatting sqref="F6">
    <cfRule type="expression" priority="6" dxfId="3">
      <formula>F6&gt;0</formula>
    </cfRule>
  </conditionalFormatting>
  <conditionalFormatting sqref="G6">
    <cfRule type="expression" priority="7" dxfId="3">
      <formula>G6&gt;0</formula>
    </cfRule>
  </conditionalFormatting>
  <conditionalFormatting sqref="H6">
    <cfRule type="expression" priority="8" dxfId="3">
      <formula>H6&gt;0</formula>
    </cfRule>
  </conditionalFormatting>
  <dataValidations count="1">
    <dataValidation sqref="C8:H464" showDropDown="0" showInputMessage="0" showErrorMessage="1" allowBlank="1" error="Dépense en dollars (nombre positif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1:S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8" customWidth="1" min="17" max="17"/>
    <col width="12" customWidth="1" min="18" max="18"/>
    <col width="10" customWidth="1" min="19" max="19"/>
  </cols>
  <sheetData>
    <row r="1">
      <c r="B1" s="16" t="inlineStr">
        <is>
          <t>Tableau de bord des indicateurs — Évenox (revue chaque lundi, 9 h)</t>
        </is>
      </c>
    </row>
    <row r="2">
      <c r="B2" s="17" t="inlineStr">
        <is>
          <t>Leads comptés par date de réception (cohorte) ; contrats, revenu et ROAS = leads de la même cohorte qui ont atteint « Dépôt payé (gagné) » ou plus. Lead qualifié (LQ) = route A ou B.</t>
        </is>
      </c>
    </row>
    <row r="3">
      <c r="F3" s="27" t="inlineStr">
        <is>
          <t>Cibles et seuils (tracking-setup.md §10, COMPTE-RENDU.md §4)</t>
        </is>
      </c>
    </row>
    <row r="4">
      <c r="B4" s="27" t="inlineStr">
        <is>
          <t>Semaine débutant le (lundi)</t>
        </is>
      </c>
      <c r="C4" s="28">
        <f>TODAY()-WEEKDAY(TODAY(),2)+1</f>
        <v/>
      </c>
      <c r="D4" s="17" t="inlineStr">
        <is>
          <t>Formule par défaut = lundi de la semaine en cours ; inscrire une date pour une autre semaine.</t>
        </is>
      </c>
      <c r="F4" s="12" t="inlineStr">
        <is>
          <t>Coût par lead qualifié (max)</t>
        </is>
      </c>
      <c r="I4" s="19" t="n">
        <v>150</v>
      </c>
    </row>
    <row r="5">
      <c r="B5" s="27" t="inlineStr">
        <is>
          <t>Mois analysé (1er jour du mois)</t>
        </is>
      </c>
      <c r="C5" s="28">
        <f>DATE(YEAR(TODAY()),MONTH(TODAY()),1)</f>
        <v/>
      </c>
      <c r="D5" s="17" t="inlineStr">
        <is>
          <t>Formule par défaut = mois en cours ; inscrire le 1er d'un mois (ex. 2026-11-01).</t>
        </is>
      </c>
      <c r="F5" s="12" t="inlineStr">
        <is>
          <t>% de leads qualifiés (min)</t>
        </is>
      </c>
      <c r="I5" s="29" t="n">
        <v>0.4</v>
      </c>
    </row>
    <row r="6">
      <c r="B6" s="27" t="inlineStr">
        <is>
          <t>Inclure les lignes EXEMPLE?</t>
        </is>
      </c>
      <c r="C6" s="30" t="inlineStr">
        <is>
          <t>Non</t>
        </is>
      </c>
      <c r="F6" s="12" t="inlineStr">
        <is>
          <t>Taux de signature des LQ (min)</t>
        </is>
      </c>
      <c r="I6" s="29" t="n">
        <v>0.25</v>
      </c>
    </row>
    <row r="7">
      <c r="B7" s="17" t="inlineStr">
        <is>
          <t>(critère interne, ne pas modifier)</t>
        </is>
      </c>
      <c r="C7" s="12">
        <f>IF(C6="Oui",1,0)</f>
        <v/>
      </c>
      <c r="F7" s="12" t="inlineStr">
        <is>
          <t>Panier moyen (min)</t>
        </is>
      </c>
      <c r="I7" s="19" t="n">
        <v>1500</v>
      </c>
    </row>
    <row r="8">
      <c r="F8" s="12" t="inlineStr">
        <is>
          <t>ROAS (min)</t>
        </is>
      </c>
      <c r="I8" s="31" t="n">
        <v>2.5</v>
      </c>
    </row>
    <row r="9">
      <c r="F9" s="12" t="inlineStr">
        <is>
          <t>Règle « Réduire 30 % » : coût par LQ &gt;</t>
        </is>
      </c>
      <c r="I9" s="19">
        <f>2*$I$4</f>
        <v/>
      </c>
    </row>
    <row r="10">
      <c r="F10" s="12" t="inlineStr">
        <is>
          <t>Dépense minimale avant décision (par campagne)</t>
        </is>
      </c>
      <c r="I10" s="19" t="n">
        <v>300</v>
      </c>
    </row>
    <row r="11">
      <c r="F11" s="12" t="inlineStr">
        <is>
          <t>Règle « Augmenter +20 % » : coût par LQ &lt;</t>
        </is>
      </c>
      <c r="I11" s="19" t="n">
        <v>100</v>
      </c>
    </row>
    <row r="12">
      <c r="F12" s="12" t="inlineStr">
        <is>
          <t>ChatGPT au jour 30 : LQ minimum</t>
        </is>
      </c>
      <c r="I12" s="32" t="n">
        <v>2</v>
      </c>
    </row>
    <row r="13">
      <c r="F13" s="12" t="inlineStr">
        <is>
          <t>ChatGPT : dépense de référence (≈ 30 jours × 30 $)</t>
        </is>
      </c>
      <c r="I13" s="19" t="n">
        <v>900</v>
      </c>
    </row>
    <row r="14">
      <c r="F14" s="12" t="inlineStr">
        <is>
          <t>Délai de réponse médian visé (min), routes A et B</t>
        </is>
      </c>
      <c r="I14" s="32" t="n">
        <v>5</v>
      </c>
    </row>
    <row r="16">
      <c r="B16" s="17" t="inlineStr">
        <is>
          <t>Décision hebdo (tracking-setup.md §10) : « Réduire 30 % » si coût par LQ &gt; 2 × la cible 2 semaines de suite et ≥ 300 $ dépensés ; « Augmenter +20 % » si coût par LQ &lt; 100 $ et signature ≥ 25 %.</t>
        </is>
      </c>
    </row>
    <row r="17">
      <c r="B17" s="33" t="inlineStr">
        <is>
          <t>Semaine : du lundi indiqué en C4 au dimanche suivant</t>
        </is>
      </c>
    </row>
    <row r="18" ht="42" customHeight="1">
      <c r="B18" s="21" t="inlineStr">
        <is>
          <t>Campagne</t>
        </is>
      </c>
      <c r="C18" s="21" t="inlineStr">
        <is>
          <t>Dépenses</t>
        </is>
      </c>
      <c r="D18" s="21" t="inlineStr">
        <is>
          <t>Budget cible (jours saisis)</t>
        </is>
      </c>
      <c r="E18" s="21" t="inlineStr">
        <is>
          <t>Écart vs budget</t>
        </is>
      </c>
      <c r="F18" s="21" t="inlineStr">
        <is>
          <t>Leads (tous)</t>
        </is>
      </c>
      <c r="G18" s="21" t="inlineStr">
        <is>
          <t>Leads qualifiés (LQ)</t>
        </is>
      </c>
      <c r="H18" s="21" t="inlineStr">
        <is>
          <t>% qualifiés</t>
        </is>
      </c>
      <c r="I18" s="21" t="inlineStr">
        <is>
          <t>Coût par lead</t>
        </is>
      </c>
      <c r="J18" s="21" t="inlineStr">
        <is>
          <t>Coût par LQ</t>
        </is>
      </c>
      <c r="K18" s="21" t="inlineStr">
        <is>
          <t>Contrats (dépôts)</t>
        </is>
      </c>
      <c r="L18" s="21" t="inlineStr">
        <is>
          <t>Taux de signature</t>
        </is>
      </c>
      <c r="M18" s="21" t="inlineStr">
        <is>
          <t>Revenu (montant gagné)</t>
        </is>
      </c>
      <c r="N18" s="21" t="inlineStr">
        <is>
          <t>Panier moyen</t>
        </is>
      </c>
      <c r="O18" s="21" t="inlineStr">
        <is>
          <t>ROAS</t>
        </is>
      </c>
      <c r="P18" s="21" t="inlineStr">
        <is>
          <t>Pipeline pondéré</t>
        </is>
      </c>
      <c r="Q18" s="21" t="inlineStr">
        <is>
          <t>Décision</t>
        </is>
      </c>
      <c r="R18" s="21" t="inlineStr">
        <is>
          <t>Sem. préc. : dépenses</t>
        </is>
      </c>
      <c r="S18" s="21" t="inlineStr">
        <is>
          <t>Sem. préc. : LQ</t>
        </is>
      </c>
    </row>
    <row r="19">
      <c r="B19" s="12" t="inlineStr">
        <is>
          <t>Google Search – Corporatif</t>
        </is>
      </c>
      <c r="C19" s="34">
        <f>SUMIFS('Dépenses'!$C$8:$C$464,'Dépenses'!$A$8:$A$464,"&gt;="&amp;$C$4,'Dépenses'!$A$8:$A$464,"&lt;"&amp;($C$4+7))</f>
        <v/>
      </c>
      <c r="D19" s="34">
        <f>'Dépenses'!$C$3*COUNTIFS('Dépenses'!$A$8:$A$464,"&gt;="&amp;$C$4,'Dépenses'!$A$8:$A$464,"&lt;"&amp;($C$4+7),'Dépenses'!$C$8:$C$464,"&lt;&gt;")</f>
        <v/>
      </c>
      <c r="E19" s="34">
        <f>C19-D19</f>
        <v/>
      </c>
      <c r="F19" s="35">
        <f>COUNTIFS(Leads!$AQ$3:$AQ$1002,$B19,Leads!$B$3:$B$1002,"&gt;="&amp;$C$4,Leads!$B$3:$B$1002,"&lt;"&amp;($C$4+7),Leads!$AZ$3:$AZ$1002,"&lt;="&amp;$C$7)</f>
        <v/>
      </c>
      <c r="G19" s="35">
        <f>COUNTIFS(Leads!$AQ$3:$AQ$1002,$B19,Leads!$B$3:$B$1002,"&gt;="&amp;$C$4,Leads!$B$3:$B$1002,"&lt;"&amp;($C$4+7),Leads!$AZ$3:$AZ$1002,"&lt;="&amp;$C$7,Leads!$AU$3:$AU$1002,1)</f>
        <v/>
      </c>
      <c r="H19" s="36">
        <f>IF(F19=0,"—",G19/F19)</f>
        <v/>
      </c>
      <c r="I19" s="34">
        <f>IF(OR(F19=0,C19=0),"—",C19/F19)</f>
        <v/>
      </c>
      <c r="J19" s="34">
        <f>IF(OR(G19=0,C19=0),"—",C19/G19)</f>
        <v/>
      </c>
      <c r="K19" s="35">
        <f>COUNTIFS(Leads!$AQ$3:$AQ$1002,$B19,Leads!$B$3:$B$1002,"&gt;="&amp;$C$4,Leads!$B$3:$B$1002,"&lt;"&amp;($C$4+7),Leads!$AZ$3:$AZ$1002,"&lt;="&amp;$C$7,Leads!$AV$3:$AV$1002,1)</f>
        <v/>
      </c>
      <c r="L19" s="36">
        <f>IF(G19=0,"—",K19/G19)</f>
        <v/>
      </c>
      <c r="M19" s="34">
        <f>SUMIFS(Leads!$V$3:$V$1002,Leads!$AQ$3:$AQ$1002,$B19,Leads!$B$3:$B$1002,"&gt;="&amp;$C$4,Leads!$B$3:$B$1002,"&lt;"&amp;($C$4+7),Leads!$AZ$3:$AZ$1002,"&lt;="&amp;$C$7,Leads!$AV$3:$AV$1002,1)</f>
        <v/>
      </c>
      <c r="N19" s="34">
        <f>IF(K19=0,"—",M19/K19)</f>
        <v/>
      </c>
      <c r="O19" s="37">
        <f>IF(C19=0,"—",M19/C19)</f>
        <v/>
      </c>
      <c r="P19" s="34">
        <f>SUMIFS(Leads!$AY$3:$AY$1002,Leads!$AQ$3:$AQ$1002,$B19,Leads!$B$3:$B$1002,"&gt;="&amp;$C$4,Leads!$B$3:$B$1002,"&lt;"&amp;($C$4+7),Leads!$AZ$3:$AZ$1002,"&lt;="&amp;$C$7)</f>
        <v/>
      </c>
      <c r="Q19" s="38">
        <f>IF(AND(C19+R19&gt;=$I$10,AND(C19&gt;0,IFERROR(C19/G19,1E+99)&gt;$I$9),AND(R19&gt;0,IFERROR(R19/S19,1E+99)&gt;$I$9)),"Réduire 30 %",IF(AND(C19&gt;0,G19&gt;0,IFERROR(C19/G19,1E+99)&lt;$I$11,IFERROR(K19/G19,0)&gt;=$I$6),"Augmenter +20 %",IF(C19+R19&lt;$I$10,"Garder (données insuffisantes)","Garder")))</f>
        <v/>
      </c>
      <c r="R19" s="34">
        <f>SUMIFS('Dépenses'!$C$8:$C$464,'Dépenses'!$A$8:$A$464,"&gt;="&amp;($C$4-7),'Dépenses'!$A$8:$A$464,"&lt;"&amp;$C$4)</f>
        <v/>
      </c>
      <c r="S19" s="35">
        <f>COUNTIFS(Leads!$AQ$3:$AQ$1002,$B19,Leads!$B$3:$B$1002,"&gt;="&amp;($C$4-7),Leads!$B$3:$B$1002,"&lt;"&amp;$C$4,Leads!$AZ$3:$AZ$1002,"&lt;="&amp;$C$7,Leads!$AU$3:$AU$1002,1)</f>
        <v/>
      </c>
    </row>
    <row r="20">
      <c r="B20" s="12" t="inlineStr">
        <is>
          <t>Meta – Leads</t>
        </is>
      </c>
      <c r="C20" s="34">
        <f>SUMIFS('Dépenses'!$D$8:$D$464,'Dépenses'!$A$8:$A$464,"&gt;="&amp;$C$4,'Dépenses'!$A$8:$A$464,"&lt;"&amp;($C$4+7))</f>
        <v/>
      </c>
      <c r="D20" s="34">
        <f>'Dépenses'!$D$3*COUNTIFS('Dépenses'!$A$8:$A$464,"&gt;="&amp;$C$4,'Dépenses'!$A$8:$A$464,"&lt;"&amp;($C$4+7),'Dépenses'!$D$8:$D$464,"&lt;&gt;")</f>
        <v/>
      </c>
      <c r="E20" s="34">
        <f>C20-D20</f>
        <v/>
      </c>
      <c r="F20" s="35">
        <f>COUNTIFS(Leads!$AQ$3:$AQ$1002,$B20,Leads!$B$3:$B$1002,"&gt;="&amp;$C$4,Leads!$B$3:$B$1002,"&lt;"&amp;($C$4+7),Leads!$AZ$3:$AZ$1002,"&lt;="&amp;$C$7)</f>
        <v/>
      </c>
      <c r="G20" s="35">
        <f>COUNTIFS(Leads!$AQ$3:$AQ$1002,$B20,Leads!$B$3:$B$1002,"&gt;="&amp;$C$4,Leads!$B$3:$B$1002,"&lt;"&amp;($C$4+7),Leads!$AZ$3:$AZ$1002,"&lt;="&amp;$C$7,Leads!$AU$3:$AU$1002,1)</f>
        <v/>
      </c>
      <c r="H20" s="36">
        <f>IF(F20=0,"—",G20/F20)</f>
        <v/>
      </c>
      <c r="I20" s="34">
        <f>IF(OR(F20=0,C20=0),"—",C20/F20)</f>
        <v/>
      </c>
      <c r="J20" s="34">
        <f>IF(OR(G20=0,C20=0),"—",C20/G20)</f>
        <v/>
      </c>
      <c r="K20" s="35">
        <f>COUNTIFS(Leads!$AQ$3:$AQ$1002,$B20,Leads!$B$3:$B$1002,"&gt;="&amp;$C$4,Leads!$B$3:$B$1002,"&lt;"&amp;($C$4+7),Leads!$AZ$3:$AZ$1002,"&lt;="&amp;$C$7,Leads!$AV$3:$AV$1002,1)</f>
        <v/>
      </c>
      <c r="L20" s="36">
        <f>IF(G20=0,"—",K20/G20)</f>
        <v/>
      </c>
      <c r="M20" s="34">
        <f>SUMIFS(Leads!$V$3:$V$1002,Leads!$AQ$3:$AQ$1002,$B20,Leads!$B$3:$B$1002,"&gt;="&amp;$C$4,Leads!$B$3:$B$1002,"&lt;"&amp;($C$4+7),Leads!$AZ$3:$AZ$1002,"&lt;="&amp;$C$7,Leads!$AV$3:$AV$1002,1)</f>
        <v/>
      </c>
      <c r="N20" s="34">
        <f>IF(K20=0,"—",M20/K20)</f>
        <v/>
      </c>
      <c r="O20" s="37">
        <f>IF(C20=0,"—",M20/C20)</f>
        <v/>
      </c>
      <c r="P20" s="34">
        <f>SUMIFS(Leads!$AY$3:$AY$1002,Leads!$AQ$3:$AQ$1002,$B20,Leads!$B$3:$B$1002,"&gt;="&amp;$C$4,Leads!$B$3:$B$1002,"&lt;"&amp;($C$4+7),Leads!$AZ$3:$AZ$1002,"&lt;="&amp;$C$7)</f>
        <v/>
      </c>
      <c r="Q20" s="38">
        <f>IF(AND(C20+R20&gt;=$I$10,AND(C20&gt;0,IFERROR(C20/G20,1E+99)&gt;$I$9),AND(R20&gt;0,IFERROR(R20/S20,1E+99)&gt;$I$9)),"Réduire 30 %",IF(AND(C20&gt;0,G20&gt;0,IFERROR(C20/G20,1E+99)&lt;$I$11,IFERROR(K20/G20,0)&gt;=$I$6),"Augmenter +20 %",IF(C20+R20&lt;$I$10,"Garder (données insuffisantes)","Garder")))</f>
        <v/>
      </c>
      <c r="R20" s="34">
        <f>SUMIFS('Dépenses'!$D$8:$D$464,'Dépenses'!$A$8:$A$464,"&gt;="&amp;($C$4-7),'Dépenses'!$A$8:$A$464,"&lt;"&amp;$C$4)</f>
        <v/>
      </c>
      <c r="S20" s="35">
        <f>COUNTIFS(Leads!$AQ$3:$AQ$1002,$B20,Leads!$B$3:$B$1002,"&gt;="&amp;($C$4-7),Leads!$B$3:$B$1002,"&lt;"&amp;$C$4,Leads!$AZ$3:$AZ$1002,"&lt;="&amp;$C$7,Leads!$AU$3:$AU$1002,1)</f>
        <v/>
      </c>
    </row>
    <row r="21">
      <c r="B21" s="12" t="inlineStr">
        <is>
          <t>Google Search – Mariage et privé</t>
        </is>
      </c>
      <c r="C21" s="34">
        <f>SUMIFS('Dépenses'!$E$8:$E$464,'Dépenses'!$A$8:$A$464,"&gt;="&amp;$C$4,'Dépenses'!$A$8:$A$464,"&lt;"&amp;($C$4+7))</f>
        <v/>
      </c>
      <c r="D21" s="34">
        <f>'Dépenses'!$E$3*COUNTIFS('Dépenses'!$A$8:$A$464,"&gt;="&amp;$C$4,'Dépenses'!$A$8:$A$464,"&lt;"&amp;($C$4+7),'Dépenses'!$E$8:$E$464,"&lt;&gt;")</f>
        <v/>
      </c>
      <c r="E21" s="34">
        <f>C21-D21</f>
        <v/>
      </c>
      <c r="F21" s="35">
        <f>COUNTIFS(Leads!$AQ$3:$AQ$1002,$B21,Leads!$B$3:$B$1002,"&gt;="&amp;$C$4,Leads!$B$3:$B$1002,"&lt;"&amp;($C$4+7),Leads!$AZ$3:$AZ$1002,"&lt;="&amp;$C$7)</f>
        <v/>
      </c>
      <c r="G21" s="35">
        <f>COUNTIFS(Leads!$AQ$3:$AQ$1002,$B21,Leads!$B$3:$B$1002,"&gt;="&amp;$C$4,Leads!$B$3:$B$1002,"&lt;"&amp;($C$4+7),Leads!$AZ$3:$AZ$1002,"&lt;="&amp;$C$7,Leads!$AU$3:$AU$1002,1)</f>
        <v/>
      </c>
      <c r="H21" s="36">
        <f>IF(F21=0,"—",G21/F21)</f>
        <v/>
      </c>
      <c r="I21" s="34">
        <f>IF(OR(F21=0,C21=0),"—",C21/F21)</f>
        <v/>
      </c>
      <c r="J21" s="34">
        <f>IF(OR(G21=0,C21=0),"—",C21/G21)</f>
        <v/>
      </c>
      <c r="K21" s="35">
        <f>COUNTIFS(Leads!$AQ$3:$AQ$1002,$B21,Leads!$B$3:$B$1002,"&gt;="&amp;$C$4,Leads!$B$3:$B$1002,"&lt;"&amp;($C$4+7),Leads!$AZ$3:$AZ$1002,"&lt;="&amp;$C$7,Leads!$AV$3:$AV$1002,1)</f>
        <v/>
      </c>
      <c r="L21" s="36">
        <f>IF(G21=0,"—",K21/G21)</f>
        <v/>
      </c>
      <c r="M21" s="34">
        <f>SUMIFS(Leads!$V$3:$V$1002,Leads!$AQ$3:$AQ$1002,$B21,Leads!$B$3:$B$1002,"&gt;="&amp;$C$4,Leads!$B$3:$B$1002,"&lt;"&amp;($C$4+7),Leads!$AZ$3:$AZ$1002,"&lt;="&amp;$C$7,Leads!$AV$3:$AV$1002,1)</f>
        <v/>
      </c>
      <c r="N21" s="34">
        <f>IF(K21=0,"—",M21/K21)</f>
        <v/>
      </c>
      <c r="O21" s="37">
        <f>IF(C21=0,"—",M21/C21)</f>
        <v/>
      </c>
      <c r="P21" s="34">
        <f>SUMIFS(Leads!$AY$3:$AY$1002,Leads!$AQ$3:$AQ$1002,$B21,Leads!$B$3:$B$1002,"&gt;="&amp;$C$4,Leads!$B$3:$B$1002,"&lt;"&amp;($C$4+7),Leads!$AZ$3:$AZ$1002,"&lt;="&amp;$C$7)</f>
        <v/>
      </c>
      <c r="Q21" s="38">
        <f>IF(AND(C21+R21&gt;=$I$10,AND(C21&gt;0,IFERROR(C21/G21,1E+99)&gt;$I$9),AND(R21&gt;0,IFERROR(R21/S21,1E+99)&gt;$I$9)),"Réduire 30 %",IF(AND(C21&gt;0,G21&gt;0,IFERROR(C21/G21,1E+99)&lt;$I$11,IFERROR(K21/G21,0)&gt;=$I$6),"Augmenter +20 %",IF(C21+R21&lt;$I$10,"Garder (données insuffisantes)","Garder")))</f>
        <v/>
      </c>
      <c r="R21" s="34">
        <f>SUMIFS('Dépenses'!$E$8:$E$464,'Dépenses'!$A$8:$A$464,"&gt;="&amp;($C$4-7),'Dépenses'!$A$8:$A$464,"&lt;"&amp;$C$4)</f>
        <v/>
      </c>
      <c r="S21" s="35">
        <f>COUNTIFS(Leads!$AQ$3:$AQ$1002,$B21,Leads!$B$3:$B$1002,"&gt;="&amp;($C$4-7),Leads!$B$3:$B$1002,"&lt;"&amp;$C$4,Leads!$AZ$3:$AZ$1002,"&lt;="&amp;$C$7,Leads!$AU$3:$AU$1002,1)</f>
        <v/>
      </c>
    </row>
    <row r="22">
      <c r="B22" s="12" t="inlineStr">
        <is>
          <t>ChatGPT Ads – Test</t>
        </is>
      </c>
      <c r="C22" s="34">
        <f>SUMIFS('Dépenses'!$F$8:$F$464,'Dépenses'!$A$8:$A$464,"&gt;="&amp;$C$4,'Dépenses'!$A$8:$A$464,"&lt;"&amp;($C$4+7))</f>
        <v/>
      </c>
      <c r="D22" s="34">
        <f>'Dépenses'!$F$3*COUNTIFS('Dépenses'!$A$8:$A$464,"&gt;="&amp;$C$4,'Dépenses'!$A$8:$A$464,"&lt;"&amp;($C$4+7),'Dépenses'!$F$8:$F$464,"&lt;&gt;")</f>
        <v/>
      </c>
      <c r="E22" s="34">
        <f>C22-D22</f>
        <v/>
      </c>
      <c r="F22" s="35">
        <f>COUNTIFS(Leads!$AQ$3:$AQ$1002,$B22,Leads!$B$3:$B$1002,"&gt;="&amp;$C$4,Leads!$B$3:$B$1002,"&lt;"&amp;($C$4+7),Leads!$AZ$3:$AZ$1002,"&lt;="&amp;$C$7)</f>
        <v/>
      </c>
      <c r="G22" s="35">
        <f>COUNTIFS(Leads!$AQ$3:$AQ$1002,$B22,Leads!$B$3:$B$1002,"&gt;="&amp;$C$4,Leads!$B$3:$B$1002,"&lt;"&amp;($C$4+7),Leads!$AZ$3:$AZ$1002,"&lt;="&amp;$C$7,Leads!$AU$3:$AU$1002,1)</f>
        <v/>
      </c>
      <c r="H22" s="36">
        <f>IF(F22=0,"—",G22/F22)</f>
        <v/>
      </c>
      <c r="I22" s="34">
        <f>IF(OR(F22=0,C22=0),"—",C22/F22)</f>
        <v/>
      </c>
      <c r="J22" s="34">
        <f>IF(OR(G22=0,C22=0),"—",C22/G22)</f>
        <v/>
      </c>
      <c r="K22" s="35">
        <f>COUNTIFS(Leads!$AQ$3:$AQ$1002,$B22,Leads!$B$3:$B$1002,"&gt;="&amp;$C$4,Leads!$B$3:$B$1002,"&lt;"&amp;($C$4+7),Leads!$AZ$3:$AZ$1002,"&lt;="&amp;$C$7,Leads!$AV$3:$AV$1002,1)</f>
        <v/>
      </c>
      <c r="L22" s="36">
        <f>IF(G22=0,"—",K22/G22)</f>
        <v/>
      </c>
      <c r="M22" s="34">
        <f>SUMIFS(Leads!$V$3:$V$1002,Leads!$AQ$3:$AQ$1002,$B22,Leads!$B$3:$B$1002,"&gt;="&amp;$C$4,Leads!$B$3:$B$1002,"&lt;"&amp;($C$4+7),Leads!$AZ$3:$AZ$1002,"&lt;="&amp;$C$7,Leads!$AV$3:$AV$1002,1)</f>
        <v/>
      </c>
      <c r="N22" s="34">
        <f>IF(K22=0,"—",M22/K22)</f>
        <v/>
      </c>
      <c r="O22" s="37">
        <f>IF(C22=0,"—",M22/C22)</f>
        <v/>
      </c>
      <c r="P22" s="34">
        <f>SUMIFS(Leads!$AY$3:$AY$1002,Leads!$AQ$3:$AQ$1002,$B22,Leads!$B$3:$B$1002,"&gt;="&amp;$C$4,Leads!$B$3:$B$1002,"&lt;"&amp;($C$4+7),Leads!$AZ$3:$AZ$1002,"&lt;="&amp;$C$7)</f>
        <v/>
      </c>
      <c r="Q22" s="38">
        <f>IF(AND(C22+R22&gt;=$I$10,AND(C22&gt;0,IFERROR(C22/G22,1E+99)&gt;$I$9),AND(R22&gt;0,IFERROR(R22/S22,1E+99)&gt;$I$9)),"Réduire 30 %",IF(AND(C22&gt;0,G22&gt;0,IFERROR(C22/G22,1E+99)&lt;$I$11,IFERROR(K22/G22,0)&gt;=$I$6),"Augmenter +20 %",IF(C22+R22&lt;$I$10,"Garder (données insuffisantes)","Garder")))</f>
        <v/>
      </c>
      <c r="R22" s="34">
        <f>SUMIFS('Dépenses'!$F$8:$F$464,'Dépenses'!$A$8:$A$464,"&gt;="&amp;($C$4-7),'Dépenses'!$A$8:$A$464,"&lt;"&amp;$C$4)</f>
        <v/>
      </c>
      <c r="S22" s="35">
        <f>COUNTIFS(Leads!$AQ$3:$AQ$1002,$B22,Leads!$B$3:$B$1002,"&gt;="&amp;($C$4-7),Leads!$B$3:$B$1002,"&lt;"&amp;$C$4,Leads!$AZ$3:$AZ$1002,"&lt;="&amp;$C$7,Leads!$AU$3:$AU$1002,1)</f>
        <v/>
      </c>
    </row>
    <row r="23">
      <c r="B23" s="12" t="inlineStr">
        <is>
          <t>Microsoft Ads</t>
        </is>
      </c>
      <c r="C23" s="34">
        <f>SUMIFS('Dépenses'!$G$8:$G$464,'Dépenses'!$A$8:$A$464,"&gt;="&amp;$C$4,'Dépenses'!$A$8:$A$464,"&lt;"&amp;($C$4+7))</f>
        <v/>
      </c>
      <c r="D23" s="34">
        <f>'Dépenses'!$G$3*COUNTIFS('Dépenses'!$A$8:$A$464,"&gt;="&amp;$C$4,'Dépenses'!$A$8:$A$464,"&lt;"&amp;($C$4+7),'Dépenses'!$G$8:$G$464,"&lt;&gt;")</f>
        <v/>
      </c>
      <c r="E23" s="34">
        <f>C23-D23</f>
        <v/>
      </c>
      <c r="F23" s="35">
        <f>COUNTIFS(Leads!$AQ$3:$AQ$1002,$B23,Leads!$B$3:$B$1002,"&gt;="&amp;$C$4,Leads!$B$3:$B$1002,"&lt;"&amp;($C$4+7),Leads!$AZ$3:$AZ$1002,"&lt;="&amp;$C$7)</f>
        <v/>
      </c>
      <c r="G23" s="35">
        <f>COUNTIFS(Leads!$AQ$3:$AQ$1002,$B23,Leads!$B$3:$B$1002,"&gt;="&amp;$C$4,Leads!$B$3:$B$1002,"&lt;"&amp;($C$4+7),Leads!$AZ$3:$AZ$1002,"&lt;="&amp;$C$7,Leads!$AU$3:$AU$1002,1)</f>
        <v/>
      </c>
      <c r="H23" s="36">
        <f>IF(F23=0,"—",G23/F23)</f>
        <v/>
      </c>
      <c r="I23" s="34">
        <f>IF(OR(F23=0,C23=0),"—",C23/F23)</f>
        <v/>
      </c>
      <c r="J23" s="34">
        <f>IF(OR(G23=0,C23=0),"—",C23/G23)</f>
        <v/>
      </c>
      <c r="K23" s="35">
        <f>COUNTIFS(Leads!$AQ$3:$AQ$1002,$B23,Leads!$B$3:$B$1002,"&gt;="&amp;$C$4,Leads!$B$3:$B$1002,"&lt;"&amp;($C$4+7),Leads!$AZ$3:$AZ$1002,"&lt;="&amp;$C$7,Leads!$AV$3:$AV$1002,1)</f>
        <v/>
      </c>
      <c r="L23" s="36">
        <f>IF(G23=0,"—",K23/G23)</f>
        <v/>
      </c>
      <c r="M23" s="34">
        <f>SUMIFS(Leads!$V$3:$V$1002,Leads!$AQ$3:$AQ$1002,$B23,Leads!$B$3:$B$1002,"&gt;="&amp;$C$4,Leads!$B$3:$B$1002,"&lt;"&amp;($C$4+7),Leads!$AZ$3:$AZ$1002,"&lt;="&amp;$C$7,Leads!$AV$3:$AV$1002,1)</f>
        <v/>
      </c>
      <c r="N23" s="34">
        <f>IF(K23=0,"—",M23/K23)</f>
        <v/>
      </c>
      <c r="O23" s="37">
        <f>IF(C23=0,"—",M23/C23)</f>
        <v/>
      </c>
      <c r="P23" s="34">
        <f>SUMIFS(Leads!$AY$3:$AY$1002,Leads!$AQ$3:$AQ$1002,$B23,Leads!$B$3:$B$1002,"&gt;="&amp;$C$4,Leads!$B$3:$B$1002,"&lt;"&amp;($C$4+7),Leads!$AZ$3:$AZ$1002,"&lt;="&amp;$C$7)</f>
        <v/>
      </c>
      <c r="Q23" s="38">
        <f>IF(AND(C23+R23&gt;=$I$10,AND(C23&gt;0,IFERROR(C23/G23,1E+99)&gt;$I$9),AND(R23&gt;0,IFERROR(R23/S23,1E+99)&gt;$I$9)),"Réduire 30 %",IF(AND(C23&gt;0,G23&gt;0,IFERROR(C23/G23,1E+99)&lt;$I$11,IFERROR(K23/G23,0)&gt;=$I$6),"Augmenter +20 %",IF(C23+R23&lt;$I$10,"Garder (données insuffisantes)","Garder")))</f>
        <v/>
      </c>
      <c r="R23" s="34">
        <f>SUMIFS('Dépenses'!$G$8:$G$464,'Dépenses'!$A$8:$A$464,"&gt;="&amp;($C$4-7),'Dépenses'!$A$8:$A$464,"&lt;"&amp;$C$4)</f>
        <v/>
      </c>
      <c r="S23" s="35">
        <f>COUNTIFS(Leads!$AQ$3:$AQ$1002,$B23,Leads!$B$3:$B$1002,"&gt;="&amp;($C$4-7),Leads!$B$3:$B$1002,"&lt;"&amp;$C$4,Leads!$AZ$3:$AZ$1002,"&lt;="&amp;$C$7,Leads!$AU$3:$AU$1002,1)</f>
        <v/>
      </c>
    </row>
    <row r="24">
      <c r="B24" s="12" t="inlineStr">
        <is>
          <t>Google Search – Marque</t>
        </is>
      </c>
      <c r="C24" s="34">
        <f>SUMIFS('Dépenses'!$H$8:$H$464,'Dépenses'!$A$8:$A$464,"&gt;="&amp;$C$4,'Dépenses'!$A$8:$A$464,"&lt;"&amp;($C$4+7))</f>
        <v/>
      </c>
      <c r="D24" s="34">
        <f>'Dépenses'!$H$3*COUNTIFS('Dépenses'!$A$8:$A$464,"&gt;="&amp;$C$4,'Dépenses'!$A$8:$A$464,"&lt;"&amp;($C$4+7),'Dépenses'!$H$8:$H$464,"&lt;&gt;")</f>
        <v/>
      </c>
      <c r="E24" s="34">
        <f>C24-D24</f>
        <v/>
      </c>
      <c r="F24" s="35">
        <f>COUNTIFS(Leads!$AQ$3:$AQ$1002,$B24,Leads!$B$3:$B$1002,"&gt;="&amp;$C$4,Leads!$B$3:$B$1002,"&lt;"&amp;($C$4+7),Leads!$AZ$3:$AZ$1002,"&lt;="&amp;$C$7)</f>
        <v/>
      </c>
      <c r="G24" s="35">
        <f>COUNTIFS(Leads!$AQ$3:$AQ$1002,$B24,Leads!$B$3:$B$1002,"&gt;="&amp;$C$4,Leads!$B$3:$B$1002,"&lt;"&amp;($C$4+7),Leads!$AZ$3:$AZ$1002,"&lt;="&amp;$C$7,Leads!$AU$3:$AU$1002,1)</f>
        <v/>
      </c>
      <c r="H24" s="36">
        <f>IF(F24=0,"—",G24/F24)</f>
        <v/>
      </c>
      <c r="I24" s="34">
        <f>IF(OR(F24=0,C24=0),"—",C24/F24)</f>
        <v/>
      </c>
      <c r="J24" s="34">
        <f>IF(OR(G24=0,C24=0),"—",C24/G24)</f>
        <v/>
      </c>
      <c r="K24" s="35">
        <f>COUNTIFS(Leads!$AQ$3:$AQ$1002,$B24,Leads!$B$3:$B$1002,"&gt;="&amp;$C$4,Leads!$B$3:$B$1002,"&lt;"&amp;($C$4+7),Leads!$AZ$3:$AZ$1002,"&lt;="&amp;$C$7,Leads!$AV$3:$AV$1002,1)</f>
        <v/>
      </c>
      <c r="L24" s="36">
        <f>IF(G24=0,"—",K24/G24)</f>
        <v/>
      </c>
      <c r="M24" s="34">
        <f>SUMIFS(Leads!$V$3:$V$1002,Leads!$AQ$3:$AQ$1002,$B24,Leads!$B$3:$B$1002,"&gt;="&amp;$C$4,Leads!$B$3:$B$1002,"&lt;"&amp;($C$4+7),Leads!$AZ$3:$AZ$1002,"&lt;="&amp;$C$7,Leads!$AV$3:$AV$1002,1)</f>
        <v/>
      </c>
      <c r="N24" s="34">
        <f>IF(K24=0,"—",M24/K24)</f>
        <v/>
      </c>
      <c r="O24" s="37">
        <f>IF(C24=0,"—",M24/C24)</f>
        <v/>
      </c>
      <c r="P24" s="34">
        <f>SUMIFS(Leads!$AY$3:$AY$1002,Leads!$AQ$3:$AQ$1002,$B24,Leads!$B$3:$B$1002,"&gt;="&amp;$C$4,Leads!$B$3:$B$1002,"&lt;"&amp;($C$4+7),Leads!$AZ$3:$AZ$1002,"&lt;="&amp;$C$7)</f>
        <v/>
      </c>
      <c r="Q24" s="38">
        <f>IF(AND(C24+R24&gt;=$I$10,AND(C24&gt;0,IFERROR(C24/G24,1E+99)&gt;$I$9),AND(R24&gt;0,IFERROR(R24/S24,1E+99)&gt;$I$9)),"Réduire 30 %",IF(AND(C24&gt;0,G24&gt;0,IFERROR(C24/G24,1E+99)&lt;$I$11,IFERROR(K24/G24,0)&gt;=$I$6),"Augmenter +20 %",IF(C24+R24&lt;$I$10,"Garder (données insuffisantes)","Garder")))</f>
        <v/>
      </c>
      <c r="R24" s="34">
        <f>SUMIFS('Dépenses'!$H$8:$H$464,'Dépenses'!$A$8:$A$464,"&gt;="&amp;($C$4-7),'Dépenses'!$A$8:$A$464,"&lt;"&amp;$C$4)</f>
        <v/>
      </c>
      <c r="S24" s="35">
        <f>COUNTIFS(Leads!$AQ$3:$AQ$1002,$B24,Leads!$B$3:$B$1002,"&gt;="&amp;($C$4-7),Leads!$B$3:$B$1002,"&lt;"&amp;$C$4,Leads!$AZ$3:$AZ$1002,"&lt;="&amp;$C$7,Leads!$AU$3:$AU$1002,1)</f>
        <v/>
      </c>
    </row>
    <row r="25">
      <c r="B25" s="39" t="inlineStr">
        <is>
          <t>Autres sources (non payées)</t>
        </is>
      </c>
      <c r="C25" s="40" t="n">
        <v>0</v>
      </c>
      <c r="D25" s="40" t="n">
        <v>0</v>
      </c>
      <c r="E25" s="40">
        <f>C25-D25</f>
        <v/>
      </c>
      <c r="F25" s="41">
        <f>COUNTIFS(Leads!$B$3:$B$1002,"&gt;="&amp;$C$4,Leads!$B$3:$B$1002,"&lt;"&amp;($C$4+7),Leads!$AZ$3:$AZ$1002,"&lt;="&amp;$C$7)-SUM(F19:F24)</f>
        <v/>
      </c>
      <c r="G25" s="41">
        <f>COUNTIFS(Leads!$B$3:$B$1002,"&gt;="&amp;$C$4,Leads!$B$3:$B$1002,"&lt;"&amp;($C$4+7),Leads!$AZ$3:$AZ$1002,"&lt;="&amp;$C$7,Leads!$AU$3:$AU$1002,1)-SUM(G19:G24)</f>
        <v/>
      </c>
      <c r="H25" s="42">
        <f>IF(F25=0,"—",G25/F25)</f>
        <v/>
      </c>
      <c r="I25" s="40">
        <f>IF(OR(F25=0,C25=0),"—",C25/F25)</f>
        <v/>
      </c>
      <c r="J25" s="40">
        <f>IF(OR(G25=0,C25=0),"—",C25/G25)</f>
        <v/>
      </c>
      <c r="K25" s="41">
        <f>COUNTIFS(Leads!$B$3:$B$1002,"&gt;="&amp;$C$4,Leads!$B$3:$B$1002,"&lt;"&amp;($C$4+7),Leads!$AZ$3:$AZ$1002,"&lt;="&amp;$C$7,Leads!$AV$3:$AV$1002,1)-SUM(K19:K24)</f>
        <v/>
      </c>
      <c r="L25" s="42">
        <f>IF(G25=0,"—",K25/G25)</f>
        <v/>
      </c>
      <c r="M25" s="40">
        <f>SUMIFS(Leads!$V$3:$V$1002,Leads!$B$3:$B$1002,"&gt;="&amp;$C$4,Leads!$B$3:$B$1002,"&lt;"&amp;($C$4+7),Leads!$AZ$3:$AZ$1002,"&lt;="&amp;$C$7,Leads!$AV$3:$AV$1002,1)-SUM(M19:M24)</f>
        <v/>
      </c>
      <c r="N25" s="40">
        <f>IF(K25=0,"—",M25/K25)</f>
        <v/>
      </c>
      <c r="O25" s="43">
        <f>IF(C25=0,"—",M25/C25)</f>
        <v/>
      </c>
      <c r="P25" s="40">
        <f>SUMIFS(Leads!$AY$3:$AY$1002,Leads!$B$3:$B$1002,"&gt;="&amp;$C$4,Leads!$B$3:$B$1002,"&lt;"&amp;($C$4+7),Leads!$AZ$3:$AZ$1002,"&lt;="&amp;$C$7)-SUM(P19:P24)</f>
        <v/>
      </c>
      <c r="Q25" s="44" t="inlineStr">
        <is>
          <t>—</t>
        </is>
      </c>
      <c r="R25" s="40" t="n">
        <v>0</v>
      </c>
      <c r="S25" s="41">
        <f>COUNTIFS(Leads!$B$3:$B$1002,"&gt;="&amp;($C$4-7),Leads!$B$3:$B$1002,"&lt;"&amp;$C$4,Leads!$AZ$3:$AZ$1002,"&lt;="&amp;$C$7,Leads!$AU$3:$AU$1002,1)-SUM(S19:S24)</f>
        <v/>
      </c>
    </row>
    <row r="26">
      <c r="B26" s="45" t="inlineStr">
        <is>
          <t>Total</t>
        </is>
      </c>
      <c r="C26" s="46">
        <f>SUM(C19:C25)</f>
        <v/>
      </c>
      <c r="D26" s="46">
        <f>SUM(D19:D25)</f>
        <v/>
      </c>
      <c r="E26" s="46">
        <f>C26-D26</f>
        <v/>
      </c>
      <c r="F26" s="47">
        <f>SUM(F19:F25)</f>
        <v/>
      </c>
      <c r="G26" s="47">
        <f>SUM(G19:G25)</f>
        <v/>
      </c>
      <c r="H26" s="48">
        <f>IF(F26=0,"—",G26/F26)</f>
        <v/>
      </c>
      <c r="I26" s="46">
        <f>IF(OR(F26=0,C26=0),"—",C26/F26)</f>
        <v/>
      </c>
      <c r="J26" s="46">
        <f>IF(OR(G26=0,C26=0),"—",C26/G26)</f>
        <v/>
      </c>
      <c r="K26" s="47">
        <f>SUM(K19:K25)</f>
        <v/>
      </c>
      <c r="L26" s="48">
        <f>IF(G26=0,"—",K26/G26)</f>
        <v/>
      </c>
      <c r="M26" s="46">
        <f>SUM(M19:M25)</f>
        <v/>
      </c>
      <c r="N26" s="46">
        <f>IF(K26=0,"—",M26/K26)</f>
        <v/>
      </c>
      <c r="O26" s="49">
        <f>IF(C26=0,"—",M26/C26)</f>
        <v/>
      </c>
      <c r="P26" s="46">
        <f>SUM(P19:P25)</f>
        <v/>
      </c>
      <c r="Q26" s="50" t="inlineStr">
        <is>
          <t>—</t>
        </is>
      </c>
      <c r="R26" s="46">
        <f>SUM(R19:R25)</f>
        <v/>
      </c>
      <c r="S26" s="47">
        <f>SUM(S19:S25)</f>
        <v/>
      </c>
    </row>
    <row r="29">
      <c r="B29" s="17" t="inlineStr">
        <is>
          <t>Coût par LQ de Google Search (Corporatif + Mariage), pour la règle ChatGPT :</t>
        </is>
      </c>
      <c r="C29" s="51">
        <f>IFERROR((C32+C34)/(G32+G34),1E+99)</f>
        <v/>
      </c>
      <c r="D29" s="17" t="inlineStr">
        <is>
          <t>(1E+99 = aucun LQ Google ce mois-ci)</t>
        </is>
      </c>
    </row>
    <row r="30">
      <c r="B30" s="33" t="inlineStr">
        <is>
          <t>Mois : du 1er jour indiqué en C5 à la fin du mois</t>
        </is>
      </c>
    </row>
    <row r="31" ht="42" customHeight="1">
      <c r="B31" s="21" t="inlineStr">
        <is>
          <t>Campagne</t>
        </is>
      </c>
      <c r="C31" s="21" t="inlineStr">
        <is>
          <t>Dépenses</t>
        </is>
      </c>
      <c r="D31" s="21" t="inlineStr">
        <is>
          <t>Budget cible (jours saisis)</t>
        </is>
      </c>
      <c r="E31" s="21" t="inlineStr">
        <is>
          <t>Écart vs budget</t>
        </is>
      </c>
      <c r="F31" s="21" t="inlineStr">
        <is>
          <t>Leads (tous)</t>
        </is>
      </c>
      <c r="G31" s="21" t="inlineStr">
        <is>
          <t>Leads qualifiés (LQ)</t>
        </is>
      </c>
      <c r="H31" s="21" t="inlineStr">
        <is>
          <t>% qualifiés</t>
        </is>
      </c>
      <c r="I31" s="21" t="inlineStr">
        <is>
          <t>Coût par lead</t>
        </is>
      </c>
      <c r="J31" s="21" t="inlineStr">
        <is>
          <t>Coût par LQ</t>
        </is>
      </c>
      <c r="K31" s="21" t="inlineStr">
        <is>
          <t>Contrats (dépôts)</t>
        </is>
      </c>
      <c r="L31" s="21" t="inlineStr">
        <is>
          <t>Taux de signature</t>
        </is>
      </c>
      <c r="M31" s="21" t="inlineStr">
        <is>
          <t>Revenu (montant gagné)</t>
        </is>
      </c>
      <c r="N31" s="21" t="inlineStr">
        <is>
          <t>Panier moyen</t>
        </is>
      </c>
      <c r="O31" s="21" t="inlineStr">
        <is>
          <t>ROAS</t>
        </is>
      </c>
      <c r="P31" s="21" t="inlineStr">
        <is>
          <t>Pipeline pondéré</t>
        </is>
      </c>
      <c r="Q31" s="21" t="inlineStr">
        <is>
          <t>Décision</t>
        </is>
      </c>
    </row>
    <row r="32">
      <c r="B32" s="12" t="inlineStr">
        <is>
          <t>Google Search – Corporatif</t>
        </is>
      </c>
      <c r="C32" s="34">
        <f>SUMIFS('Dépenses'!$C$8:$C$464,'Dépenses'!$A$8:$A$464,"&gt;="&amp;$C$5,'Dépenses'!$A$8:$A$464,"&lt;"&amp;EDATE($C$5,1))</f>
        <v/>
      </c>
      <c r="D32" s="34">
        <f>'Dépenses'!$C$3*COUNTIFS('Dépenses'!$A$8:$A$464,"&gt;="&amp;$C$5,'Dépenses'!$A$8:$A$464,"&lt;"&amp;EDATE($C$5,1),'Dépenses'!$C$8:$C$464,"&lt;&gt;")</f>
        <v/>
      </c>
      <c r="E32" s="34">
        <f>C32-D32</f>
        <v/>
      </c>
      <c r="F32" s="35">
        <f>COUNTIFS(Leads!$AQ$3:$AQ$1002,$B32,Leads!$B$3:$B$1002,"&gt;="&amp;$C$5,Leads!$B$3:$B$1002,"&lt;"&amp;EDATE($C$5,1),Leads!$AZ$3:$AZ$1002,"&lt;="&amp;$C$7)</f>
        <v/>
      </c>
      <c r="G32" s="35">
        <f>COUNTIFS(Leads!$AQ$3:$AQ$1002,$B32,Leads!$B$3:$B$1002,"&gt;="&amp;$C$5,Leads!$B$3:$B$1002,"&lt;"&amp;EDATE($C$5,1),Leads!$AZ$3:$AZ$1002,"&lt;="&amp;$C$7,Leads!$AU$3:$AU$1002,1)</f>
        <v/>
      </c>
      <c r="H32" s="36">
        <f>IF(F32=0,"—",G32/F32)</f>
        <v/>
      </c>
      <c r="I32" s="34">
        <f>IF(OR(F32=0,C32=0),"—",C32/F32)</f>
        <v/>
      </c>
      <c r="J32" s="34">
        <f>IF(OR(G32=0,C32=0),"—",C32/G32)</f>
        <v/>
      </c>
      <c r="K32" s="35">
        <f>COUNTIFS(Leads!$AQ$3:$AQ$1002,$B32,Leads!$B$3:$B$1002,"&gt;="&amp;$C$5,Leads!$B$3:$B$1002,"&lt;"&amp;EDATE($C$5,1),Leads!$AZ$3:$AZ$1002,"&lt;="&amp;$C$7,Leads!$AV$3:$AV$1002,1)</f>
        <v/>
      </c>
      <c r="L32" s="36">
        <f>IF(G32=0,"—",K32/G32)</f>
        <v/>
      </c>
      <c r="M32" s="34">
        <f>SUMIFS(Leads!$V$3:$V$1002,Leads!$AQ$3:$AQ$1002,$B32,Leads!$B$3:$B$1002,"&gt;="&amp;$C$5,Leads!$B$3:$B$1002,"&lt;"&amp;EDATE($C$5,1),Leads!$AZ$3:$AZ$1002,"&lt;="&amp;$C$7,Leads!$AV$3:$AV$1002,1)</f>
        <v/>
      </c>
      <c r="N32" s="34">
        <f>IF(K32=0,"—",M32/K32)</f>
        <v/>
      </c>
      <c r="O32" s="37">
        <f>IF(C32=0,"—",M32/C32)</f>
        <v/>
      </c>
      <c r="P32" s="34">
        <f>SUMIFS(Leads!$AY$3:$AY$1002,Leads!$AQ$3:$AQ$1002,$B32,Leads!$B$3:$B$1002,"&gt;="&amp;$C$5,Leads!$B$3:$B$1002,"&lt;"&amp;EDATE($C$5,1),Leads!$AZ$3:$AZ$1002,"&lt;="&amp;$C$7)</f>
        <v/>
      </c>
      <c r="Q32" s="38">
        <f>IF(C32&lt;$I$10,"Garder (données insuffisantes)",IF(IFERROR(C32/G32,1E+99)&gt;$I$9,"Réduire 30 %",IF(AND(G32&gt;0,IFERROR(C32/G32,1E+99)&lt;$I$11,IFERROR(K32/G32,0)&gt;=$I$6),"Augmenter +20 %","Garder")))</f>
        <v/>
      </c>
    </row>
    <row r="33">
      <c r="B33" s="12" t="inlineStr">
        <is>
          <t>Meta – Leads</t>
        </is>
      </c>
      <c r="C33" s="34">
        <f>SUMIFS('Dépenses'!$D$8:$D$464,'Dépenses'!$A$8:$A$464,"&gt;="&amp;$C$5,'Dépenses'!$A$8:$A$464,"&lt;"&amp;EDATE($C$5,1))</f>
        <v/>
      </c>
      <c r="D33" s="34">
        <f>'Dépenses'!$D$3*COUNTIFS('Dépenses'!$A$8:$A$464,"&gt;="&amp;$C$5,'Dépenses'!$A$8:$A$464,"&lt;"&amp;EDATE($C$5,1),'Dépenses'!$D$8:$D$464,"&lt;&gt;")</f>
        <v/>
      </c>
      <c r="E33" s="34">
        <f>C33-D33</f>
        <v/>
      </c>
      <c r="F33" s="35">
        <f>COUNTIFS(Leads!$AQ$3:$AQ$1002,$B33,Leads!$B$3:$B$1002,"&gt;="&amp;$C$5,Leads!$B$3:$B$1002,"&lt;"&amp;EDATE($C$5,1),Leads!$AZ$3:$AZ$1002,"&lt;="&amp;$C$7)</f>
        <v/>
      </c>
      <c r="G33" s="35">
        <f>COUNTIFS(Leads!$AQ$3:$AQ$1002,$B33,Leads!$B$3:$B$1002,"&gt;="&amp;$C$5,Leads!$B$3:$B$1002,"&lt;"&amp;EDATE($C$5,1),Leads!$AZ$3:$AZ$1002,"&lt;="&amp;$C$7,Leads!$AU$3:$AU$1002,1)</f>
        <v/>
      </c>
      <c r="H33" s="36">
        <f>IF(F33=0,"—",G33/F33)</f>
        <v/>
      </c>
      <c r="I33" s="34">
        <f>IF(OR(F33=0,C33=0),"—",C33/F33)</f>
        <v/>
      </c>
      <c r="J33" s="34">
        <f>IF(OR(G33=0,C33=0),"—",C33/G33)</f>
        <v/>
      </c>
      <c r="K33" s="35">
        <f>COUNTIFS(Leads!$AQ$3:$AQ$1002,$B33,Leads!$B$3:$B$1002,"&gt;="&amp;$C$5,Leads!$B$3:$B$1002,"&lt;"&amp;EDATE($C$5,1),Leads!$AZ$3:$AZ$1002,"&lt;="&amp;$C$7,Leads!$AV$3:$AV$1002,1)</f>
        <v/>
      </c>
      <c r="L33" s="36">
        <f>IF(G33=0,"—",K33/G33)</f>
        <v/>
      </c>
      <c r="M33" s="34">
        <f>SUMIFS(Leads!$V$3:$V$1002,Leads!$AQ$3:$AQ$1002,$B33,Leads!$B$3:$B$1002,"&gt;="&amp;$C$5,Leads!$B$3:$B$1002,"&lt;"&amp;EDATE($C$5,1),Leads!$AZ$3:$AZ$1002,"&lt;="&amp;$C$7,Leads!$AV$3:$AV$1002,1)</f>
        <v/>
      </c>
      <c r="N33" s="34">
        <f>IF(K33=0,"—",M33/K33)</f>
        <v/>
      </c>
      <c r="O33" s="37">
        <f>IF(C33=0,"—",M33/C33)</f>
        <v/>
      </c>
      <c r="P33" s="34">
        <f>SUMIFS(Leads!$AY$3:$AY$1002,Leads!$AQ$3:$AQ$1002,$B33,Leads!$B$3:$B$1002,"&gt;="&amp;$C$5,Leads!$B$3:$B$1002,"&lt;"&amp;EDATE($C$5,1),Leads!$AZ$3:$AZ$1002,"&lt;="&amp;$C$7)</f>
        <v/>
      </c>
      <c r="Q33" s="38">
        <f>IF(C33&lt;$I$10,"Garder (données insuffisantes)",IF(IFERROR(C33/G33,1E+99)&gt;$I$9,"Réduire 30 %",IF(AND(G33&gt;0,IFERROR(C33/G33,1E+99)&lt;$I$11,IFERROR(K33/G33,0)&gt;=$I$6),"Augmenter +20 %","Garder")))</f>
        <v/>
      </c>
    </row>
    <row r="34">
      <c r="B34" s="12" t="inlineStr">
        <is>
          <t>Google Search – Mariage et privé</t>
        </is>
      </c>
      <c r="C34" s="34">
        <f>SUMIFS('Dépenses'!$E$8:$E$464,'Dépenses'!$A$8:$A$464,"&gt;="&amp;$C$5,'Dépenses'!$A$8:$A$464,"&lt;"&amp;EDATE($C$5,1))</f>
        <v/>
      </c>
      <c r="D34" s="34">
        <f>'Dépenses'!$E$3*COUNTIFS('Dépenses'!$A$8:$A$464,"&gt;="&amp;$C$5,'Dépenses'!$A$8:$A$464,"&lt;"&amp;EDATE($C$5,1),'Dépenses'!$E$8:$E$464,"&lt;&gt;")</f>
        <v/>
      </c>
      <c r="E34" s="34">
        <f>C34-D34</f>
        <v/>
      </c>
      <c r="F34" s="35">
        <f>COUNTIFS(Leads!$AQ$3:$AQ$1002,$B34,Leads!$B$3:$B$1002,"&gt;="&amp;$C$5,Leads!$B$3:$B$1002,"&lt;"&amp;EDATE($C$5,1),Leads!$AZ$3:$AZ$1002,"&lt;="&amp;$C$7)</f>
        <v/>
      </c>
      <c r="G34" s="35">
        <f>COUNTIFS(Leads!$AQ$3:$AQ$1002,$B34,Leads!$B$3:$B$1002,"&gt;="&amp;$C$5,Leads!$B$3:$B$1002,"&lt;"&amp;EDATE($C$5,1),Leads!$AZ$3:$AZ$1002,"&lt;="&amp;$C$7,Leads!$AU$3:$AU$1002,1)</f>
        <v/>
      </c>
      <c r="H34" s="36">
        <f>IF(F34=0,"—",G34/F34)</f>
        <v/>
      </c>
      <c r="I34" s="34">
        <f>IF(OR(F34=0,C34=0),"—",C34/F34)</f>
        <v/>
      </c>
      <c r="J34" s="34">
        <f>IF(OR(G34=0,C34=0),"—",C34/G34)</f>
        <v/>
      </c>
      <c r="K34" s="35">
        <f>COUNTIFS(Leads!$AQ$3:$AQ$1002,$B34,Leads!$B$3:$B$1002,"&gt;="&amp;$C$5,Leads!$B$3:$B$1002,"&lt;"&amp;EDATE($C$5,1),Leads!$AZ$3:$AZ$1002,"&lt;="&amp;$C$7,Leads!$AV$3:$AV$1002,1)</f>
        <v/>
      </c>
      <c r="L34" s="36">
        <f>IF(G34=0,"—",K34/G34)</f>
        <v/>
      </c>
      <c r="M34" s="34">
        <f>SUMIFS(Leads!$V$3:$V$1002,Leads!$AQ$3:$AQ$1002,$B34,Leads!$B$3:$B$1002,"&gt;="&amp;$C$5,Leads!$B$3:$B$1002,"&lt;"&amp;EDATE($C$5,1),Leads!$AZ$3:$AZ$1002,"&lt;="&amp;$C$7,Leads!$AV$3:$AV$1002,1)</f>
        <v/>
      </c>
      <c r="N34" s="34">
        <f>IF(K34=0,"—",M34/K34)</f>
        <v/>
      </c>
      <c r="O34" s="37">
        <f>IF(C34=0,"—",M34/C34)</f>
        <v/>
      </c>
      <c r="P34" s="34">
        <f>SUMIFS(Leads!$AY$3:$AY$1002,Leads!$AQ$3:$AQ$1002,$B34,Leads!$B$3:$B$1002,"&gt;="&amp;$C$5,Leads!$B$3:$B$1002,"&lt;"&amp;EDATE($C$5,1),Leads!$AZ$3:$AZ$1002,"&lt;="&amp;$C$7)</f>
        <v/>
      </c>
      <c r="Q34" s="38">
        <f>IF(C34&lt;$I$10,"Garder (données insuffisantes)",IF(IFERROR(C34/G34,1E+99)&gt;$I$9,"Réduire 30 %",IF(AND(G34&gt;0,IFERROR(C34/G34,1E+99)&lt;$I$11,IFERROR(K34/G34,0)&gt;=$I$6),"Augmenter +20 %","Garder")))</f>
        <v/>
      </c>
    </row>
    <row r="35">
      <c r="B35" s="12" t="inlineStr">
        <is>
          <t>ChatGPT Ads – Test</t>
        </is>
      </c>
      <c r="C35" s="34">
        <f>SUMIFS('Dépenses'!$F$8:$F$464,'Dépenses'!$A$8:$A$464,"&gt;="&amp;$C$5,'Dépenses'!$A$8:$A$464,"&lt;"&amp;EDATE($C$5,1))</f>
        <v/>
      </c>
      <c r="D35" s="34">
        <f>'Dépenses'!$F$3*COUNTIFS('Dépenses'!$A$8:$A$464,"&gt;="&amp;$C$5,'Dépenses'!$A$8:$A$464,"&lt;"&amp;EDATE($C$5,1),'Dépenses'!$F$8:$F$464,"&lt;&gt;")</f>
        <v/>
      </c>
      <c r="E35" s="34">
        <f>C35-D35</f>
        <v/>
      </c>
      <c r="F35" s="35">
        <f>COUNTIFS(Leads!$AQ$3:$AQ$1002,$B35,Leads!$B$3:$B$1002,"&gt;="&amp;$C$5,Leads!$B$3:$B$1002,"&lt;"&amp;EDATE($C$5,1),Leads!$AZ$3:$AZ$1002,"&lt;="&amp;$C$7)</f>
        <v/>
      </c>
      <c r="G35" s="35">
        <f>COUNTIFS(Leads!$AQ$3:$AQ$1002,$B35,Leads!$B$3:$B$1002,"&gt;="&amp;$C$5,Leads!$B$3:$B$1002,"&lt;"&amp;EDATE($C$5,1),Leads!$AZ$3:$AZ$1002,"&lt;="&amp;$C$7,Leads!$AU$3:$AU$1002,1)</f>
        <v/>
      </c>
      <c r="H35" s="36">
        <f>IF(F35=0,"—",G35/F35)</f>
        <v/>
      </c>
      <c r="I35" s="34">
        <f>IF(OR(F35=0,C35=0),"—",C35/F35)</f>
        <v/>
      </c>
      <c r="J35" s="34">
        <f>IF(OR(G35=0,C35=0),"—",C35/G35)</f>
        <v/>
      </c>
      <c r="K35" s="35">
        <f>COUNTIFS(Leads!$AQ$3:$AQ$1002,$B35,Leads!$B$3:$B$1002,"&gt;="&amp;$C$5,Leads!$B$3:$B$1002,"&lt;"&amp;EDATE($C$5,1),Leads!$AZ$3:$AZ$1002,"&lt;="&amp;$C$7,Leads!$AV$3:$AV$1002,1)</f>
        <v/>
      </c>
      <c r="L35" s="36">
        <f>IF(G35=0,"—",K35/G35)</f>
        <v/>
      </c>
      <c r="M35" s="34">
        <f>SUMIFS(Leads!$V$3:$V$1002,Leads!$AQ$3:$AQ$1002,$B35,Leads!$B$3:$B$1002,"&gt;="&amp;$C$5,Leads!$B$3:$B$1002,"&lt;"&amp;EDATE($C$5,1),Leads!$AZ$3:$AZ$1002,"&lt;="&amp;$C$7,Leads!$AV$3:$AV$1002,1)</f>
        <v/>
      </c>
      <c r="N35" s="34">
        <f>IF(K35=0,"—",M35/K35)</f>
        <v/>
      </c>
      <c r="O35" s="37">
        <f>IF(C35=0,"—",M35/C35)</f>
        <v/>
      </c>
      <c r="P35" s="34">
        <f>SUMIFS(Leads!$AY$3:$AY$1002,Leads!$AQ$3:$AQ$1002,$B35,Leads!$B$3:$B$1002,"&gt;="&amp;$C$5,Leads!$B$3:$B$1002,"&lt;"&amp;EDATE($C$5,1),Leads!$AZ$3:$AZ$1002,"&lt;="&amp;$C$7)</f>
        <v/>
      </c>
      <c r="Q35" s="38">
        <f>IF(C35&lt;$I$10,"Garder (données insuffisantes)",IF(AND(C35&gt;=$I$13,OR(G35&lt;$I$12,IFERROR(C35/G35,1E+99)&gt;2*$C$29)),"Couper",IF(IFERROR(C35/G35,1E+99)&gt;$I$9,"Réduire 30 %",IF(AND(G35&gt;0,IFERROR(C35/G35,1E+99)&lt;$I$11,IFERROR(K35/G35,0)&gt;=$I$6),"Augmenter +20 %","Garder"))))</f>
        <v/>
      </c>
    </row>
    <row r="36">
      <c r="B36" s="12" t="inlineStr">
        <is>
          <t>Microsoft Ads</t>
        </is>
      </c>
      <c r="C36" s="34">
        <f>SUMIFS('Dépenses'!$G$8:$G$464,'Dépenses'!$A$8:$A$464,"&gt;="&amp;$C$5,'Dépenses'!$A$8:$A$464,"&lt;"&amp;EDATE($C$5,1))</f>
        <v/>
      </c>
      <c r="D36" s="34">
        <f>'Dépenses'!$G$3*COUNTIFS('Dépenses'!$A$8:$A$464,"&gt;="&amp;$C$5,'Dépenses'!$A$8:$A$464,"&lt;"&amp;EDATE($C$5,1),'Dépenses'!$G$8:$G$464,"&lt;&gt;")</f>
        <v/>
      </c>
      <c r="E36" s="34">
        <f>C36-D36</f>
        <v/>
      </c>
      <c r="F36" s="35">
        <f>COUNTIFS(Leads!$AQ$3:$AQ$1002,$B36,Leads!$B$3:$B$1002,"&gt;="&amp;$C$5,Leads!$B$3:$B$1002,"&lt;"&amp;EDATE($C$5,1),Leads!$AZ$3:$AZ$1002,"&lt;="&amp;$C$7)</f>
        <v/>
      </c>
      <c r="G36" s="35">
        <f>COUNTIFS(Leads!$AQ$3:$AQ$1002,$B36,Leads!$B$3:$B$1002,"&gt;="&amp;$C$5,Leads!$B$3:$B$1002,"&lt;"&amp;EDATE($C$5,1),Leads!$AZ$3:$AZ$1002,"&lt;="&amp;$C$7,Leads!$AU$3:$AU$1002,1)</f>
        <v/>
      </c>
      <c r="H36" s="36">
        <f>IF(F36=0,"—",G36/F36)</f>
        <v/>
      </c>
      <c r="I36" s="34">
        <f>IF(OR(F36=0,C36=0),"—",C36/F36)</f>
        <v/>
      </c>
      <c r="J36" s="34">
        <f>IF(OR(G36=0,C36=0),"—",C36/G36)</f>
        <v/>
      </c>
      <c r="K36" s="35">
        <f>COUNTIFS(Leads!$AQ$3:$AQ$1002,$B36,Leads!$B$3:$B$1002,"&gt;="&amp;$C$5,Leads!$B$3:$B$1002,"&lt;"&amp;EDATE($C$5,1),Leads!$AZ$3:$AZ$1002,"&lt;="&amp;$C$7,Leads!$AV$3:$AV$1002,1)</f>
        <v/>
      </c>
      <c r="L36" s="36">
        <f>IF(G36=0,"—",K36/G36)</f>
        <v/>
      </c>
      <c r="M36" s="34">
        <f>SUMIFS(Leads!$V$3:$V$1002,Leads!$AQ$3:$AQ$1002,$B36,Leads!$B$3:$B$1002,"&gt;="&amp;$C$5,Leads!$B$3:$B$1002,"&lt;"&amp;EDATE($C$5,1),Leads!$AZ$3:$AZ$1002,"&lt;="&amp;$C$7,Leads!$AV$3:$AV$1002,1)</f>
        <v/>
      </c>
      <c r="N36" s="34">
        <f>IF(K36=0,"—",M36/K36)</f>
        <v/>
      </c>
      <c r="O36" s="37">
        <f>IF(C36=0,"—",M36/C36)</f>
        <v/>
      </c>
      <c r="P36" s="34">
        <f>SUMIFS(Leads!$AY$3:$AY$1002,Leads!$AQ$3:$AQ$1002,$B36,Leads!$B$3:$B$1002,"&gt;="&amp;$C$5,Leads!$B$3:$B$1002,"&lt;"&amp;EDATE($C$5,1),Leads!$AZ$3:$AZ$1002,"&lt;="&amp;$C$7)</f>
        <v/>
      </c>
      <c r="Q36" s="38">
        <f>IF(C36&lt;$I$10,"Garder (données insuffisantes)",IF(IFERROR(C36/G36,1E+99)&gt;$I$9,"Réduire 30 %",IF(AND(G36&gt;0,IFERROR(C36/G36,1E+99)&lt;$I$11,IFERROR(K36/G36,0)&gt;=$I$6),"Augmenter +20 %","Garder")))</f>
        <v/>
      </c>
    </row>
    <row r="37">
      <c r="B37" s="12" t="inlineStr">
        <is>
          <t>Google Search – Marque</t>
        </is>
      </c>
      <c r="C37" s="34">
        <f>SUMIFS('Dépenses'!$H$8:$H$464,'Dépenses'!$A$8:$A$464,"&gt;="&amp;$C$5,'Dépenses'!$A$8:$A$464,"&lt;"&amp;EDATE($C$5,1))</f>
        <v/>
      </c>
      <c r="D37" s="34">
        <f>'Dépenses'!$H$3*COUNTIFS('Dépenses'!$A$8:$A$464,"&gt;="&amp;$C$5,'Dépenses'!$A$8:$A$464,"&lt;"&amp;EDATE($C$5,1),'Dépenses'!$H$8:$H$464,"&lt;&gt;")</f>
        <v/>
      </c>
      <c r="E37" s="34">
        <f>C37-D37</f>
        <v/>
      </c>
      <c r="F37" s="35">
        <f>COUNTIFS(Leads!$AQ$3:$AQ$1002,$B37,Leads!$B$3:$B$1002,"&gt;="&amp;$C$5,Leads!$B$3:$B$1002,"&lt;"&amp;EDATE($C$5,1),Leads!$AZ$3:$AZ$1002,"&lt;="&amp;$C$7)</f>
        <v/>
      </c>
      <c r="G37" s="35">
        <f>COUNTIFS(Leads!$AQ$3:$AQ$1002,$B37,Leads!$B$3:$B$1002,"&gt;="&amp;$C$5,Leads!$B$3:$B$1002,"&lt;"&amp;EDATE($C$5,1),Leads!$AZ$3:$AZ$1002,"&lt;="&amp;$C$7,Leads!$AU$3:$AU$1002,1)</f>
        <v/>
      </c>
      <c r="H37" s="36">
        <f>IF(F37=0,"—",G37/F37)</f>
        <v/>
      </c>
      <c r="I37" s="34">
        <f>IF(OR(F37=0,C37=0),"—",C37/F37)</f>
        <v/>
      </c>
      <c r="J37" s="34">
        <f>IF(OR(G37=0,C37=0),"—",C37/G37)</f>
        <v/>
      </c>
      <c r="K37" s="35">
        <f>COUNTIFS(Leads!$AQ$3:$AQ$1002,$B37,Leads!$B$3:$B$1002,"&gt;="&amp;$C$5,Leads!$B$3:$B$1002,"&lt;"&amp;EDATE($C$5,1),Leads!$AZ$3:$AZ$1002,"&lt;="&amp;$C$7,Leads!$AV$3:$AV$1002,1)</f>
        <v/>
      </c>
      <c r="L37" s="36">
        <f>IF(G37=0,"—",K37/G37)</f>
        <v/>
      </c>
      <c r="M37" s="34">
        <f>SUMIFS(Leads!$V$3:$V$1002,Leads!$AQ$3:$AQ$1002,$B37,Leads!$B$3:$B$1002,"&gt;="&amp;$C$5,Leads!$B$3:$B$1002,"&lt;"&amp;EDATE($C$5,1),Leads!$AZ$3:$AZ$1002,"&lt;="&amp;$C$7,Leads!$AV$3:$AV$1002,1)</f>
        <v/>
      </c>
      <c r="N37" s="34">
        <f>IF(K37=0,"—",M37/K37)</f>
        <v/>
      </c>
      <c r="O37" s="37">
        <f>IF(C37=0,"—",M37/C37)</f>
        <v/>
      </c>
      <c r="P37" s="34">
        <f>SUMIFS(Leads!$AY$3:$AY$1002,Leads!$AQ$3:$AQ$1002,$B37,Leads!$B$3:$B$1002,"&gt;="&amp;$C$5,Leads!$B$3:$B$1002,"&lt;"&amp;EDATE($C$5,1),Leads!$AZ$3:$AZ$1002,"&lt;="&amp;$C$7)</f>
        <v/>
      </c>
      <c r="Q37" s="38">
        <f>IF(C37&lt;$I$10,"Garder (données insuffisantes)",IF(IFERROR(C37/G37,1E+99)&gt;$I$9,"Réduire 30 %",IF(AND(G37&gt;0,IFERROR(C37/G37,1E+99)&lt;$I$11,IFERROR(K37/G37,0)&gt;=$I$6),"Augmenter +20 %","Garder")))</f>
        <v/>
      </c>
    </row>
    <row r="38">
      <c r="B38" s="39" t="inlineStr">
        <is>
          <t>Autres sources (non payées)</t>
        </is>
      </c>
      <c r="C38" s="40" t="n">
        <v>0</v>
      </c>
      <c r="D38" s="40" t="n">
        <v>0</v>
      </c>
      <c r="E38" s="40">
        <f>C38-D38</f>
        <v/>
      </c>
      <c r="F38" s="41">
        <f>COUNTIFS(Leads!$B$3:$B$1002,"&gt;="&amp;$C$5,Leads!$B$3:$B$1002,"&lt;"&amp;EDATE($C$5,1),Leads!$AZ$3:$AZ$1002,"&lt;="&amp;$C$7)-SUM(F32:F37)</f>
        <v/>
      </c>
      <c r="G38" s="41">
        <f>COUNTIFS(Leads!$B$3:$B$1002,"&gt;="&amp;$C$5,Leads!$B$3:$B$1002,"&lt;"&amp;EDATE($C$5,1),Leads!$AZ$3:$AZ$1002,"&lt;="&amp;$C$7,Leads!$AU$3:$AU$1002,1)-SUM(G32:G37)</f>
        <v/>
      </c>
      <c r="H38" s="42">
        <f>IF(F38=0,"—",G38/F38)</f>
        <v/>
      </c>
      <c r="I38" s="40">
        <f>IF(OR(F38=0,C38=0),"—",C38/F38)</f>
        <v/>
      </c>
      <c r="J38" s="40">
        <f>IF(OR(G38=0,C38=0),"—",C38/G38)</f>
        <v/>
      </c>
      <c r="K38" s="41">
        <f>COUNTIFS(Leads!$B$3:$B$1002,"&gt;="&amp;$C$5,Leads!$B$3:$B$1002,"&lt;"&amp;EDATE($C$5,1),Leads!$AZ$3:$AZ$1002,"&lt;="&amp;$C$7,Leads!$AV$3:$AV$1002,1)-SUM(K32:K37)</f>
        <v/>
      </c>
      <c r="L38" s="42">
        <f>IF(G38=0,"—",K38/G38)</f>
        <v/>
      </c>
      <c r="M38" s="40">
        <f>SUMIFS(Leads!$V$3:$V$1002,Leads!$B$3:$B$1002,"&gt;="&amp;$C$5,Leads!$B$3:$B$1002,"&lt;"&amp;EDATE($C$5,1),Leads!$AZ$3:$AZ$1002,"&lt;="&amp;$C$7,Leads!$AV$3:$AV$1002,1)-SUM(M32:M37)</f>
        <v/>
      </c>
      <c r="N38" s="40">
        <f>IF(K38=0,"—",M38/K38)</f>
        <v/>
      </c>
      <c r="O38" s="43">
        <f>IF(C38=0,"—",M38/C38)</f>
        <v/>
      </c>
      <c r="P38" s="40">
        <f>SUMIFS(Leads!$AY$3:$AY$1002,Leads!$B$3:$B$1002,"&gt;="&amp;$C$5,Leads!$B$3:$B$1002,"&lt;"&amp;EDATE($C$5,1),Leads!$AZ$3:$AZ$1002,"&lt;="&amp;$C$7)-SUM(P32:P37)</f>
        <v/>
      </c>
      <c r="Q38" s="44" t="inlineStr">
        <is>
          <t>—</t>
        </is>
      </c>
    </row>
    <row r="39">
      <c r="B39" s="45" t="inlineStr">
        <is>
          <t>Total</t>
        </is>
      </c>
      <c r="C39" s="46">
        <f>SUM(C32:C38)</f>
        <v/>
      </c>
      <c r="D39" s="46">
        <f>SUM(D32:D38)</f>
        <v/>
      </c>
      <c r="E39" s="46">
        <f>C39-D39</f>
        <v/>
      </c>
      <c r="F39" s="47">
        <f>SUM(F32:F38)</f>
        <v/>
      </c>
      <c r="G39" s="47">
        <f>SUM(G32:G38)</f>
        <v/>
      </c>
      <c r="H39" s="48">
        <f>IF(F39=0,"—",G39/F39)</f>
        <v/>
      </c>
      <c r="I39" s="46">
        <f>IF(OR(F39=0,C39=0),"—",C39/F39)</f>
        <v/>
      </c>
      <c r="J39" s="46">
        <f>IF(OR(G39=0,C39=0),"—",C39/G39)</f>
        <v/>
      </c>
      <c r="K39" s="47">
        <f>SUM(K32:K38)</f>
        <v/>
      </c>
      <c r="L39" s="48">
        <f>IF(G39=0,"—",K39/G39)</f>
        <v/>
      </c>
      <c r="M39" s="46">
        <f>SUM(M32:M38)</f>
        <v/>
      </c>
      <c r="N39" s="46">
        <f>IF(K39=0,"—",M39/K39)</f>
        <v/>
      </c>
      <c r="O39" s="49">
        <f>IF(C39=0,"—",M39/C39)</f>
        <v/>
      </c>
      <c r="P39" s="46">
        <f>SUM(P32:P38)</f>
        <v/>
      </c>
      <c r="Q39" s="50" t="inlineStr">
        <is>
          <t>—</t>
        </is>
      </c>
    </row>
    <row r="40">
      <c r="B40" s="52" t="inlineStr">
        <is>
          <t>Décision mensuelle (COMPTE-RENDU.md, jour 30) : Couper = ChatGPT avec ≥ 900 $ dépensés et moins de 2 LQ ou un coût par LQ &gt; 2 × Google Search (les 30 $ vont au Google Corporatif) · Réduire 30 % = aucun LQ ou coût par LQ &gt; 300 $ · Augmenter +20 % (max par semaine) = coût par LQ &lt; 100 $ et signature ≥ 25 % · sinon Garder. Moins de 300 $ dépensés = données insuffisantes. Le total reste à 300 $/jour : toute hausse est financée par la campagne au pire coût par LQ.</t>
        </is>
      </c>
    </row>
    <row r="41"/>
    <row r="42"/>
    <row r="44">
      <c r="B44" s="33" t="inlineStr">
        <is>
          <t>Répartition par segment (mois analysé) — cible : corporatif ≥ 50 % de la valeur</t>
        </is>
      </c>
    </row>
    <row r="45">
      <c r="B45" s="21" t="inlineStr">
        <is>
          <t>Segment</t>
        </is>
      </c>
      <c r="C45" s="21" t="inlineStr">
        <is>
          <t>Leads (tous)</t>
        </is>
      </c>
      <c r="D45" s="21" t="inlineStr">
        <is>
          <t>LQ</t>
        </is>
      </c>
      <c r="E45" s="21" t="inlineStr">
        <is>
          <t>Contrats</t>
        </is>
      </c>
      <c r="F45" s="21" t="inlineStr">
        <is>
          <t>Revenu</t>
        </is>
      </c>
      <c r="G45" s="21" t="inlineStr">
        <is>
          <t>% de la valeur</t>
        </is>
      </c>
      <c r="H45" s="21" t="inlineStr">
        <is>
          <t>ROAS (non attribué)</t>
        </is>
      </c>
    </row>
    <row r="46">
      <c r="B46" s="12" t="inlineStr">
        <is>
          <t>Corporatif</t>
        </is>
      </c>
      <c r="C46" s="12">
        <f>COUNTIFS(Leads!$AR$3:$AR$1002,$B46,Leads!$B$3:$B$1002,"&gt;="&amp;$C$5,Leads!$B$3:$B$1002,"&lt;"&amp;EDATE($C$5,1),Leads!$AZ$3:$AZ$1002,"&lt;="&amp;$C$7)</f>
        <v/>
      </c>
      <c r="D46" s="12">
        <f>COUNTIFS(Leads!$AR$3:$AR$1002,$B46,Leads!$B$3:$B$1002,"&gt;="&amp;$C$5,Leads!$B$3:$B$1002,"&lt;"&amp;EDATE($C$5,1),Leads!$AZ$3:$AZ$1002,"&lt;="&amp;$C$7,Leads!$AU$3:$AU$1002,1)</f>
        <v/>
      </c>
      <c r="E46" s="12">
        <f>COUNTIFS(Leads!$AR$3:$AR$1002,$B46,Leads!$B$3:$B$1002,"&gt;="&amp;$C$5,Leads!$B$3:$B$1002,"&lt;"&amp;EDATE($C$5,1),Leads!$AZ$3:$AZ$1002,"&lt;="&amp;$C$7,Leads!$AV$3:$AV$1002,1)</f>
        <v/>
      </c>
      <c r="F46" s="15">
        <f>SUMIFS(Leads!$V$3:$V$1002,Leads!$AR$3:$AR$1002,$B46,Leads!$B$3:$B$1002,"&gt;="&amp;$C$5,Leads!$B$3:$B$1002,"&lt;"&amp;EDATE($C$5,1),Leads!$AZ$3:$AZ$1002,"&lt;="&amp;$C$7,Leads!$AV$3:$AV$1002,1)</f>
        <v/>
      </c>
      <c r="G46" s="53">
        <f>IF($F$50=0,"—",F46/$F$50)</f>
        <v/>
      </c>
      <c r="H46" s="12" t="inlineStr">
        <is>
          <t>—</t>
        </is>
      </c>
    </row>
    <row r="47">
      <c r="B47" s="12" t="inlineStr">
        <is>
          <t>Municipal / scolaire</t>
        </is>
      </c>
      <c r="C47" s="12">
        <f>COUNTIFS(Leads!$AR$3:$AR$1002,$B47,Leads!$B$3:$B$1002,"&gt;="&amp;$C$5,Leads!$B$3:$B$1002,"&lt;"&amp;EDATE($C$5,1),Leads!$AZ$3:$AZ$1002,"&lt;="&amp;$C$7)</f>
        <v/>
      </c>
      <c r="D47" s="12">
        <f>COUNTIFS(Leads!$AR$3:$AR$1002,$B47,Leads!$B$3:$B$1002,"&gt;="&amp;$C$5,Leads!$B$3:$B$1002,"&lt;"&amp;EDATE($C$5,1),Leads!$AZ$3:$AZ$1002,"&lt;="&amp;$C$7,Leads!$AU$3:$AU$1002,1)</f>
        <v/>
      </c>
      <c r="E47" s="12">
        <f>COUNTIFS(Leads!$AR$3:$AR$1002,$B47,Leads!$B$3:$B$1002,"&gt;="&amp;$C$5,Leads!$B$3:$B$1002,"&lt;"&amp;EDATE($C$5,1),Leads!$AZ$3:$AZ$1002,"&lt;="&amp;$C$7,Leads!$AV$3:$AV$1002,1)</f>
        <v/>
      </c>
      <c r="F47" s="15">
        <f>SUMIFS(Leads!$V$3:$V$1002,Leads!$AR$3:$AR$1002,$B47,Leads!$B$3:$B$1002,"&gt;="&amp;$C$5,Leads!$B$3:$B$1002,"&lt;"&amp;EDATE($C$5,1),Leads!$AZ$3:$AZ$1002,"&lt;="&amp;$C$7,Leads!$AV$3:$AV$1002,1)</f>
        <v/>
      </c>
      <c r="G47" s="53">
        <f>IF($F$50=0,"—",F47/$F$50)</f>
        <v/>
      </c>
      <c r="H47" s="12" t="inlineStr">
        <is>
          <t>—</t>
        </is>
      </c>
    </row>
    <row r="48">
      <c r="B48" s="12" t="inlineStr">
        <is>
          <t>Mariage</t>
        </is>
      </c>
      <c r="C48" s="12">
        <f>COUNTIFS(Leads!$AR$3:$AR$1002,$B48,Leads!$B$3:$B$1002,"&gt;="&amp;$C$5,Leads!$B$3:$B$1002,"&lt;"&amp;EDATE($C$5,1),Leads!$AZ$3:$AZ$1002,"&lt;="&amp;$C$7)</f>
        <v/>
      </c>
      <c r="D48" s="12">
        <f>COUNTIFS(Leads!$AR$3:$AR$1002,$B48,Leads!$B$3:$B$1002,"&gt;="&amp;$C$5,Leads!$B$3:$B$1002,"&lt;"&amp;EDATE($C$5,1),Leads!$AZ$3:$AZ$1002,"&lt;="&amp;$C$7,Leads!$AU$3:$AU$1002,1)</f>
        <v/>
      </c>
      <c r="E48" s="12">
        <f>COUNTIFS(Leads!$AR$3:$AR$1002,$B48,Leads!$B$3:$B$1002,"&gt;="&amp;$C$5,Leads!$B$3:$B$1002,"&lt;"&amp;EDATE($C$5,1),Leads!$AZ$3:$AZ$1002,"&lt;="&amp;$C$7,Leads!$AV$3:$AV$1002,1)</f>
        <v/>
      </c>
      <c r="F48" s="15">
        <f>SUMIFS(Leads!$V$3:$V$1002,Leads!$AR$3:$AR$1002,$B48,Leads!$B$3:$B$1002,"&gt;="&amp;$C$5,Leads!$B$3:$B$1002,"&lt;"&amp;EDATE($C$5,1),Leads!$AZ$3:$AZ$1002,"&lt;="&amp;$C$7,Leads!$AV$3:$AV$1002,1)</f>
        <v/>
      </c>
      <c r="G48" s="53">
        <f>IF($F$50=0,"—",F48/$F$50)</f>
        <v/>
      </c>
      <c r="H48" s="12" t="inlineStr">
        <is>
          <t>—</t>
        </is>
      </c>
    </row>
    <row r="49">
      <c r="B49" s="12" t="inlineStr">
        <is>
          <t>Privé</t>
        </is>
      </c>
      <c r="C49" s="12">
        <f>COUNTIFS(Leads!$AR$3:$AR$1002,$B49,Leads!$B$3:$B$1002,"&gt;="&amp;$C$5,Leads!$B$3:$B$1002,"&lt;"&amp;EDATE($C$5,1),Leads!$AZ$3:$AZ$1002,"&lt;="&amp;$C$7)</f>
        <v/>
      </c>
      <c r="D49" s="12">
        <f>COUNTIFS(Leads!$AR$3:$AR$1002,$B49,Leads!$B$3:$B$1002,"&gt;="&amp;$C$5,Leads!$B$3:$B$1002,"&lt;"&amp;EDATE($C$5,1),Leads!$AZ$3:$AZ$1002,"&lt;="&amp;$C$7,Leads!$AU$3:$AU$1002,1)</f>
        <v/>
      </c>
      <c r="E49" s="12">
        <f>COUNTIFS(Leads!$AR$3:$AR$1002,$B49,Leads!$B$3:$B$1002,"&gt;="&amp;$C$5,Leads!$B$3:$B$1002,"&lt;"&amp;EDATE($C$5,1),Leads!$AZ$3:$AZ$1002,"&lt;="&amp;$C$7,Leads!$AV$3:$AV$1002,1)</f>
        <v/>
      </c>
      <c r="F49" s="15">
        <f>SUMIFS(Leads!$V$3:$V$1002,Leads!$AR$3:$AR$1002,$B49,Leads!$B$3:$B$1002,"&gt;="&amp;$C$5,Leads!$B$3:$B$1002,"&lt;"&amp;EDATE($C$5,1),Leads!$AZ$3:$AZ$1002,"&lt;="&amp;$C$7,Leads!$AV$3:$AV$1002,1)</f>
        <v/>
      </c>
      <c r="G49" s="53">
        <f>IF($F$50=0,"—",F49/$F$50)</f>
        <v/>
      </c>
      <c r="H49" s="12" t="inlineStr">
        <is>
          <t>—</t>
        </is>
      </c>
    </row>
    <row r="50">
      <c r="B50" s="45" t="inlineStr">
        <is>
          <t>Total</t>
        </is>
      </c>
      <c r="C50" s="45">
        <f>SUM(C46:C49)</f>
        <v/>
      </c>
      <c r="D50" s="45">
        <f>SUM(D46:D49)</f>
        <v/>
      </c>
      <c r="E50" s="45">
        <f>SUM(E46:E49)</f>
        <v/>
      </c>
      <c r="F50" s="54">
        <f>SUM(F46:F49)</f>
        <v/>
      </c>
      <c r="G50" s="55">
        <f>IF($F$50=0,"—",F50/$F$50)</f>
        <v/>
      </c>
      <c r="H50" s="56">
        <f>IF(C39=0,"—",F50/C39)</f>
        <v/>
      </c>
    </row>
    <row r="53">
      <c r="B53" s="33" t="inlineStr">
        <is>
          <t>Procédure de réponse (semaine analysée, LQ = routes A et B) — suivi-leads.md §10</t>
        </is>
      </c>
    </row>
    <row r="54">
      <c r="B54" s="21" t="inlineStr">
        <is>
          <t>Indicateur</t>
        </is>
      </c>
      <c r="C54" s="21" t="inlineStr">
        <is>
          <t>Valeur</t>
        </is>
      </c>
      <c r="D54" s="21" t="inlineStr">
        <is>
          <t>Cible</t>
        </is>
      </c>
    </row>
    <row r="55">
      <c r="B55" s="12" t="inlineStr">
        <is>
          <t>Délai médian de 1er contact (min)</t>
        </is>
      </c>
      <c r="C55" s="57">
        <f t="array" ref="C55">IFERROR(MEDIAN(IF((Leads!$B$3:$B$1002&gt;=$C$4)*(Leads!$B$3:$B$1002&lt;($C$4+7))*(Leads!$AU$3:$AU$1002=1)*ISNUMBER(Leads!$D$3:$D$1002)*(Leads!$AZ$3:$AZ$1002&lt;=$C$7),Leads!$D$3:$D$1002)),"—")</f>
        <v/>
      </c>
      <c r="D55" s="12" t="inlineStr">
        <is>
          <t>5 minutes au maximum (heures d'ouverture)</t>
        </is>
      </c>
    </row>
    <row r="56">
      <c r="B56" s="12" t="inlineStr">
        <is>
          <t>% des LQ contactés en 5 min ou moins</t>
        </is>
      </c>
      <c r="C56" s="53">
        <f>IF(G26=0,"—",COUNTIFS(Leads!$B$3:$B$1002,"&gt;="&amp;$C$4,Leads!$B$3:$B$1002,"&lt;"&amp;($C$4+7),Leads!$AZ$3:$AZ$1002,"&lt;="&amp;$C$7,Leads!$AU$3:$AU$1002,1,Leads!$D$3:$D$1002,"&lt;=5")/G26)</f>
        <v/>
      </c>
      <c r="D56" s="12" t="inlineStr">
        <is>
          <t>Le plus près de 100 %</t>
        </is>
      </c>
    </row>
    <row r="57">
      <c r="B57" s="12" t="inlineStr">
        <is>
          <t>% des LQ contactés en plus de 15 min (ou pas encore)</t>
        </is>
      </c>
      <c r="C57" s="53">
        <f>IF(G26=0,"—",1-COUNTIFS(Leads!$B$3:$B$1002,"&gt;="&amp;$C$4,Leads!$B$3:$B$1002,"&lt;"&amp;($C$4+7),Leads!$AZ$3:$AZ$1002,"&lt;="&amp;$C$7,Leads!$AU$3:$AU$1002,1,Leads!$D$3:$D$1002,"&lt;=15")/G26)</f>
        <v/>
      </c>
      <c r="D57" s="12" t="inlineStr">
        <is>
          <t>0 % (au-dessus de 15 min : corriger la procédure avant d'augmenter le budget)</t>
        </is>
      </c>
    </row>
  </sheetData>
  <mergeCells count="12">
    <mergeCell ref="F10:H10"/>
    <mergeCell ref="F6:H6"/>
    <mergeCell ref="F5:H5"/>
    <mergeCell ref="F14:H14"/>
    <mergeCell ref="F13:H13"/>
    <mergeCell ref="B40:Q42"/>
    <mergeCell ref="F8:H8"/>
    <mergeCell ref="F4:H4"/>
    <mergeCell ref="F9:H9"/>
    <mergeCell ref="F7:H7"/>
    <mergeCell ref="F12:H12"/>
    <mergeCell ref="F11:H11"/>
  </mergeCells>
  <conditionalFormatting sqref="J19:J26">
    <cfRule type="expression" priority="1" dxfId="2">
      <formula>AND(ISNUMBER(J19),J19&lt;=$I$4)</formula>
    </cfRule>
    <cfRule type="expression" priority="2" dxfId="4">
      <formula>AND(ISNUMBER(J19),J19&gt;$I$4)</formula>
    </cfRule>
  </conditionalFormatting>
  <conditionalFormatting sqref="H19:H26">
    <cfRule type="expression" priority="3" dxfId="2">
      <formula>AND(ISNUMBER(H19),H19&gt;=$I$5)</formula>
    </cfRule>
    <cfRule type="expression" priority="4" dxfId="4">
      <formula>AND(ISNUMBER(H19),H19&lt;$I$5)</formula>
    </cfRule>
  </conditionalFormatting>
  <conditionalFormatting sqref="L19:L26">
    <cfRule type="expression" priority="5" dxfId="2">
      <formula>AND(ISNUMBER(L19),L19&gt;=$I$6)</formula>
    </cfRule>
    <cfRule type="expression" priority="6" dxfId="4">
      <formula>AND(ISNUMBER(L19),L19&lt;$I$6)</formula>
    </cfRule>
  </conditionalFormatting>
  <conditionalFormatting sqref="N19:N26">
    <cfRule type="expression" priority="7" dxfId="2">
      <formula>AND(ISNUMBER(N19),N19&gt;=$I$7)</formula>
    </cfRule>
    <cfRule type="expression" priority="8" dxfId="4">
      <formula>AND(ISNUMBER(N19),N19&lt;$I$7)</formula>
    </cfRule>
  </conditionalFormatting>
  <conditionalFormatting sqref="O19:O26">
    <cfRule type="expression" priority="9" dxfId="2">
      <formula>AND(ISNUMBER(O19),O19&gt;=$I$8)</formula>
    </cfRule>
    <cfRule type="expression" priority="10" dxfId="4">
      <formula>AND(ISNUMBER(O19),O19&lt;$I$8)</formula>
    </cfRule>
  </conditionalFormatting>
  <conditionalFormatting sqref="Q19:Q26">
    <cfRule type="expression" priority="11" dxfId="5">
      <formula>LEFT(Q19,6)="Couper"</formula>
    </cfRule>
    <cfRule type="expression" priority="12" dxfId="4">
      <formula>LEFT(Q19,7)="Réduire"</formula>
    </cfRule>
    <cfRule type="expression" priority="13" dxfId="2">
      <formula>LEFT(Q19,9)="Augmenter"</formula>
    </cfRule>
    <cfRule type="expression" priority="14" dxfId="6">
      <formula>LEFT(Q19,6)="Garder"</formula>
    </cfRule>
  </conditionalFormatting>
  <conditionalFormatting sqref="J32:J39">
    <cfRule type="expression" priority="15" dxfId="2">
      <formula>AND(ISNUMBER(J32),J32&lt;=$I$4)</formula>
    </cfRule>
    <cfRule type="expression" priority="16" dxfId="4">
      <formula>AND(ISNUMBER(J32),J32&gt;$I$4)</formula>
    </cfRule>
  </conditionalFormatting>
  <conditionalFormatting sqref="H32:H39">
    <cfRule type="expression" priority="17" dxfId="2">
      <formula>AND(ISNUMBER(H32),H32&gt;=$I$5)</formula>
    </cfRule>
    <cfRule type="expression" priority="18" dxfId="4">
      <formula>AND(ISNUMBER(H32),H32&lt;$I$5)</formula>
    </cfRule>
  </conditionalFormatting>
  <conditionalFormatting sqref="L32:L39">
    <cfRule type="expression" priority="19" dxfId="2">
      <formula>AND(ISNUMBER(L32),L32&gt;=$I$6)</formula>
    </cfRule>
    <cfRule type="expression" priority="20" dxfId="4">
      <formula>AND(ISNUMBER(L32),L32&lt;$I$6)</formula>
    </cfRule>
  </conditionalFormatting>
  <conditionalFormatting sqref="N32:N39">
    <cfRule type="expression" priority="21" dxfId="2">
      <formula>AND(ISNUMBER(N32),N32&gt;=$I$7)</formula>
    </cfRule>
    <cfRule type="expression" priority="22" dxfId="4">
      <formula>AND(ISNUMBER(N32),N32&lt;$I$7)</formula>
    </cfRule>
  </conditionalFormatting>
  <conditionalFormatting sqref="O32:O39">
    <cfRule type="expression" priority="23" dxfId="2">
      <formula>AND(ISNUMBER(O32),O32&gt;=$I$8)</formula>
    </cfRule>
    <cfRule type="expression" priority="24" dxfId="4">
      <formula>AND(ISNUMBER(O32),O32&lt;$I$8)</formula>
    </cfRule>
  </conditionalFormatting>
  <conditionalFormatting sqref="Q32:Q39">
    <cfRule type="expression" priority="25" dxfId="5">
      <formula>LEFT(Q32,6)="Couper"</formula>
    </cfRule>
    <cfRule type="expression" priority="26" dxfId="4">
      <formula>LEFT(Q32,7)="Réduire"</formula>
    </cfRule>
    <cfRule type="expression" priority="27" dxfId="2">
      <formula>LEFT(Q32,9)="Augmenter"</formula>
    </cfRule>
    <cfRule type="expression" priority="28" dxfId="6">
      <formula>LEFT(Q32,6)="Garder"</formula>
    </cfRule>
  </conditionalFormatting>
  <conditionalFormatting sqref="G46">
    <cfRule type="expression" priority="29" dxfId="2">
      <formula>AND(ISNUMBER(G46),G46&gt;=0.5)</formula>
    </cfRule>
    <cfRule type="expression" priority="30" dxfId="4">
      <formula>AND(ISNUMBER(G46),G46&lt;0.5)</formula>
    </cfRule>
  </conditionalFormatting>
  <conditionalFormatting sqref="C55">
    <cfRule type="expression" priority="31" dxfId="4">
      <formula>AND(ISNUMBER(C55),C55&gt;$I$14)</formula>
    </cfRule>
    <cfRule type="expression" priority="32" dxfId="2">
      <formula>AND(ISNUMBER(C55),C55&lt;=$I$14)</formula>
    </cfRule>
  </conditionalFormatting>
  <dataValidations count="1">
    <dataValidation sqref="C6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6" customWidth="1" min="4" max="4"/>
    <col width="18" customWidth="1" min="5" max="5"/>
    <col width="3" customWidth="1" min="6" max="6"/>
    <col width="14" customWidth="1" min="7" max="7"/>
    <col width="26" customWidth="1" min="8" max="8"/>
    <col width="12" customWidth="1" min="9" max="9"/>
    <col width="17" customWidth="1" min="10" max="10"/>
    <col width="70" customWidth="1" min="12" max="12"/>
  </cols>
  <sheetData>
    <row r="1">
      <c r="A1" s="21" t="inlineStr">
        <is>
          <t>Google Click ID</t>
        </is>
      </c>
      <c r="B1" s="21" t="inlineStr">
        <is>
          <t>Conversion Name</t>
        </is>
      </c>
      <c r="C1" s="21" t="inlineStr">
        <is>
          <t>Conversion Time</t>
        </is>
      </c>
      <c r="D1" s="21" t="inlineStr">
        <is>
          <t>Conversion Value</t>
        </is>
      </c>
      <c r="E1" s="21" t="inlineStr">
        <is>
          <t>Conversion Currency</t>
        </is>
      </c>
      <c r="G1" s="58" t="inlineStr">
        <is>
          <t>lead_id</t>
        </is>
      </c>
      <c r="H1" s="58" t="inlineStr">
        <is>
          <t>Campagne</t>
        </is>
      </c>
      <c r="I1" s="58" t="inlineStr">
        <is>
          <t>consent_mesure</t>
        </is>
      </c>
      <c r="J1" s="58" t="inlineStr">
        <is>
          <t>date_depot (brute)</t>
        </is>
      </c>
      <c r="L1" s="59" t="inlineStr">
        <is>
          <t>Comment utiliser cette feuille</t>
        </is>
      </c>
    </row>
    <row r="2">
      <c r="A2" s="12">
        <f>IF(G2="","",INDEX(Leads!$AC$3:$AC$1002,MATCH(1,Leads!$BA$3:$BA$1002,0)))</f>
        <v/>
      </c>
      <c r="B2" s="12">
        <f>IF(G2="","","depot_paye")</f>
        <v/>
      </c>
      <c r="C2" s="12">
        <f>IF(G2="","",YEAR(J2)&amp;"-"&amp;RIGHT("0"&amp;MONTH(J2),2)&amp;"-"&amp;RIGHT("0"&amp;DAY(J2),2)&amp;" "&amp;RIGHT("0"&amp;HOUR(J2),2)&amp;":"&amp;RIGHT("0"&amp;MINUTE(J2),2)&amp;":"&amp;RIGHT("0"&amp;SECOND(J2),2)&amp;IF(AND(J2&gt;=DATE(YEAR(J2),3,8)+MOD(8-WEEKDAY(DATE(YEAR(J2),3,8)),7)+2/24,J2&lt;DATE(YEAR(J2),11,1)+MOD(8-WEEKDAY(DATE(YEAR(J2),11,1)),7)+2/24),"-04:00","-05:00"))</f>
        <v/>
      </c>
      <c r="D2" s="60">
        <f>IF(G2="","",INDEX(Leads!$V$3:$V$1002,MATCH(1,Leads!$BA$3:$BA$1002,0)))</f>
        <v/>
      </c>
      <c r="E2" s="12">
        <f>IF(G2="","","CAD")</f>
        <v/>
      </c>
      <c r="G2" s="7">
        <f>IFERROR(INDEX(Leads!$A$3:$A$1002,MATCH(1,Leads!$BA$3:$BA$1002,0)),"")</f>
        <v/>
      </c>
      <c r="H2" s="7">
        <f>IF(G2="","",INDEX(Leads!$AQ$3:$AQ$1002,MATCH(1,Leads!$BA$3:$BA$1002,0)))</f>
        <v/>
      </c>
      <c r="I2" s="7">
        <f>IF(G2="","",INDEX(Leads!$AI$3:$AI$1002,MATCH(1,Leads!$BA$3:$BA$1002,0))&amp;"")</f>
        <v/>
      </c>
      <c r="J2" s="61">
        <f>IF(G2="","",INDEX(Leads!$W$3:$W$1002,MATCH(1,Leads!$BA$3:$BA$1002,0)))</f>
        <v/>
      </c>
    </row>
    <row r="3">
      <c r="A3" s="12">
        <f>IF(G3="","",INDEX(Leads!$AC$3:$AC$1002,MATCH(2,Leads!$BA$3:$BA$1002,0)))</f>
        <v/>
      </c>
      <c r="B3" s="12">
        <f>IF(G3="","","depot_paye")</f>
        <v/>
      </c>
      <c r="C3" s="12">
        <f>IF(G3="","",YEAR(J3)&amp;"-"&amp;RIGHT("0"&amp;MONTH(J3),2)&amp;"-"&amp;RIGHT("0"&amp;DAY(J3),2)&amp;" "&amp;RIGHT("0"&amp;HOUR(J3),2)&amp;":"&amp;RIGHT("0"&amp;MINUTE(J3),2)&amp;":"&amp;RIGHT("0"&amp;SECOND(J3),2)&amp;IF(AND(J3&gt;=DATE(YEAR(J3),3,8)+MOD(8-WEEKDAY(DATE(YEAR(J3),3,8)),7)+2/24,J3&lt;DATE(YEAR(J3),11,1)+MOD(8-WEEKDAY(DATE(YEAR(J3),11,1)),7)+2/24),"-04:00","-05:00"))</f>
        <v/>
      </c>
      <c r="D3" s="60">
        <f>IF(G3="","",INDEX(Leads!$V$3:$V$1002,MATCH(2,Leads!$BA$3:$BA$1002,0)))</f>
        <v/>
      </c>
      <c r="E3" s="12">
        <f>IF(G3="","","CAD")</f>
        <v/>
      </c>
      <c r="G3" s="7">
        <f>IFERROR(INDEX(Leads!$A$3:$A$1002,MATCH(2,Leads!$BA$3:$BA$1002,0)),"")</f>
        <v/>
      </c>
      <c r="H3" s="7">
        <f>IF(G3="","",INDEX(Leads!$AQ$3:$AQ$1002,MATCH(2,Leads!$BA$3:$BA$1002,0)))</f>
        <v/>
      </c>
      <c r="I3" s="7">
        <f>IF(G3="","",INDEX(Leads!$AI$3:$AI$1002,MATCH(2,Leads!$BA$3:$BA$1002,0))&amp;"")</f>
        <v/>
      </c>
      <c r="J3" s="61">
        <f>IF(G3="","",INDEX(Leads!$W$3:$W$1002,MATCH(2,Leads!$BA$3:$BA$1002,0)))</f>
        <v/>
      </c>
      <c r="L3" s="62" t="inlineStr">
        <is>
          <t>1. Ne rien saisir ici : les lignes se remplissent seules à partir de la feuille Leads.</t>
        </is>
      </c>
    </row>
    <row r="4">
      <c r="A4" s="12">
        <f>IF(G4="","",INDEX(Leads!$AC$3:$AC$1002,MATCH(3,Leads!$BA$3:$BA$1002,0)))</f>
        <v/>
      </c>
      <c r="B4" s="12">
        <f>IF(G4="","","depot_paye")</f>
        <v/>
      </c>
      <c r="C4" s="12">
        <f>IF(G4="","",YEAR(J4)&amp;"-"&amp;RIGHT("0"&amp;MONTH(J4),2)&amp;"-"&amp;RIGHT("0"&amp;DAY(J4),2)&amp;" "&amp;RIGHT("0"&amp;HOUR(J4),2)&amp;":"&amp;RIGHT("0"&amp;MINUTE(J4),2)&amp;":"&amp;RIGHT("0"&amp;SECOND(J4),2)&amp;IF(AND(J4&gt;=DATE(YEAR(J4),3,8)+MOD(8-WEEKDAY(DATE(YEAR(J4),3,8)),7)+2/24,J4&lt;DATE(YEAR(J4),11,1)+MOD(8-WEEKDAY(DATE(YEAR(J4),11,1)),7)+2/24),"-04:00","-05:00"))</f>
        <v/>
      </c>
      <c r="D4" s="60">
        <f>IF(G4="","",INDEX(Leads!$V$3:$V$1002,MATCH(3,Leads!$BA$3:$BA$1002,0)))</f>
        <v/>
      </c>
      <c r="E4" s="12">
        <f>IF(G4="","","CAD")</f>
        <v/>
      </c>
      <c r="G4" s="7">
        <f>IFERROR(INDEX(Leads!$A$3:$A$1002,MATCH(3,Leads!$BA$3:$BA$1002,0)),"")</f>
        <v/>
      </c>
      <c r="H4" s="7">
        <f>IF(G4="","",INDEX(Leads!$AQ$3:$AQ$1002,MATCH(3,Leads!$BA$3:$BA$1002,0)))</f>
        <v/>
      </c>
      <c r="I4" s="7">
        <f>IF(G4="","",INDEX(Leads!$AI$3:$AI$1002,MATCH(3,Leads!$BA$3:$BA$1002,0))&amp;"")</f>
        <v/>
      </c>
      <c r="J4" s="61">
        <f>IF(G4="","",INDEX(Leads!$W$3:$W$1002,MATCH(3,Leads!$BA$3:$BA$1002,0)))</f>
        <v/>
      </c>
    </row>
    <row r="5">
      <c r="A5" s="12">
        <f>IF(G5="","",INDEX(Leads!$AC$3:$AC$1002,MATCH(4,Leads!$BA$3:$BA$1002,0)))</f>
        <v/>
      </c>
      <c r="B5" s="12">
        <f>IF(G5="","","depot_paye")</f>
        <v/>
      </c>
      <c r="C5" s="12">
        <f>IF(G5="","",YEAR(J5)&amp;"-"&amp;RIGHT("0"&amp;MONTH(J5),2)&amp;"-"&amp;RIGHT("0"&amp;DAY(J5),2)&amp;" "&amp;RIGHT("0"&amp;HOUR(J5),2)&amp;":"&amp;RIGHT("0"&amp;MINUTE(J5),2)&amp;":"&amp;RIGHT("0"&amp;SECOND(J5),2)&amp;IF(AND(J5&gt;=DATE(YEAR(J5),3,8)+MOD(8-WEEKDAY(DATE(YEAR(J5),3,8)),7)+2/24,J5&lt;DATE(YEAR(J5),11,1)+MOD(8-WEEKDAY(DATE(YEAR(J5),11,1)),7)+2/24),"-04:00","-05:00"))</f>
        <v/>
      </c>
      <c r="D5" s="60">
        <f>IF(G5="","",INDEX(Leads!$V$3:$V$1002,MATCH(4,Leads!$BA$3:$BA$1002,0)))</f>
        <v/>
      </c>
      <c r="E5" s="12">
        <f>IF(G5="","","CAD")</f>
        <v/>
      </c>
      <c r="G5" s="7">
        <f>IFERROR(INDEX(Leads!$A$3:$A$1002,MATCH(4,Leads!$BA$3:$BA$1002,0)),"")</f>
        <v/>
      </c>
      <c r="H5" s="7">
        <f>IF(G5="","",INDEX(Leads!$AQ$3:$AQ$1002,MATCH(4,Leads!$BA$3:$BA$1002,0)))</f>
        <v/>
      </c>
      <c r="I5" s="7">
        <f>IF(G5="","",INDEX(Leads!$AI$3:$AI$1002,MATCH(4,Leads!$BA$3:$BA$1002,0))&amp;"")</f>
        <v/>
      </c>
      <c r="J5" s="61">
        <f>IF(G5="","",INDEX(Leads!$W$3:$W$1002,MATCH(4,Leads!$BA$3:$BA$1002,0)))</f>
        <v/>
      </c>
      <c r="L5" s="62" t="inlineStr">
        <is>
          <t>2. Une ligne apparaît quand un lead (non EXEMPLE) est à l'étape « Dépôt payé (gagné) » ou plus, avec un gclid, une date de dépôt et un montant gagné.</t>
        </is>
      </c>
    </row>
    <row r="6">
      <c r="A6" s="12">
        <f>IF(G6="","",INDEX(Leads!$AC$3:$AC$1002,MATCH(5,Leads!$BA$3:$BA$1002,0)))</f>
        <v/>
      </c>
      <c r="B6" s="12">
        <f>IF(G6="","","depot_paye")</f>
        <v/>
      </c>
      <c r="C6" s="12">
        <f>IF(G6="","",YEAR(J6)&amp;"-"&amp;RIGHT("0"&amp;MONTH(J6),2)&amp;"-"&amp;RIGHT("0"&amp;DAY(J6),2)&amp;" "&amp;RIGHT("0"&amp;HOUR(J6),2)&amp;":"&amp;RIGHT("0"&amp;MINUTE(J6),2)&amp;":"&amp;RIGHT("0"&amp;SECOND(J6),2)&amp;IF(AND(J6&gt;=DATE(YEAR(J6),3,8)+MOD(8-WEEKDAY(DATE(YEAR(J6),3,8)),7)+2/24,J6&lt;DATE(YEAR(J6),11,1)+MOD(8-WEEKDAY(DATE(YEAR(J6),11,1)),7)+2/24),"-04:00","-05:00"))</f>
        <v/>
      </c>
      <c r="D6" s="60">
        <f>IF(G6="","",INDEX(Leads!$V$3:$V$1002,MATCH(5,Leads!$BA$3:$BA$1002,0)))</f>
        <v/>
      </c>
      <c r="E6" s="12">
        <f>IF(G6="","","CAD")</f>
        <v/>
      </c>
      <c r="G6" s="7">
        <f>IFERROR(INDEX(Leads!$A$3:$A$1002,MATCH(5,Leads!$BA$3:$BA$1002,0)),"")</f>
        <v/>
      </c>
      <c r="H6" s="7">
        <f>IF(G6="","",INDEX(Leads!$AQ$3:$AQ$1002,MATCH(5,Leads!$BA$3:$BA$1002,0)))</f>
        <v/>
      </c>
      <c r="I6" s="7">
        <f>IF(G6="","",INDEX(Leads!$AI$3:$AI$1002,MATCH(5,Leads!$BA$3:$BA$1002,0))&amp;"")</f>
        <v/>
      </c>
      <c r="J6" s="61">
        <f>IF(G6="","",INDEX(Leads!$W$3:$W$1002,MATCH(5,Leads!$BA$3:$BA$1002,0)))</f>
        <v/>
      </c>
    </row>
    <row r="7">
      <c r="A7" s="12">
        <f>IF(G7="","",INDEX(Leads!$AC$3:$AC$1002,MATCH(6,Leads!$BA$3:$BA$1002,0)))</f>
        <v/>
      </c>
      <c r="B7" s="12">
        <f>IF(G7="","","depot_paye")</f>
        <v/>
      </c>
      <c r="C7" s="12">
        <f>IF(G7="","",YEAR(J7)&amp;"-"&amp;RIGHT("0"&amp;MONTH(J7),2)&amp;"-"&amp;RIGHT("0"&amp;DAY(J7),2)&amp;" "&amp;RIGHT("0"&amp;HOUR(J7),2)&amp;":"&amp;RIGHT("0"&amp;MINUTE(J7),2)&amp;":"&amp;RIGHT("0"&amp;SECOND(J7),2)&amp;IF(AND(J7&gt;=DATE(YEAR(J7),3,8)+MOD(8-WEEKDAY(DATE(YEAR(J7),3,8)),7)+2/24,J7&lt;DATE(YEAR(J7),11,1)+MOD(8-WEEKDAY(DATE(YEAR(J7),11,1)),7)+2/24),"-04:00","-05:00"))</f>
        <v/>
      </c>
      <c r="D7" s="60">
        <f>IF(G7="","",INDEX(Leads!$V$3:$V$1002,MATCH(6,Leads!$BA$3:$BA$1002,0)))</f>
        <v/>
      </c>
      <c r="E7" s="12">
        <f>IF(G7="","","CAD")</f>
        <v/>
      </c>
      <c r="G7" s="7">
        <f>IFERROR(INDEX(Leads!$A$3:$A$1002,MATCH(6,Leads!$BA$3:$BA$1002,0)),"")</f>
        <v/>
      </c>
      <c r="H7" s="7">
        <f>IF(G7="","",INDEX(Leads!$AQ$3:$AQ$1002,MATCH(6,Leads!$BA$3:$BA$1002,0)))</f>
        <v/>
      </c>
      <c r="I7" s="7">
        <f>IF(G7="","",INDEX(Leads!$AI$3:$AI$1002,MATCH(6,Leads!$BA$3:$BA$1002,0))&amp;"")</f>
        <v/>
      </c>
      <c r="J7" s="61">
        <f>IF(G7="","",INDEX(Leads!$W$3:$W$1002,MATCH(6,Leads!$BA$3:$BA$1002,0)))</f>
        <v/>
      </c>
      <c r="L7" s="62" t="inlineStr">
        <is>
          <t>3. Colonnes A à E = format d'import hors ligne de Google Ads (Google Click ID, Conversion Name, Conversion Time, Conversion Value, Conversion Currency). Heure de l'Est, décalage -05:00 / -04:00 (heure avancée) calculé.</t>
        </is>
      </c>
    </row>
    <row r="8">
      <c r="A8" s="12">
        <f>IF(G8="","",INDEX(Leads!$AC$3:$AC$1002,MATCH(7,Leads!$BA$3:$BA$1002,0)))</f>
        <v/>
      </c>
      <c r="B8" s="12">
        <f>IF(G8="","","depot_paye")</f>
        <v/>
      </c>
      <c r="C8" s="12">
        <f>IF(G8="","",YEAR(J8)&amp;"-"&amp;RIGHT("0"&amp;MONTH(J8),2)&amp;"-"&amp;RIGHT("0"&amp;DAY(J8),2)&amp;" "&amp;RIGHT("0"&amp;HOUR(J8),2)&amp;":"&amp;RIGHT("0"&amp;MINUTE(J8),2)&amp;":"&amp;RIGHT("0"&amp;SECOND(J8),2)&amp;IF(AND(J8&gt;=DATE(YEAR(J8),3,8)+MOD(8-WEEKDAY(DATE(YEAR(J8),3,8)),7)+2/24,J8&lt;DATE(YEAR(J8),11,1)+MOD(8-WEEKDAY(DATE(YEAR(J8),11,1)),7)+2/24),"-04:00","-05:00"))</f>
        <v/>
      </c>
      <c r="D8" s="60">
        <f>IF(G8="","",INDEX(Leads!$V$3:$V$1002,MATCH(7,Leads!$BA$3:$BA$1002,0)))</f>
        <v/>
      </c>
      <c r="E8" s="12">
        <f>IF(G8="","","CAD")</f>
        <v/>
      </c>
      <c r="G8" s="7">
        <f>IFERROR(INDEX(Leads!$A$3:$A$1002,MATCH(7,Leads!$BA$3:$BA$1002,0)),"")</f>
        <v/>
      </c>
      <c r="H8" s="7">
        <f>IF(G8="","",INDEX(Leads!$AQ$3:$AQ$1002,MATCH(7,Leads!$BA$3:$BA$1002,0)))</f>
        <v/>
      </c>
      <c r="I8" s="7">
        <f>IF(G8="","",INDEX(Leads!$AI$3:$AI$1002,MATCH(7,Leads!$BA$3:$BA$1002,0))&amp;"")</f>
        <v/>
      </c>
      <c r="J8" s="61">
        <f>IF(G8="","",INDEX(Leads!$W$3:$W$1002,MATCH(7,Leads!$BA$3:$BA$1002,0)))</f>
        <v/>
      </c>
    </row>
    <row r="9">
      <c r="A9" s="12">
        <f>IF(G9="","",INDEX(Leads!$AC$3:$AC$1002,MATCH(8,Leads!$BA$3:$BA$1002,0)))</f>
        <v/>
      </c>
      <c r="B9" s="12">
        <f>IF(G9="","","depot_paye")</f>
        <v/>
      </c>
      <c r="C9" s="12">
        <f>IF(G9="","",YEAR(J9)&amp;"-"&amp;RIGHT("0"&amp;MONTH(J9),2)&amp;"-"&amp;RIGHT("0"&amp;DAY(J9),2)&amp;" "&amp;RIGHT("0"&amp;HOUR(J9),2)&amp;":"&amp;RIGHT("0"&amp;MINUTE(J9),2)&amp;":"&amp;RIGHT("0"&amp;SECOND(J9),2)&amp;IF(AND(J9&gt;=DATE(YEAR(J9),3,8)+MOD(8-WEEKDAY(DATE(YEAR(J9),3,8)),7)+2/24,J9&lt;DATE(YEAR(J9),11,1)+MOD(8-WEEKDAY(DATE(YEAR(J9),11,1)),7)+2/24),"-04:00","-05:00"))</f>
        <v/>
      </c>
      <c r="D9" s="60">
        <f>IF(G9="","",INDEX(Leads!$V$3:$V$1002,MATCH(8,Leads!$BA$3:$BA$1002,0)))</f>
        <v/>
      </c>
      <c r="E9" s="12">
        <f>IF(G9="","","CAD")</f>
        <v/>
      </c>
      <c r="G9" s="7">
        <f>IFERROR(INDEX(Leads!$A$3:$A$1002,MATCH(8,Leads!$BA$3:$BA$1002,0)),"")</f>
        <v/>
      </c>
      <c r="H9" s="7">
        <f>IF(G9="","",INDEX(Leads!$AQ$3:$AQ$1002,MATCH(8,Leads!$BA$3:$BA$1002,0)))</f>
        <v/>
      </c>
      <c r="I9" s="7">
        <f>IF(G9="","",INDEX(Leads!$AI$3:$AI$1002,MATCH(8,Leads!$BA$3:$BA$1002,0))&amp;"")</f>
        <v/>
      </c>
      <c r="J9" s="61">
        <f>IF(G9="","",INDEX(Leads!$W$3:$W$1002,MATCH(8,Leads!$BA$3:$BA$1002,0)))</f>
        <v/>
      </c>
      <c r="L9" s="62" t="inlineStr">
        <is>
          <t>4. Exporter A1:E de cette feuille seulement (Fichier → Enregistrer sous → CSV), ou copier dans la feuille Google Sheets du téléversement planifié (Objectifs → Conversions → Téléversements → Planifier).</t>
        </is>
      </c>
    </row>
    <row r="10">
      <c r="A10" s="12">
        <f>IF(G10="","",INDEX(Leads!$AC$3:$AC$1002,MATCH(9,Leads!$BA$3:$BA$1002,0)))</f>
        <v/>
      </c>
      <c r="B10" s="12">
        <f>IF(G10="","","depot_paye")</f>
        <v/>
      </c>
      <c r="C10" s="12">
        <f>IF(G10="","",YEAR(J10)&amp;"-"&amp;RIGHT("0"&amp;MONTH(J10),2)&amp;"-"&amp;RIGHT("0"&amp;DAY(J10),2)&amp;" "&amp;RIGHT("0"&amp;HOUR(J10),2)&amp;":"&amp;RIGHT("0"&amp;MINUTE(J10),2)&amp;":"&amp;RIGHT("0"&amp;SECOND(J10),2)&amp;IF(AND(J10&gt;=DATE(YEAR(J10),3,8)+MOD(8-WEEKDAY(DATE(YEAR(J10),3,8)),7)+2/24,J10&lt;DATE(YEAR(J10),11,1)+MOD(8-WEEKDAY(DATE(YEAR(J10),11,1)),7)+2/24),"-04:00","-05:00"))</f>
        <v/>
      </c>
      <c r="D10" s="60">
        <f>IF(G10="","",INDEX(Leads!$V$3:$V$1002,MATCH(9,Leads!$BA$3:$BA$1002,0)))</f>
        <v/>
      </c>
      <c r="E10" s="12">
        <f>IF(G10="","","CAD")</f>
        <v/>
      </c>
      <c r="G10" s="7">
        <f>IFERROR(INDEX(Leads!$A$3:$A$1002,MATCH(9,Leads!$BA$3:$BA$1002,0)),"")</f>
        <v/>
      </c>
      <c r="H10" s="7">
        <f>IF(G10="","",INDEX(Leads!$AQ$3:$AQ$1002,MATCH(9,Leads!$BA$3:$BA$1002,0)))</f>
        <v/>
      </c>
      <c r="I10" s="7">
        <f>IF(G10="","",INDEX(Leads!$AI$3:$AI$1002,MATCH(9,Leads!$BA$3:$BA$1002,0))&amp;"")</f>
        <v/>
      </c>
      <c r="J10" s="61">
        <f>IF(G10="","",INDEX(Leads!$W$3:$W$1002,MATCH(9,Leads!$BA$3:$BA$1002,0)))</f>
        <v/>
      </c>
    </row>
    <row r="11">
      <c r="A11" s="12">
        <f>IF(G11="","",INDEX(Leads!$AC$3:$AC$1002,MATCH(10,Leads!$BA$3:$BA$1002,0)))</f>
        <v/>
      </c>
      <c r="B11" s="12">
        <f>IF(G11="","","depot_paye")</f>
        <v/>
      </c>
      <c r="C11" s="12">
        <f>IF(G11="","",YEAR(J11)&amp;"-"&amp;RIGHT("0"&amp;MONTH(J11),2)&amp;"-"&amp;RIGHT("0"&amp;DAY(J11),2)&amp;" "&amp;RIGHT("0"&amp;HOUR(J11),2)&amp;":"&amp;RIGHT("0"&amp;MINUTE(J11),2)&amp;":"&amp;RIGHT("0"&amp;SECOND(J11),2)&amp;IF(AND(J11&gt;=DATE(YEAR(J11),3,8)+MOD(8-WEEKDAY(DATE(YEAR(J11),3,8)),7)+2/24,J11&lt;DATE(YEAR(J11),11,1)+MOD(8-WEEKDAY(DATE(YEAR(J11),11,1)),7)+2/24),"-04:00","-05:00"))</f>
        <v/>
      </c>
      <c r="D11" s="60">
        <f>IF(G11="","",INDEX(Leads!$V$3:$V$1002,MATCH(10,Leads!$BA$3:$BA$1002,0)))</f>
        <v/>
      </c>
      <c r="E11" s="12">
        <f>IF(G11="","","CAD")</f>
        <v/>
      </c>
      <c r="G11" s="7">
        <f>IFERROR(INDEX(Leads!$A$3:$A$1002,MATCH(10,Leads!$BA$3:$BA$1002,0)),"")</f>
        <v/>
      </c>
      <c r="H11" s="7">
        <f>IF(G11="","",INDEX(Leads!$AQ$3:$AQ$1002,MATCH(10,Leads!$BA$3:$BA$1002,0)))</f>
        <v/>
      </c>
      <c r="I11" s="7">
        <f>IF(G11="","",INDEX(Leads!$AI$3:$AI$1002,MATCH(10,Leads!$BA$3:$BA$1002,0))&amp;"")</f>
        <v/>
      </c>
      <c r="J11" s="61">
        <f>IF(G11="","",INDEX(Leads!$W$3:$W$1002,MATCH(10,Leads!$BA$3:$BA$1002,0)))</f>
        <v/>
      </c>
      <c r="L11" s="62" t="inlineStr">
        <is>
          <t>5. Conversion Name doit être identique à l'action Google Ads : depot_paye. Délai maximal : 90 jours après le clic.</t>
        </is>
      </c>
    </row>
    <row r="12">
      <c r="A12" s="12">
        <f>IF(G12="","",INDEX(Leads!$AC$3:$AC$1002,MATCH(11,Leads!$BA$3:$BA$1002,0)))</f>
        <v/>
      </c>
      <c r="B12" s="12">
        <f>IF(G12="","","depot_paye")</f>
        <v/>
      </c>
      <c r="C12" s="12">
        <f>IF(G12="","",YEAR(J12)&amp;"-"&amp;RIGHT("0"&amp;MONTH(J12),2)&amp;"-"&amp;RIGHT("0"&amp;DAY(J12),2)&amp;" "&amp;RIGHT("0"&amp;HOUR(J12),2)&amp;":"&amp;RIGHT("0"&amp;MINUTE(J12),2)&amp;":"&amp;RIGHT("0"&amp;SECOND(J12),2)&amp;IF(AND(J12&gt;=DATE(YEAR(J12),3,8)+MOD(8-WEEKDAY(DATE(YEAR(J12),3,8)),7)+2/24,J12&lt;DATE(YEAR(J12),11,1)+MOD(8-WEEKDAY(DATE(YEAR(J12),11,1)),7)+2/24),"-04:00","-05:00"))</f>
        <v/>
      </c>
      <c r="D12" s="60">
        <f>IF(G12="","",INDEX(Leads!$V$3:$V$1002,MATCH(11,Leads!$BA$3:$BA$1002,0)))</f>
        <v/>
      </c>
      <c r="E12" s="12">
        <f>IF(G12="","","CAD")</f>
        <v/>
      </c>
      <c r="G12" s="7">
        <f>IFERROR(INDEX(Leads!$A$3:$A$1002,MATCH(11,Leads!$BA$3:$BA$1002,0)),"")</f>
        <v/>
      </c>
      <c r="H12" s="7">
        <f>IF(G12="","",INDEX(Leads!$AQ$3:$AQ$1002,MATCH(11,Leads!$BA$3:$BA$1002,0)))</f>
        <v/>
      </c>
      <c r="I12" s="7">
        <f>IF(G12="","",INDEX(Leads!$AI$3:$AI$1002,MATCH(11,Leads!$BA$3:$BA$1002,0))&amp;"")</f>
        <v/>
      </c>
      <c r="J12" s="61">
        <f>IF(G12="","",INDEX(Leads!$W$3:$W$1002,MATCH(11,Leads!$BA$3:$BA$1002,0)))</f>
        <v/>
      </c>
    </row>
    <row r="13">
      <c r="A13" s="12">
        <f>IF(G13="","",INDEX(Leads!$AC$3:$AC$1002,MATCH(12,Leads!$BA$3:$BA$1002,0)))</f>
        <v/>
      </c>
      <c r="B13" s="12">
        <f>IF(G13="","","depot_paye")</f>
        <v/>
      </c>
      <c r="C13" s="12">
        <f>IF(G13="","",YEAR(J13)&amp;"-"&amp;RIGHT("0"&amp;MONTH(J13),2)&amp;"-"&amp;RIGHT("0"&amp;DAY(J13),2)&amp;" "&amp;RIGHT("0"&amp;HOUR(J13),2)&amp;":"&amp;RIGHT("0"&amp;MINUTE(J13),2)&amp;":"&amp;RIGHT("0"&amp;SECOND(J13),2)&amp;IF(AND(J13&gt;=DATE(YEAR(J13),3,8)+MOD(8-WEEKDAY(DATE(YEAR(J13),3,8)),7)+2/24,J13&lt;DATE(YEAR(J13),11,1)+MOD(8-WEEKDAY(DATE(YEAR(J13),11,1)),7)+2/24),"-04:00","-05:00"))</f>
        <v/>
      </c>
      <c r="D13" s="60">
        <f>IF(G13="","",INDEX(Leads!$V$3:$V$1002,MATCH(12,Leads!$BA$3:$BA$1002,0)))</f>
        <v/>
      </c>
      <c r="E13" s="12">
        <f>IF(G13="","","CAD")</f>
        <v/>
      </c>
      <c r="G13" s="7">
        <f>IFERROR(INDEX(Leads!$A$3:$A$1002,MATCH(12,Leads!$BA$3:$BA$1002,0)),"")</f>
        <v/>
      </c>
      <c r="H13" s="7">
        <f>IF(G13="","",INDEX(Leads!$AQ$3:$AQ$1002,MATCH(12,Leads!$BA$3:$BA$1002,0)))</f>
        <v/>
      </c>
      <c r="I13" s="7">
        <f>IF(G13="","",INDEX(Leads!$AI$3:$AI$1002,MATCH(12,Leads!$BA$3:$BA$1002,0))&amp;"")</f>
        <v/>
      </c>
      <c r="J13" s="61">
        <f>IF(G13="","",INDEX(Leads!$W$3:$W$1002,MATCH(12,Leads!$BA$3:$BA$1002,0)))</f>
        <v/>
      </c>
      <c r="L13" s="62" t="inlineStr">
        <is>
          <t>6. Courriel et téléphone hachés (SHA-256) : tracking-setup.md §3 les prévoit seulement si consent_mesure = oui. Excel ne sait pas hacher ; ajouter Email / Phone Number hachés dans Google Sheets (Apps Script) ou dans Make, jamais en clair.</t>
        </is>
      </c>
    </row>
    <row r="14">
      <c r="A14" s="12">
        <f>IF(G14="","",INDEX(Leads!$AC$3:$AC$1002,MATCH(13,Leads!$BA$3:$BA$1002,0)))</f>
        <v/>
      </c>
      <c r="B14" s="12">
        <f>IF(G14="","","depot_paye")</f>
        <v/>
      </c>
      <c r="C14" s="12">
        <f>IF(G14="","",YEAR(J14)&amp;"-"&amp;RIGHT("0"&amp;MONTH(J14),2)&amp;"-"&amp;RIGHT("0"&amp;DAY(J14),2)&amp;" "&amp;RIGHT("0"&amp;HOUR(J14),2)&amp;":"&amp;RIGHT("0"&amp;MINUTE(J14),2)&amp;":"&amp;RIGHT("0"&amp;SECOND(J14),2)&amp;IF(AND(J14&gt;=DATE(YEAR(J14),3,8)+MOD(8-WEEKDAY(DATE(YEAR(J14),3,8)),7)+2/24,J14&lt;DATE(YEAR(J14),11,1)+MOD(8-WEEKDAY(DATE(YEAR(J14),11,1)),7)+2/24),"-04:00","-05:00"))</f>
        <v/>
      </c>
      <c r="D14" s="60">
        <f>IF(G14="","",INDEX(Leads!$V$3:$V$1002,MATCH(13,Leads!$BA$3:$BA$1002,0)))</f>
        <v/>
      </c>
      <c r="E14" s="12">
        <f>IF(G14="","","CAD")</f>
        <v/>
      </c>
      <c r="G14" s="7">
        <f>IFERROR(INDEX(Leads!$A$3:$A$1002,MATCH(13,Leads!$BA$3:$BA$1002,0)),"")</f>
        <v/>
      </c>
      <c r="H14" s="7">
        <f>IF(G14="","",INDEX(Leads!$AQ$3:$AQ$1002,MATCH(13,Leads!$BA$3:$BA$1002,0)))</f>
        <v/>
      </c>
      <c r="I14" s="7">
        <f>IF(G14="","",INDEX(Leads!$AI$3:$AI$1002,MATCH(13,Leads!$BA$3:$BA$1002,0))&amp;"")</f>
        <v/>
      </c>
      <c r="J14" s="61">
        <f>IF(G14="","",INDEX(Leads!$W$3:$W$1002,MATCH(13,Leads!$BA$3:$BA$1002,0)))</f>
        <v/>
      </c>
    </row>
    <row r="15">
      <c r="A15" s="12">
        <f>IF(G15="","",INDEX(Leads!$AC$3:$AC$1002,MATCH(14,Leads!$BA$3:$BA$1002,0)))</f>
        <v/>
      </c>
      <c r="B15" s="12">
        <f>IF(G15="","","depot_paye")</f>
        <v/>
      </c>
      <c r="C15" s="12">
        <f>IF(G15="","",YEAR(J15)&amp;"-"&amp;RIGHT("0"&amp;MONTH(J15),2)&amp;"-"&amp;RIGHT("0"&amp;DAY(J15),2)&amp;" "&amp;RIGHT("0"&amp;HOUR(J15),2)&amp;":"&amp;RIGHT("0"&amp;MINUTE(J15),2)&amp;":"&amp;RIGHT("0"&amp;SECOND(J15),2)&amp;IF(AND(J15&gt;=DATE(YEAR(J15),3,8)+MOD(8-WEEKDAY(DATE(YEAR(J15),3,8)),7)+2/24,J15&lt;DATE(YEAR(J15),11,1)+MOD(8-WEEKDAY(DATE(YEAR(J15),11,1)),7)+2/24),"-04:00","-05:00"))</f>
        <v/>
      </c>
      <c r="D15" s="60">
        <f>IF(G15="","",INDEX(Leads!$V$3:$V$1002,MATCH(14,Leads!$BA$3:$BA$1002,0)))</f>
        <v/>
      </c>
      <c r="E15" s="12">
        <f>IF(G15="","","CAD")</f>
        <v/>
      </c>
      <c r="G15" s="7">
        <f>IFERROR(INDEX(Leads!$A$3:$A$1002,MATCH(14,Leads!$BA$3:$BA$1002,0)),"")</f>
        <v/>
      </c>
      <c r="H15" s="7">
        <f>IF(G15="","",INDEX(Leads!$AQ$3:$AQ$1002,MATCH(14,Leads!$BA$3:$BA$1002,0)))</f>
        <v/>
      </c>
      <c r="I15" s="7">
        <f>IF(G15="","",INDEX(Leads!$AI$3:$AI$1002,MATCH(14,Leads!$BA$3:$BA$1002,0))&amp;"")</f>
        <v/>
      </c>
      <c r="J15" s="61">
        <f>IF(G15="","",INDEX(Leads!$W$3:$W$1002,MATCH(14,Leads!$BA$3:$BA$1002,0)))</f>
        <v/>
      </c>
      <c r="L15" s="62" t="inlineStr">
        <is>
          <t>7. Colonnes G à J = contrôle (ne pas téléverser). Microsoft : même logique avec le msclkid (import hebdomadaire).</t>
        </is>
      </c>
    </row>
    <row r="16">
      <c r="A16" s="12">
        <f>IF(G16="","",INDEX(Leads!$AC$3:$AC$1002,MATCH(15,Leads!$BA$3:$BA$1002,0)))</f>
        <v/>
      </c>
      <c r="B16" s="12">
        <f>IF(G16="","","depot_paye")</f>
        <v/>
      </c>
      <c r="C16" s="12">
        <f>IF(G16="","",YEAR(J16)&amp;"-"&amp;RIGHT("0"&amp;MONTH(J16),2)&amp;"-"&amp;RIGHT("0"&amp;DAY(J16),2)&amp;" "&amp;RIGHT("0"&amp;HOUR(J16),2)&amp;":"&amp;RIGHT("0"&amp;MINUTE(J16),2)&amp;":"&amp;RIGHT("0"&amp;SECOND(J16),2)&amp;IF(AND(J16&gt;=DATE(YEAR(J16),3,8)+MOD(8-WEEKDAY(DATE(YEAR(J16),3,8)),7)+2/24,J16&lt;DATE(YEAR(J16),11,1)+MOD(8-WEEKDAY(DATE(YEAR(J16),11,1)),7)+2/24),"-04:00","-05:00"))</f>
        <v/>
      </c>
      <c r="D16" s="60">
        <f>IF(G16="","",INDEX(Leads!$V$3:$V$1002,MATCH(15,Leads!$BA$3:$BA$1002,0)))</f>
        <v/>
      </c>
      <c r="E16" s="12">
        <f>IF(G16="","","CAD")</f>
        <v/>
      </c>
      <c r="G16" s="7">
        <f>IFERROR(INDEX(Leads!$A$3:$A$1002,MATCH(15,Leads!$BA$3:$BA$1002,0)),"")</f>
        <v/>
      </c>
      <c r="H16" s="7">
        <f>IF(G16="","",INDEX(Leads!$AQ$3:$AQ$1002,MATCH(15,Leads!$BA$3:$BA$1002,0)))</f>
        <v/>
      </c>
      <c r="I16" s="7">
        <f>IF(G16="","",INDEX(Leads!$AI$3:$AI$1002,MATCH(15,Leads!$BA$3:$BA$1002,0))&amp;"")</f>
        <v/>
      </c>
      <c r="J16" s="61">
        <f>IF(G16="","",INDEX(Leads!$W$3:$W$1002,MATCH(15,Leads!$BA$3:$BA$1002,0)))</f>
        <v/>
      </c>
    </row>
    <row r="17">
      <c r="A17" s="12">
        <f>IF(G17="","",INDEX(Leads!$AC$3:$AC$1002,MATCH(16,Leads!$BA$3:$BA$1002,0)))</f>
        <v/>
      </c>
      <c r="B17" s="12">
        <f>IF(G17="","","depot_paye")</f>
        <v/>
      </c>
      <c r="C17" s="12">
        <f>IF(G17="","",YEAR(J17)&amp;"-"&amp;RIGHT("0"&amp;MONTH(J17),2)&amp;"-"&amp;RIGHT("0"&amp;DAY(J17),2)&amp;" "&amp;RIGHT("0"&amp;HOUR(J17),2)&amp;":"&amp;RIGHT("0"&amp;MINUTE(J17),2)&amp;":"&amp;RIGHT("0"&amp;SECOND(J17),2)&amp;IF(AND(J17&gt;=DATE(YEAR(J17),3,8)+MOD(8-WEEKDAY(DATE(YEAR(J17),3,8)),7)+2/24,J17&lt;DATE(YEAR(J17),11,1)+MOD(8-WEEKDAY(DATE(YEAR(J17),11,1)),7)+2/24),"-04:00","-05:00"))</f>
        <v/>
      </c>
      <c r="D17" s="60">
        <f>IF(G17="","",INDEX(Leads!$V$3:$V$1002,MATCH(16,Leads!$BA$3:$BA$1002,0)))</f>
        <v/>
      </c>
      <c r="E17" s="12">
        <f>IF(G17="","","CAD")</f>
        <v/>
      </c>
      <c r="G17" s="7">
        <f>IFERROR(INDEX(Leads!$A$3:$A$1002,MATCH(16,Leads!$BA$3:$BA$1002,0)),"")</f>
        <v/>
      </c>
      <c r="H17" s="7">
        <f>IF(G17="","",INDEX(Leads!$AQ$3:$AQ$1002,MATCH(16,Leads!$BA$3:$BA$1002,0)))</f>
        <v/>
      </c>
      <c r="I17" s="7">
        <f>IF(G17="","",INDEX(Leads!$AI$3:$AI$1002,MATCH(16,Leads!$BA$3:$BA$1002,0))&amp;"")</f>
        <v/>
      </c>
      <c r="J17" s="61">
        <f>IF(G17="","",INDEX(Leads!$W$3:$W$1002,MATCH(16,Leads!$BA$3:$BA$1002,0)))</f>
        <v/>
      </c>
    </row>
    <row r="18">
      <c r="A18" s="12">
        <f>IF(G18="","",INDEX(Leads!$AC$3:$AC$1002,MATCH(17,Leads!$BA$3:$BA$1002,0)))</f>
        <v/>
      </c>
      <c r="B18" s="12">
        <f>IF(G18="","","depot_paye")</f>
        <v/>
      </c>
      <c r="C18" s="12">
        <f>IF(G18="","",YEAR(J18)&amp;"-"&amp;RIGHT("0"&amp;MONTH(J18),2)&amp;"-"&amp;RIGHT("0"&amp;DAY(J18),2)&amp;" "&amp;RIGHT("0"&amp;HOUR(J18),2)&amp;":"&amp;RIGHT("0"&amp;MINUTE(J18),2)&amp;":"&amp;RIGHT("0"&amp;SECOND(J18),2)&amp;IF(AND(J18&gt;=DATE(YEAR(J18),3,8)+MOD(8-WEEKDAY(DATE(YEAR(J18),3,8)),7)+2/24,J18&lt;DATE(YEAR(J18),11,1)+MOD(8-WEEKDAY(DATE(YEAR(J18),11,1)),7)+2/24),"-04:00","-05:00"))</f>
        <v/>
      </c>
      <c r="D18" s="60">
        <f>IF(G18="","",INDEX(Leads!$V$3:$V$1002,MATCH(17,Leads!$BA$3:$BA$1002,0)))</f>
        <v/>
      </c>
      <c r="E18" s="12">
        <f>IF(G18="","","CAD")</f>
        <v/>
      </c>
      <c r="G18" s="7">
        <f>IFERROR(INDEX(Leads!$A$3:$A$1002,MATCH(17,Leads!$BA$3:$BA$1002,0)),"")</f>
        <v/>
      </c>
      <c r="H18" s="7">
        <f>IF(G18="","",INDEX(Leads!$AQ$3:$AQ$1002,MATCH(17,Leads!$BA$3:$BA$1002,0)))</f>
        <v/>
      </c>
      <c r="I18" s="7">
        <f>IF(G18="","",INDEX(Leads!$AI$3:$AI$1002,MATCH(17,Leads!$BA$3:$BA$1002,0))&amp;"")</f>
        <v/>
      </c>
      <c r="J18" s="61">
        <f>IF(G18="","",INDEX(Leads!$W$3:$W$1002,MATCH(17,Leads!$BA$3:$BA$1002,0)))</f>
        <v/>
      </c>
    </row>
    <row r="19">
      <c r="A19" s="12">
        <f>IF(G19="","",INDEX(Leads!$AC$3:$AC$1002,MATCH(18,Leads!$BA$3:$BA$1002,0)))</f>
        <v/>
      </c>
      <c r="B19" s="12">
        <f>IF(G19="","","depot_paye")</f>
        <v/>
      </c>
      <c r="C19" s="12">
        <f>IF(G19="","",YEAR(J19)&amp;"-"&amp;RIGHT("0"&amp;MONTH(J19),2)&amp;"-"&amp;RIGHT("0"&amp;DAY(J19),2)&amp;" "&amp;RIGHT("0"&amp;HOUR(J19),2)&amp;":"&amp;RIGHT("0"&amp;MINUTE(J19),2)&amp;":"&amp;RIGHT("0"&amp;SECOND(J19),2)&amp;IF(AND(J19&gt;=DATE(YEAR(J19),3,8)+MOD(8-WEEKDAY(DATE(YEAR(J19),3,8)),7)+2/24,J19&lt;DATE(YEAR(J19),11,1)+MOD(8-WEEKDAY(DATE(YEAR(J19),11,1)),7)+2/24),"-04:00","-05:00"))</f>
        <v/>
      </c>
      <c r="D19" s="60">
        <f>IF(G19="","",INDEX(Leads!$V$3:$V$1002,MATCH(18,Leads!$BA$3:$BA$1002,0)))</f>
        <v/>
      </c>
      <c r="E19" s="12">
        <f>IF(G19="","","CAD")</f>
        <v/>
      </c>
      <c r="G19" s="7">
        <f>IFERROR(INDEX(Leads!$A$3:$A$1002,MATCH(18,Leads!$BA$3:$BA$1002,0)),"")</f>
        <v/>
      </c>
      <c r="H19" s="7">
        <f>IF(G19="","",INDEX(Leads!$AQ$3:$AQ$1002,MATCH(18,Leads!$BA$3:$BA$1002,0)))</f>
        <v/>
      </c>
      <c r="I19" s="7">
        <f>IF(G19="","",INDEX(Leads!$AI$3:$AI$1002,MATCH(18,Leads!$BA$3:$BA$1002,0))&amp;"")</f>
        <v/>
      </c>
      <c r="J19" s="61">
        <f>IF(G19="","",INDEX(Leads!$W$3:$W$1002,MATCH(18,Leads!$BA$3:$BA$1002,0)))</f>
        <v/>
      </c>
    </row>
    <row r="20">
      <c r="A20" s="12">
        <f>IF(G20="","",INDEX(Leads!$AC$3:$AC$1002,MATCH(19,Leads!$BA$3:$BA$1002,0)))</f>
        <v/>
      </c>
      <c r="B20" s="12">
        <f>IF(G20="","","depot_paye")</f>
        <v/>
      </c>
      <c r="C20" s="12">
        <f>IF(G20="","",YEAR(J20)&amp;"-"&amp;RIGHT("0"&amp;MONTH(J20),2)&amp;"-"&amp;RIGHT("0"&amp;DAY(J20),2)&amp;" "&amp;RIGHT("0"&amp;HOUR(J20),2)&amp;":"&amp;RIGHT("0"&amp;MINUTE(J20),2)&amp;":"&amp;RIGHT("0"&amp;SECOND(J20),2)&amp;IF(AND(J20&gt;=DATE(YEAR(J20),3,8)+MOD(8-WEEKDAY(DATE(YEAR(J20),3,8)),7)+2/24,J20&lt;DATE(YEAR(J20),11,1)+MOD(8-WEEKDAY(DATE(YEAR(J20),11,1)),7)+2/24),"-04:00","-05:00"))</f>
        <v/>
      </c>
      <c r="D20" s="60">
        <f>IF(G20="","",INDEX(Leads!$V$3:$V$1002,MATCH(19,Leads!$BA$3:$BA$1002,0)))</f>
        <v/>
      </c>
      <c r="E20" s="12">
        <f>IF(G20="","","CAD")</f>
        <v/>
      </c>
      <c r="G20" s="7">
        <f>IFERROR(INDEX(Leads!$A$3:$A$1002,MATCH(19,Leads!$BA$3:$BA$1002,0)),"")</f>
        <v/>
      </c>
      <c r="H20" s="7">
        <f>IF(G20="","",INDEX(Leads!$AQ$3:$AQ$1002,MATCH(19,Leads!$BA$3:$BA$1002,0)))</f>
        <v/>
      </c>
      <c r="I20" s="7">
        <f>IF(G20="","",INDEX(Leads!$AI$3:$AI$1002,MATCH(19,Leads!$BA$3:$BA$1002,0))&amp;"")</f>
        <v/>
      </c>
      <c r="J20" s="61">
        <f>IF(G20="","",INDEX(Leads!$W$3:$W$1002,MATCH(19,Leads!$BA$3:$BA$1002,0)))</f>
        <v/>
      </c>
    </row>
    <row r="21">
      <c r="A21" s="12">
        <f>IF(G21="","",INDEX(Leads!$AC$3:$AC$1002,MATCH(20,Leads!$BA$3:$BA$1002,0)))</f>
        <v/>
      </c>
      <c r="B21" s="12">
        <f>IF(G21="","","depot_paye")</f>
        <v/>
      </c>
      <c r="C21" s="12">
        <f>IF(G21="","",YEAR(J21)&amp;"-"&amp;RIGHT("0"&amp;MONTH(J21),2)&amp;"-"&amp;RIGHT("0"&amp;DAY(J21),2)&amp;" "&amp;RIGHT("0"&amp;HOUR(J21),2)&amp;":"&amp;RIGHT("0"&amp;MINUTE(J21),2)&amp;":"&amp;RIGHT("0"&amp;SECOND(J21),2)&amp;IF(AND(J21&gt;=DATE(YEAR(J21),3,8)+MOD(8-WEEKDAY(DATE(YEAR(J21),3,8)),7)+2/24,J21&lt;DATE(YEAR(J21),11,1)+MOD(8-WEEKDAY(DATE(YEAR(J21),11,1)),7)+2/24),"-04:00","-05:00"))</f>
        <v/>
      </c>
      <c r="D21" s="60">
        <f>IF(G21="","",INDEX(Leads!$V$3:$V$1002,MATCH(20,Leads!$BA$3:$BA$1002,0)))</f>
        <v/>
      </c>
      <c r="E21" s="12">
        <f>IF(G21="","","CAD")</f>
        <v/>
      </c>
      <c r="G21" s="7">
        <f>IFERROR(INDEX(Leads!$A$3:$A$1002,MATCH(20,Leads!$BA$3:$BA$1002,0)),"")</f>
        <v/>
      </c>
      <c r="H21" s="7">
        <f>IF(G21="","",INDEX(Leads!$AQ$3:$AQ$1002,MATCH(20,Leads!$BA$3:$BA$1002,0)))</f>
        <v/>
      </c>
      <c r="I21" s="7">
        <f>IF(G21="","",INDEX(Leads!$AI$3:$AI$1002,MATCH(20,Leads!$BA$3:$BA$1002,0))&amp;"")</f>
        <v/>
      </c>
      <c r="J21" s="61">
        <f>IF(G21="","",INDEX(Leads!$W$3:$W$1002,MATCH(20,Leads!$BA$3:$BA$1002,0)))</f>
        <v/>
      </c>
    </row>
    <row r="22">
      <c r="A22" s="12">
        <f>IF(G22="","",INDEX(Leads!$AC$3:$AC$1002,MATCH(21,Leads!$BA$3:$BA$1002,0)))</f>
        <v/>
      </c>
      <c r="B22" s="12">
        <f>IF(G22="","","depot_paye")</f>
        <v/>
      </c>
      <c r="C22" s="12">
        <f>IF(G22="","",YEAR(J22)&amp;"-"&amp;RIGHT("0"&amp;MONTH(J22),2)&amp;"-"&amp;RIGHT("0"&amp;DAY(J22),2)&amp;" "&amp;RIGHT("0"&amp;HOUR(J22),2)&amp;":"&amp;RIGHT("0"&amp;MINUTE(J22),2)&amp;":"&amp;RIGHT("0"&amp;SECOND(J22),2)&amp;IF(AND(J22&gt;=DATE(YEAR(J22),3,8)+MOD(8-WEEKDAY(DATE(YEAR(J22),3,8)),7)+2/24,J22&lt;DATE(YEAR(J22),11,1)+MOD(8-WEEKDAY(DATE(YEAR(J22),11,1)),7)+2/24),"-04:00","-05:00"))</f>
        <v/>
      </c>
      <c r="D22" s="60">
        <f>IF(G22="","",INDEX(Leads!$V$3:$V$1002,MATCH(21,Leads!$BA$3:$BA$1002,0)))</f>
        <v/>
      </c>
      <c r="E22" s="12">
        <f>IF(G22="","","CAD")</f>
        <v/>
      </c>
      <c r="G22" s="7">
        <f>IFERROR(INDEX(Leads!$A$3:$A$1002,MATCH(21,Leads!$BA$3:$BA$1002,0)),"")</f>
        <v/>
      </c>
      <c r="H22" s="7">
        <f>IF(G22="","",INDEX(Leads!$AQ$3:$AQ$1002,MATCH(21,Leads!$BA$3:$BA$1002,0)))</f>
        <v/>
      </c>
      <c r="I22" s="7">
        <f>IF(G22="","",INDEX(Leads!$AI$3:$AI$1002,MATCH(21,Leads!$BA$3:$BA$1002,0))&amp;"")</f>
        <v/>
      </c>
      <c r="J22" s="61">
        <f>IF(G22="","",INDEX(Leads!$W$3:$W$1002,MATCH(21,Leads!$BA$3:$BA$1002,0)))</f>
        <v/>
      </c>
    </row>
    <row r="23">
      <c r="A23" s="12">
        <f>IF(G23="","",INDEX(Leads!$AC$3:$AC$1002,MATCH(22,Leads!$BA$3:$BA$1002,0)))</f>
        <v/>
      </c>
      <c r="B23" s="12">
        <f>IF(G23="","","depot_paye")</f>
        <v/>
      </c>
      <c r="C23" s="12">
        <f>IF(G23="","",YEAR(J23)&amp;"-"&amp;RIGHT("0"&amp;MONTH(J23),2)&amp;"-"&amp;RIGHT("0"&amp;DAY(J23),2)&amp;" "&amp;RIGHT("0"&amp;HOUR(J23),2)&amp;":"&amp;RIGHT("0"&amp;MINUTE(J23),2)&amp;":"&amp;RIGHT("0"&amp;SECOND(J23),2)&amp;IF(AND(J23&gt;=DATE(YEAR(J23),3,8)+MOD(8-WEEKDAY(DATE(YEAR(J23),3,8)),7)+2/24,J23&lt;DATE(YEAR(J23),11,1)+MOD(8-WEEKDAY(DATE(YEAR(J23),11,1)),7)+2/24),"-04:00","-05:00"))</f>
        <v/>
      </c>
      <c r="D23" s="60">
        <f>IF(G23="","",INDEX(Leads!$V$3:$V$1002,MATCH(22,Leads!$BA$3:$BA$1002,0)))</f>
        <v/>
      </c>
      <c r="E23" s="12">
        <f>IF(G23="","","CAD")</f>
        <v/>
      </c>
      <c r="G23" s="7">
        <f>IFERROR(INDEX(Leads!$A$3:$A$1002,MATCH(22,Leads!$BA$3:$BA$1002,0)),"")</f>
        <v/>
      </c>
      <c r="H23" s="7">
        <f>IF(G23="","",INDEX(Leads!$AQ$3:$AQ$1002,MATCH(22,Leads!$BA$3:$BA$1002,0)))</f>
        <v/>
      </c>
      <c r="I23" s="7">
        <f>IF(G23="","",INDEX(Leads!$AI$3:$AI$1002,MATCH(22,Leads!$BA$3:$BA$1002,0))&amp;"")</f>
        <v/>
      </c>
      <c r="J23" s="61">
        <f>IF(G23="","",INDEX(Leads!$W$3:$W$1002,MATCH(22,Leads!$BA$3:$BA$1002,0)))</f>
        <v/>
      </c>
    </row>
    <row r="24">
      <c r="A24" s="12">
        <f>IF(G24="","",INDEX(Leads!$AC$3:$AC$1002,MATCH(23,Leads!$BA$3:$BA$1002,0)))</f>
        <v/>
      </c>
      <c r="B24" s="12">
        <f>IF(G24="","","depot_paye")</f>
        <v/>
      </c>
      <c r="C24" s="12">
        <f>IF(G24="","",YEAR(J24)&amp;"-"&amp;RIGHT("0"&amp;MONTH(J24),2)&amp;"-"&amp;RIGHT("0"&amp;DAY(J24),2)&amp;" "&amp;RIGHT("0"&amp;HOUR(J24),2)&amp;":"&amp;RIGHT("0"&amp;MINUTE(J24),2)&amp;":"&amp;RIGHT("0"&amp;SECOND(J24),2)&amp;IF(AND(J24&gt;=DATE(YEAR(J24),3,8)+MOD(8-WEEKDAY(DATE(YEAR(J24),3,8)),7)+2/24,J24&lt;DATE(YEAR(J24),11,1)+MOD(8-WEEKDAY(DATE(YEAR(J24),11,1)),7)+2/24),"-04:00","-05:00"))</f>
        <v/>
      </c>
      <c r="D24" s="60">
        <f>IF(G24="","",INDEX(Leads!$V$3:$V$1002,MATCH(23,Leads!$BA$3:$BA$1002,0)))</f>
        <v/>
      </c>
      <c r="E24" s="12">
        <f>IF(G24="","","CAD")</f>
        <v/>
      </c>
      <c r="G24" s="7">
        <f>IFERROR(INDEX(Leads!$A$3:$A$1002,MATCH(23,Leads!$BA$3:$BA$1002,0)),"")</f>
        <v/>
      </c>
      <c r="H24" s="7">
        <f>IF(G24="","",INDEX(Leads!$AQ$3:$AQ$1002,MATCH(23,Leads!$BA$3:$BA$1002,0)))</f>
        <v/>
      </c>
      <c r="I24" s="7">
        <f>IF(G24="","",INDEX(Leads!$AI$3:$AI$1002,MATCH(23,Leads!$BA$3:$BA$1002,0))&amp;"")</f>
        <v/>
      </c>
      <c r="J24" s="61">
        <f>IF(G24="","",INDEX(Leads!$W$3:$W$1002,MATCH(23,Leads!$BA$3:$BA$1002,0)))</f>
        <v/>
      </c>
    </row>
    <row r="25">
      <c r="A25" s="12">
        <f>IF(G25="","",INDEX(Leads!$AC$3:$AC$1002,MATCH(24,Leads!$BA$3:$BA$1002,0)))</f>
        <v/>
      </c>
      <c r="B25" s="12">
        <f>IF(G25="","","depot_paye")</f>
        <v/>
      </c>
      <c r="C25" s="12">
        <f>IF(G25="","",YEAR(J25)&amp;"-"&amp;RIGHT("0"&amp;MONTH(J25),2)&amp;"-"&amp;RIGHT("0"&amp;DAY(J25),2)&amp;" "&amp;RIGHT("0"&amp;HOUR(J25),2)&amp;":"&amp;RIGHT("0"&amp;MINUTE(J25),2)&amp;":"&amp;RIGHT("0"&amp;SECOND(J25),2)&amp;IF(AND(J25&gt;=DATE(YEAR(J25),3,8)+MOD(8-WEEKDAY(DATE(YEAR(J25),3,8)),7)+2/24,J25&lt;DATE(YEAR(J25),11,1)+MOD(8-WEEKDAY(DATE(YEAR(J25),11,1)),7)+2/24),"-04:00","-05:00"))</f>
        <v/>
      </c>
      <c r="D25" s="60">
        <f>IF(G25="","",INDEX(Leads!$V$3:$V$1002,MATCH(24,Leads!$BA$3:$BA$1002,0)))</f>
        <v/>
      </c>
      <c r="E25" s="12">
        <f>IF(G25="","","CAD")</f>
        <v/>
      </c>
      <c r="G25" s="7">
        <f>IFERROR(INDEX(Leads!$A$3:$A$1002,MATCH(24,Leads!$BA$3:$BA$1002,0)),"")</f>
        <v/>
      </c>
      <c r="H25" s="7">
        <f>IF(G25="","",INDEX(Leads!$AQ$3:$AQ$1002,MATCH(24,Leads!$BA$3:$BA$1002,0)))</f>
        <v/>
      </c>
      <c r="I25" s="7">
        <f>IF(G25="","",INDEX(Leads!$AI$3:$AI$1002,MATCH(24,Leads!$BA$3:$BA$1002,0))&amp;"")</f>
        <v/>
      </c>
      <c r="J25" s="61">
        <f>IF(G25="","",INDEX(Leads!$W$3:$W$1002,MATCH(24,Leads!$BA$3:$BA$1002,0)))</f>
        <v/>
      </c>
    </row>
    <row r="26">
      <c r="A26" s="12">
        <f>IF(G26="","",INDEX(Leads!$AC$3:$AC$1002,MATCH(25,Leads!$BA$3:$BA$1002,0)))</f>
        <v/>
      </c>
      <c r="B26" s="12">
        <f>IF(G26="","","depot_paye")</f>
        <v/>
      </c>
      <c r="C26" s="12">
        <f>IF(G26="","",YEAR(J26)&amp;"-"&amp;RIGHT("0"&amp;MONTH(J26),2)&amp;"-"&amp;RIGHT("0"&amp;DAY(J26),2)&amp;" "&amp;RIGHT("0"&amp;HOUR(J26),2)&amp;":"&amp;RIGHT("0"&amp;MINUTE(J26),2)&amp;":"&amp;RIGHT("0"&amp;SECOND(J26),2)&amp;IF(AND(J26&gt;=DATE(YEAR(J26),3,8)+MOD(8-WEEKDAY(DATE(YEAR(J26),3,8)),7)+2/24,J26&lt;DATE(YEAR(J26),11,1)+MOD(8-WEEKDAY(DATE(YEAR(J26),11,1)),7)+2/24),"-04:00","-05:00"))</f>
        <v/>
      </c>
      <c r="D26" s="60">
        <f>IF(G26="","",INDEX(Leads!$V$3:$V$1002,MATCH(25,Leads!$BA$3:$BA$1002,0)))</f>
        <v/>
      </c>
      <c r="E26" s="12">
        <f>IF(G26="","","CAD")</f>
        <v/>
      </c>
      <c r="G26" s="7">
        <f>IFERROR(INDEX(Leads!$A$3:$A$1002,MATCH(25,Leads!$BA$3:$BA$1002,0)),"")</f>
        <v/>
      </c>
      <c r="H26" s="7">
        <f>IF(G26="","",INDEX(Leads!$AQ$3:$AQ$1002,MATCH(25,Leads!$BA$3:$BA$1002,0)))</f>
        <v/>
      </c>
      <c r="I26" s="7">
        <f>IF(G26="","",INDEX(Leads!$AI$3:$AI$1002,MATCH(25,Leads!$BA$3:$BA$1002,0))&amp;"")</f>
        <v/>
      </c>
      <c r="J26" s="61">
        <f>IF(G26="","",INDEX(Leads!$W$3:$W$1002,MATCH(25,Leads!$BA$3:$BA$1002,0)))</f>
        <v/>
      </c>
    </row>
    <row r="27">
      <c r="A27" s="12">
        <f>IF(G27="","",INDEX(Leads!$AC$3:$AC$1002,MATCH(26,Leads!$BA$3:$BA$1002,0)))</f>
        <v/>
      </c>
      <c r="B27" s="12">
        <f>IF(G27="","","depot_paye")</f>
        <v/>
      </c>
      <c r="C27" s="12">
        <f>IF(G27="","",YEAR(J27)&amp;"-"&amp;RIGHT("0"&amp;MONTH(J27),2)&amp;"-"&amp;RIGHT("0"&amp;DAY(J27),2)&amp;" "&amp;RIGHT("0"&amp;HOUR(J27),2)&amp;":"&amp;RIGHT("0"&amp;MINUTE(J27),2)&amp;":"&amp;RIGHT("0"&amp;SECOND(J27),2)&amp;IF(AND(J27&gt;=DATE(YEAR(J27),3,8)+MOD(8-WEEKDAY(DATE(YEAR(J27),3,8)),7)+2/24,J27&lt;DATE(YEAR(J27),11,1)+MOD(8-WEEKDAY(DATE(YEAR(J27),11,1)),7)+2/24),"-04:00","-05:00"))</f>
        <v/>
      </c>
      <c r="D27" s="60">
        <f>IF(G27="","",INDEX(Leads!$V$3:$V$1002,MATCH(26,Leads!$BA$3:$BA$1002,0)))</f>
        <v/>
      </c>
      <c r="E27" s="12">
        <f>IF(G27="","","CAD")</f>
        <v/>
      </c>
      <c r="G27" s="7">
        <f>IFERROR(INDEX(Leads!$A$3:$A$1002,MATCH(26,Leads!$BA$3:$BA$1002,0)),"")</f>
        <v/>
      </c>
      <c r="H27" s="7">
        <f>IF(G27="","",INDEX(Leads!$AQ$3:$AQ$1002,MATCH(26,Leads!$BA$3:$BA$1002,0)))</f>
        <v/>
      </c>
      <c r="I27" s="7">
        <f>IF(G27="","",INDEX(Leads!$AI$3:$AI$1002,MATCH(26,Leads!$BA$3:$BA$1002,0))&amp;"")</f>
        <v/>
      </c>
      <c r="J27" s="61">
        <f>IF(G27="","",INDEX(Leads!$W$3:$W$1002,MATCH(26,Leads!$BA$3:$BA$1002,0)))</f>
        <v/>
      </c>
    </row>
    <row r="28">
      <c r="A28" s="12">
        <f>IF(G28="","",INDEX(Leads!$AC$3:$AC$1002,MATCH(27,Leads!$BA$3:$BA$1002,0)))</f>
        <v/>
      </c>
      <c r="B28" s="12">
        <f>IF(G28="","","depot_paye")</f>
        <v/>
      </c>
      <c r="C28" s="12">
        <f>IF(G28="","",YEAR(J28)&amp;"-"&amp;RIGHT("0"&amp;MONTH(J28),2)&amp;"-"&amp;RIGHT("0"&amp;DAY(J28),2)&amp;" "&amp;RIGHT("0"&amp;HOUR(J28),2)&amp;":"&amp;RIGHT("0"&amp;MINUTE(J28),2)&amp;":"&amp;RIGHT("0"&amp;SECOND(J28),2)&amp;IF(AND(J28&gt;=DATE(YEAR(J28),3,8)+MOD(8-WEEKDAY(DATE(YEAR(J28),3,8)),7)+2/24,J28&lt;DATE(YEAR(J28),11,1)+MOD(8-WEEKDAY(DATE(YEAR(J28),11,1)),7)+2/24),"-04:00","-05:00"))</f>
        <v/>
      </c>
      <c r="D28" s="60">
        <f>IF(G28="","",INDEX(Leads!$V$3:$V$1002,MATCH(27,Leads!$BA$3:$BA$1002,0)))</f>
        <v/>
      </c>
      <c r="E28" s="12">
        <f>IF(G28="","","CAD")</f>
        <v/>
      </c>
      <c r="G28" s="7">
        <f>IFERROR(INDEX(Leads!$A$3:$A$1002,MATCH(27,Leads!$BA$3:$BA$1002,0)),"")</f>
        <v/>
      </c>
      <c r="H28" s="7">
        <f>IF(G28="","",INDEX(Leads!$AQ$3:$AQ$1002,MATCH(27,Leads!$BA$3:$BA$1002,0)))</f>
        <v/>
      </c>
      <c r="I28" s="7">
        <f>IF(G28="","",INDEX(Leads!$AI$3:$AI$1002,MATCH(27,Leads!$BA$3:$BA$1002,0))&amp;"")</f>
        <v/>
      </c>
      <c r="J28" s="61">
        <f>IF(G28="","",INDEX(Leads!$W$3:$W$1002,MATCH(27,Leads!$BA$3:$BA$1002,0)))</f>
        <v/>
      </c>
    </row>
    <row r="29">
      <c r="A29" s="12">
        <f>IF(G29="","",INDEX(Leads!$AC$3:$AC$1002,MATCH(28,Leads!$BA$3:$BA$1002,0)))</f>
        <v/>
      </c>
      <c r="B29" s="12">
        <f>IF(G29="","","depot_paye")</f>
        <v/>
      </c>
      <c r="C29" s="12">
        <f>IF(G29="","",YEAR(J29)&amp;"-"&amp;RIGHT("0"&amp;MONTH(J29),2)&amp;"-"&amp;RIGHT("0"&amp;DAY(J29),2)&amp;" "&amp;RIGHT("0"&amp;HOUR(J29),2)&amp;":"&amp;RIGHT("0"&amp;MINUTE(J29),2)&amp;":"&amp;RIGHT("0"&amp;SECOND(J29),2)&amp;IF(AND(J29&gt;=DATE(YEAR(J29),3,8)+MOD(8-WEEKDAY(DATE(YEAR(J29),3,8)),7)+2/24,J29&lt;DATE(YEAR(J29),11,1)+MOD(8-WEEKDAY(DATE(YEAR(J29),11,1)),7)+2/24),"-04:00","-05:00"))</f>
        <v/>
      </c>
      <c r="D29" s="60">
        <f>IF(G29="","",INDEX(Leads!$V$3:$V$1002,MATCH(28,Leads!$BA$3:$BA$1002,0)))</f>
        <v/>
      </c>
      <c r="E29" s="12">
        <f>IF(G29="","","CAD")</f>
        <v/>
      </c>
      <c r="G29" s="7">
        <f>IFERROR(INDEX(Leads!$A$3:$A$1002,MATCH(28,Leads!$BA$3:$BA$1002,0)),"")</f>
        <v/>
      </c>
      <c r="H29" s="7">
        <f>IF(G29="","",INDEX(Leads!$AQ$3:$AQ$1002,MATCH(28,Leads!$BA$3:$BA$1002,0)))</f>
        <v/>
      </c>
      <c r="I29" s="7">
        <f>IF(G29="","",INDEX(Leads!$AI$3:$AI$1002,MATCH(28,Leads!$BA$3:$BA$1002,0))&amp;"")</f>
        <v/>
      </c>
      <c r="J29" s="61">
        <f>IF(G29="","",INDEX(Leads!$W$3:$W$1002,MATCH(28,Leads!$BA$3:$BA$1002,0)))</f>
        <v/>
      </c>
    </row>
    <row r="30">
      <c r="A30" s="12">
        <f>IF(G30="","",INDEX(Leads!$AC$3:$AC$1002,MATCH(29,Leads!$BA$3:$BA$1002,0)))</f>
        <v/>
      </c>
      <c r="B30" s="12">
        <f>IF(G30="","","depot_paye")</f>
        <v/>
      </c>
      <c r="C30" s="12">
        <f>IF(G30="","",YEAR(J30)&amp;"-"&amp;RIGHT("0"&amp;MONTH(J30),2)&amp;"-"&amp;RIGHT("0"&amp;DAY(J30),2)&amp;" "&amp;RIGHT("0"&amp;HOUR(J30),2)&amp;":"&amp;RIGHT("0"&amp;MINUTE(J30),2)&amp;":"&amp;RIGHT("0"&amp;SECOND(J30),2)&amp;IF(AND(J30&gt;=DATE(YEAR(J30),3,8)+MOD(8-WEEKDAY(DATE(YEAR(J30),3,8)),7)+2/24,J30&lt;DATE(YEAR(J30),11,1)+MOD(8-WEEKDAY(DATE(YEAR(J30),11,1)),7)+2/24),"-04:00","-05:00"))</f>
        <v/>
      </c>
      <c r="D30" s="60">
        <f>IF(G30="","",INDEX(Leads!$V$3:$V$1002,MATCH(29,Leads!$BA$3:$BA$1002,0)))</f>
        <v/>
      </c>
      <c r="E30" s="12">
        <f>IF(G30="","","CAD")</f>
        <v/>
      </c>
      <c r="G30" s="7">
        <f>IFERROR(INDEX(Leads!$A$3:$A$1002,MATCH(29,Leads!$BA$3:$BA$1002,0)),"")</f>
        <v/>
      </c>
      <c r="H30" s="7">
        <f>IF(G30="","",INDEX(Leads!$AQ$3:$AQ$1002,MATCH(29,Leads!$BA$3:$BA$1002,0)))</f>
        <v/>
      </c>
      <c r="I30" s="7">
        <f>IF(G30="","",INDEX(Leads!$AI$3:$AI$1002,MATCH(29,Leads!$BA$3:$BA$1002,0))&amp;"")</f>
        <v/>
      </c>
      <c r="J30" s="61">
        <f>IF(G30="","",INDEX(Leads!$W$3:$W$1002,MATCH(29,Leads!$BA$3:$BA$1002,0)))</f>
        <v/>
      </c>
    </row>
    <row r="31">
      <c r="A31" s="12">
        <f>IF(G31="","",INDEX(Leads!$AC$3:$AC$1002,MATCH(30,Leads!$BA$3:$BA$1002,0)))</f>
        <v/>
      </c>
      <c r="B31" s="12">
        <f>IF(G31="","","depot_paye")</f>
        <v/>
      </c>
      <c r="C31" s="12">
        <f>IF(G31="","",YEAR(J31)&amp;"-"&amp;RIGHT("0"&amp;MONTH(J31),2)&amp;"-"&amp;RIGHT("0"&amp;DAY(J31),2)&amp;" "&amp;RIGHT("0"&amp;HOUR(J31),2)&amp;":"&amp;RIGHT("0"&amp;MINUTE(J31),2)&amp;":"&amp;RIGHT("0"&amp;SECOND(J31),2)&amp;IF(AND(J31&gt;=DATE(YEAR(J31),3,8)+MOD(8-WEEKDAY(DATE(YEAR(J31),3,8)),7)+2/24,J31&lt;DATE(YEAR(J31),11,1)+MOD(8-WEEKDAY(DATE(YEAR(J31),11,1)),7)+2/24),"-04:00","-05:00"))</f>
        <v/>
      </c>
      <c r="D31" s="60">
        <f>IF(G31="","",INDEX(Leads!$V$3:$V$1002,MATCH(30,Leads!$BA$3:$BA$1002,0)))</f>
        <v/>
      </c>
      <c r="E31" s="12">
        <f>IF(G31="","","CAD")</f>
        <v/>
      </c>
      <c r="G31" s="7">
        <f>IFERROR(INDEX(Leads!$A$3:$A$1002,MATCH(30,Leads!$BA$3:$BA$1002,0)),"")</f>
        <v/>
      </c>
      <c r="H31" s="7">
        <f>IF(G31="","",INDEX(Leads!$AQ$3:$AQ$1002,MATCH(30,Leads!$BA$3:$BA$1002,0)))</f>
        <v/>
      </c>
      <c r="I31" s="7">
        <f>IF(G31="","",INDEX(Leads!$AI$3:$AI$1002,MATCH(30,Leads!$BA$3:$BA$1002,0))&amp;"")</f>
        <v/>
      </c>
      <c r="J31" s="61">
        <f>IF(G31="","",INDEX(Leads!$W$3:$W$1002,MATCH(30,Leads!$BA$3:$BA$1002,0)))</f>
        <v/>
      </c>
    </row>
    <row r="32">
      <c r="A32" s="12">
        <f>IF(G32="","",INDEX(Leads!$AC$3:$AC$1002,MATCH(31,Leads!$BA$3:$BA$1002,0)))</f>
        <v/>
      </c>
      <c r="B32" s="12">
        <f>IF(G32="","","depot_paye")</f>
        <v/>
      </c>
      <c r="C32" s="12">
        <f>IF(G32="","",YEAR(J32)&amp;"-"&amp;RIGHT("0"&amp;MONTH(J32),2)&amp;"-"&amp;RIGHT("0"&amp;DAY(J32),2)&amp;" "&amp;RIGHT("0"&amp;HOUR(J32),2)&amp;":"&amp;RIGHT("0"&amp;MINUTE(J32),2)&amp;":"&amp;RIGHT("0"&amp;SECOND(J32),2)&amp;IF(AND(J32&gt;=DATE(YEAR(J32),3,8)+MOD(8-WEEKDAY(DATE(YEAR(J32),3,8)),7)+2/24,J32&lt;DATE(YEAR(J32),11,1)+MOD(8-WEEKDAY(DATE(YEAR(J32),11,1)),7)+2/24),"-04:00","-05:00"))</f>
        <v/>
      </c>
      <c r="D32" s="60">
        <f>IF(G32="","",INDEX(Leads!$V$3:$V$1002,MATCH(31,Leads!$BA$3:$BA$1002,0)))</f>
        <v/>
      </c>
      <c r="E32" s="12">
        <f>IF(G32="","","CAD")</f>
        <v/>
      </c>
      <c r="G32" s="7">
        <f>IFERROR(INDEX(Leads!$A$3:$A$1002,MATCH(31,Leads!$BA$3:$BA$1002,0)),"")</f>
        <v/>
      </c>
      <c r="H32" s="7">
        <f>IF(G32="","",INDEX(Leads!$AQ$3:$AQ$1002,MATCH(31,Leads!$BA$3:$BA$1002,0)))</f>
        <v/>
      </c>
      <c r="I32" s="7">
        <f>IF(G32="","",INDEX(Leads!$AI$3:$AI$1002,MATCH(31,Leads!$BA$3:$BA$1002,0))&amp;"")</f>
        <v/>
      </c>
      <c r="J32" s="61">
        <f>IF(G32="","",INDEX(Leads!$W$3:$W$1002,MATCH(31,Leads!$BA$3:$BA$1002,0)))</f>
        <v/>
      </c>
    </row>
    <row r="33">
      <c r="A33" s="12">
        <f>IF(G33="","",INDEX(Leads!$AC$3:$AC$1002,MATCH(32,Leads!$BA$3:$BA$1002,0)))</f>
        <v/>
      </c>
      <c r="B33" s="12">
        <f>IF(G33="","","depot_paye")</f>
        <v/>
      </c>
      <c r="C33" s="12">
        <f>IF(G33="","",YEAR(J33)&amp;"-"&amp;RIGHT("0"&amp;MONTH(J33),2)&amp;"-"&amp;RIGHT("0"&amp;DAY(J33),2)&amp;" "&amp;RIGHT("0"&amp;HOUR(J33),2)&amp;":"&amp;RIGHT("0"&amp;MINUTE(J33),2)&amp;":"&amp;RIGHT("0"&amp;SECOND(J33),2)&amp;IF(AND(J33&gt;=DATE(YEAR(J33),3,8)+MOD(8-WEEKDAY(DATE(YEAR(J33),3,8)),7)+2/24,J33&lt;DATE(YEAR(J33),11,1)+MOD(8-WEEKDAY(DATE(YEAR(J33),11,1)),7)+2/24),"-04:00","-05:00"))</f>
        <v/>
      </c>
      <c r="D33" s="60">
        <f>IF(G33="","",INDEX(Leads!$V$3:$V$1002,MATCH(32,Leads!$BA$3:$BA$1002,0)))</f>
        <v/>
      </c>
      <c r="E33" s="12">
        <f>IF(G33="","","CAD")</f>
        <v/>
      </c>
      <c r="G33" s="7">
        <f>IFERROR(INDEX(Leads!$A$3:$A$1002,MATCH(32,Leads!$BA$3:$BA$1002,0)),"")</f>
        <v/>
      </c>
      <c r="H33" s="7">
        <f>IF(G33="","",INDEX(Leads!$AQ$3:$AQ$1002,MATCH(32,Leads!$BA$3:$BA$1002,0)))</f>
        <v/>
      </c>
      <c r="I33" s="7">
        <f>IF(G33="","",INDEX(Leads!$AI$3:$AI$1002,MATCH(32,Leads!$BA$3:$BA$1002,0))&amp;"")</f>
        <v/>
      </c>
      <c r="J33" s="61">
        <f>IF(G33="","",INDEX(Leads!$W$3:$W$1002,MATCH(32,Leads!$BA$3:$BA$1002,0)))</f>
        <v/>
      </c>
    </row>
    <row r="34">
      <c r="A34" s="12">
        <f>IF(G34="","",INDEX(Leads!$AC$3:$AC$1002,MATCH(33,Leads!$BA$3:$BA$1002,0)))</f>
        <v/>
      </c>
      <c r="B34" s="12">
        <f>IF(G34="","","depot_paye")</f>
        <v/>
      </c>
      <c r="C34" s="12">
        <f>IF(G34="","",YEAR(J34)&amp;"-"&amp;RIGHT("0"&amp;MONTH(J34),2)&amp;"-"&amp;RIGHT("0"&amp;DAY(J34),2)&amp;" "&amp;RIGHT("0"&amp;HOUR(J34),2)&amp;":"&amp;RIGHT("0"&amp;MINUTE(J34),2)&amp;":"&amp;RIGHT("0"&amp;SECOND(J34),2)&amp;IF(AND(J34&gt;=DATE(YEAR(J34),3,8)+MOD(8-WEEKDAY(DATE(YEAR(J34),3,8)),7)+2/24,J34&lt;DATE(YEAR(J34),11,1)+MOD(8-WEEKDAY(DATE(YEAR(J34),11,1)),7)+2/24),"-04:00","-05:00"))</f>
        <v/>
      </c>
      <c r="D34" s="60">
        <f>IF(G34="","",INDEX(Leads!$V$3:$V$1002,MATCH(33,Leads!$BA$3:$BA$1002,0)))</f>
        <v/>
      </c>
      <c r="E34" s="12">
        <f>IF(G34="","","CAD")</f>
        <v/>
      </c>
      <c r="G34" s="7">
        <f>IFERROR(INDEX(Leads!$A$3:$A$1002,MATCH(33,Leads!$BA$3:$BA$1002,0)),"")</f>
        <v/>
      </c>
      <c r="H34" s="7">
        <f>IF(G34="","",INDEX(Leads!$AQ$3:$AQ$1002,MATCH(33,Leads!$BA$3:$BA$1002,0)))</f>
        <v/>
      </c>
      <c r="I34" s="7">
        <f>IF(G34="","",INDEX(Leads!$AI$3:$AI$1002,MATCH(33,Leads!$BA$3:$BA$1002,0))&amp;"")</f>
        <v/>
      </c>
      <c r="J34" s="61">
        <f>IF(G34="","",INDEX(Leads!$W$3:$W$1002,MATCH(33,Leads!$BA$3:$BA$1002,0)))</f>
        <v/>
      </c>
    </row>
    <row r="35">
      <c r="A35" s="12">
        <f>IF(G35="","",INDEX(Leads!$AC$3:$AC$1002,MATCH(34,Leads!$BA$3:$BA$1002,0)))</f>
        <v/>
      </c>
      <c r="B35" s="12">
        <f>IF(G35="","","depot_paye")</f>
        <v/>
      </c>
      <c r="C35" s="12">
        <f>IF(G35="","",YEAR(J35)&amp;"-"&amp;RIGHT("0"&amp;MONTH(J35),2)&amp;"-"&amp;RIGHT("0"&amp;DAY(J35),2)&amp;" "&amp;RIGHT("0"&amp;HOUR(J35),2)&amp;":"&amp;RIGHT("0"&amp;MINUTE(J35),2)&amp;":"&amp;RIGHT("0"&amp;SECOND(J35),2)&amp;IF(AND(J35&gt;=DATE(YEAR(J35),3,8)+MOD(8-WEEKDAY(DATE(YEAR(J35),3,8)),7)+2/24,J35&lt;DATE(YEAR(J35),11,1)+MOD(8-WEEKDAY(DATE(YEAR(J35),11,1)),7)+2/24),"-04:00","-05:00"))</f>
        <v/>
      </c>
      <c r="D35" s="60">
        <f>IF(G35="","",INDEX(Leads!$V$3:$V$1002,MATCH(34,Leads!$BA$3:$BA$1002,0)))</f>
        <v/>
      </c>
      <c r="E35" s="12">
        <f>IF(G35="","","CAD")</f>
        <v/>
      </c>
      <c r="G35" s="7">
        <f>IFERROR(INDEX(Leads!$A$3:$A$1002,MATCH(34,Leads!$BA$3:$BA$1002,0)),"")</f>
        <v/>
      </c>
      <c r="H35" s="7">
        <f>IF(G35="","",INDEX(Leads!$AQ$3:$AQ$1002,MATCH(34,Leads!$BA$3:$BA$1002,0)))</f>
        <v/>
      </c>
      <c r="I35" s="7">
        <f>IF(G35="","",INDEX(Leads!$AI$3:$AI$1002,MATCH(34,Leads!$BA$3:$BA$1002,0))&amp;"")</f>
        <v/>
      </c>
      <c r="J35" s="61">
        <f>IF(G35="","",INDEX(Leads!$W$3:$W$1002,MATCH(34,Leads!$BA$3:$BA$1002,0)))</f>
        <v/>
      </c>
    </row>
    <row r="36">
      <c r="A36" s="12">
        <f>IF(G36="","",INDEX(Leads!$AC$3:$AC$1002,MATCH(35,Leads!$BA$3:$BA$1002,0)))</f>
        <v/>
      </c>
      <c r="B36" s="12">
        <f>IF(G36="","","depot_paye")</f>
        <v/>
      </c>
      <c r="C36" s="12">
        <f>IF(G36="","",YEAR(J36)&amp;"-"&amp;RIGHT("0"&amp;MONTH(J36),2)&amp;"-"&amp;RIGHT("0"&amp;DAY(J36),2)&amp;" "&amp;RIGHT("0"&amp;HOUR(J36),2)&amp;":"&amp;RIGHT("0"&amp;MINUTE(J36),2)&amp;":"&amp;RIGHT("0"&amp;SECOND(J36),2)&amp;IF(AND(J36&gt;=DATE(YEAR(J36),3,8)+MOD(8-WEEKDAY(DATE(YEAR(J36),3,8)),7)+2/24,J36&lt;DATE(YEAR(J36),11,1)+MOD(8-WEEKDAY(DATE(YEAR(J36),11,1)),7)+2/24),"-04:00","-05:00"))</f>
        <v/>
      </c>
      <c r="D36" s="60">
        <f>IF(G36="","",INDEX(Leads!$V$3:$V$1002,MATCH(35,Leads!$BA$3:$BA$1002,0)))</f>
        <v/>
      </c>
      <c r="E36" s="12">
        <f>IF(G36="","","CAD")</f>
        <v/>
      </c>
      <c r="G36" s="7">
        <f>IFERROR(INDEX(Leads!$A$3:$A$1002,MATCH(35,Leads!$BA$3:$BA$1002,0)),"")</f>
        <v/>
      </c>
      <c r="H36" s="7">
        <f>IF(G36="","",INDEX(Leads!$AQ$3:$AQ$1002,MATCH(35,Leads!$BA$3:$BA$1002,0)))</f>
        <v/>
      </c>
      <c r="I36" s="7">
        <f>IF(G36="","",INDEX(Leads!$AI$3:$AI$1002,MATCH(35,Leads!$BA$3:$BA$1002,0))&amp;"")</f>
        <v/>
      </c>
      <c r="J36" s="61">
        <f>IF(G36="","",INDEX(Leads!$W$3:$W$1002,MATCH(35,Leads!$BA$3:$BA$1002,0)))</f>
        <v/>
      </c>
    </row>
    <row r="37">
      <c r="A37" s="12">
        <f>IF(G37="","",INDEX(Leads!$AC$3:$AC$1002,MATCH(36,Leads!$BA$3:$BA$1002,0)))</f>
        <v/>
      </c>
      <c r="B37" s="12">
        <f>IF(G37="","","depot_paye")</f>
        <v/>
      </c>
      <c r="C37" s="12">
        <f>IF(G37="","",YEAR(J37)&amp;"-"&amp;RIGHT("0"&amp;MONTH(J37),2)&amp;"-"&amp;RIGHT("0"&amp;DAY(J37),2)&amp;" "&amp;RIGHT("0"&amp;HOUR(J37),2)&amp;":"&amp;RIGHT("0"&amp;MINUTE(J37),2)&amp;":"&amp;RIGHT("0"&amp;SECOND(J37),2)&amp;IF(AND(J37&gt;=DATE(YEAR(J37),3,8)+MOD(8-WEEKDAY(DATE(YEAR(J37),3,8)),7)+2/24,J37&lt;DATE(YEAR(J37),11,1)+MOD(8-WEEKDAY(DATE(YEAR(J37),11,1)),7)+2/24),"-04:00","-05:00"))</f>
        <v/>
      </c>
      <c r="D37" s="60">
        <f>IF(G37="","",INDEX(Leads!$V$3:$V$1002,MATCH(36,Leads!$BA$3:$BA$1002,0)))</f>
        <v/>
      </c>
      <c r="E37" s="12">
        <f>IF(G37="","","CAD")</f>
        <v/>
      </c>
      <c r="G37" s="7">
        <f>IFERROR(INDEX(Leads!$A$3:$A$1002,MATCH(36,Leads!$BA$3:$BA$1002,0)),"")</f>
        <v/>
      </c>
      <c r="H37" s="7">
        <f>IF(G37="","",INDEX(Leads!$AQ$3:$AQ$1002,MATCH(36,Leads!$BA$3:$BA$1002,0)))</f>
        <v/>
      </c>
      <c r="I37" s="7">
        <f>IF(G37="","",INDEX(Leads!$AI$3:$AI$1002,MATCH(36,Leads!$BA$3:$BA$1002,0))&amp;"")</f>
        <v/>
      </c>
      <c r="J37" s="61">
        <f>IF(G37="","",INDEX(Leads!$W$3:$W$1002,MATCH(36,Leads!$BA$3:$BA$1002,0)))</f>
        <v/>
      </c>
    </row>
    <row r="38">
      <c r="A38" s="12">
        <f>IF(G38="","",INDEX(Leads!$AC$3:$AC$1002,MATCH(37,Leads!$BA$3:$BA$1002,0)))</f>
        <v/>
      </c>
      <c r="B38" s="12">
        <f>IF(G38="","","depot_paye")</f>
        <v/>
      </c>
      <c r="C38" s="12">
        <f>IF(G38="","",YEAR(J38)&amp;"-"&amp;RIGHT("0"&amp;MONTH(J38),2)&amp;"-"&amp;RIGHT("0"&amp;DAY(J38),2)&amp;" "&amp;RIGHT("0"&amp;HOUR(J38),2)&amp;":"&amp;RIGHT("0"&amp;MINUTE(J38),2)&amp;":"&amp;RIGHT("0"&amp;SECOND(J38),2)&amp;IF(AND(J38&gt;=DATE(YEAR(J38),3,8)+MOD(8-WEEKDAY(DATE(YEAR(J38),3,8)),7)+2/24,J38&lt;DATE(YEAR(J38),11,1)+MOD(8-WEEKDAY(DATE(YEAR(J38),11,1)),7)+2/24),"-04:00","-05:00"))</f>
        <v/>
      </c>
      <c r="D38" s="60">
        <f>IF(G38="","",INDEX(Leads!$V$3:$V$1002,MATCH(37,Leads!$BA$3:$BA$1002,0)))</f>
        <v/>
      </c>
      <c r="E38" s="12">
        <f>IF(G38="","","CAD")</f>
        <v/>
      </c>
      <c r="G38" s="7">
        <f>IFERROR(INDEX(Leads!$A$3:$A$1002,MATCH(37,Leads!$BA$3:$BA$1002,0)),"")</f>
        <v/>
      </c>
      <c r="H38" s="7">
        <f>IF(G38="","",INDEX(Leads!$AQ$3:$AQ$1002,MATCH(37,Leads!$BA$3:$BA$1002,0)))</f>
        <v/>
      </c>
      <c r="I38" s="7">
        <f>IF(G38="","",INDEX(Leads!$AI$3:$AI$1002,MATCH(37,Leads!$BA$3:$BA$1002,0))&amp;"")</f>
        <v/>
      </c>
      <c r="J38" s="61">
        <f>IF(G38="","",INDEX(Leads!$W$3:$W$1002,MATCH(37,Leads!$BA$3:$BA$1002,0)))</f>
        <v/>
      </c>
    </row>
    <row r="39">
      <c r="A39" s="12">
        <f>IF(G39="","",INDEX(Leads!$AC$3:$AC$1002,MATCH(38,Leads!$BA$3:$BA$1002,0)))</f>
        <v/>
      </c>
      <c r="B39" s="12">
        <f>IF(G39="","","depot_paye")</f>
        <v/>
      </c>
      <c r="C39" s="12">
        <f>IF(G39="","",YEAR(J39)&amp;"-"&amp;RIGHT("0"&amp;MONTH(J39),2)&amp;"-"&amp;RIGHT("0"&amp;DAY(J39),2)&amp;" "&amp;RIGHT("0"&amp;HOUR(J39),2)&amp;":"&amp;RIGHT("0"&amp;MINUTE(J39),2)&amp;":"&amp;RIGHT("0"&amp;SECOND(J39),2)&amp;IF(AND(J39&gt;=DATE(YEAR(J39),3,8)+MOD(8-WEEKDAY(DATE(YEAR(J39),3,8)),7)+2/24,J39&lt;DATE(YEAR(J39),11,1)+MOD(8-WEEKDAY(DATE(YEAR(J39),11,1)),7)+2/24),"-04:00","-05:00"))</f>
        <v/>
      </c>
      <c r="D39" s="60">
        <f>IF(G39="","",INDEX(Leads!$V$3:$V$1002,MATCH(38,Leads!$BA$3:$BA$1002,0)))</f>
        <v/>
      </c>
      <c r="E39" s="12">
        <f>IF(G39="","","CAD")</f>
        <v/>
      </c>
      <c r="G39" s="7">
        <f>IFERROR(INDEX(Leads!$A$3:$A$1002,MATCH(38,Leads!$BA$3:$BA$1002,0)),"")</f>
        <v/>
      </c>
      <c r="H39" s="7">
        <f>IF(G39="","",INDEX(Leads!$AQ$3:$AQ$1002,MATCH(38,Leads!$BA$3:$BA$1002,0)))</f>
        <v/>
      </c>
      <c r="I39" s="7">
        <f>IF(G39="","",INDEX(Leads!$AI$3:$AI$1002,MATCH(38,Leads!$BA$3:$BA$1002,0))&amp;"")</f>
        <v/>
      </c>
      <c r="J39" s="61">
        <f>IF(G39="","",INDEX(Leads!$W$3:$W$1002,MATCH(38,Leads!$BA$3:$BA$1002,0)))</f>
        <v/>
      </c>
    </row>
    <row r="40">
      <c r="A40" s="12">
        <f>IF(G40="","",INDEX(Leads!$AC$3:$AC$1002,MATCH(39,Leads!$BA$3:$BA$1002,0)))</f>
        <v/>
      </c>
      <c r="B40" s="12">
        <f>IF(G40="","","depot_paye")</f>
        <v/>
      </c>
      <c r="C40" s="12">
        <f>IF(G40="","",YEAR(J40)&amp;"-"&amp;RIGHT("0"&amp;MONTH(J40),2)&amp;"-"&amp;RIGHT("0"&amp;DAY(J40),2)&amp;" "&amp;RIGHT("0"&amp;HOUR(J40),2)&amp;":"&amp;RIGHT("0"&amp;MINUTE(J40),2)&amp;":"&amp;RIGHT("0"&amp;SECOND(J40),2)&amp;IF(AND(J40&gt;=DATE(YEAR(J40),3,8)+MOD(8-WEEKDAY(DATE(YEAR(J40),3,8)),7)+2/24,J40&lt;DATE(YEAR(J40),11,1)+MOD(8-WEEKDAY(DATE(YEAR(J40),11,1)),7)+2/24),"-04:00","-05:00"))</f>
        <v/>
      </c>
      <c r="D40" s="60">
        <f>IF(G40="","",INDEX(Leads!$V$3:$V$1002,MATCH(39,Leads!$BA$3:$BA$1002,0)))</f>
        <v/>
      </c>
      <c r="E40" s="12">
        <f>IF(G40="","","CAD")</f>
        <v/>
      </c>
      <c r="G40" s="7">
        <f>IFERROR(INDEX(Leads!$A$3:$A$1002,MATCH(39,Leads!$BA$3:$BA$1002,0)),"")</f>
        <v/>
      </c>
      <c r="H40" s="7">
        <f>IF(G40="","",INDEX(Leads!$AQ$3:$AQ$1002,MATCH(39,Leads!$BA$3:$BA$1002,0)))</f>
        <v/>
      </c>
      <c r="I40" s="7">
        <f>IF(G40="","",INDEX(Leads!$AI$3:$AI$1002,MATCH(39,Leads!$BA$3:$BA$1002,0))&amp;"")</f>
        <v/>
      </c>
      <c r="J40" s="61">
        <f>IF(G40="","",INDEX(Leads!$W$3:$W$1002,MATCH(39,Leads!$BA$3:$BA$1002,0)))</f>
        <v/>
      </c>
    </row>
    <row r="41">
      <c r="A41" s="12">
        <f>IF(G41="","",INDEX(Leads!$AC$3:$AC$1002,MATCH(40,Leads!$BA$3:$BA$1002,0)))</f>
        <v/>
      </c>
      <c r="B41" s="12">
        <f>IF(G41="","","depot_paye")</f>
        <v/>
      </c>
      <c r="C41" s="12">
        <f>IF(G41="","",YEAR(J41)&amp;"-"&amp;RIGHT("0"&amp;MONTH(J41),2)&amp;"-"&amp;RIGHT("0"&amp;DAY(J41),2)&amp;" "&amp;RIGHT("0"&amp;HOUR(J41),2)&amp;":"&amp;RIGHT("0"&amp;MINUTE(J41),2)&amp;":"&amp;RIGHT("0"&amp;SECOND(J41),2)&amp;IF(AND(J41&gt;=DATE(YEAR(J41),3,8)+MOD(8-WEEKDAY(DATE(YEAR(J41),3,8)),7)+2/24,J41&lt;DATE(YEAR(J41),11,1)+MOD(8-WEEKDAY(DATE(YEAR(J41),11,1)),7)+2/24),"-04:00","-05:00"))</f>
        <v/>
      </c>
      <c r="D41" s="60">
        <f>IF(G41="","",INDEX(Leads!$V$3:$V$1002,MATCH(40,Leads!$BA$3:$BA$1002,0)))</f>
        <v/>
      </c>
      <c r="E41" s="12">
        <f>IF(G41="","","CAD")</f>
        <v/>
      </c>
      <c r="G41" s="7">
        <f>IFERROR(INDEX(Leads!$A$3:$A$1002,MATCH(40,Leads!$BA$3:$BA$1002,0)),"")</f>
        <v/>
      </c>
      <c r="H41" s="7">
        <f>IF(G41="","",INDEX(Leads!$AQ$3:$AQ$1002,MATCH(40,Leads!$BA$3:$BA$1002,0)))</f>
        <v/>
      </c>
      <c r="I41" s="7">
        <f>IF(G41="","",INDEX(Leads!$AI$3:$AI$1002,MATCH(40,Leads!$BA$3:$BA$1002,0))&amp;"")</f>
        <v/>
      </c>
      <c r="J41" s="61">
        <f>IF(G41="","",INDEX(Leads!$W$3:$W$1002,MATCH(40,Leads!$BA$3:$BA$1002,0)))</f>
        <v/>
      </c>
    </row>
    <row r="42">
      <c r="A42" s="12">
        <f>IF(G42="","",INDEX(Leads!$AC$3:$AC$1002,MATCH(41,Leads!$BA$3:$BA$1002,0)))</f>
        <v/>
      </c>
      <c r="B42" s="12">
        <f>IF(G42="","","depot_paye")</f>
        <v/>
      </c>
      <c r="C42" s="12">
        <f>IF(G42="","",YEAR(J42)&amp;"-"&amp;RIGHT("0"&amp;MONTH(J42),2)&amp;"-"&amp;RIGHT("0"&amp;DAY(J42),2)&amp;" "&amp;RIGHT("0"&amp;HOUR(J42),2)&amp;":"&amp;RIGHT("0"&amp;MINUTE(J42),2)&amp;":"&amp;RIGHT("0"&amp;SECOND(J42),2)&amp;IF(AND(J42&gt;=DATE(YEAR(J42),3,8)+MOD(8-WEEKDAY(DATE(YEAR(J42),3,8)),7)+2/24,J42&lt;DATE(YEAR(J42),11,1)+MOD(8-WEEKDAY(DATE(YEAR(J42),11,1)),7)+2/24),"-04:00","-05:00"))</f>
        <v/>
      </c>
      <c r="D42" s="60">
        <f>IF(G42="","",INDEX(Leads!$V$3:$V$1002,MATCH(41,Leads!$BA$3:$BA$1002,0)))</f>
        <v/>
      </c>
      <c r="E42" s="12">
        <f>IF(G42="","","CAD")</f>
        <v/>
      </c>
      <c r="G42" s="7">
        <f>IFERROR(INDEX(Leads!$A$3:$A$1002,MATCH(41,Leads!$BA$3:$BA$1002,0)),"")</f>
        <v/>
      </c>
      <c r="H42" s="7">
        <f>IF(G42="","",INDEX(Leads!$AQ$3:$AQ$1002,MATCH(41,Leads!$BA$3:$BA$1002,0)))</f>
        <v/>
      </c>
      <c r="I42" s="7">
        <f>IF(G42="","",INDEX(Leads!$AI$3:$AI$1002,MATCH(41,Leads!$BA$3:$BA$1002,0))&amp;"")</f>
        <v/>
      </c>
      <c r="J42" s="61">
        <f>IF(G42="","",INDEX(Leads!$W$3:$W$1002,MATCH(41,Leads!$BA$3:$BA$1002,0)))</f>
        <v/>
      </c>
    </row>
    <row r="43">
      <c r="A43" s="12">
        <f>IF(G43="","",INDEX(Leads!$AC$3:$AC$1002,MATCH(42,Leads!$BA$3:$BA$1002,0)))</f>
        <v/>
      </c>
      <c r="B43" s="12">
        <f>IF(G43="","","depot_paye")</f>
        <v/>
      </c>
      <c r="C43" s="12">
        <f>IF(G43="","",YEAR(J43)&amp;"-"&amp;RIGHT("0"&amp;MONTH(J43),2)&amp;"-"&amp;RIGHT("0"&amp;DAY(J43),2)&amp;" "&amp;RIGHT("0"&amp;HOUR(J43),2)&amp;":"&amp;RIGHT("0"&amp;MINUTE(J43),2)&amp;":"&amp;RIGHT("0"&amp;SECOND(J43),2)&amp;IF(AND(J43&gt;=DATE(YEAR(J43),3,8)+MOD(8-WEEKDAY(DATE(YEAR(J43),3,8)),7)+2/24,J43&lt;DATE(YEAR(J43),11,1)+MOD(8-WEEKDAY(DATE(YEAR(J43),11,1)),7)+2/24),"-04:00","-05:00"))</f>
        <v/>
      </c>
      <c r="D43" s="60">
        <f>IF(G43="","",INDEX(Leads!$V$3:$V$1002,MATCH(42,Leads!$BA$3:$BA$1002,0)))</f>
        <v/>
      </c>
      <c r="E43" s="12">
        <f>IF(G43="","","CAD")</f>
        <v/>
      </c>
      <c r="G43" s="7">
        <f>IFERROR(INDEX(Leads!$A$3:$A$1002,MATCH(42,Leads!$BA$3:$BA$1002,0)),"")</f>
        <v/>
      </c>
      <c r="H43" s="7">
        <f>IF(G43="","",INDEX(Leads!$AQ$3:$AQ$1002,MATCH(42,Leads!$BA$3:$BA$1002,0)))</f>
        <v/>
      </c>
      <c r="I43" s="7">
        <f>IF(G43="","",INDEX(Leads!$AI$3:$AI$1002,MATCH(42,Leads!$BA$3:$BA$1002,0))&amp;"")</f>
        <v/>
      </c>
      <c r="J43" s="61">
        <f>IF(G43="","",INDEX(Leads!$W$3:$W$1002,MATCH(42,Leads!$BA$3:$BA$1002,0)))</f>
        <v/>
      </c>
    </row>
    <row r="44">
      <c r="A44" s="12">
        <f>IF(G44="","",INDEX(Leads!$AC$3:$AC$1002,MATCH(43,Leads!$BA$3:$BA$1002,0)))</f>
        <v/>
      </c>
      <c r="B44" s="12">
        <f>IF(G44="","","depot_paye")</f>
        <v/>
      </c>
      <c r="C44" s="12">
        <f>IF(G44="","",YEAR(J44)&amp;"-"&amp;RIGHT("0"&amp;MONTH(J44),2)&amp;"-"&amp;RIGHT("0"&amp;DAY(J44),2)&amp;" "&amp;RIGHT("0"&amp;HOUR(J44),2)&amp;":"&amp;RIGHT("0"&amp;MINUTE(J44),2)&amp;":"&amp;RIGHT("0"&amp;SECOND(J44),2)&amp;IF(AND(J44&gt;=DATE(YEAR(J44),3,8)+MOD(8-WEEKDAY(DATE(YEAR(J44),3,8)),7)+2/24,J44&lt;DATE(YEAR(J44),11,1)+MOD(8-WEEKDAY(DATE(YEAR(J44),11,1)),7)+2/24),"-04:00","-05:00"))</f>
        <v/>
      </c>
      <c r="D44" s="60">
        <f>IF(G44="","",INDEX(Leads!$V$3:$V$1002,MATCH(43,Leads!$BA$3:$BA$1002,0)))</f>
        <v/>
      </c>
      <c r="E44" s="12">
        <f>IF(G44="","","CAD")</f>
        <v/>
      </c>
      <c r="G44" s="7">
        <f>IFERROR(INDEX(Leads!$A$3:$A$1002,MATCH(43,Leads!$BA$3:$BA$1002,0)),"")</f>
        <v/>
      </c>
      <c r="H44" s="7">
        <f>IF(G44="","",INDEX(Leads!$AQ$3:$AQ$1002,MATCH(43,Leads!$BA$3:$BA$1002,0)))</f>
        <v/>
      </c>
      <c r="I44" s="7">
        <f>IF(G44="","",INDEX(Leads!$AI$3:$AI$1002,MATCH(43,Leads!$BA$3:$BA$1002,0))&amp;"")</f>
        <v/>
      </c>
      <c r="J44" s="61">
        <f>IF(G44="","",INDEX(Leads!$W$3:$W$1002,MATCH(43,Leads!$BA$3:$BA$1002,0)))</f>
        <v/>
      </c>
    </row>
    <row r="45">
      <c r="A45" s="12">
        <f>IF(G45="","",INDEX(Leads!$AC$3:$AC$1002,MATCH(44,Leads!$BA$3:$BA$1002,0)))</f>
        <v/>
      </c>
      <c r="B45" s="12">
        <f>IF(G45="","","depot_paye")</f>
        <v/>
      </c>
      <c r="C45" s="12">
        <f>IF(G45="","",YEAR(J45)&amp;"-"&amp;RIGHT("0"&amp;MONTH(J45),2)&amp;"-"&amp;RIGHT("0"&amp;DAY(J45),2)&amp;" "&amp;RIGHT("0"&amp;HOUR(J45),2)&amp;":"&amp;RIGHT("0"&amp;MINUTE(J45),2)&amp;":"&amp;RIGHT("0"&amp;SECOND(J45),2)&amp;IF(AND(J45&gt;=DATE(YEAR(J45),3,8)+MOD(8-WEEKDAY(DATE(YEAR(J45),3,8)),7)+2/24,J45&lt;DATE(YEAR(J45),11,1)+MOD(8-WEEKDAY(DATE(YEAR(J45),11,1)),7)+2/24),"-04:00","-05:00"))</f>
        <v/>
      </c>
      <c r="D45" s="60">
        <f>IF(G45="","",INDEX(Leads!$V$3:$V$1002,MATCH(44,Leads!$BA$3:$BA$1002,0)))</f>
        <v/>
      </c>
      <c r="E45" s="12">
        <f>IF(G45="","","CAD")</f>
        <v/>
      </c>
      <c r="G45" s="7">
        <f>IFERROR(INDEX(Leads!$A$3:$A$1002,MATCH(44,Leads!$BA$3:$BA$1002,0)),"")</f>
        <v/>
      </c>
      <c r="H45" s="7">
        <f>IF(G45="","",INDEX(Leads!$AQ$3:$AQ$1002,MATCH(44,Leads!$BA$3:$BA$1002,0)))</f>
        <v/>
      </c>
      <c r="I45" s="7">
        <f>IF(G45="","",INDEX(Leads!$AI$3:$AI$1002,MATCH(44,Leads!$BA$3:$BA$1002,0))&amp;"")</f>
        <v/>
      </c>
      <c r="J45" s="61">
        <f>IF(G45="","",INDEX(Leads!$W$3:$W$1002,MATCH(44,Leads!$BA$3:$BA$1002,0)))</f>
        <v/>
      </c>
    </row>
    <row r="46">
      <c r="A46" s="12">
        <f>IF(G46="","",INDEX(Leads!$AC$3:$AC$1002,MATCH(45,Leads!$BA$3:$BA$1002,0)))</f>
        <v/>
      </c>
      <c r="B46" s="12">
        <f>IF(G46="","","depot_paye")</f>
        <v/>
      </c>
      <c r="C46" s="12">
        <f>IF(G46="","",YEAR(J46)&amp;"-"&amp;RIGHT("0"&amp;MONTH(J46),2)&amp;"-"&amp;RIGHT("0"&amp;DAY(J46),2)&amp;" "&amp;RIGHT("0"&amp;HOUR(J46),2)&amp;":"&amp;RIGHT("0"&amp;MINUTE(J46),2)&amp;":"&amp;RIGHT("0"&amp;SECOND(J46),2)&amp;IF(AND(J46&gt;=DATE(YEAR(J46),3,8)+MOD(8-WEEKDAY(DATE(YEAR(J46),3,8)),7)+2/24,J46&lt;DATE(YEAR(J46),11,1)+MOD(8-WEEKDAY(DATE(YEAR(J46),11,1)),7)+2/24),"-04:00","-05:00"))</f>
        <v/>
      </c>
      <c r="D46" s="60">
        <f>IF(G46="","",INDEX(Leads!$V$3:$V$1002,MATCH(45,Leads!$BA$3:$BA$1002,0)))</f>
        <v/>
      </c>
      <c r="E46" s="12">
        <f>IF(G46="","","CAD")</f>
        <v/>
      </c>
      <c r="G46" s="7">
        <f>IFERROR(INDEX(Leads!$A$3:$A$1002,MATCH(45,Leads!$BA$3:$BA$1002,0)),"")</f>
        <v/>
      </c>
      <c r="H46" s="7">
        <f>IF(G46="","",INDEX(Leads!$AQ$3:$AQ$1002,MATCH(45,Leads!$BA$3:$BA$1002,0)))</f>
        <v/>
      </c>
      <c r="I46" s="7">
        <f>IF(G46="","",INDEX(Leads!$AI$3:$AI$1002,MATCH(45,Leads!$BA$3:$BA$1002,0))&amp;"")</f>
        <v/>
      </c>
      <c r="J46" s="61">
        <f>IF(G46="","",INDEX(Leads!$W$3:$W$1002,MATCH(45,Leads!$BA$3:$BA$1002,0)))</f>
        <v/>
      </c>
    </row>
    <row r="47">
      <c r="A47" s="12">
        <f>IF(G47="","",INDEX(Leads!$AC$3:$AC$1002,MATCH(46,Leads!$BA$3:$BA$1002,0)))</f>
        <v/>
      </c>
      <c r="B47" s="12">
        <f>IF(G47="","","depot_paye")</f>
        <v/>
      </c>
      <c r="C47" s="12">
        <f>IF(G47="","",YEAR(J47)&amp;"-"&amp;RIGHT("0"&amp;MONTH(J47),2)&amp;"-"&amp;RIGHT("0"&amp;DAY(J47),2)&amp;" "&amp;RIGHT("0"&amp;HOUR(J47),2)&amp;":"&amp;RIGHT("0"&amp;MINUTE(J47),2)&amp;":"&amp;RIGHT("0"&amp;SECOND(J47),2)&amp;IF(AND(J47&gt;=DATE(YEAR(J47),3,8)+MOD(8-WEEKDAY(DATE(YEAR(J47),3,8)),7)+2/24,J47&lt;DATE(YEAR(J47),11,1)+MOD(8-WEEKDAY(DATE(YEAR(J47),11,1)),7)+2/24),"-04:00","-05:00"))</f>
        <v/>
      </c>
      <c r="D47" s="60">
        <f>IF(G47="","",INDEX(Leads!$V$3:$V$1002,MATCH(46,Leads!$BA$3:$BA$1002,0)))</f>
        <v/>
      </c>
      <c r="E47" s="12">
        <f>IF(G47="","","CAD")</f>
        <v/>
      </c>
      <c r="G47" s="7">
        <f>IFERROR(INDEX(Leads!$A$3:$A$1002,MATCH(46,Leads!$BA$3:$BA$1002,0)),"")</f>
        <v/>
      </c>
      <c r="H47" s="7">
        <f>IF(G47="","",INDEX(Leads!$AQ$3:$AQ$1002,MATCH(46,Leads!$BA$3:$BA$1002,0)))</f>
        <v/>
      </c>
      <c r="I47" s="7">
        <f>IF(G47="","",INDEX(Leads!$AI$3:$AI$1002,MATCH(46,Leads!$BA$3:$BA$1002,0))&amp;"")</f>
        <v/>
      </c>
      <c r="J47" s="61">
        <f>IF(G47="","",INDEX(Leads!$W$3:$W$1002,MATCH(46,Leads!$BA$3:$BA$1002,0)))</f>
        <v/>
      </c>
    </row>
    <row r="48">
      <c r="A48" s="12">
        <f>IF(G48="","",INDEX(Leads!$AC$3:$AC$1002,MATCH(47,Leads!$BA$3:$BA$1002,0)))</f>
        <v/>
      </c>
      <c r="B48" s="12">
        <f>IF(G48="","","depot_paye")</f>
        <v/>
      </c>
      <c r="C48" s="12">
        <f>IF(G48="","",YEAR(J48)&amp;"-"&amp;RIGHT("0"&amp;MONTH(J48),2)&amp;"-"&amp;RIGHT("0"&amp;DAY(J48),2)&amp;" "&amp;RIGHT("0"&amp;HOUR(J48),2)&amp;":"&amp;RIGHT("0"&amp;MINUTE(J48),2)&amp;":"&amp;RIGHT("0"&amp;SECOND(J48),2)&amp;IF(AND(J48&gt;=DATE(YEAR(J48),3,8)+MOD(8-WEEKDAY(DATE(YEAR(J48),3,8)),7)+2/24,J48&lt;DATE(YEAR(J48),11,1)+MOD(8-WEEKDAY(DATE(YEAR(J48),11,1)),7)+2/24),"-04:00","-05:00"))</f>
        <v/>
      </c>
      <c r="D48" s="60">
        <f>IF(G48="","",INDEX(Leads!$V$3:$V$1002,MATCH(47,Leads!$BA$3:$BA$1002,0)))</f>
        <v/>
      </c>
      <c r="E48" s="12">
        <f>IF(G48="","","CAD")</f>
        <v/>
      </c>
      <c r="G48" s="7">
        <f>IFERROR(INDEX(Leads!$A$3:$A$1002,MATCH(47,Leads!$BA$3:$BA$1002,0)),"")</f>
        <v/>
      </c>
      <c r="H48" s="7">
        <f>IF(G48="","",INDEX(Leads!$AQ$3:$AQ$1002,MATCH(47,Leads!$BA$3:$BA$1002,0)))</f>
        <v/>
      </c>
      <c r="I48" s="7">
        <f>IF(G48="","",INDEX(Leads!$AI$3:$AI$1002,MATCH(47,Leads!$BA$3:$BA$1002,0))&amp;"")</f>
        <v/>
      </c>
      <c r="J48" s="61">
        <f>IF(G48="","",INDEX(Leads!$W$3:$W$1002,MATCH(47,Leads!$BA$3:$BA$1002,0)))</f>
        <v/>
      </c>
    </row>
    <row r="49">
      <c r="A49" s="12">
        <f>IF(G49="","",INDEX(Leads!$AC$3:$AC$1002,MATCH(48,Leads!$BA$3:$BA$1002,0)))</f>
        <v/>
      </c>
      <c r="B49" s="12">
        <f>IF(G49="","","depot_paye")</f>
        <v/>
      </c>
      <c r="C49" s="12">
        <f>IF(G49="","",YEAR(J49)&amp;"-"&amp;RIGHT("0"&amp;MONTH(J49),2)&amp;"-"&amp;RIGHT("0"&amp;DAY(J49),2)&amp;" "&amp;RIGHT("0"&amp;HOUR(J49),2)&amp;":"&amp;RIGHT("0"&amp;MINUTE(J49),2)&amp;":"&amp;RIGHT("0"&amp;SECOND(J49),2)&amp;IF(AND(J49&gt;=DATE(YEAR(J49),3,8)+MOD(8-WEEKDAY(DATE(YEAR(J49),3,8)),7)+2/24,J49&lt;DATE(YEAR(J49),11,1)+MOD(8-WEEKDAY(DATE(YEAR(J49),11,1)),7)+2/24),"-04:00","-05:00"))</f>
        <v/>
      </c>
      <c r="D49" s="60">
        <f>IF(G49="","",INDEX(Leads!$V$3:$V$1002,MATCH(48,Leads!$BA$3:$BA$1002,0)))</f>
        <v/>
      </c>
      <c r="E49" s="12">
        <f>IF(G49="","","CAD")</f>
        <v/>
      </c>
      <c r="G49" s="7">
        <f>IFERROR(INDEX(Leads!$A$3:$A$1002,MATCH(48,Leads!$BA$3:$BA$1002,0)),"")</f>
        <v/>
      </c>
      <c r="H49" s="7">
        <f>IF(G49="","",INDEX(Leads!$AQ$3:$AQ$1002,MATCH(48,Leads!$BA$3:$BA$1002,0)))</f>
        <v/>
      </c>
      <c r="I49" s="7">
        <f>IF(G49="","",INDEX(Leads!$AI$3:$AI$1002,MATCH(48,Leads!$BA$3:$BA$1002,0))&amp;"")</f>
        <v/>
      </c>
      <c r="J49" s="61">
        <f>IF(G49="","",INDEX(Leads!$W$3:$W$1002,MATCH(48,Leads!$BA$3:$BA$1002,0)))</f>
        <v/>
      </c>
    </row>
    <row r="50">
      <c r="A50" s="12">
        <f>IF(G50="","",INDEX(Leads!$AC$3:$AC$1002,MATCH(49,Leads!$BA$3:$BA$1002,0)))</f>
        <v/>
      </c>
      <c r="B50" s="12">
        <f>IF(G50="","","depot_paye")</f>
        <v/>
      </c>
      <c r="C50" s="12">
        <f>IF(G50="","",YEAR(J50)&amp;"-"&amp;RIGHT("0"&amp;MONTH(J50),2)&amp;"-"&amp;RIGHT("0"&amp;DAY(J50),2)&amp;" "&amp;RIGHT("0"&amp;HOUR(J50),2)&amp;":"&amp;RIGHT("0"&amp;MINUTE(J50),2)&amp;":"&amp;RIGHT("0"&amp;SECOND(J50),2)&amp;IF(AND(J50&gt;=DATE(YEAR(J50),3,8)+MOD(8-WEEKDAY(DATE(YEAR(J50),3,8)),7)+2/24,J50&lt;DATE(YEAR(J50),11,1)+MOD(8-WEEKDAY(DATE(YEAR(J50),11,1)),7)+2/24),"-04:00","-05:00"))</f>
        <v/>
      </c>
      <c r="D50" s="60">
        <f>IF(G50="","",INDEX(Leads!$V$3:$V$1002,MATCH(49,Leads!$BA$3:$BA$1002,0)))</f>
        <v/>
      </c>
      <c r="E50" s="12">
        <f>IF(G50="","","CAD")</f>
        <v/>
      </c>
      <c r="G50" s="7">
        <f>IFERROR(INDEX(Leads!$A$3:$A$1002,MATCH(49,Leads!$BA$3:$BA$1002,0)),"")</f>
        <v/>
      </c>
      <c r="H50" s="7">
        <f>IF(G50="","",INDEX(Leads!$AQ$3:$AQ$1002,MATCH(49,Leads!$BA$3:$BA$1002,0)))</f>
        <v/>
      </c>
      <c r="I50" s="7">
        <f>IF(G50="","",INDEX(Leads!$AI$3:$AI$1002,MATCH(49,Leads!$BA$3:$BA$1002,0))&amp;"")</f>
        <v/>
      </c>
      <c r="J50" s="61">
        <f>IF(G50="","",INDEX(Leads!$W$3:$W$1002,MATCH(49,Leads!$BA$3:$BA$1002,0)))</f>
        <v/>
      </c>
    </row>
    <row r="51">
      <c r="A51" s="12">
        <f>IF(G51="","",INDEX(Leads!$AC$3:$AC$1002,MATCH(50,Leads!$BA$3:$BA$1002,0)))</f>
        <v/>
      </c>
      <c r="B51" s="12">
        <f>IF(G51="","","depot_paye")</f>
        <v/>
      </c>
      <c r="C51" s="12">
        <f>IF(G51="","",YEAR(J51)&amp;"-"&amp;RIGHT("0"&amp;MONTH(J51),2)&amp;"-"&amp;RIGHT("0"&amp;DAY(J51),2)&amp;" "&amp;RIGHT("0"&amp;HOUR(J51),2)&amp;":"&amp;RIGHT("0"&amp;MINUTE(J51),2)&amp;":"&amp;RIGHT("0"&amp;SECOND(J51),2)&amp;IF(AND(J51&gt;=DATE(YEAR(J51),3,8)+MOD(8-WEEKDAY(DATE(YEAR(J51),3,8)),7)+2/24,J51&lt;DATE(YEAR(J51),11,1)+MOD(8-WEEKDAY(DATE(YEAR(J51),11,1)),7)+2/24),"-04:00","-05:00"))</f>
        <v/>
      </c>
      <c r="D51" s="60">
        <f>IF(G51="","",INDEX(Leads!$V$3:$V$1002,MATCH(50,Leads!$BA$3:$BA$1002,0)))</f>
        <v/>
      </c>
      <c r="E51" s="12">
        <f>IF(G51="","","CAD")</f>
        <v/>
      </c>
      <c r="G51" s="7">
        <f>IFERROR(INDEX(Leads!$A$3:$A$1002,MATCH(50,Leads!$BA$3:$BA$1002,0)),"")</f>
        <v/>
      </c>
      <c r="H51" s="7">
        <f>IF(G51="","",INDEX(Leads!$AQ$3:$AQ$1002,MATCH(50,Leads!$BA$3:$BA$1002,0)))</f>
        <v/>
      </c>
      <c r="I51" s="7">
        <f>IF(G51="","",INDEX(Leads!$AI$3:$AI$1002,MATCH(50,Leads!$BA$3:$BA$1002,0))&amp;"")</f>
        <v/>
      </c>
      <c r="J51" s="61">
        <f>IF(G51="","",INDEX(Leads!$W$3:$W$1002,MATCH(50,Leads!$BA$3:$BA$1002,0)))</f>
        <v/>
      </c>
    </row>
    <row r="52">
      <c r="A52" s="12">
        <f>IF(G52="","",INDEX(Leads!$AC$3:$AC$1002,MATCH(51,Leads!$BA$3:$BA$1002,0)))</f>
        <v/>
      </c>
      <c r="B52" s="12">
        <f>IF(G52="","","depot_paye")</f>
        <v/>
      </c>
      <c r="C52" s="12">
        <f>IF(G52="","",YEAR(J52)&amp;"-"&amp;RIGHT("0"&amp;MONTH(J52),2)&amp;"-"&amp;RIGHT("0"&amp;DAY(J52),2)&amp;" "&amp;RIGHT("0"&amp;HOUR(J52),2)&amp;":"&amp;RIGHT("0"&amp;MINUTE(J52),2)&amp;":"&amp;RIGHT("0"&amp;SECOND(J52),2)&amp;IF(AND(J52&gt;=DATE(YEAR(J52),3,8)+MOD(8-WEEKDAY(DATE(YEAR(J52),3,8)),7)+2/24,J52&lt;DATE(YEAR(J52),11,1)+MOD(8-WEEKDAY(DATE(YEAR(J52),11,1)),7)+2/24),"-04:00","-05:00"))</f>
        <v/>
      </c>
      <c r="D52" s="60">
        <f>IF(G52="","",INDEX(Leads!$V$3:$V$1002,MATCH(51,Leads!$BA$3:$BA$1002,0)))</f>
        <v/>
      </c>
      <c r="E52" s="12">
        <f>IF(G52="","","CAD")</f>
        <v/>
      </c>
      <c r="G52" s="7">
        <f>IFERROR(INDEX(Leads!$A$3:$A$1002,MATCH(51,Leads!$BA$3:$BA$1002,0)),"")</f>
        <v/>
      </c>
      <c r="H52" s="7">
        <f>IF(G52="","",INDEX(Leads!$AQ$3:$AQ$1002,MATCH(51,Leads!$BA$3:$BA$1002,0)))</f>
        <v/>
      </c>
      <c r="I52" s="7">
        <f>IF(G52="","",INDEX(Leads!$AI$3:$AI$1002,MATCH(51,Leads!$BA$3:$BA$1002,0))&amp;"")</f>
        <v/>
      </c>
      <c r="J52" s="61">
        <f>IF(G52="","",INDEX(Leads!$W$3:$W$1002,MATCH(51,Leads!$BA$3:$BA$1002,0)))</f>
        <v/>
      </c>
    </row>
    <row r="53">
      <c r="A53" s="12">
        <f>IF(G53="","",INDEX(Leads!$AC$3:$AC$1002,MATCH(52,Leads!$BA$3:$BA$1002,0)))</f>
        <v/>
      </c>
      <c r="B53" s="12">
        <f>IF(G53="","","depot_paye")</f>
        <v/>
      </c>
      <c r="C53" s="12">
        <f>IF(G53="","",YEAR(J53)&amp;"-"&amp;RIGHT("0"&amp;MONTH(J53),2)&amp;"-"&amp;RIGHT("0"&amp;DAY(J53),2)&amp;" "&amp;RIGHT("0"&amp;HOUR(J53),2)&amp;":"&amp;RIGHT("0"&amp;MINUTE(J53),2)&amp;":"&amp;RIGHT("0"&amp;SECOND(J53),2)&amp;IF(AND(J53&gt;=DATE(YEAR(J53),3,8)+MOD(8-WEEKDAY(DATE(YEAR(J53),3,8)),7)+2/24,J53&lt;DATE(YEAR(J53),11,1)+MOD(8-WEEKDAY(DATE(YEAR(J53),11,1)),7)+2/24),"-04:00","-05:00"))</f>
        <v/>
      </c>
      <c r="D53" s="60">
        <f>IF(G53="","",INDEX(Leads!$V$3:$V$1002,MATCH(52,Leads!$BA$3:$BA$1002,0)))</f>
        <v/>
      </c>
      <c r="E53" s="12">
        <f>IF(G53="","","CAD")</f>
        <v/>
      </c>
      <c r="G53" s="7">
        <f>IFERROR(INDEX(Leads!$A$3:$A$1002,MATCH(52,Leads!$BA$3:$BA$1002,0)),"")</f>
        <v/>
      </c>
      <c r="H53" s="7">
        <f>IF(G53="","",INDEX(Leads!$AQ$3:$AQ$1002,MATCH(52,Leads!$BA$3:$BA$1002,0)))</f>
        <v/>
      </c>
      <c r="I53" s="7">
        <f>IF(G53="","",INDEX(Leads!$AI$3:$AI$1002,MATCH(52,Leads!$BA$3:$BA$1002,0))&amp;"")</f>
        <v/>
      </c>
      <c r="J53" s="61">
        <f>IF(G53="","",INDEX(Leads!$W$3:$W$1002,MATCH(52,Leads!$BA$3:$BA$1002,0)))</f>
        <v/>
      </c>
    </row>
    <row r="54">
      <c r="A54" s="12">
        <f>IF(G54="","",INDEX(Leads!$AC$3:$AC$1002,MATCH(53,Leads!$BA$3:$BA$1002,0)))</f>
        <v/>
      </c>
      <c r="B54" s="12">
        <f>IF(G54="","","depot_paye")</f>
        <v/>
      </c>
      <c r="C54" s="12">
        <f>IF(G54="","",YEAR(J54)&amp;"-"&amp;RIGHT("0"&amp;MONTH(J54),2)&amp;"-"&amp;RIGHT("0"&amp;DAY(J54),2)&amp;" "&amp;RIGHT("0"&amp;HOUR(J54),2)&amp;":"&amp;RIGHT("0"&amp;MINUTE(J54),2)&amp;":"&amp;RIGHT("0"&amp;SECOND(J54),2)&amp;IF(AND(J54&gt;=DATE(YEAR(J54),3,8)+MOD(8-WEEKDAY(DATE(YEAR(J54),3,8)),7)+2/24,J54&lt;DATE(YEAR(J54),11,1)+MOD(8-WEEKDAY(DATE(YEAR(J54),11,1)),7)+2/24),"-04:00","-05:00"))</f>
        <v/>
      </c>
      <c r="D54" s="60">
        <f>IF(G54="","",INDEX(Leads!$V$3:$V$1002,MATCH(53,Leads!$BA$3:$BA$1002,0)))</f>
        <v/>
      </c>
      <c r="E54" s="12">
        <f>IF(G54="","","CAD")</f>
        <v/>
      </c>
      <c r="G54" s="7">
        <f>IFERROR(INDEX(Leads!$A$3:$A$1002,MATCH(53,Leads!$BA$3:$BA$1002,0)),"")</f>
        <v/>
      </c>
      <c r="H54" s="7">
        <f>IF(G54="","",INDEX(Leads!$AQ$3:$AQ$1002,MATCH(53,Leads!$BA$3:$BA$1002,0)))</f>
        <v/>
      </c>
      <c r="I54" s="7">
        <f>IF(G54="","",INDEX(Leads!$AI$3:$AI$1002,MATCH(53,Leads!$BA$3:$BA$1002,0))&amp;"")</f>
        <v/>
      </c>
      <c r="J54" s="61">
        <f>IF(G54="","",INDEX(Leads!$W$3:$W$1002,MATCH(53,Leads!$BA$3:$BA$1002,0)))</f>
        <v/>
      </c>
    </row>
    <row r="55">
      <c r="A55" s="12">
        <f>IF(G55="","",INDEX(Leads!$AC$3:$AC$1002,MATCH(54,Leads!$BA$3:$BA$1002,0)))</f>
        <v/>
      </c>
      <c r="B55" s="12">
        <f>IF(G55="","","depot_paye")</f>
        <v/>
      </c>
      <c r="C55" s="12">
        <f>IF(G55="","",YEAR(J55)&amp;"-"&amp;RIGHT("0"&amp;MONTH(J55),2)&amp;"-"&amp;RIGHT("0"&amp;DAY(J55),2)&amp;" "&amp;RIGHT("0"&amp;HOUR(J55),2)&amp;":"&amp;RIGHT("0"&amp;MINUTE(J55),2)&amp;":"&amp;RIGHT("0"&amp;SECOND(J55),2)&amp;IF(AND(J55&gt;=DATE(YEAR(J55),3,8)+MOD(8-WEEKDAY(DATE(YEAR(J55),3,8)),7)+2/24,J55&lt;DATE(YEAR(J55),11,1)+MOD(8-WEEKDAY(DATE(YEAR(J55),11,1)),7)+2/24),"-04:00","-05:00"))</f>
        <v/>
      </c>
      <c r="D55" s="60">
        <f>IF(G55="","",INDEX(Leads!$V$3:$V$1002,MATCH(54,Leads!$BA$3:$BA$1002,0)))</f>
        <v/>
      </c>
      <c r="E55" s="12">
        <f>IF(G55="","","CAD")</f>
        <v/>
      </c>
      <c r="G55" s="7">
        <f>IFERROR(INDEX(Leads!$A$3:$A$1002,MATCH(54,Leads!$BA$3:$BA$1002,0)),"")</f>
        <v/>
      </c>
      <c r="H55" s="7">
        <f>IF(G55="","",INDEX(Leads!$AQ$3:$AQ$1002,MATCH(54,Leads!$BA$3:$BA$1002,0)))</f>
        <v/>
      </c>
      <c r="I55" s="7">
        <f>IF(G55="","",INDEX(Leads!$AI$3:$AI$1002,MATCH(54,Leads!$BA$3:$BA$1002,0))&amp;"")</f>
        <v/>
      </c>
      <c r="J55" s="61">
        <f>IF(G55="","",INDEX(Leads!$W$3:$W$1002,MATCH(54,Leads!$BA$3:$BA$1002,0)))</f>
        <v/>
      </c>
    </row>
    <row r="56">
      <c r="A56" s="12">
        <f>IF(G56="","",INDEX(Leads!$AC$3:$AC$1002,MATCH(55,Leads!$BA$3:$BA$1002,0)))</f>
        <v/>
      </c>
      <c r="B56" s="12">
        <f>IF(G56="","","depot_paye")</f>
        <v/>
      </c>
      <c r="C56" s="12">
        <f>IF(G56="","",YEAR(J56)&amp;"-"&amp;RIGHT("0"&amp;MONTH(J56),2)&amp;"-"&amp;RIGHT("0"&amp;DAY(J56),2)&amp;" "&amp;RIGHT("0"&amp;HOUR(J56),2)&amp;":"&amp;RIGHT("0"&amp;MINUTE(J56),2)&amp;":"&amp;RIGHT("0"&amp;SECOND(J56),2)&amp;IF(AND(J56&gt;=DATE(YEAR(J56),3,8)+MOD(8-WEEKDAY(DATE(YEAR(J56),3,8)),7)+2/24,J56&lt;DATE(YEAR(J56),11,1)+MOD(8-WEEKDAY(DATE(YEAR(J56),11,1)),7)+2/24),"-04:00","-05:00"))</f>
        <v/>
      </c>
      <c r="D56" s="60">
        <f>IF(G56="","",INDEX(Leads!$V$3:$V$1002,MATCH(55,Leads!$BA$3:$BA$1002,0)))</f>
        <v/>
      </c>
      <c r="E56" s="12">
        <f>IF(G56="","","CAD")</f>
        <v/>
      </c>
      <c r="G56" s="7">
        <f>IFERROR(INDEX(Leads!$A$3:$A$1002,MATCH(55,Leads!$BA$3:$BA$1002,0)),"")</f>
        <v/>
      </c>
      <c r="H56" s="7">
        <f>IF(G56="","",INDEX(Leads!$AQ$3:$AQ$1002,MATCH(55,Leads!$BA$3:$BA$1002,0)))</f>
        <v/>
      </c>
      <c r="I56" s="7">
        <f>IF(G56="","",INDEX(Leads!$AI$3:$AI$1002,MATCH(55,Leads!$BA$3:$BA$1002,0))&amp;"")</f>
        <v/>
      </c>
      <c r="J56" s="61">
        <f>IF(G56="","",INDEX(Leads!$W$3:$W$1002,MATCH(55,Leads!$BA$3:$BA$1002,0)))</f>
        <v/>
      </c>
    </row>
    <row r="57">
      <c r="A57" s="12">
        <f>IF(G57="","",INDEX(Leads!$AC$3:$AC$1002,MATCH(56,Leads!$BA$3:$BA$1002,0)))</f>
        <v/>
      </c>
      <c r="B57" s="12">
        <f>IF(G57="","","depot_paye")</f>
        <v/>
      </c>
      <c r="C57" s="12">
        <f>IF(G57="","",YEAR(J57)&amp;"-"&amp;RIGHT("0"&amp;MONTH(J57),2)&amp;"-"&amp;RIGHT("0"&amp;DAY(J57),2)&amp;" "&amp;RIGHT("0"&amp;HOUR(J57),2)&amp;":"&amp;RIGHT("0"&amp;MINUTE(J57),2)&amp;":"&amp;RIGHT("0"&amp;SECOND(J57),2)&amp;IF(AND(J57&gt;=DATE(YEAR(J57),3,8)+MOD(8-WEEKDAY(DATE(YEAR(J57),3,8)),7)+2/24,J57&lt;DATE(YEAR(J57),11,1)+MOD(8-WEEKDAY(DATE(YEAR(J57),11,1)),7)+2/24),"-04:00","-05:00"))</f>
        <v/>
      </c>
      <c r="D57" s="60">
        <f>IF(G57="","",INDEX(Leads!$V$3:$V$1002,MATCH(56,Leads!$BA$3:$BA$1002,0)))</f>
        <v/>
      </c>
      <c r="E57" s="12">
        <f>IF(G57="","","CAD")</f>
        <v/>
      </c>
      <c r="G57" s="7">
        <f>IFERROR(INDEX(Leads!$A$3:$A$1002,MATCH(56,Leads!$BA$3:$BA$1002,0)),"")</f>
        <v/>
      </c>
      <c r="H57" s="7">
        <f>IF(G57="","",INDEX(Leads!$AQ$3:$AQ$1002,MATCH(56,Leads!$BA$3:$BA$1002,0)))</f>
        <v/>
      </c>
      <c r="I57" s="7">
        <f>IF(G57="","",INDEX(Leads!$AI$3:$AI$1002,MATCH(56,Leads!$BA$3:$BA$1002,0))&amp;"")</f>
        <v/>
      </c>
      <c r="J57" s="61">
        <f>IF(G57="","",INDEX(Leads!$W$3:$W$1002,MATCH(56,Leads!$BA$3:$BA$1002,0)))</f>
        <v/>
      </c>
    </row>
    <row r="58">
      <c r="A58" s="12">
        <f>IF(G58="","",INDEX(Leads!$AC$3:$AC$1002,MATCH(57,Leads!$BA$3:$BA$1002,0)))</f>
        <v/>
      </c>
      <c r="B58" s="12">
        <f>IF(G58="","","depot_paye")</f>
        <v/>
      </c>
      <c r="C58" s="12">
        <f>IF(G58="","",YEAR(J58)&amp;"-"&amp;RIGHT("0"&amp;MONTH(J58),2)&amp;"-"&amp;RIGHT("0"&amp;DAY(J58),2)&amp;" "&amp;RIGHT("0"&amp;HOUR(J58),2)&amp;":"&amp;RIGHT("0"&amp;MINUTE(J58),2)&amp;":"&amp;RIGHT("0"&amp;SECOND(J58),2)&amp;IF(AND(J58&gt;=DATE(YEAR(J58),3,8)+MOD(8-WEEKDAY(DATE(YEAR(J58),3,8)),7)+2/24,J58&lt;DATE(YEAR(J58),11,1)+MOD(8-WEEKDAY(DATE(YEAR(J58),11,1)),7)+2/24),"-04:00","-05:00"))</f>
        <v/>
      </c>
      <c r="D58" s="60">
        <f>IF(G58="","",INDEX(Leads!$V$3:$V$1002,MATCH(57,Leads!$BA$3:$BA$1002,0)))</f>
        <v/>
      </c>
      <c r="E58" s="12">
        <f>IF(G58="","","CAD")</f>
        <v/>
      </c>
      <c r="G58" s="7">
        <f>IFERROR(INDEX(Leads!$A$3:$A$1002,MATCH(57,Leads!$BA$3:$BA$1002,0)),"")</f>
        <v/>
      </c>
      <c r="H58" s="7">
        <f>IF(G58="","",INDEX(Leads!$AQ$3:$AQ$1002,MATCH(57,Leads!$BA$3:$BA$1002,0)))</f>
        <v/>
      </c>
      <c r="I58" s="7">
        <f>IF(G58="","",INDEX(Leads!$AI$3:$AI$1002,MATCH(57,Leads!$BA$3:$BA$1002,0))&amp;"")</f>
        <v/>
      </c>
      <c r="J58" s="61">
        <f>IF(G58="","",INDEX(Leads!$W$3:$W$1002,MATCH(57,Leads!$BA$3:$BA$1002,0)))</f>
        <v/>
      </c>
    </row>
    <row r="59">
      <c r="A59" s="12">
        <f>IF(G59="","",INDEX(Leads!$AC$3:$AC$1002,MATCH(58,Leads!$BA$3:$BA$1002,0)))</f>
        <v/>
      </c>
      <c r="B59" s="12">
        <f>IF(G59="","","depot_paye")</f>
        <v/>
      </c>
      <c r="C59" s="12">
        <f>IF(G59="","",YEAR(J59)&amp;"-"&amp;RIGHT("0"&amp;MONTH(J59),2)&amp;"-"&amp;RIGHT("0"&amp;DAY(J59),2)&amp;" "&amp;RIGHT("0"&amp;HOUR(J59),2)&amp;":"&amp;RIGHT("0"&amp;MINUTE(J59),2)&amp;":"&amp;RIGHT("0"&amp;SECOND(J59),2)&amp;IF(AND(J59&gt;=DATE(YEAR(J59),3,8)+MOD(8-WEEKDAY(DATE(YEAR(J59),3,8)),7)+2/24,J59&lt;DATE(YEAR(J59),11,1)+MOD(8-WEEKDAY(DATE(YEAR(J59),11,1)),7)+2/24),"-04:00","-05:00"))</f>
        <v/>
      </c>
      <c r="D59" s="60">
        <f>IF(G59="","",INDEX(Leads!$V$3:$V$1002,MATCH(58,Leads!$BA$3:$BA$1002,0)))</f>
        <v/>
      </c>
      <c r="E59" s="12">
        <f>IF(G59="","","CAD")</f>
        <v/>
      </c>
      <c r="G59" s="7">
        <f>IFERROR(INDEX(Leads!$A$3:$A$1002,MATCH(58,Leads!$BA$3:$BA$1002,0)),"")</f>
        <v/>
      </c>
      <c r="H59" s="7">
        <f>IF(G59="","",INDEX(Leads!$AQ$3:$AQ$1002,MATCH(58,Leads!$BA$3:$BA$1002,0)))</f>
        <v/>
      </c>
      <c r="I59" s="7">
        <f>IF(G59="","",INDEX(Leads!$AI$3:$AI$1002,MATCH(58,Leads!$BA$3:$BA$1002,0))&amp;"")</f>
        <v/>
      </c>
      <c r="J59" s="61">
        <f>IF(G59="","",INDEX(Leads!$W$3:$W$1002,MATCH(58,Leads!$BA$3:$BA$1002,0)))</f>
        <v/>
      </c>
    </row>
    <row r="60">
      <c r="A60" s="12">
        <f>IF(G60="","",INDEX(Leads!$AC$3:$AC$1002,MATCH(59,Leads!$BA$3:$BA$1002,0)))</f>
        <v/>
      </c>
      <c r="B60" s="12">
        <f>IF(G60="","","depot_paye")</f>
        <v/>
      </c>
      <c r="C60" s="12">
        <f>IF(G60="","",YEAR(J60)&amp;"-"&amp;RIGHT("0"&amp;MONTH(J60),2)&amp;"-"&amp;RIGHT("0"&amp;DAY(J60),2)&amp;" "&amp;RIGHT("0"&amp;HOUR(J60),2)&amp;":"&amp;RIGHT("0"&amp;MINUTE(J60),2)&amp;":"&amp;RIGHT("0"&amp;SECOND(J60),2)&amp;IF(AND(J60&gt;=DATE(YEAR(J60),3,8)+MOD(8-WEEKDAY(DATE(YEAR(J60),3,8)),7)+2/24,J60&lt;DATE(YEAR(J60),11,1)+MOD(8-WEEKDAY(DATE(YEAR(J60),11,1)),7)+2/24),"-04:00","-05:00"))</f>
        <v/>
      </c>
      <c r="D60" s="60">
        <f>IF(G60="","",INDEX(Leads!$V$3:$V$1002,MATCH(59,Leads!$BA$3:$BA$1002,0)))</f>
        <v/>
      </c>
      <c r="E60" s="12">
        <f>IF(G60="","","CAD")</f>
        <v/>
      </c>
      <c r="G60" s="7">
        <f>IFERROR(INDEX(Leads!$A$3:$A$1002,MATCH(59,Leads!$BA$3:$BA$1002,0)),"")</f>
        <v/>
      </c>
      <c r="H60" s="7">
        <f>IF(G60="","",INDEX(Leads!$AQ$3:$AQ$1002,MATCH(59,Leads!$BA$3:$BA$1002,0)))</f>
        <v/>
      </c>
      <c r="I60" s="7">
        <f>IF(G60="","",INDEX(Leads!$AI$3:$AI$1002,MATCH(59,Leads!$BA$3:$BA$1002,0))&amp;"")</f>
        <v/>
      </c>
      <c r="J60" s="61">
        <f>IF(G60="","",INDEX(Leads!$W$3:$W$1002,MATCH(59,Leads!$BA$3:$BA$1002,0)))</f>
        <v/>
      </c>
    </row>
    <row r="61">
      <c r="A61" s="12">
        <f>IF(G61="","",INDEX(Leads!$AC$3:$AC$1002,MATCH(60,Leads!$BA$3:$BA$1002,0)))</f>
        <v/>
      </c>
      <c r="B61" s="12">
        <f>IF(G61="","","depot_paye")</f>
        <v/>
      </c>
      <c r="C61" s="12">
        <f>IF(G61="","",YEAR(J61)&amp;"-"&amp;RIGHT("0"&amp;MONTH(J61),2)&amp;"-"&amp;RIGHT("0"&amp;DAY(J61),2)&amp;" "&amp;RIGHT("0"&amp;HOUR(J61),2)&amp;":"&amp;RIGHT("0"&amp;MINUTE(J61),2)&amp;":"&amp;RIGHT("0"&amp;SECOND(J61),2)&amp;IF(AND(J61&gt;=DATE(YEAR(J61),3,8)+MOD(8-WEEKDAY(DATE(YEAR(J61),3,8)),7)+2/24,J61&lt;DATE(YEAR(J61),11,1)+MOD(8-WEEKDAY(DATE(YEAR(J61),11,1)),7)+2/24),"-04:00","-05:00"))</f>
        <v/>
      </c>
      <c r="D61" s="60">
        <f>IF(G61="","",INDEX(Leads!$V$3:$V$1002,MATCH(60,Leads!$BA$3:$BA$1002,0)))</f>
        <v/>
      </c>
      <c r="E61" s="12">
        <f>IF(G61="","","CAD")</f>
        <v/>
      </c>
      <c r="G61" s="7">
        <f>IFERROR(INDEX(Leads!$A$3:$A$1002,MATCH(60,Leads!$BA$3:$BA$1002,0)),"")</f>
        <v/>
      </c>
      <c r="H61" s="7">
        <f>IF(G61="","",INDEX(Leads!$AQ$3:$AQ$1002,MATCH(60,Leads!$BA$3:$BA$1002,0)))</f>
        <v/>
      </c>
      <c r="I61" s="7">
        <f>IF(G61="","",INDEX(Leads!$AI$3:$AI$1002,MATCH(60,Leads!$BA$3:$BA$1002,0))&amp;"")</f>
        <v/>
      </c>
      <c r="J61" s="61">
        <f>IF(G61="","",INDEX(Leads!$W$3:$W$1002,MATCH(60,Leads!$BA$3:$BA$1002,0)))</f>
        <v/>
      </c>
    </row>
    <row r="62">
      <c r="A62" s="12">
        <f>IF(G62="","",INDEX(Leads!$AC$3:$AC$1002,MATCH(61,Leads!$BA$3:$BA$1002,0)))</f>
        <v/>
      </c>
      <c r="B62" s="12">
        <f>IF(G62="","","depot_paye")</f>
        <v/>
      </c>
      <c r="C62" s="12">
        <f>IF(G62="","",YEAR(J62)&amp;"-"&amp;RIGHT("0"&amp;MONTH(J62),2)&amp;"-"&amp;RIGHT("0"&amp;DAY(J62),2)&amp;" "&amp;RIGHT("0"&amp;HOUR(J62),2)&amp;":"&amp;RIGHT("0"&amp;MINUTE(J62),2)&amp;":"&amp;RIGHT("0"&amp;SECOND(J62),2)&amp;IF(AND(J62&gt;=DATE(YEAR(J62),3,8)+MOD(8-WEEKDAY(DATE(YEAR(J62),3,8)),7)+2/24,J62&lt;DATE(YEAR(J62),11,1)+MOD(8-WEEKDAY(DATE(YEAR(J62),11,1)),7)+2/24),"-04:00","-05:00"))</f>
        <v/>
      </c>
      <c r="D62" s="60">
        <f>IF(G62="","",INDEX(Leads!$V$3:$V$1002,MATCH(61,Leads!$BA$3:$BA$1002,0)))</f>
        <v/>
      </c>
      <c r="E62" s="12">
        <f>IF(G62="","","CAD")</f>
        <v/>
      </c>
      <c r="G62" s="7">
        <f>IFERROR(INDEX(Leads!$A$3:$A$1002,MATCH(61,Leads!$BA$3:$BA$1002,0)),"")</f>
        <v/>
      </c>
      <c r="H62" s="7">
        <f>IF(G62="","",INDEX(Leads!$AQ$3:$AQ$1002,MATCH(61,Leads!$BA$3:$BA$1002,0)))</f>
        <v/>
      </c>
      <c r="I62" s="7">
        <f>IF(G62="","",INDEX(Leads!$AI$3:$AI$1002,MATCH(61,Leads!$BA$3:$BA$1002,0))&amp;"")</f>
        <v/>
      </c>
      <c r="J62" s="61">
        <f>IF(G62="","",INDEX(Leads!$W$3:$W$1002,MATCH(61,Leads!$BA$3:$BA$1002,0)))</f>
        <v/>
      </c>
    </row>
    <row r="63">
      <c r="A63" s="12">
        <f>IF(G63="","",INDEX(Leads!$AC$3:$AC$1002,MATCH(62,Leads!$BA$3:$BA$1002,0)))</f>
        <v/>
      </c>
      <c r="B63" s="12">
        <f>IF(G63="","","depot_paye")</f>
        <v/>
      </c>
      <c r="C63" s="12">
        <f>IF(G63="","",YEAR(J63)&amp;"-"&amp;RIGHT("0"&amp;MONTH(J63),2)&amp;"-"&amp;RIGHT("0"&amp;DAY(J63),2)&amp;" "&amp;RIGHT("0"&amp;HOUR(J63),2)&amp;":"&amp;RIGHT("0"&amp;MINUTE(J63),2)&amp;":"&amp;RIGHT("0"&amp;SECOND(J63),2)&amp;IF(AND(J63&gt;=DATE(YEAR(J63),3,8)+MOD(8-WEEKDAY(DATE(YEAR(J63),3,8)),7)+2/24,J63&lt;DATE(YEAR(J63),11,1)+MOD(8-WEEKDAY(DATE(YEAR(J63),11,1)),7)+2/24),"-04:00","-05:00"))</f>
        <v/>
      </c>
      <c r="D63" s="60">
        <f>IF(G63="","",INDEX(Leads!$V$3:$V$1002,MATCH(62,Leads!$BA$3:$BA$1002,0)))</f>
        <v/>
      </c>
      <c r="E63" s="12">
        <f>IF(G63="","","CAD")</f>
        <v/>
      </c>
      <c r="G63" s="7">
        <f>IFERROR(INDEX(Leads!$A$3:$A$1002,MATCH(62,Leads!$BA$3:$BA$1002,0)),"")</f>
        <v/>
      </c>
      <c r="H63" s="7">
        <f>IF(G63="","",INDEX(Leads!$AQ$3:$AQ$1002,MATCH(62,Leads!$BA$3:$BA$1002,0)))</f>
        <v/>
      </c>
      <c r="I63" s="7">
        <f>IF(G63="","",INDEX(Leads!$AI$3:$AI$1002,MATCH(62,Leads!$BA$3:$BA$1002,0))&amp;"")</f>
        <v/>
      </c>
      <c r="J63" s="61">
        <f>IF(G63="","",INDEX(Leads!$W$3:$W$1002,MATCH(62,Leads!$BA$3:$BA$1002,0)))</f>
        <v/>
      </c>
    </row>
    <row r="64">
      <c r="A64" s="12">
        <f>IF(G64="","",INDEX(Leads!$AC$3:$AC$1002,MATCH(63,Leads!$BA$3:$BA$1002,0)))</f>
        <v/>
      </c>
      <c r="B64" s="12">
        <f>IF(G64="","","depot_paye")</f>
        <v/>
      </c>
      <c r="C64" s="12">
        <f>IF(G64="","",YEAR(J64)&amp;"-"&amp;RIGHT("0"&amp;MONTH(J64),2)&amp;"-"&amp;RIGHT("0"&amp;DAY(J64),2)&amp;" "&amp;RIGHT("0"&amp;HOUR(J64),2)&amp;":"&amp;RIGHT("0"&amp;MINUTE(J64),2)&amp;":"&amp;RIGHT("0"&amp;SECOND(J64),2)&amp;IF(AND(J64&gt;=DATE(YEAR(J64),3,8)+MOD(8-WEEKDAY(DATE(YEAR(J64),3,8)),7)+2/24,J64&lt;DATE(YEAR(J64),11,1)+MOD(8-WEEKDAY(DATE(YEAR(J64),11,1)),7)+2/24),"-04:00","-05:00"))</f>
        <v/>
      </c>
      <c r="D64" s="60">
        <f>IF(G64="","",INDEX(Leads!$V$3:$V$1002,MATCH(63,Leads!$BA$3:$BA$1002,0)))</f>
        <v/>
      </c>
      <c r="E64" s="12">
        <f>IF(G64="","","CAD")</f>
        <v/>
      </c>
      <c r="G64" s="7">
        <f>IFERROR(INDEX(Leads!$A$3:$A$1002,MATCH(63,Leads!$BA$3:$BA$1002,0)),"")</f>
        <v/>
      </c>
      <c r="H64" s="7">
        <f>IF(G64="","",INDEX(Leads!$AQ$3:$AQ$1002,MATCH(63,Leads!$BA$3:$BA$1002,0)))</f>
        <v/>
      </c>
      <c r="I64" s="7">
        <f>IF(G64="","",INDEX(Leads!$AI$3:$AI$1002,MATCH(63,Leads!$BA$3:$BA$1002,0))&amp;"")</f>
        <v/>
      </c>
      <c r="J64" s="61">
        <f>IF(G64="","",INDEX(Leads!$W$3:$W$1002,MATCH(63,Leads!$BA$3:$BA$1002,0)))</f>
        <v/>
      </c>
    </row>
    <row r="65">
      <c r="A65" s="12">
        <f>IF(G65="","",INDEX(Leads!$AC$3:$AC$1002,MATCH(64,Leads!$BA$3:$BA$1002,0)))</f>
        <v/>
      </c>
      <c r="B65" s="12">
        <f>IF(G65="","","depot_paye")</f>
        <v/>
      </c>
      <c r="C65" s="12">
        <f>IF(G65="","",YEAR(J65)&amp;"-"&amp;RIGHT("0"&amp;MONTH(J65),2)&amp;"-"&amp;RIGHT("0"&amp;DAY(J65),2)&amp;" "&amp;RIGHT("0"&amp;HOUR(J65),2)&amp;":"&amp;RIGHT("0"&amp;MINUTE(J65),2)&amp;":"&amp;RIGHT("0"&amp;SECOND(J65),2)&amp;IF(AND(J65&gt;=DATE(YEAR(J65),3,8)+MOD(8-WEEKDAY(DATE(YEAR(J65),3,8)),7)+2/24,J65&lt;DATE(YEAR(J65),11,1)+MOD(8-WEEKDAY(DATE(YEAR(J65),11,1)),7)+2/24),"-04:00","-05:00"))</f>
        <v/>
      </c>
      <c r="D65" s="60">
        <f>IF(G65="","",INDEX(Leads!$V$3:$V$1002,MATCH(64,Leads!$BA$3:$BA$1002,0)))</f>
        <v/>
      </c>
      <c r="E65" s="12">
        <f>IF(G65="","","CAD")</f>
        <v/>
      </c>
      <c r="G65" s="7">
        <f>IFERROR(INDEX(Leads!$A$3:$A$1002,MATCH(64,Leads!$BA$3:$BA$1002,0)),"")</f>
        <v/>
      </c>
      <c r="H65" s="7">
        <f>IF(G65="","",INDEX(Leads!$AQ$3:$AQ$1002,MATCH(64,Leads!$BA$3:$BA$1002,0)))</f>
        <v/>
      </c>
      <c r="I65" s="7">
        <f>IF(G65="","",INDEX(Leads!$AI$3:$AI$1002,MATCH(64,Leads!$BA$3:$BA$1002,0))&amp;"")</f>
        <v/>
      </c>
      <c r="J65" s="61">
        <f>IF(G65="","",INDEX(Leads!$W$3:$W$1002,MATCH(64,Leads!$BA$3:$BA$1002,0)))</f>
        <v/>
      </c>
    </row>
    <row r="66">
      <c r="A66" s="12">
        <f>IF(G66="","",INDEX(Leads!$AC$3:$AC$1002,MATCH(65,Leads!$BA$3:$BA$1002,0)))</f>
        <v/>
      </c>
      <c r="B66" s="12">
        <f>IF(G66="","","depot_paye")</f>
        <v/>
      </c>
      <c r="C66" s="12">
        <f>IF(G66="","",YEAR(J66)&amp;"-"&amp;RIGHT("0"&amp;MONTH(J66),2)&amp;"-"&amp;RIGHT("0"&amp;DAY(J66),2)&amp;" "&amp;RIGHT("0"&amp;HOUR(J66),2)&amp;":"&amp;RIGHT("0"&amp;MINUTE(J66),2)&amp;":"&amp;RIGHT("0"&amp;SECOND(J66),2)&amp;IF(AND(J66&gt;=DATE(YEAR(J66),3,8)+MOD(8-WEEKDAY(DATE(YEAR(J66),3,8)),7)+2/24,J66&lt;DATE(YEAR(J66),11,1)+MOD(8-WEEKDAY(DATE(YEAR(J66),11,1)),7)+2/24),"-04:00","-05:00"))</f>
        <v/>
      </c>
      <c r="D66" s="60">
        <f>IF(G66="","",INDEX(Leads!$V$3:$V$1002,MATCH(65,Leads!$BA$3:$BA$1002,0)))</f>
        <v/>
      </c>
      <c r="E66" s="12">
        <f>IF(G66="","","CAD")</f>
        <v/>
      </c>
      <c r="G66" s="7">
        <f>IFERROR(INDEX(Leads!$A$3:$A$1002,MATCH(65,Leads!$BA$3:$BA$1002,0)),"")</f>
        <v/>
      </c>
      <c r="H66" s="7">
        <f>IF(G66="","",INDEX(Leads!$AQ$3:$AQ$1002,MATCH(65,Leads!$BA$3:$BA$1002,0)))</f>
        <v/>
      </c>
      <c r="I66" s="7">
        <f>IF(G66="","",INDEX(Leads!$AI$3:$AI$1002,MATCH(65,Leads!$BA$3:$BA$1002,0))&amp;"")</f>
        <v/>
      </c>
      <c r="J66" s="61">
        <f>IF(G66="","",INDEX(Leads!$W$3:$W$1002,MATCH(65,Leads!$BA$3:$BA$1002,0)))</f>
        <v/>
      </c>
    </row>
    <row r="67">
      <c r="A67" s="12">
        <f>IF(G67="","",INDEX(Leads!$AC$3:$AC$1002,MATCH(66,Leads!$BA$3:$BA$1002,0)))</f>
        <v/>
      </c>
      <c r="B67" s="12">
        <f>IF(G67="","","depot_paye")</f>
        <v/>
      </c>
      <c r="C67" s="12">
        <f>IF(G67="","",YEAR(J67)&amp;"-"&amp;RIGHT("0"&amp;MONTH(J67),2)&amp;"-"&amp;RIGHT("0"&amp;DAY(J67),2)&amp;" "&amp;RIGHT("0"&amp;HOUR(J67),2)&amp;":"&amp;RIGHT("0"&amp;MINUTE(J67),2)&amp;":"&amp;RIGHT("0"&amp;SECOND(J67),2)&amp;IF(AND(J67&gt;=DATE(YEAR(J67),3,8)+MOD(8-WEEKDAY(DATE(YEAR(J67),3,8)),7)+2/24,J67&lt;DATE(YEAR(J67),11,1)+MOD(8-WEEKDAY(DATE(YEAR(J67),11,1)),7)+2/24),"-04:00","-05:00"))</f>
        <v/>
      </c>
      <c r="D67" s="60">
        <f>IF(G67="","",INDEX(Leads!$V$3:$V$1002,MATCH(66,Leads!$BA$3:$BA$1002,0)))</f>
        <v/>
      </c>
      <c r="E67" s="12">
        <f>IF(G67="","","CAD")</f>
        <v/>
      </c>
      <c r="G67" s="7">
        <f>IFERROR(INDEX(Leads!$A$3:$A$1002,MATCH(66,Leads!$BA$3:$BA$1002,0)),"")</f>
        <v/>
      </c>
      <c r="H67" s="7">
        <f>IF(G67="","",INDEX(Leads!$AQ$3:$AQ$1002,MATCH(66,Leads!$BA$3:$BA$1002,0)))</f>
        <v/>
      </c>
      <c r="I67" s="7">
        <f>IF(G67="","",INDEX(Leads!$AI$3:$AI$1002,MATCH(66,Leads!$BA$3:$BA$1002,0))&amp;"")</f>
        <v/>
      </c>
      <c r="J67" s="61">
        <f>IF(G67="","",INDEX(Leads!$W$3:$W$1002,MATCH(66,Leads!$BA$3:$BA$1002,0)))</f>
        <v/>
      </c>
    </row>
    <row r="68">
      <c r="A68" s="12">
        <f>IF(G68="","",INDEX(Leads!$AC$3:$AC$1002,MATCH(67,Leads!$BA$3:$BA$1002,0)))</f>
        <v/>
      </c>
      <c r="B68" s="12">
        <f>IF(G68="","","depot_paye")</f>
        <v/>
      </c>
      <c r="C68" s="12">
        <f>IF(G68="","",YEAR(J68)&amp;"-"&amp;RIGHT("0"&amp;MONTH(J68),2)&amp;"-"&amp;RIGHT("0"&amp;DAY(J68),2)&amp;" "&amp;RIGHT("0"&amp;HOUR(J68),2)&amp;":"&amp;RIGHT("0"&amp;MINUTE(J68),2)&amp;":"&amp;RIGHT("0"&amp;SECOND(J68),2)&amp;IF(AND(J68&gt;=DATE(YEAR(J68),3,8)+MOD(8-WEEKDAY(DATE(YEAR(J68),3,8)),7)+2/24,J68&lt;DATE(YEAR(J68),11,1)+MOD(8-WEEKDAY(DATE(YEAR(J68),11,1)),7)+2/24),"-04:00","-05:00"))</f>
        <v/>
      </c>
      <c r="D68" s="60">
        <f>IF(G68="","",INDEX(Leads!$V$3:$V$1002,MATCH(67,Leads!$BA$3:$BA$1002,0)))</f>
        <v/>
      </c>
      <c r="E68" s="12">
        <f>IF(G68="","","CAD")</f>
        <v/>
      </c>
      <c r="G68" s="7">
        <f>IFERROR(INDEX(Leads!$A$3:$A$1002,MATCH(67,Leads!$BA$3:$BA$1002,0)),"")</f>
        <v/>
      </c>
      <c r="H68" s="7">
        <f>IF(G68="","",INDEX(Leads!$AQ$3:$AQ$1002,MATCH(67,Leads!$BA$3:$BA$1002,0)))</f>
        <v/>
      </c>
      <c r="I68" s="7">
        <f>IF(G68="","",INDEX(Leads!$AI$3:$AI$1002,MATCH(67,Leads!$BA$3:$BA$1002,0))&amp;"")</f>
        <v/>
      </c>
      <c r="J68" s="61">
        <f>IF(G68="","",INDEX(Leads!$W$3:$W$1002,MATCH(67,Leads!$BA$3:$BA$1002,0)))</f>
        <v/>
      </c>
    </row>
    <row r="69">
      <c r="A69" s="12">
        <f>IF(G69="","",INDEX(Leads!$AC$3:$AC$1002,MATCH(68,Leads!$BA$3:$BA$1002,0)))</f>
        <v/>
      </c>
      <c r="B69" s="12">
        <f>IF(G69="","","depot_paye")</f>
        <v/>
      </c>
      <c r="C69" s="12">
        <f>IF(G69="","",YEAR(J69)&amp;"-"&amp;RIGHT("0"&amp;MONTH(J69),2)&amp;"-"&amp;RIGHT("0"&amp;DAY(J69),2)&amp;" "&amp;RIGHT("0"&amp;HOUR(J69),2)&amp;":"&amp;RIGHT("0"&amp;MINUTE(J69),2)&amp;":"&amp;RIGHT("0"&amp;SECOND(J69),2)&amp;IF(AND(J69&gt;=DATE(YEAR(J69),3,8)+MOD(8-WEEKDAY(DATE(YEAR(J69),3,8)),7)+2/24,J69&lt;DATE(YEAR(J69),11,1)+MOD(8-WEEKDAY(DATE(YEAR(J69),11,1)),7)+2/24),"-04:00","-05:00"))</f>
        <v/>
      </c>
      <c r="D69" s="60">
        <f>IF(G69="","",INDEX(Leads!$V$3:$V$1002,MATCH(68,Leads!$BA$3:$BA$1002,0)))</f>
        <v/>
      </c>
      <c r="E69" s="12">
        <f>IF(G69="","","CAD")</f>
        <v/>
      </c>
      <c r="G69" s="7">
        <f>IFERROR(INDEX(Leads!$A$3:$A$1002,MATCH(68,Leads!$BA$3:$BA$1002,0)),"")</f>
        <v/>
      </c>
      <c r="H69" s="7">
        <f>IF(G69="","",INDEX(Leads!$AQ$3:$AQ$1002,MATCH(68,Leads!$BA$3:$BA$1002,0)))</f>
        <v/>
      </c>
      <c r="I69" s="7">
        <f>IF(G69="","",INDEX(Leads!$AI$3:$AI$1002,MATCH(68,Leads!$BA$3:$BA$1002,0))&amp;"")</f>
        <v/>
      </c>
      <c r="J69" s="61">
        <f>IF(G69="","",INDEX(Leads!$W$3:$W$1002,MATCH(68,Leads!$BA$3:$BA$1002,0)))</f>
        <v/>
      </c>
    </row>
    <row r="70">
      <c r="A70" s="12">
        <f>IF(G70="","",INDEX(Leads!$AC$3:$AC$1002,MATCH(69,Leads!$BA$3:$BA$1002,0)))</f>
        <v/>
      </c>
      <c r="B70" s="12">
        <f>IF(G70="","","depot_paye")</f>
        <v/>
      </c>
      <c r="C70" s="12">
        <f>IF(G70="","",YEAR(J70)&amp;"-"&amp;RIGHT("0"&amp;MONTH(J70),2)&amp;"-"&amp;RIGHT("0"&amp;DAY(J70),2)&amp;" "&amp;RIGHT("0"&amp;HOUR(J70),2)&amp;":"&amp;RIGHT("0"&amp;MINUTE(J70),2)&amp;":"&amp;RIGHT("0"&amp;SECOND(J70),2)&amp;IF(AND(J70&gt;=DATE(YEAR(J70),3,8)+MOD(8-WEEKDAY(DATE(YEAR(J70),3,8)),7)+2/24,J70&lt;DATE(YEAR(J70),11,1)+MOD(8-WEEKDAY(DATE(YEAR(J70),11,1)),7)+2/24),"-04:00","-05:00"))</f>
        <v/>
      </c>
      <c r="D70" s="60">
        <f>IF(G70="","",INDEX(Leads!$V$3:$V$1002,MATCH(69,Leads!$BA$3:$BA$1002,0)))</f>
        <v/>
      </c>
      <c r="E70" s="12">
        <f>IF(G70="","","CAD")</f>
        <v/>
      </c>
      <c r="G70" s="7">
        <f>IFERROR(INDEX(Leads!$A$3:$A$1002,MATCH(69,Leads!$BA$3:$BA$1002,0)),"")</f>
        <v/>
      </c>
      <c r="H70" s="7">
        <f>IF(G70="","",INDEX(Leads!$AQ$3:$AQ$1002,MATCH(69,Leads!$BA$3:$BA$1002,0)))</f>
        <v/>
      </c>
      <c r="I70" s="7">
        <f>IF(G70="","",INDEX(Leads!$AI$3:$AI$1002,MATCH(69,Leads!$BA$3:$BA$1002,0))&amp;"")</f>
        <v/>
      </c>
      <c r="J70" s="61">
        <f>IF(G70="","",INDEX(Leads!$W$3:$W$1002,MATCH(69,Leads!$BA$3:$BA$1002,0)))</f>
        <v/>
      </c>
    </row>
    <row r="71">
      <c r="A71" s="12">
        <f>IF(G71="","",INDEX(Leads!$AC$3:$AC$1002,MATCH(70,Leads!$BA$3:$BA$1002,0)))</f>
        <v/>
      </c>
      <c r="B71" s="12">
        <f>IF(G71="","","depot_paye")</f>
        <v/>
      </c>
      <c r="C71" s="12">
        <f>IF(G71="","",YEAR(J71)&amp;"-"&amp;RIGHT("0"&amp;MONTH(J71),2)&amp;"-"&amp;RIGHT("0"&amp;DAY(J71),2)&amp;" "&amp;RIGHT("0"&amp;HOUR(J71),2)&amp;":"&amp;RIGHT("0"&amp;MINUTE(J71),2)&amp;":"&amp;RIGHT("0"&amp;SECOND(J71),2)&amp;IF(AND(J71&gt;=DATE(YEAR(J71),3,8)+MOD(8-WEEKDAY(DATE(YEAR(J71),3,8)),7)+2/24,J71&lt;DATE(YEAR(J71),11,1)+MOD(8-WEEKDAY(DATE(YEAR(J71),11,1)),7)+2/24),"-04:00","-05:00"))</f>
        <v/>
      </c>
      <c r="D71" s="60">
        <f>IF(G71="","",INDEX(Leads!$V$3:$V$1002,MATCH(70,Leads!$BA$3:$BA$1002,0)))</f>
        <v/>
      </c>
      <c r="E71" s="12">
        <f>IF(G71="","","CAD")</f>
        <v/>
      </c>
      <c r="G71" s="7">
        <f>IFERROR(INDEX(Leads!$A$3:$A$1002,MATCH(70,Leads!$BA$3:$BA$1002,0)),"")</f>
        <v/>
      </c>
      <c r="H71" s="7">
        <f>IF(G71="","",INDEX(Leads!$AQ$3:$AQ$1002,MATCH(70,Leads!$BA$3:$BA$1002,0)))</f>
        <v/>
      </c>
      <c r="I71" s="7">
        <f>IF(G71="","",INDEX(Leads!$AI$3:$AI$1002,MATCH(70,Leads!$BA$3:$BA$1002,0))&amp;"")</f>
        <v/>
      </c>
      <c r="J71" s="61">
        <f>IF(G71="","",INDEX(Leads!$W$3:$W$1002,MATCH(70,Leads!$BA$3:$BA$1002,0)))</f>
        <v/>
      </c>
    </row>
    <row r="72">
      <c r="A72" s="12">
        <f>IF(G72="","",INDEX(Leads!$AC$3:$AC$1002,MATCH(71,Leads!$BA$3:$BA$1002,0)))</f>
        <v/>
      </c>
      <c r="B72" s="12">
        <f>IF(G72="","","depot_paye")</f>
        <v/>
      </c>
      <c r="C72" s="12">
        <f>IF(G72="","",YEAR(J72)&amp;"-"&amp;RIGHT("0"&amp;MONTH(J72),2)&amp;"-"&amp;RIGHT("0"&amp;DAY(J72),2)&amp;" "&amp;RIGHT("0"&amp;HOUR(J72),2)&amp;":"&amp;RIGHT("0"&amp;MINUTE(J72),2)&amp;":"&amp;RIGHT("0"&amp;SECOND(J72),2)&amp;IF(AND(J72&gt;=DATE(YEAR(J72),3,8)+MOD(8-WEEKDAY(DATE(YEAR(J72),3,8)),7)+2/24,J72&lt;DATE(YEAR(J72),11,1)+MOD(8-WEEKDAY(DATE(YEAR(J72),11,1)),7)+2/24),"-04:00","-05:00"))</f>
        <v/>
      </c>
      <c r="D72" s="60">
        <f>IF(G72="","",INDEX(Leads!$V$3:$V$1002,MATCH(71,Leads!$BA$3:$BA$1002,0)))</f>
        <v/>
      </c>
      <c r="E72" s="12">
        <f>IF(G72="","","CAD")</f>
        <v/>
      </c>
      <c r="G72" s="7">
        <f>IFERROR(INDEX(Leads!$A$3:$A$1002,MATCH(71,Leads!$BA$3:$BA$1002,0)),"")</f>
        <v/>
      </c>
      <c r="H72" s="7">
        <f>IF(G72="","",INDEX(Leads!$AQ$3:$AQ$1002,MATCH(71,Leads!$BA$3:$BA$1002,0)))</f>
        <v/>
      </c>
      <c r="I72" s="7">
        <f>IF(G72="","",INDEX(Leads!$AI$3:$AI$1002,MATCH(71,Leads!$BA$3:$BA$1002,0))&amp;"")</f>
        <v/>
      </c>
      <c r="J72" s="61">
        <f>IF(G72="","",INDEX(Leads!$W$3:$W$1002,MATCH(71,Leads!$BA$3:$BA$1002,0)))</f>
        <v/>
      </c>
    </row>
    <row r="73">
      <c r="A73" s="12">
        <f>IF(G73="","",INDEX(Leads!$AC$3:$AC$1002,MATCH(72,Leads!$BA$3:$BA$1002,0)))</f>
        <v/>
      </c>
      <c r="B73" s="12">
        <f>IF(G73="","","depot_paye")</f>
        <v/>
      </c>
      <c r="C73" s="12">
        <f>IF(G73="","",YEAR(J73)&amp;"-"&amp;RIGHT("0"&amp;MONTH(J73),2)&amp;"-"&amp;RIGHT("0"&amp;DAY(J73),2)&amp;" "&amp;RIGHT("0"&amp;HOUR(J73),2)&amp;":"&amp;RIGHT("0"&amp;MINUTE(J73),2)&amp;":"&amp;RIGHT("0"&amp;SECOND(J73),2)&amp;IF(AND(J73&gt;=DATE(YEAR(J73),3,8)+MOD(8-WEEKDAY(DATE(YEAR(J73),3,8)),7)+2/24,J73&lt;DATE(YEAR(J73),11,1)+MOD(8-WEEKDAY(DATE(YEAR(J73),11,1)),7)+2/24),"-04:00","-05:00"))</f>
        <v/>
      </c>
      <c r="D73" s="60">
        <f>IF(G73="","",INDEX(Leads!$V$3:$V$1002,MATCH(72,Leads!$BA$3:$BA$1002,0)))</f>
        <v/>
      </c>
      <c r="E73" s="12">
        <f>IF(G73="","","CAD")</f>
        <v/>
      </c>
      <c r="G73" s="7">
        <f>IFERROR(INDEX(Leads!$A$3:$A$1002,MATCH(72,Leads!$BA$3:$BA$1002,0)),"")</f>
        <v/>
      </c>
      <c r="H73" s="7">
        <f>IF(G73="","",INDEX(Leads!$AQ$3:$AQ$1002,MATCH(72,Leads!$BA$3:$BA$1002,0)))</f>
        <v/>
      </c>
      <c r="I73" s="7">
        <f>IF(G73="","",INDEX(Leads!$AI$3:$AI$1002,MATCH(72,Leads!$BA$3:$BA$1002,0))&amp;"")</f>
        <v/>
      </c>
      <c r="J73" s="61">
        <f>IF(G73="","",INDEX(Leads!$W$3:$W$1002,MATCH(72,Leads!$BA$3:$BA$1002,0)))</f>
        <v/>
      </c>
    </row>
    <row r="74">
      <c r="A74" s="12">
        <f>IF(G74="","",INDEX(Leads!$AC$3:$AC$1002,MATCH(73,Leads!$BA$3:$BA$1002,0)))</f>
        <v/>
      </c>
      <c r="B74" s="12">
        <f>IF(G74="","","depot_paye")</f>
        <v/>
      </c>
      <c r="C74" s="12">
        <f>IF(G74="","",YEAR(J74)&amp;"-"&amp;RIGHT("0"&amp;MONTH(J74),2)&amp;"-"&amp;RIGHT("0"&amp;DAY(J74),2)&amp;" "&amp;RIGHT("0"&amp;HOUR(J74),2)&amp;":"&amp;RIGHT("0"&amp;MINUTE(J74),2)&amp;":"&amp;RIGHT("0"&amp;SECOND(J74),2)&amp;IF(AND(J74&gt;=DATE(YEAR(J74),3,8)+MOD(8-WEEKDAY(DATE(YEAR(J74),3,8)),7)+2/24,J74&lt;DATE(YEAR(J74),11,1)+MOD(8-WEEKDAY(DATE(YEAR(J74),11,1)),7)+2/24),"-04:00","-05:00"))</f>
        <v/>
      </c>
      <c r="D74" s="60">
        <f>IF(G74="","",INDEX(Leads!$V$3:$V$1002,MATCH(73,Leads!$BA$3:$BA$1002,0)))</f>
        <v/>
      </c>
      <c r="E74" s="12">
        <f>IF(G74="","","CAD")</f>
        <v/>
      </c>
      <c r="G74" s="7">
        <f>IFERROR(INDEX(Leads!$A$3:$A$1002,MATCH(73,Leads!$BA$3:$BA$1002,0)),"")</f>
        <v/>
      </c>
      <c r="H74" s="7">
        <f>IF(G74="","",INDEX(Leads!$AQ$3:$AQ$1002,MATCH(73,Leads!$BA$3:$BA$1002,0)))</f>
        <v/>
      </c>
      <c r="I74" s="7">
        <f>IF(G74="","",INDEX(Leads!$AI$3:$AI$1002,MATCH(73,Leads!$BA$3:$BA$1002,0))&amp;"")</f>
        <v/>
      </c>
      <c r="J74" s="61">
        <f>IF(G74="","",INDEX(Leads!$W$3:$W$1002,MATCH(73,Leads!$BA$3:$BA$1002,0)))</f>
        <v/>
      </c>
    </row>
    <row r="75">
      <c r="A75" s="12">
        <f>IF(G75="","",INDEX(Leads!$AC$3:$AC$1002,MATCH(74,Leads!$BA$3:$BA$1002,0)))</f>
        <v/>
      </c>
      <c r="B75" s="12">
        <f>IF(G75="","","depot_paye")</f>
        <v/>
      </c>
      <c r="C75" s="12">
        <f>IF(G75="","",YEAR(J75)&amp;"-"&amp;RIGHT("0"&amp;MONTH(J75),2)&amp;"-"&amp;RIGHT("0"&amp;DAY(J75),2)&amp;" "&amp;RIGHT("0"&amp;HOUR(J75),2)&amp;":"&amp;RIGHT("0"&amp;MINUTE(J75),2)&amp;":"&amp;RIGHT("0"&amp;SECOND(J75),2)&amp;IF(AND(J75&gt;=DATE(YEAR(J75),3,8)+MOD(8-WEEKDAY(DATE(YEAR(J75),3,8)),7)+2/24,J75&lt;DATE(YEAR(J75),11,1)+MOD(8-WEEKDAY(DATE(YEAR(J75),11,1)),7)+2/24),"-04:00","-05:00"))</f>
        <v/>
      </c>
      <c r="D75" s="60">
        <f>IF(G75="","",INDEX(Leads!$V$3:$V$1002,MATCH(74,Leads!$BA$3:$BA$1002,0)))</f>
        <v/>
      </c>
      <c r="E75" s="12">
        <f>IF(G75="","","CAD")</f>
        <v/>
      </c>
      <c r="G75" s="7">
        <f>IFERROR(INDEX(Leads!$A$3:$A$1002,MATCH(74,Leads!$BA$3:$BA$1002,0)),"")</f>
        <v/>
      </c>
      <c r="H75" s="7">
        <f>IF(G75="","",INDEX(Leads!$AQ$3:$AQ$1002,MATCH(74,Leads!$BA$3:$BA$1002,0)))</f>
        <v/>
      </c>
      <c r="I75" s="7">
        <f>IF(G75="","",INDEX(Leads!$AI$3:$AI$1002,MATCH(74,Leads!$BA$3:$BA$1002,0))&amp;"")</f>
        <v/>
      </c>
      <c r="J75" s="61">
        <f>IF(G75="","",INDEX(Leads!$W$3:$W$1002,MATCH(74,Leads!$BA$3:$BA$1002,0)))</f>
        <v/>
      </c>
    </row>
    <row r="76">
      <c r="A76" s="12">
        <f>IF(G76="","",INDEX(Leads!$AC$3:$AC$1002,MATCH(75,Leads!$BA$3:$BA$1002,0)))</f>
        <v/>
      </c>
      <c r="B76" s="12">
        <f>IF(G76="","","depot_paye")</f>
        <v/>
      </c>
      <c r="C76" s="12">
        <f>IF(G76="","",YEAR(J76)&amp;"-"&amp;RIGHT("0"&amp;MONTH(J76),2)&amp;"-"&amp;RIGHT("0"&amp;DAY(J76),2)&amp;" "&amp;RIGHT("0"&amp;HOUR(J76),2)&amp;":"&amp;RIGHT("0"&amp;MINUTE(J76),2)&amp;":"&amp;RIGHT("0"&amp;SECOND(J76),2)&amp;IF(AND(J76&gt;=DATE(YEAR(J76),3,8)+MOD(8-WEEKDAY(DATE(YEAR(J76),3,8)),7)+2/24,J76&lt;DATE(YEAR(J76),11,1)+MOD(8-WEEKDAY(DATE(YEAR(J76),11,1)),7)+2/24),"-04:00","-05:00"))</f>
        <v/>
      </c>
      <c r="D76" s="60">
        <f>IF(G76="","",INDEX(Leads!$V$3:$V$1002,MATCH(75,Leads!$BA$3:$BA$1002,0)))</f>
        <v/>
      </c>
      <c r="E76" s="12">
        <f>IF(G76="","","CAD")</f>
        <v/>
      </c>
      <c r="G76" s="7">
        <f>IFERROR(INDEX(Leads!$A$3:$A$1002,MATCH(75,Leads!$BA$3:$BA$1002,0)),"")</f>
        <v/>
      </c>
      <c r="H76" s="7">
        <f>IF(G76="","",INDEX(Leads!$AQ$3:$AQ$1002,MATCH(75,Leads!$BA$3:$BA$1002,0)))</f>
        <v/>
      </c>
      <c r="I76" s="7">
        <f>IF(G76="","",INDEX(Leads!$AI$3:$AI$1002,MATCH(75,Leads!$BA$3:$BA$1002,0))&amp;"")</f>
        <v/>
      </c>
      <c r="J76" s="61">
        <f>IF(G76="","",INDEX(Leads!$W$3:$W$1002,MATCH(75,Leads!$BA$3:$BA$1002,0)))</f>
        <v/>
      </c>
    </row>
    <row r="77">
      <c r="A77" s="12">
        <f>IF(G77="","",INDEX(Leads!$AC$3:$AC$1002,MATCH(76,Leads!$BA$3:$BA$1002,0)))</f>
        <v/>
      </c>
      <c r="B77" s="12">
        <f>IF(G77="","","depot_paye")</f>
        <v/>
      </c>
      <c r="C77" s="12">
        <f>IF(G77="","",YEAR(J77)&amp;"-"&amp;RIGHT("0"&amp;MONTH(J77),2)&amp;"-"&amp;RIGHT("0"&amp;DAY(J77),2)&amp;" "&amp;RIGHT("0"&amp;HOUR(J77),2)&amp;":"&amp;RIGHT("0"&amp;MINUTE(J77),2)&amp;":"&amp;RIGHT("0"&amp;SECOND(J77),2)&amp;IF(AND(J77&gt;=DATE(YEAR(J77),3,8)+MOD(8-WEEKDAY(DATE(YEAR(J77),3,8)),7)+2/24,J77&lt;DATE(YEAR(J77),11,1)+MOD(8-WEEKDAY(DATE(YEAR(J77),11,1)),7)+2/24),"-04:00","-05:00"))</f>
        <v/>
      </c>
      <c r="D77" s="60">
        <f>IF(G77="","",INDEX(Leads!$V$3:$V$1002,MATCH(76,Leads!$BA$3:$BA$1002,0)))</f>
        <v/>
      </c>
      <c r="E77" s="12">
        <f>IF(G77="","","CAD")</f>
        <v/>
      </c>
      <c r="G77" s="7">
        <f>IFERROR(INDEX(Leads!$A$3:$A$1002,MATCH(76,Leads!$BA$3:$BA$1002,0)),"")</f>
        <v/>
      </c>
      <c r="H77" s="7">
        <f>IF(G77="","",INDEX(Leads!$AQ$3:$AQ$1002,MATCH(76,Leads!$BA$3:$BA$1002,0)))</f>
        <v/>
      </c>
      <c r="I77" s="7">
        <f>IF(G77="","",INDEX(Leads!$AI$3:$AI$1002,MATCH(76,Leads!$BA$3:$BA$1002,0))&amp;"")</f>
        <v/>
      </c>
      <c r="J77" s="61">
        <f>IF(G77="","",INDEX(Leads!$W$3:$W$1002,MATCH(76,Leads!$BA$3:$BA$1002,0)))</f>
        <v/>
      </c>
    </row>
    <row r="78">
      <c r="A78" s="12">
        <f>IF(G78="","",INDEX(Leads!$AC$3:$AC$1002,MATCH(77,Leads!$BA$3:$BA$1002,0)))</f>
        <v/>
      </c>
      <c r="B78" s="12">
        <f>IF(G78="","","depot_paye")</f>
        <v/>
      </c>
      <c r="C78" s="12">
        <f>IF(G78="","",YEAR(J78)&amp;"-"&amp;RIGHT("0"&amp;MONTH(J78),2)&amp;"-"&amp;RIGHT("0"&amp;DAY(J78),2)&amp;" "&amp;RIGHT("0"&amp;HOUR(J78),2)&amp;":"&amp;RIGHT("0"&amp;MINUTE(J78),2)&amp;":"&amp;RIGHT("0"&amp;SECOND(J78),2)&amp;IF(AND(J78&gt;=DATE(YEAR(J78),3,8)+MOD(8-WEEKDAY(DATE(YEAR(J78),3,8)),7)+2/24,J78&lt;DATE(YEAR(J78),11,1)+MOD(8-WEEKDAY(DATE(YEAR(J78),11,1)),7)+2/24),"-04:00","-05:00"))</f>
        <v/>
      </c>
      <c r="D78" s="60">
        <f>IF(G78="","",INDEX(Leads!$V$3:$V$1002,MATCH(77,Leads!$BA$3:$BA$1002,0)))</f>
        <v/>
      </c>
      <c r="E78" s="12">
        <f>IF(G78="","","CAD")</f>
        <v/>
      </c>
      <c r="G78" s="7">
        <f>IFERROR(INDEX(Leads!$A$3:$A$1002,MATCH(77,Leads!$BA$3:$BA$1002,0)),"")</f>
        <v/>
      </c>
      <c r="H78" s="7">
        <f>IF(G78="","",INDEX(Leads!$AQ$3:$AQ$1002,MATCH(77,Leads!$BA$3:$BA$1002,0)))</f>
        <v/>
      </c>
      <c r="I78" s="7">
        <f>IF(G78="","",INDEX(Leads!$AI$3:$AI$1002,MATCH(77,Leads!$BA$3:$BA$1002,0))&amp;"")</f>
        <v/>
      </c>
      <c r="J78" s="61">
        <f>IF(G78="","",INDEX(Leads!$W$3:$W$1002,MATCH(77,Leads!$BA$3:$BA$1002,0)))</f>
        <v/>
      </c>
    </row>
    <row r="79">
      <c r="A79" s="12">
        <f>IF(G79="","",INDEX(Leads!$AC$3:$AC$1002,MATCH(78,Leads!$BA$3:$BA$1002,0)))</f>
        <v/>
      </c>
      <c r="B79" s="12">
        <f>IF(G79="","","depot_paye")</f>
        <v/>
      </c>
      <c r="C79" s="12">
        <f>IF(G79="","",YEAR(J79)&amp;"-"&amp;RIGHT("0"&amp;MONTH(J79),2)&amp;"-"&amp;RIGHT("0"&amp;DAY(J79),2)&amp;" "&amp;RIGHT("0"&amp;HOUR(J79),2)&amp;":"&amp;RIGHT("0"&amp;MINUTE(J79),2)&amp;":"&amp;RIGHT("0"&amp;SECOND(J79),2)&amp;IF(AND(J79&gt;=DATE(YEAR(J79),3,8)+MOD(8-WEEKDAY(DATE(YEAR(J79),3,8)),7)+2/24,J79&lt;DATE(YEAR(J79),11,1)+MOD(8-WEEKDAY(DATE(YEAR(J79),11,1)),7)+2/24),"-04:00","-05:00"))</f>
        <v/>
      </c>
      <c r="D79" s="60">
        <f>IF(G79="","",INDEX(Leads!$V$3:$V$1002,MATCH(78,Leads!$BA$3:$BA$1002,0)))</f>
        <v/>
      </c>
      <c r="E79" s="12">
        <f>IF(G79="","","CAD")</f>
        <v/>
      </c>
      <c r="G79" s="7">
        <f>IFERROR(INDEX(Leads!$A$3:$A$1002,MATCH(78,Leads!$BA$3:$BA$1002,0)),"")</f>
        <v/>
      </c>
      <c r="H79" s="7">
        <f>IF(G79="","",INDEX(Leads!$AQ$3:$AQ$1002,MATCH(78,Leads!$BA$3:$BA$1002,0)))</f>
        <v/>
      </c>
      <c r="I79" s="7">
        <f>IF(G79="","",INDEX(Leads!$AI$3:$AI$1002,MATCH(78,Leads!$BA$3:$BA$1002,0))&amp;"")</f>
        <v/>
      </c>
      <c r="J79" s="61">
        <f>IF(G79="","",INDEX(Leads!$W$3:$W$1002,MATCH(78,Leads!$BA$3:$BA$1002,0)))</f>
        <v/>
      </c>
    </row>
    <row r="80">
      <c r="A80" s="12">
        <f>IF(G80="","",INDEX(Leads!$AC$3:$AC$1002,MATCH(79,Leads!$BA$3:$BA$1002,0)))</f>
        <v/>
      </c>
      <c r="B80" s="12">
        <f>IF(G80="","","depot_paye")</f>
        <v/>
      </c>
      <c r="C80" s="12">
        <f>IF(G80="","",YEAR(J80)&amp;"-"&amp;RIGHT("0"&amp;MONTH(J80),2)&amp;"-"&amp;RIGHT("0"&amp;DAY(J80),2)&amp;" "&amp;RIGHT("0"&amp;HOUR(J80),2)&amp;":"&amp;RIGHT("0"&amp;MINUTE(J80),2)&amp;":"&amp;RIGHT("0"&amp;SECOND(J80),2)&amp;IF(AND(J80&gt;=DATE(YEAR(J80),3,8)+MOD(8-WEEKDAY(DATE(YEAR(J80),3,8)),7)+2/24,J80&lt;DATE(YEAR(J80),11,1)+MOD(8-WEEKDAY(DATE(YEAR(J80),11,1)),7)+2/24),"-04:00","-05:00"))</f>
        <v/>
      </c>
      <c r="D80" s="60">
        <f>IF(G80="","",INDEX(Leads!$V$3:$V$1002,MATCH(79,Leads!$BA$3:$BA$1002,0)))</f>
        <v/>
      </c>
      <c r="E80" s="12">
        <f>IF(G80="","","CAD")</f>
        <v/>
      </c>
      <c r="G80" s="7">
        <f>IFERROR(INDEX(Leads!$A$3:$A$1002,MATCH(79,Leads!$BA$3:$BA$1002,0)),"")</f>
        <v/>
      </c>
      <c r="H80" s="7">
        <f>IF(G80="","",INDEX(Leads!$AQ$3:$AQ$1002,MATCH(79,Leads!$BA$3:$BA$1002,0)))</f>
        <v/>
      </c>
      <c r="I80" s="7">
        <f>IF(G80="","",INDEX(Leads!$AI$3:$AI$1002,MATCH(79,Leads!$BA$3:$BA$1002,0))&amp;"")</f>
        <v/>
      </c>
      <c r="J80" s="61">
        <f>IF(G80="","",INDEX(Leads!$W$3:$W$1002,MATCH(79,Leads!$BA$3:$BA$1002,0)))</f>
        <v/>
      </c>
    </row>
    <row r="81">
      <c r="A81" s="12">
        <f>IF(G81="","",INDEX(Leads!$AC$3:$AC$1002,MATCH(80,Leads!$BA$3:$BA$1002,0)))</f>
        <v/>
      </c>
      <c r="B81" s="12">
        <f>IF(G81="","","depot_paye")</f>
        <v/>
      </c>
      <c r="C81" s="12">
        <f>IF(G81="","",YEAR(J81)&amp;"-"&amp;RIGHT("0"&amp;MONTH(J81),2)&amp;"-"&amp;RIGHT("0"&amp;DAY(J81),2)&amp;" "&amp;RIGHT("0"&amp;HOUR(J81),2)&amp;":"&amp;RIGHT("0"&amp;MINUTE(J81),2)&amp;":"&amp;RIGHT("0"&amp;SECOND(J81),2)&amp;IF(AND(J81&gt;=DATE(YEAR(J81),3,8)+MOD(8-WEEKDAY(DATE(YEAR(J81),3,8)),7)+2/24,J81&lt;DATE(YEAR(J81),11,1)+MOD(8-WEEKDAY(DATE(YEAR(J81),11,1)),7)+2/24),"-04:00","-05:00"))</f>
        <v/>
      </c>
      <c r="D81" s="60">
        <f>IF(G81="","",INDEX(Leads!$V$3:$V$1002,MATCH(80,Leads!$BA$3:$BA$1002,0)))</f>
        <v/>
      </c>
      <c r="E81" s="12">
        <f>IF(G81="","","CAD")</f>
        <v/>
      </c>
      <c r="G81" s="7">
        <f>IFERROR(INDEX(Leads!$A$3:$A$1002,MATCH(80,Leads!$BA$3:$BA$1002,0)),"")</f>
        <v/>
      </c>
      <c r="H81" s="7">
        <f>IF(G81="","",INDEX(Leads!$AQ$3:$AQ$1002,MATCH(80,Leads!$BA$3:$BA$1002,0)))</f>
        <v/>
      </c>
      <c r="I81" s="7">
        <f>IF(G81="","",INDEX(Leads!$AI$3:$AI$1002,MATCH(80,Leads!$BA$3:$BA$1002,0))&amp;"")</f>
        <v/>
      </c>
      <c r="J81" s="61">
        <f>IF(G81="","",INDEX(Leads!$W$3:$W$1002,MATCH(80,Leads!$BA$3:$BA$1002,0)))</f>
        <v/>
      </c>
    </row>
    <row r="82">
      <c r="A82" s="12">
        <f>IF(G82="","",INDEX(Leads!$AC$3:$AC$1002,MATCH(81,Leads!$BA$3:$BA$1002,0)))</f>
        <v/>
      </c>
      <c r="B82" s="12">
        <f>IF(G82="","","depot_paye")</f>
        <v/>
      </c>
      <c r="C82" s="12">
        <f>IF(G82="","",YEAR(J82)&amp;"-"&amp;RIGHT("0"&amp;MONTH(J82),2)&amp;"-"&amp;RIGHT("0"&amp;DAY(J82),2)&amp;" "&amp;RIGHT("0"&amp;HOUR(J82),2)&amp;":"&amp;RIGHT("0"&amp;MINUTE(J82),2)&amp;":"&amp;RIGHT("0"&amp;SECOND(J82),2)&amp;IF(AND(J82&gt;=DATE(YEAR(J82),3,8)+MOD(8-WEEKDAY(DATE(YEAR(J82),3,8)),7)+2/24,J82&lt;DATE(YEAR(J82),11,1)+MOD(8-WEEKDAY(DATE(YEAR(J82),11,1)),7)+2/24),"-04:00","-05:00"))</f>
        <v/>
      </c>
      <c r="D82" s="60">
        <f>IF(G82="","",INDEX(Leads!$V$3:$V$1002,MATCH(81,Leads!$BA$3:$BA$1002,0)))</f>
        <v/>
      </c>
      <c r="E82" s="12">
        <f>IF(G82="","","CAD")</f>
        <v/>
      </c>
      <c r="G82" s="7">
        <f>IFERROR(INDEX(Leads!$A$3:$A$1002,MATCH(81,Leads!$BA$3:$BA$1002,0)),"")</f>
        <v/>
      </c>
      <c r="H82" s="7">
        <f>IF(G82="","",INDEX(Leads!$AQ$3:$AQ$1002,MATCH(81,Leads!$BA$3:$BA$1002,0)))</f>
        <v/>
      </c>
      <c r="I82" s="7">
        <f>IF(G82="","",INDEX(Leads!$AI$3:$AI$1002,MATCH(81,Leads!$BA$3:$BA$1002,0))&amp;"")</f>
        <v/>
      </c>
      <c r="J82" s="61">
        <f>IF(G82="","",INDEX(Leads!$W$3:$W$1002,MATCH(81,Leads!$BA$3:$BA$1002,0)))</f>
        <v/>
      </c>
    </row>
    <row r="83">
      <c r="A83" s="12">
        <f>IF(G83="","",INDEX(Leads!$AC$3:$AC$1002,MATCH(82,Leads!$BA$3:$BA$1002,0)))</f>
        <v/>
      </c>
      <c r="B83" s="12">
        <f>IF(G83="","","depot_paye")</f>
        <v/>
      </c>
      <c r="C83" s="12">
        <f>IF(G83="","",YEAR(J83)&amp;"-"&amp;RIGHT("0"&amp;MONTH(J83),2)&amp;"-"&amp;RIGHT("0"&amp;DAY(J83),2)&amp;" "&amp;RIGHT("0"&amp;HOUR(J83),2)&amp;":"&amp;RIGHT("0"&amp;MINUTE(J83),2)&amp;":"&amp;RIGHT("0"&amp;SECOND(J83),2)&amp;IF(AND(J83&gt;=DATE(YEAR(J83),3,8)+MOD(8-WEEKDAY(DATE(YEAR(J83),3,8)),7)+2/24,J83&lt;DATE(YEAR(J83),11,1)+MOD(8-WEEKDAY(DATE(YEAR(J83),11,1)),7)+2/24),"-04:00","-05:00"))</f>
        <v/>
      </c>
      <c r="D83" s="60">
        <f>IF(G83="","",INDEX(Leads!$V$3:$V$1002,MATCH(82,Leads!$BA$3:$BA$1002,0)))</f>
        <v/>
      </c>
      <c r="E83" s="12">
        <f>IF(G83="","","CAD")</f>
        <v/>
      </c>
      <c r="G83" s="7">
        <f>IFERROR(INDEX(Leads!$A$3:$A$1002,MATCH(82,Leads!$BA$3:$BA$1002,0)),"")</f>
        <v/>
      </c>
      <c r="H83" s="7">
        <f>IF(G83="","",INDEX(Leads!$AQ$3:$AQ$1002,MATCH(82,Leads!$BA$3:$BA$1002,0)))</f>
        <v/>
      </c>
      <c r="I83" s="7">
        <f>IF(G83="","",INDEX(Leads!$AI$3:$AI$1002,MATCH(82,Leads!$BA$3:$BA$1002,0))&amp;"")</f>
        <v/>
      </c>
      <c r="J83" s="61">
        <f>IF(G83="","",INDEX(Leads!$W$3:$W$1002,MATCH(82,Leads!$BA$3:$BA$1002,0)))</f>
        <v/>
      </c>
    </row>
    <row r="84">
      <c r="A84" s="12">
        <f>IF(G84="","",INDEX(Leads!$AC$3:$AC$1002,MATCH(83,Leads!$BA$3:$BA$1002,0)))</f>
        <v/>
      </c>
      <c r="B84" s="12">
        <f>IF(G84="","","depot_paye")</f>
        <v/>
      </c>
      <c r="C84" s="12">
        <f>IF(G84="","",YEAR(J84)&amp;"-"&amp;RIGHT("0"&amp;MONTH(J84),2)&amp;"-"&amp;RIGHT("0"&amp;DAY(J84),2)&amp;" "&amp;RIGHT("0"&amp;HOUR(J84),2)&amp;":"&amp;RIGHT("0"&amp;MINUTE(J84),2)&amp;":"&amp;RIGHT("0"&amp;SECOND(J84),2)&amp;IF(AND(J84&gt;=DATE(YEAR(J84),3,8)+MOD(8-WEEKDAY(DATE(YEAR(J84),3,8)),7)+2/24,J84&lt;DATE(YEAR(J84),11,1)+MOD(8-WEEKDAY(DATE(YEAR(J84),11,1)),7)+2/24),"-04:00","-05:00"))</f>
        <v/>
      </c>
      <c r="D84" s="60">
        <f>IF(G84="","",INDEX(Leads!$V$3:$V$1002,MATCH(83,Leads!$BA$3:$BA$1002,0)))</f>
        <v/>
      </c>
      <c r="E84" s="12">
        <f>IF(G84="","","CAD")</f>
        <v/>
      </c>
      <c r="G84" s="7">
        <f>IFERROR(INDEX(Leads!$A$3:$A$1002,MATCH(83,Leads!$BA$3:$BA$1002,0)),"")</f>
        <v/>
      </c>
      <c r="H84" s="7">
        <f>IF(G84="","",INDEX(Leads!$AQ$3:$AQ$1002,MATCH(83,Leads!$BA$3:$BA$1002,0)))</f>
        <v/>
      </c>
      <c r="I84" s="7">
        <f>IF(G84="","",INDEX(Leads!$AI$3:$AI$1002,MATCH(83,Leads!$BA$3:$BA$1002,0))&amp;"")</f>
        <v/>
      </c>
      <c r="J84" s="61">
        <f>IF(G84="","",INDEX(Leads!$W$3:$W$1002,MATCH(83,Leads!$BA$3:$BA$1002,0)))</f>
        <v/>
      </c>
    </row>
    <row r="85">
      <c r="A85" s="12">
        <f>IF(G85="","",INDEX(Leads!$AC$3:$AC$1002,MATCH(84,Leads!$BA$3:$BA$1002,0)))</f>
        <v/>
      </c>
      <c r="B85" s="12">
        <f>IF(G85="","","depot_paye")</f>
        <v/>
      </c>
      <c r="C85" s="12">
        <f>IF(G85="","",YEAR(J85)&amp;"-"&amp;RIGHT("0"&amp;MONTH(J85),2)&amp;"-"&amp;RIGHT("0"&amp;DAY(J85),2)&amp;" "&amp;RIGHT("0"&amp;HOUR(J85),2)&amp;":"&amp;RIGHT("0"&amp;MINUTE(J85),2)&amp;":"&amp;RIGHT("0"&amp;SECOND(J85),2)&amp;IF(AND(J85&gt;=DATE(YEAR(J85),3,8)+MOD(8-WEEKDAY(DATE(YEAR(J85),3,8)),7)+2/24,J85&lt;DATE(YEAR(J85),11,1)+MOD(8-WEEKDAY(DATE(YEAR(J85),11,1)),7)+2/24),"-04:00","-05:00"))</f>
        <v/>
      </c>
      <c r="D85" s="60">
        <f>IF(G85="","",INDEX(Leads!$V$3:$V$1002,MATCH(84,Leads!$BA$3:$BA$1002,0)))</f>
        <v/>
      </c>
      <c r="E85" s="12">
        <f>IF(G85="","","CAD")</f>
        <v/>
      </c>
      <c r="G85" s="7">
        <f>IFERROR(INDEX(Leads!$A$3:$A$1002,MATCH(84,Leads!$BA$3:$BA$1002,0)),"")</f>
        <v/>
      </c>
      <c r="H85" s="7">
        <f>IF(G85="","",INDEX(Leads!$AQ$3:$AQ$1002,MATCH(84,Leads!$BA$3:$BA$1002,0)))</f>
        <v/>
      </c>
      <c r="I85" s="7">
        <f>IF(G85="","",INDEX(Leads!$AI$3:$AI$1002,MATCH(84,Leads!$BA$3:$BA$1002,0))&amp;"")</f>
        <v/>
      </c>
      <c r="J85" s="61">
        <f>IF(G85="","",INDEX(Leads!$W$3:$W$1002,MATCH(84,Leads!$BA$3:$BA$1002,0)))</f>
        <v/>
      </c>
    </row>
    <row r="86">
      <c r="A86" s="12">
        <f>IF(G86="","",INDEX(Leads!$AC$3:$AC$1002,MATCH(85,Leads!$BA$3:$BA$1002,0)))</f>
        <v/>
      </c>
      <c r="B86" s="12">
        <f>IF(G86="","","depot_paye")</f>
        <v/>
      </c>
      <c r="C86" s="12">
        <f>IF(G86="","",YEAR(J86)&amp;"-"&amp;RIGHT("0"&amp;MONTH(J86),2)&amp;"-"&amp;RIGHT("0"&amp;DAY(J86),2)&amp;" "&amp;RIGHT("0"&amp;HOUR(J86),2)&amp;":"&amp;RIGHT("0"&amp;MINUTE(J86),2)&amp;":"&amp;RIGHT("0"&amp;SECOND(J86),2)&amp;IF(AND(J86&gt;=DATE(YEAR(J86),3,8)+MOD(8-WEEKDAY(DATE(YEAR(J86),3,8)),7)+2/24,J86&lt;DATE(YEAR(J86),11,1)+MOD(8-WEEKDAY(DATE(YEAR(J86),11,1)),7)+2/24),"-04:00","-05:00"))</f>
        <v/>
      </c>
      <c r="D86" s="60">
        <f>IF(G86="","",INDEX(Leads!$V$3:$V$1002,MATCH(85,Leads!$BA$3:$BA$1002,0)))</f>
        <v/>
      </c>
      <c r="E86" s="12">
        <f>IF(G86="","","CAD")</f>
        <v/>
      </c>
      <c r="G86" s="7">
        <f>IFERROR(INDEX(Leads!$A$3:$A$1002,MATCH(85,Leads!$BA$3:$BA$1002,0)),"")</f>
        <v/>
      </c>
      <c r="H86" s="7">
        <f>IF(G86="","",INDEX(Leads!$AQ$3:$AQ$1002,MATCH(85,Leads!$BA$3:$BA$1002,0)))</f>
        <v/>
      </c>
      <c r="I86" s="7">
        <f>IF(G86="","",INDEX(Leads!$AI$3:$AI$1002,MATCH(85,Leads!$BA$3:$BA$1002,0))&amp;"")</f>
        <v/>
      </c>
      <c r="J86" s="61">
        <f>IF(G86="","",INDEX(Leads!$W$3:$W$1002,MATCH(85,Leads!$BA$3:$BA$1002,0)))</f>
        <v/>
      </c>
    </row>
    <row r="87">
      <c r="A87" s="12">
        <f>IF(G87="","",INDEX(Leads!$AC$3:$AC$1002,MATCH(86,Leads!$BA$3:$BA$1002,0)))</f>
        <v/>
      </c>
      <c r="B87" s="12">
        <f>IF(G87="","","depot_paye")</f>
        <v/>
      </c>
      <c r="C87" s="12">
        <f>IF(G87="","",YEAR(J87)&amp;"-"&amp;RIGHT("0"&amp;MONTH(J87),2)&amp;"-"&amp;RIGHT("0"&amp;DAY(J87),2)&amp;" "&amp;RIGHT("0"&amp;HOUR(J87),2)&amp;":"&amp;RIGHT("0"&amp;MINUTE(J87),2)&amp;":"&amp;RIGHT("0"&amp;SECOND(J87),2)&amp;IF(AND(J87&gt;=DATE(YEAR(J87),3,8)+MOD(8-WEEKDAY(DATE(YEAR(J87),3,8)),7)+2/24,J87&lt;DATE(YEAR(J87),11,1)+MOD(8-WEEKDAY(DATE(YEAR(J87),11,1)),7)+2/24),"-04:00","-05:00"))</f>
        <v/>
      </c>
      <c r="D87" s="60">
        <f>IF(G87="","",INDEX(Leads!$V$3:$V$1002,MATCH(86,Leads!$BA$3:$BA$1002,0)))</f>
        <v/>
      </c>
      <c r="E87" s="12">
        <f>IF(G87="","","CAD")</f>
        <v/>
      </c>
      <c r="G87" s="7">
        <f>IFERROR(INDEX(Leads!$A$3:$A$1002,MATCH(86,Leads!$BA$3:$BA$1002,0)),"")</f>
        <v/>
      </c>
      <c r="H87" s="7">
        <f>IF(G87="","",INDEX(Leads!$AQ$3:$AQ$1002,MATCH(86,Leads!$BA$3:$BA$1002,0)))</f>
        <v/>
      </c>
      <c r="I87" s="7">
        <f>IF(G87="","",INDEX(Leads!$AI$3:$AI$1002,MATCH(86,Leads!$BA$3:$BA$1002,0))&amp;"")</f>
        <v/>
      </c>
      <c r="J87" s="61">
        <f>IF(G87="","",INDEX(Leads!$W$3:$W$1002,MATCH(86,Leads!$BA$3:$BA$1002,0)))</f>
        <v/>
      </c>
    </row>
    <row r="88">
      <c r="A88" s="12">
        <f>IF(G88="","",INDEX(Leads!$AC$3:$AC$1002,MATCH(87,Leads!$BA$3:$BA$1002,0)))</f>
        <v/>
      </c>
      <c r="B88" s="12">
        <f>IF(G88="","","depot_paye")</f>
        <v/>
      </c>
      <c r="C88" s="12">
        <f>IF(G88="","",YEAR(J88)&amp;"-"&amp;RIGHT("0"&amp;MONTH(J88),2)&amp;"-"&amp;RIGHT("0"&amp;DAY(J88),2)&amp;" "&amp;RIGHT("0"&amp;HOUR(J88),2)&amp;":"&amp;RIGHT("0"&amp;MINUTE(J88),2)&amp;":"&amp;RIGHT("0"&amp;SECOND(J88),2)&amp;IF(AND(J88&gt;=DATE(YEAR(J88),3,8)+MOD(8-WEEKDAY(DATE(YEAR(J88),3,8)),7)+2/24,J88&lt;DATE(YEAR(J88),11,1)+MOD(8-WEEKDAY(DATE(YEAR(J88),11,1)),7)+2/24),"-04:00","-05:00"))</f>
        <v/>
      </c>
      <c r="D88" s="60">
        <f>IF(G88="","",INDEX(Leads!$V$3:$V$1002,MATCH(87,Leads!$BA$3:$BA$1002,0)))</f>
        <v/>
      </c>
      <c r="E88" s="12">
        <f>IF(G88="","","CAD")</f>
        <v/>
      </c>
      <c r="G88" s="7">
        <f>IFERROR(INDEX(Leads!$A$3:$A$1002,MATCH(87,Leads!$BA$3:$BA$1002,0)),"")</f>
        <v/>
      </c>
      <c r="H88" s="7">
        <f>IF(G88="","",INDEX(Leads!$AQ$3:$AQ$1002,MATCH(87,Leads!$BA$3:$BA$1002,0)))</f>
        <v/>
      </c>
      <c r="I88" s="7">
        <f>IF(G88="","",INDEX(Leads!$AI$3:$AI$1002,MATCH(87,Leads!$BA$3:$BA$1002,0))&amp;"")</f>
        <v/>
      </c>
      <c r="J88" s="61">
        <f>IF(G88="","",INDEX(Leads!$W$3:$W$1002,MATCH(87,Leads!$BA$3:$BA$1002,0)))</f>
        <v/>
      </c>
    </row>
    <row r="89">
      <c r="A89" s="12">
        <f>IF(G89="","",INDEX(Leads!$AC$3:$AC$1002,MATCH(88,Leads!$BA$3:$BA$1002,0)))</f>
        <v/>
      </c>
      <c r="B89" s="12">
        <f>IF(G89="","","depot_paye")</f>
        <v/>
      </c>
      <c r="C89" s="12">
        <f>IF(G89="","",YEAR(J89)&amp;"-"&amp;RIGHT("0"&amp;MONTH(J89),2)&amp;"-"&amp;RIGHT("0"&amp;DAY(J89),2)&amp;" "&amp;RIGHT("0"&amp;HOUR(J89),2)&amp;":"&amp;RIGHT("0"&amp;MINUTE(J89),2)&amp;":"&amp;RIGHT("0"&amp;SECOND(J89),2)&amp;IF(AND(J89&gt;=DATE(YEAR(J89),3,8)+MOD(8-WEEKDAY(DATE(YEAR(J89),3,8)),7)+2/24,J89&lt;DATE(YEAR(J89),11,1)+MOD(8-WEEKDAY(DATE(YEAR(J89),11,1)),7)+2/24),"-04:00","-05:00"))</f>
        <v/>
      </c>
      <c r="D89" s="60">
        <f>IF(G89="","",INDEX(Leads!$V$3:$V$1002,MATCH(88,Leads!$BA$3:$BA$1002,0)))</f>
        <v/>
      </c>
      <c r="E89" s="12">
        <f>IF(G89="","","CAD")</f>
        <v/>
      </c>
      <c r="G89" s="7">
        <f>IFERROR(INDEX(Leads!$A$3:$A$1002,MATCH(88,Leads!$BA$3:$BA$1002,0)),"")</f>
        <v/>
      </c>
      <c r="H89" s="7">
        <f>IF(G89="","",INDEX(Leads!$AQ$3:$AQ$1002,MATCH(88,Leads!$BA$3:$BA$1002,0)))</f>
        <v/>
      </c>
      <c r="I89" s="7">
        <f>IF(G89="","",INDEX(Leads!$AI$3:$AI$1002,MATCH(88,Leads!$BA$3:$BA$1002,0))&amp;"")</f>
        <v/>
      </c>
      <c r="J89" s="61">
        <f>IF(G89="","",INDEX(Leads!$W$3:$W$1002,MATCH(88,Leads!$BA$3:$BA$1002,0)))</f>
        <v/>
      </c>
    </row>
    <row r="90">
      <c r="A90" s="12">
        <f>IF(G90="","",INDEX(Leads!$AC$3:$AC$1002,MATCH(89,Leads!$BA$3:$BA$1002,0)))</f>
        <v/>
      </c>
      <c r="B90" s="12">
        <f>IF(G90="","","depot_paye")</f>
        <v/>
      </c>
      <c r="C90" s="12">
        <f>IF(G90="","",YEAR(J90)&amp;"-"&amp;RIGHT("0"&amp;MONTH(J90),2)&amp;"-"&amp;RIGHT("0"&amp;DAY(J90),2)&amp;" "&amp;RIGHT("0"&amp;HOUR(J90),2)&amp;":"&amp;RIGHT("0"&amp;MINUTE(J90),2)&amp;":"&amp;RIGHT("0"&amp;SECOND(J90),2)&amp;IF(AND(J90&gt;=DATE(YEAR(J90),3,8)+MOD(8-WEEKDAY(DATE(YEAR(J90),3,8)),7)+2/24,J90&lt;DATE(YEAR(J90),11,1)+MOD(8-WEEKDAY(DATE(YEAR(J90),11,1)),7)+2/24),"-04:00","-05:00"))</f>
        <v/>
      </c>
      <c r="D90" s="60">
        <f>IF(G90="","",INDEX(Leads!$V$3:$V$1002,MATCH(89,Leads!$BA$3:$BA$1002,0)))</f>
        <v/>
      </c>
      <c r="E90" s="12">
        <f>IF(G90="","","CAD")</f>
        <v/>
      </c>
      <c r="G90" s="7">
        <f>IFERROR(INDEX(Leads!$A$3:$A$1002,MATCH(89,Leads!$BA$3:$BA$1002,0)),"")</f>
        <v/>
      </c>
      <c r="H90" s="7">
        <f>IF(G90="","",INDEX(Leads!$AQ$3:$AQ$1002,MATCH(89,Leads!$BA$3:$BA$1002,0)))</f>
        <v/>
      </c>
      <c r="I90" s="7">
        <f>IF(G90="","",INDEX(Leads!$AI$3:$AI$1002,MATCH(89,Leads!$BA$3:$BA$1002,0))&amp;"")</f>
        <v/>
      </c>
      <c r="J90" s="61">
        <f>IF(G90="","",INDEX(Leads!$W$3:$W$1002,MATCH(89,Leads!$BA$3:$BA$1002,0)))</f>
        <v/>
      </c>
    </row>
    <row r="91">
      <c r="A91" s="12">
        <f>IF(G91="","",INDEX(Leads!$AC$3:$AC$1002,MATCH(90,Leads!$BA$3:$BA$1002,0)))</f>
        <v/>
      </c>
      <c r="B91" s="12">
        <f>IF(G91="","","depot_paye")</f>
        <v/>
      </c>
      <c r="C91" s="12">
        <f>IF(G91="","",YEAR(J91)&amp;"-"&amp;RIGHT("0"&amp;MONTH(J91),2)&amp;"-"&amp;RIGHT("0"&amp;DAY(J91),2)&amp;" "&amp;RIGHT("0"&amp;HOUR(J91),2)&amp;":"&amp;RIGHT("0"&amp;MINUTE(J91),2)&amp;":"&amp;RIGHT("0"&amp;SECOND(J91),2)&amp;IF(AND(J91&gt;=DATE(YEAR(J91),3,8)+MOD(8-WEEKDAY(DATE(YEAR(J91),3,8)),7)+2/24,J91&lt;DATE(YEAR(J91),11,1)+MOD(8-WEEKDAY(DATE(YEAR(J91),11,1)),7)+2/24),"-04:00","-05:00"))</f>
        <v/>
      </c>
      <c r="D91" s="60">
        <f>IF(G91="","",INDEX(Leads!$V$3:$V$1002,MATCH(90,Leads!$BA$3:$BA$1002,0)))</f>
        <v/>
      </c>
      <c r="E91" s="12">
        <f>IF(G91="","","CAD")</f>
        <v/>
      </c>
      <c r="G91" s="7">
        <f>IFERROR(INDEX(Leads!$A$3:$A$1002,MATCH(90,Leads!$BA$3:$BA$1002,0)),"")</f>
        <v/>
      </c>
      <c r="H91" s="7">
        <f>IF(G91="","",INDEX(Leads!$AQ$3:$AQ$1002,MATCH(90,Leads!$BA$3:$BA$1002,0)))</f>
        <v/>
      </c>
      <c r="I91" s="7">
        <f>IF(G91="","",INDEX(Leads!$AI$3:$AI$1002,MATCH(90,Leads!$BA$3:$BA$1002,0))&amp;"")</f>
        <v/>
      </c>
      <c r="J91" s="61">
        <f>IF(G91="","",INDEX(Leads!$W$3:$W$1002,MATCH(90,Leads!$BA$3:$BA$1002,0)))</f>
        <v/>
      </c>
    </row>
    <row r="92">
      <c r="A92" s="12">
        <f>IF(G92="","",INDEX(Leads!$AC$3:$AC$1002,MATCH(91,Leads!$BA$3:$BA$1002,0)))</f>
        <v/>
      </c>
      <c r="B92" s="12">
        <f>IF(G92="","","depot_paye")</f>
        <v/>
      </c>
      <c r="C92" s="12">
        <f>IF(G92="","",YEAR(J92)&amp;"-"&amp;RIGHT("0"&amp;MONTH(J92),2)&amp;"-"&amp;RIGHT("0"&amp;DAY(J92),2)&amp;" "&amp;RIGHT("0"&amp;HOUR(J92),2)&amp;":"&amp;RIGHT("0"&amp;MINUTE(J92),2)&amp;":"&amp;RIGHT("0"&amp;SECOND(J92),2)&amp;IF(AND(J92&gt;=DATE(YEAR(J92),3,8)+MOD(8-WEEKDAY(DATE(YEAR(J92),3,8)),7)+2/24,J92&lt;DATE(YEAR(J92),11,1)+MOD(8-WEEKDAY(DATE(YEAR(J92),11,1)),7)+2/24),"-04:00","-05:00"))</f>
        <v/>
      </c>
      <c r="D92" s="60">
        <f>IF(G92="","",INDEX(Leads!$V$3:$V$1002,MATCH(91,Leads!$BA$3:$BA$1002,0)))</f>
        <v/>
      </c>
      <c r="E92" s="12">
        <f>IF(G92="","","CAD")</f>
        <v/>
      </c>
      <c r="G92" s="7">
        <f>IFERROR(INDEX(Leads!$A$3:$A$1002,MATCH(91,Leads!$BA$3:$BA$1002,0)),"")</f>
        <v/>
      </c>
      <c r="H92" s="7">
        <f>IF(G92="","",INDEX(Leads!$AQ$3:$AQ$1002,MATCH(91,Leads!$BA$3:$BA$1002,0)))</f>
        <v/>
      </c>
      <c r="I92" s="7">
        <f>IF(G92="","",INDEX(Leads!$AI$3:$AI$1002,MATCH(91,Leads!$BA$3:$BA$1002,0))&amp;"")</f>
        <v/>
      </c>
      <c r="J92" s="61">
        <f>IF(G92="","",INDEX(Leads!$W$3:$W$1002,MATCH(91,Leads!$BA$3:$BA$1002,0)))</f>
        <v/>
      </c>
    </row>
    <row r="93">
      <c r="A93" s="12">
        <f>IF(G93="","",INDEX(Leads!$AC$3:$AC$1002,MATCH(92,Leads!$BA$3:$BA$1002,0)))</f>
        <v/>
      </c>
      <c r="B93" s="12">
        <f>IF(G93="","","depot_paye")</f>
        <v/>
      </c>
      <c r="C93" s="12">
        <f>IF(G93="","",YEAR(J93)&amp;"-"&amp;RIGHT("0"&amp;MONTH(J93),2)&amp;"-"&amp;RIGHT("0"&amp;DAY(J93),2)&amp;" "&amp;RIGHT("0"&amp;HOUR(J93),2)&amp;":"&amp;RIGHT("0"&amp;MINUTE(J93),2)&amp;":"&amp;RIGHT("0"&amp;SECOND(J93),2)&amp;IF(AND(J93&gt;=DATE(YEAR(J93),3,8)+MOD(8-WEEKDAY(DATE(YEAR(J93),3,8)),7)+2/24,J93&lt;DATE(YEAR(J93),11,1)+MOD(8-WEEKDAY(DATE(YEAR(J93),11,1)),7)+2/24),"-04:00","-05:00"))</f>
        <v/>
      </c>
      <c r="D93" s="60">
        <f>IF(G93="","",INDEX(Leads!$V$3:$V$1002,MATCH(92,Leads!$BA$3:$BA$1002,0)))</f>
        <v/>
      </c>
      <c r="E93" s="12">
        <f>IF(G93="","","CAD")</f>
        <v/>
      </c>
      <c r="G93" s="7">
        <f>IFERROR(INDEX(Leads!$A$3:$A$1002,MATCH(92,Leads!$BA$3:$BA$1002,0)),"")</f>
        <v/>
      </c>
      <c r="H93" s="7">
        <f>IF(G93="","",INDEX(Leads!$AQ$3:$AQ$1002,MATCH(92,Leads!$BA$3:$BA$1002,0)))</f>
        <v/>
      </c>
      <c r="I93" s="7">
        <f>IF(G93="","",INDEX(Leads!$AI$3:$AI$1002,MATCH(92,Leads!$BA$3:$BA$1002,0))&amp;"")</f>
        <v/>
      </c>
      <c r="J93" s="61">
        <f>IF(G93="","",INDEX(Leads!$W$3:$W$1002,MATCH(92,Leads!$BA$3:$BA$1002,0)))</f>
        <v/>
      </c>
    </row>
    <row r="94">
      <c r="A94" s="12">
        <f>IF(G94="","",INDEX(Leads!$AC$3:$AC$1002,MATCH(93,Leads!$BA$3:$BA$1002,0)))</f>
        <v/>
      </c>
      <c r="B94" s="12">
        <f>IF(G94="","","depot_paye")</f>
        <v/>
      </c>
      <c r="C94" s="12">
        <f>IF(G94="","",YEAR(J94)&amp;"-"&amp;RIGHT("0"&amp;MONTH(J94),2)&amp;"-"&amp;RIGHT("0"&amp;DAY(J94),2)&amp;" "&amp;RIGHT("0"&amp;HOUR(J94),2)&amp;":"&amp;RIGHT("0"&amp;MINUTE(J94),2)&amp;":"&amp;RIGHT("0"&amp;SECOND(J94),2)&amp;IF(AND(J94&gt;=DATE(YEAR(J94),3,8)+MOD(8-WEEKDAY(DATE(YEAR(J94),3,8)),7)+2/24,J94&lt;DATE(YEAR(J94),11,1)+MOD(8-WEEKDAY(DATE(YEAR(J94),11,1)),7)+2/24),"-04:00","-05:00"))</f>
        <v/>
      </c>
      <c r="D94" s="60">
        <f>IF(G94="","",INDEX(Leads!$V$3:$V$1002,MATCH(93,Leads!$BA$3:$BA$1002,0)))</f>
        <v/>
      </c>
      <c r="E94" s="12">
        <f>IF(G94="","","CAD")</f>
        <v/>
      </c>
      <c r="G94" s="7">
        <f>IFERROR(INDEX(Leads!$A$3:$A$1002,MATCH(93,Leads!$BA$3:$BA$1002,0)),"")</f>
        <v/>
      </c>
      <c r="H94" s="7">
        <f>IF(G94="","",INDEX(Leads!$AQ$3:$AQ$1002,MATCH(93,Leads!$BA$3:$BA$1002,0)))</f>
        <v/>
      </c>
      <c r="I94" s="7">
        <f>IF(G94="","",INDEX(Leads!$AI$3:$AI$1002,MATCH(93,Leads!$BA$3:$BA$1002,0))&amp;"")</f>
        <v/>
      </c>
      <c r="J94" s="61">
        <f>IF(G94="","",INDEX(Leads!$W$3:$W$1002,MATCH(93,Leads!$BA$3:$BA$1002,0)))</f>
        <v/>
      </c>
    </row>
    <row r="95">
      <c r="A95" s="12">
        <f>IF(G95="","",INDEX(Leads!$AC$3:$AC$1002,MATCH(94,Leads!$BA$3:$BA$1002,0)))</f>
        <v/>
      </c>
      <c r="B95" s="12">
        <f>IF(G95="","","depot_paye")</f>
        <v/>
      </c>
      <c r="C95" s="12">
        <f>IF(G95="","",YEAR(J95)&amp;"-"&amp;RIGHT("0"&amp;MONTH(J95),2)&amp;"-"&amp;RIGHT("0"&amp;DAY(J95),2)&amp;" "&amp;RIGHT("0"&amp;HOUR(J95),2)&amp;":"&amp;RIGHT("0"&amp;MINUTE(J95),2)&amp;":"&amp;RIGHT("0"&amp;SECOND(J95),2)&amp;IF(AND(J95&gt;=DATE(YEAR(J95),3,8)+MOD(8-WEEKDAY(DATE(YEAR(J95),3,8)),7)+2/24,J95&lt;DATE(YEAR(J95),11,1)+MOD(8-WEEKDAY(DATE(YEAR(J95),11,1)),7)+2/24),"-04:00","-05:00"))</f>
        <v/>
      </c>
      <c r="D95" s="60">
        <f>IF(G95="","",INDEX(Leads!$V$3:$V$1002,MATCH(94,Leads!$BA$3:$BA$1002,0)))</f>
        <v/>
      </c>
      <c r="E95" s="12">
        <f>IF(G95="","","CAD")</f>
        <v/>
      </c>
      <c r="G95" s="7">
        <f>IFERROR(INDEX(Leads!$A$3:$A$1002,MATCH(94,Leads!$BA$3:$BA$1002,0)),"")</f>
        <v/>
      </c>
      <c r="H95" s="7">
        <f>IF(G95="","",INDEX(Leads!$AQ$3:$AQ$1002,MATCH(94,Leads!$BA$3:$BA$1002,0)))</f>
        <v/>
      </c>
      <c r="I95" s="7">
        <f>IF(G95="","",INDEX(Leads!$AI$3:$AI$1002,MATCH(94,Leads!$BA$3:$BA$1002,0))&amp;"")</f>
        <v/>
      </c>
      <c r="J95" s="61">
        <f>IF(G95="","",INDEX(Leads!$W$3:$W$1002,MATCH(94,Leads!$BA$3:$BA$1002,0)))</f>
        <v/>
      </c>
    </row>
    <row r="96">
      <c r="A96" s="12">
        <f>IF(G96="","",INDEX(Leads!$AC$3:$AC$1002,MATCH(95,Leads!$BA$3:$BA$1002,0)))</f>
        <v/>
      </c>
      <c r="B96" s="12">
        <f>IF(G96="","","depot_paye")</f>
        <v/>
      </c>
      <c r="C96" s="12">
        <f>IF(G96="","",YEAR(J96)&amp;"-"&amp;RIGHT("0"&amp;MONTH(J96),2)&amp;"-"&amp;RIGHT("0"&amp;DAY(J96),2)&amp;" "&amp;RIGHT("0"&amp;HOUR(J96),2)&amp;":"&amp;RIGHT("0"&amp;MINUTE(J96),2)&amp;":"&amp;RIGHT("0"&amp;SECOND(J96),2)&amp;IF(AND(J96&gt;=DATE(YEAR(J96),3,8)+MOD(8-WEEKDAY(DATE(YEAR(J96),3,8)),7)+2/24,J96&lt;DATE(YEAR(J96),11,1)+MOD(8-WEEKDAY(DATE(YEAR(J96),11,1)),7)+2/24),"-04:00","-05:00"))</f>
        <v/>
      </c>
      <c r="D96" s="60">
        <f>IF(G96="","",INDEX(Leads!$V$3:$V$1002,MATCH(95,Leads!$BA$3:$BA$1002,0)))</f>
        <v/>
      </c>
      <c r="E96" s="12">
        <f>IF(G96="","","CAD")</f>
        <v/>
      </c>
      <c r="G96" s="7">
        <f>IFERROR(INDEX(Leads!$A$3:$A$1002,MATCH(95,Leads!$BA$3:$BA$1002,0)),"")</f>
        <v/>
      </c>
      <c r="H96" s="7">
        <f>IF(G96="","",INDEX(Leads!$AQ$3:$AQ$1002,MATCH(95,Leads!$BA$3:$BA$1002,0)))</f>
        <v/>
      </c>
      <c r="I96" s="7">
        <f>IF(G96="","",INDEX(Leads!$AI$3:$AI$1002,MATCH(95,Leads!$BA$3:$BA$1002,0))&amp;"")</f>
        <v/>
      </c>
      <c r="J96" s="61">
        <f>IF(G96="","",INDEX(Leads!$W$3:$W$1002,MATCH(95,Leads!$BA$3:$BA$1002,0)))</f>
        <v/>
      </c>
    </row>
    <row r="97">
      <c r="A97" s="12">
        <f>IF(G97="","",INDEX(Leads!$AC$3:$AC$1002,MATCH(96,Leads!$BA$3:$BA$1002,0)))</f>
        <v/>
      </c>
      <c r="B97" s="12">
        <f>IF(G97="","","depot_paye")</f>
        <v/>
      </c>
      <c r="C97" s="12">
        <f>IF(G97="","",YEAR(J97)&amp;"-"&amp;RIGHT("0"&amp;MONTH(J97),2)&amp;"-"&amp;RIGHT("0"&amp;DAY(J97),2)&amp;" "&amp;RIGHT("0"&amp;HOUR(J97),2)&amp;":"&amp;RIGHT("0"&amp;MINUTE(J97),2)&amp;":"&amp;RIGHT("0"&amp;SECOND(J97),2)&amp;IF(AND(J97&gt;=DATE(YEAR(J97),3,8)+MOD(8-WEEKDAY(DATE(YEAR(J97),3,8)),7)+2/24,J97&lt;DATE(YEAR(J97),11,1)+MOD(8-WEEKDAY(DATE(YEAR(J97),11,1)),7)+2/24),"-04:00","-05:00"))</f>
        <v/>
      </c>
      <c r="D97" s="60">
        <f>IF(G97="","",INDEX(Leads!$V$3:$V$1002,MATCH(96,Leads!$BA$3:$BA$1002,0)))</f>
        <v/>
      </c>
      <c r="E97" s="12">
        <f>IF(G97="","","CAD")</f>
        <v/>
      </c>
      <c r="G97" s="7">
        <f>IFERROR(INDEX(Leads!$A$3:$A$1002,MATCH(96,Leads!$BA$3:$BA$1002,0)),"")</f>
        <v/>
      </c>
      <c r="H97" s="7">
        <f>IF(G97="","",INDEX(Leads!$AQ$3:$AQ$1002,MATCH(96,Leads!$BA$3:$BA$1002,0)))</f>
        <v/>
      </c>
      <c r="I97" s="7">
        <f>IF(G97="","",INDEX(Leads!$AI$3:$AI$1002,MATCH(96,Leads!$BA$3:$BA$1002,0))&amp;"")</f>
        <v/>
      </c>
      <c r="J97" s="61">
        <f>IF(G97="","",INDEX(Leads!$W$3:$W$1002,MATCH(96,Leads!$BA$3:$BA$1002,0)))</f>
        <v/>
      </c>
    </row>
    <row r="98">
      <c r="A98" s="12">
        <f>IF(G98="","",INDEX(Leads!$AC$3:$AC$1002,MATCH(97,Leads!$BA$3:$BA$1002,0)))</f>
        <v/>
      </c>
      <c r="B98" s="12">
        <f>IF(G98="","","depot_paye")</f>
        <v/>
      </c>
      <c r="C98" s="12">
        <f>IF(G98="","",YEAR(J98)&amp;"-"&amp;RIGHT("0"&amp;MONTH(J98),2)&amp;"-"&amp;RIGHT("0"&amp;DAY(J98),2)&amp;" "&amp;RIGHT("0"&amp;HOUR(J98),2)&amp;":"&amp;RIGHT("0"&amp;MINUTE(J98),2)&amp;":"&amp;RIGHT("0"&amp;SECOND(J98),2)&amp;IF(AND(J98&gt;=DATE(YEAR(J98),3,8)+MOD(8-WEEKDAY(DATE(YEAR(J98),3,8)),7)+2/24,J98&lt;DATE(YEAR(J98),11,1)+MOD(8-WEEKDAY(DATE(YEAR(J98),11,1)),7)+2/24),"-04:00","-05:00"))</f>
        <v/>
      </c>
      <c r="D98" s="60">
        <f>IF(G98="","",INDEX(Leads!$V$3:$V$1002,MATCH(97,Leads!$BA$3:$BA$1002,0)))</f>
        <v/>
      </c>
      <c r="E98" s="12">
        <f>IF(G98="","","CAD")</f>
        <v/>
      </c>
      <c r="G98" s="7">
        <f>IFERROR(INDEX(Leads!$A$3:$A$1002,MATCH(97,Leads!$BA$3:$BA$1002,0)),"")</f>
        <v/>
      </c>
      <c r="H98" s="7">
        <f>IF(G98="","",INDEX(Leads!$AQ$3:$AQ$1002,MATCH(97,Leads!$BA$3:$BA$1002,0)))</f>
        <v/>
      </c>
      <c r="I98" s="7">
        <f>IF(G98="","",INDEX(Leads!$AI$3:$AI$1002,MATCH(97,Leads!$BA$3:$BA$1002,0))&amp;"")</f>
        <v/>
      </c>
      <c r="J98" s="61">
        <f>IF(G98="","",INDEX(Leads!$W$3:$W$1002,MATCH(97,Leads!$BA$3:$BA$1002,0)))</f>
        <v/>
      </c>
    </row>
    <row r="99">
      <c r="A99" s="12">
        <f>IF(G99="","",INDEX(Leads!$AC$3:$AC$1002,MATCH(98,Leads!$BA$3:$BA$1002,0)))</f>
        <v/>
      </c>
      <c r="B99" s="12">
        <f>IF(G99="","","depot_paye")</f>
        <v/>
      </c>
      <c r="C99" s="12">
        <f>IF(G99="","",YEAR(J99)&amp;"-"&amp;RIGHT("0"&amp;MONTH(J99),2)&amp;"-"&amp;RIGHT("0"&amp;DAY(J99),2)&amp;" "&amp;RIGHT("0"&amp;HOUR(J99),2)&amp;":"&amp;RIGHT("0"&amp;MINUTE(J99),2)&amp;":"&amp;RIGHT("0"&amp;SECOND(J99),2)&amp;IF(AND(J99&gt;=DATE(YEAR(J99),3,8)+MOD(8-WEEKDAY(DATE(YEAR(J99),3,8)),7)+2/24,J99&lt;DATE(YEAR(J99),11,1)+MOD(8-WEEKDAY(DATE(YEAR(J99),11,1)),7)+2/24),"-04:00","-05:00"))</f>
        <v/>
      </c>
      <c r="D99" s="60">
        <f>IF(G99="","",INDEX(Leads!$V$3:$V$1002,MATCH(98,Leads!$BA$3:$BA$1002,0)))</f>
        <v/>
      </c>
      <c r="E99" s="12">
        <f>IF(G99="","","CAD")</f>
        <v/>
      </c>
      <c r="G99" s="7">
        <f>IFERROR(INDEX(Leads!$A$3:$A$1002,MATCH(98,Leads!$BA$3:$BA$1002,0)),"")</f>
        <v/>
      </c>
      <c r="H99" s="7">
        <f>IF(G99="","",INDEX(Leads!$AQ$3:$AQ$1002,MATCH(98,Leads!$BA$3:$BA$1002,0)))</f>
        <v/>
      </c>
      <c r="I99" s="7">
        <f>IF(G99="","",INDEX(Leads!$AI$3:$AI$1002,MATCH(98,Leads!$BA$3:$BA$1002,0))&amp;"")</f>
        <v/>
      </c>
      <c r="J99" s="61">
        <f>IF(G99="","",INDEX(Leads!$W$3:$W$1002,MATCH(98,Leads!$BA$3:$BA$1002,0)))</f>
        <v/>
      </c>
    </row>
    <row r="100">
      <c r="A100" s="12">
        <f>IF(G100="","",INDEX(Leads!$AC$3:$AC$1002,MATCH(99,Leads!$BA$3:$BA$1002,0)))</f>
        <v/>
      </c>
      <c r="B100" s="12">
        <f>IF(G100="","","depot_paye")</f>
        <v/>
      </c>
      <c r="C100" s="12">
        <f>IF(G100="","",YEAR(J100)&amp;"-"&amp;RIGHT("0"&amp;MONTH(J100),2)&amp;"-"&amp;RIGHT("0"&amp;DAY(J100),2)&amp;" "&amp;RIGHT("0"&amp;HOUR(J100),2)&amp;":"&amp;RIGHT("0"&amp;MINUTE(J100),2)&amp;":"&amp;RIGHT("0"&amp;SECOND(J100),2)&amp;IF(AND(J100&gt;=DATE(YEAR(J100),3,8)+MOD(8-WEEKDAY(DATE(YEAR(J100),3,8)),7)+2/24,J100&lt;DATE(YEAR(J100),11,1)+MOD(8-WEEKDAY(DATE(YEAR(J100),11,1)),7)+2/24),"-04:00","-05:00"))</f>
        <v/>
      </c>
      <c r="D100" s="60">
        <f>IF(G100="","",INDEX(Leads!$V$3:$V$1002,MATCH(99,Leads!$BA$3:$BA$1002,0)))</f>
        <v/>
      </c>
      <c r="E100" s="12">
        <f>IF(G100="","","CAD")</f>
        <v/>
      </c>
      <c r="G100" s="7">
        <f>IFERROR(INDEX(Leads!$A$3:$A$1002,MATCH(99,Leads!$BA$3:$BA$1002,0)),"")</f>
        <v/>
      </c>
      <c r="H100" s="7">
        <f>IF(G100="","",INDEX(Leads!$AQ$3:$AQ$1002,MATCH(99,Leads!$BA$3:$BA$1002,0)))</f>
        <v/>
      </c>
      <c r="I100" s="7">
        <f>IF(G100="","",INDEX(Leads!$AI$3:$AI$1002,MATCH(99,Leads!$BA$3:$BA$1002,0))&amp;"")</f>
        <v/>
      </c>
      <c r="J100" s="61">
        <f>IF(G100="","",INDEX(Leads!$W$3:$W$1002,MATCH(99,Leads!$BA$3:$BA$1002,0)))</f>
        <v/>
      </c>
    </row>
    <row r="101">
      <c r="A101" s="12">
        <f>IF(G101="","",INDEX(Leads!$AC$3:$AC$1002,MATCH(100,Leads!$BA$3:$BA$1002,0)))</f>
        <v/>
      </c>
      <c r="B101" s="12">
        <f>IF(G101="","","depot_paye")</f>
        <v/>
      </c>
      <c r="C101" s="12">
        <f>IF(G101="","",YEAR(J101)&amp;"-"&amp;RIGHT("0"&amp;MONTH(J101),2)&amp;"-"&amp;RIGHT("0"&amp;DAY(J101),2)&amp;" "&amp;RIGHT("0"&amp;HOUR(J101),2)&amp;":"&amp;RIGHT("0"&amp;MINUTE(J101),2)&amp;":"&amp;RIGHT("0"&amp;SECOND(J101),2)&amp;IF(AND(J101&gt;=DATE(YEAR(J101),3,8)+MOD(8-WEEKDAY(DATE(YEAR(J101),3,8)),7)+2/24,J101&lt;DATE(YEAR(J101),11,1)+MOD(8-WEEKDAY(DATE(YEAR(J101),11,1)),7)+2/24),"-04:00","-05:00"))</f>
        <v/>
      </c>
      <c r="D101" s="60">
        <f>IF(G101="","",INDEX(Leads!$V$3:$V$1002,MATCH(100,Leads!$BA$3:$BA$1002,0)))</f>
        <v/>
      </c>
      <c r="E101" s="12">
        <f>IF(G101="","","CAD")</f>
        <v/>
      </c>
      <c r="G101" s="7">
        <f>IFERROR(INDEX(Leads!$A$3:$A$1002,MATCH(100,Leads!$BA$3:$BA$1002,0)),"")</f>
        <v/>
      </c>
      <c r="H101" s="7">
        <f>IF(G101="","",INDEX(Leads!$AQ$3:$AQ$1002,MATCH(100,Leads!$BA$3:$BA$1002,0)))</f>
        <v/>
      </c>
      <c r="I101" s="7">
        <f>IF(G101="","",INDEX(Leads!$AI$3:$AI$1002,MATCH(100,Leads!$BA$3:$BA$1002,0))&amp;"")</f>
        <v/>
      </c>
      <c r="J101" s="61">
        <f>IF(G101="","",INDEX(Leads!$W$3:$W$1002,MATCH(100,Leads!$BA$3:$BA$1002,0)))</f>
        <v/>
      </c>
    </row>
    <row r="102">
      <c r="A102" s="12">
        <f>IF(G102="","",INDEX(Leads!$AC$3:$AC$1002,MATCH(101,Leads!$BA$3:$BA$1002,0)))</f>
        <v/>
      </c>
      <c r="B102" s="12">
        <f>IF(G102="","","depot_paye")</f>
        <v/>
      </c>
      <c r="C102" s="12">
        <f>IF(G102="","",YEAR(J102)&amp;"-"&amp;RIGHT("0"&amp;MONTH(J102),2)&amp;"-"&amp;RIGHT("0"&amp;DAY(J102),2)&amp;" "&amp;RIGHT("0"&amp;HOUR(J102),2)&amp;":"&amp;RIGHT("0"&amp;MINUTE(J102),2)&amp;":"&amp;RIGHT("0"&amp;SECOND(J102),2)&amp;IF(AND(J102&gt;=DATE(YEAR(J102),3,8)+MOD(8-WEEKDAY(DATE(YEAR(J102),3,8)),7)+2/24,J102&lt;DATE(YEAR(J102),11,1)+MOD(8-WEEKDAY(DATE(YEAR(J102),11,1)),7)+2/24),"-04:00","-05:00"))</f>
        <v/>
      </c>
      <c r="D102" s="60">
        <f>IF(G102="","",INDEX(Leads!$V$3:$V$1002,MATCH(101,Leads!$BA$3:$BA$1002,0)))</f>
        <v/>
      </c>
      <c r="E102" s="12">
        <f>IF(G102="","","CAD")</f>
        <v/>
      </c>
      <c r="G102" s="7">
        <f>IFERROR(INDEX(Leads!$A$3:$A$1002,MATCH(101,Leads!$BA$3:$BA$1002,0)),"")</f>
        <v/>
      </c>
      <c r="H102" s="7">
        <f>IF(G102="","",INDEX(Leads!$AQ$3:$AQ$1002,MATCH(101,Leads!$BA$3:$BA$1002,0)))</f>
        <v/>
      </c>
      <c r="I102" s="7">
        <f>IF(G102="","",INDEX(Leads!$AI$3:$AI$1002,MATCH(101,Leads!$BA$3:$BA$1002,0))&amp;"")</f>
        <v/>
      </c>
      <c r="J102" s="61">
        <f>IF(G102="","",INDEX(Leads!$W$3:$W$1002,MATCH(101,Leads!$BA$3:$BA$1002,0)))</f>
        <v/>
      </c>
    </row>
    <row r="103">
      <c r="A103" s="12">
        <f>IF(G103="","",INDEX(Leads!$AC$3:$AC$1002,MATCH(102,Leads!$BA$3:$BA$1002,0)))</f>
        <v/>
      </c>
      <c r="B103" s="12">
        <f>IF(G103="","","depot_paye")</f>
        <v/>
      </c>
      <c r="C103" s="12">
        <f>IF(G103="","",YEAR(J103)&amp;"-"&amp;RIGHT("0"&amp;MONTH(J103),2)&amp;"-"&amp;RIGHT("0"&amp;DAY(J103),2)&amp;" "&amp;RIGHT("0"&amp;HOUR(J103),2)&amp;":"&amp;RIGHT("0"&amp;MINUTE(J103),2)&amp;":"&amp;RIGHT("0"&amp;SECOND(J103),2)&amp;IF(AND(J103&gt;=DATE(YEAR(J103),3,8)+MOD(8-WEEKDAY(DATE(YEAR(J103),3,8)),7)+2/24,J103&lt;DATE(YEAR(J103),11,1)+MOD(8-WEEKDAY(DATE(YEAR(J103),11,1)),7)+2/24),"-04:00","-05:00"))</f>
        <v/>
      </c>
      <c r="D103" s="60">
        <f>IF(G103="","",INDEX(Leads!$V$3:$V$1002,MATCH(102,Leads!$BA$3:$BA$1002,0)))</f>
        <v/>
      </c>
      <c r="E103" s="12">
        <f>IF(G103="","","CAD")</f>
        <v/>
      </c>
      <c r="G103" s="7">
        <f>IFERROR(INDEX(Leads!$A$3:$A$1002,MATCH(102,Leads!$BA$3:$BA$1002,0)),"")</f>
        <v/>
      </c>
      <c r="H103" s="7">
        <f>IF(G103="","",INDEX(Leads!$AQ$3:$AQ$1002,MATCH(102,Leads!$BA$3:$BA$1002,0)))</f>
        <v/>
      </c>
      <c r="I103" s="7">
        <f>IF(G103="","",INDEX(Leads!$AI$3:$AI$1002,MATCH(102,Leads!$BA$3:$BA$1002,0))&amp;"")</f>
        <v/>
      </c>
      <c r="J103" s="61">
        <f>IF(G103="","",INDEX(Leads!$W$3:$W$1002,MATCH(102,Leads!$BA$3:$BA$1002,0)))</f>
        <v/>
      </c>
    </row>
    <row r="104">
      <c r="A104" s="12">
        <f>IF(G104="","",INDEX(Leads!$AC$3:$AC$1002,MATCH(103,Leads!$BA$3:$BA$1002,0)))</f>
        <v/>
      </c>
      <c r="B104" s="12">
        <f>IF(G104="","","depot_paye")</f>
        <v/>
      </c>
      <c r="C104" s="12">
        <f>IF(G104="","",YEAR(J104)&amp;"-"&amp;RIGHT("0"&amp;MONTH(J104),2)&amp;"-"&amp;RIGHT("0"&amp;DAY(J104),2)&amp;" "&amp;RIGHT("0"&amp;HOUR(J104),2)&amp;":"&amp;RIGHT("0"&amp;MINUTE(J104),2)&amp;":"&amp;RIGHT("0"&amp;SECOND(J104),2)&amp;IF(AND(J104&gt;=DATE(YEAR(J104),3,8)+MOD(8-WEEKDAY(DATE(YEAR(J104),3,8)),7)+2/24,J104&lt;DATE(YEAR(J104),11,1)+MOD(8-WEEKDAY(DATE(YEAR(J104),11,1)),7)+2/24),"-04:00","-05:00"))</f>
        <v/>
      </c>
      <c r="D104" s="60">
        <f>IF(G104="","",INDEX(Leads!$V$3:$V$1002,MATCH(103,Leads!$BA$3:$BA$1002,0)))</f>
        <v/>
      </c>
      <c r="E104" s="12">
        <f>IF(G104="","","CAD")</f>
        <v/>
      </c>
      <c r="G104" s="7">
        <f>IFERROR(INDEX(Leads!$A$3:$A$1002,MATCH(103,Leads!$BA$3:$BA$1002,0)),"")</f>
        <v/>
      </c>
      <c r="H104" s="7">
        <f>IF(G104="","",INDEX(Leads!$AQ$3:$AQ$1002,MATCH(103,Leads!$BA$3:$BA$1002,0)))</f>
        <v/>
      </c>
      <c r="I104" s="7">
        <f>IF(G104="","",INDEX(Leads!$AI$3:$AI$1002,MATCH(103,Leads!$BA$3:$BA$1002,0))&amp;"")</f>
        <v/>
      </c>
      <c r="J104" s="61">
        <f>IF(G104="","",INDEX(Leads!$W$3:$W$1002,MATCH(103,Leads!$BA$3:$BA$1002,0)))</f>
        <v/>
      </c>
    </row>
    <row r="105">
      <c r="A105" s="12">
        <f>IF(G105="","",INDEX(Leads!$AC$3:$AC$1002,MATCH(104,Leads!$BA$3:$BA$1002,0)))</f>
        <v/>
      </c>
      <c r="B105" s="12">
        <f>IF(G105="","","depot_paye")</f>
        <v/>
      </c>
      <c r="C105" s="12">
        <f>IF(G105="","",YEAR(J105)&amp;"-"&amp;RIGHT("0"&amp;MONTH(J105),2)&amp;"-"&amp;RIGHT("0"&amp;DAY(J105),2)&amp;" "&amp;RIGHT("0"&amp;HOUR(J105),2)&amp;":"&amp;RIGHT("0"&amp;MINUTE(J105),2)&amp;":"&amp;RIGHT("0"&amp;SECOND(J105),2)&amp;IF(AND(J105&gt;=DATE(YEAR(J105),3,8)+MOD(8-WEEKDAY(DATE(YEAR(J105),3,8)),7)+2/24,J105&lt;DATE(YEAR(J105),11,1)+MOD(8-WEEKDAY(DATE(YEAR(J105),11,1)),7)+2/24),"-04:00","-05:00"))</f>
        <v/>
      </c>
      <c r="D105" s="60">
        <f>IF(G105="","",INDEX(Leads!$V$3:$V$1002,MATCH(104,Leads!$BA$3:$BA$1002,0)))</f>
        <v/>
      </c>
      <c r="E105" s="12">
        <f>IF(G105="","","CAD")</f>
        <v/>
      </c>
      <c r="G105" s="7">
        <f>IFERROR(INDEX(Leads!$A$3:$A$1002,MATCH(104,Leads!$BA$3:$BA$1002,0)),"")</f>
        <v/>
      </c>
      <c r="H105" s="7">
        <f>IF(G105="","",INDEX(Leads!$AQ$3:$AQ$1002,MATCH(104,Leads!$BA$3:$BA$1002,0)))</f>
        <v/>
      </c>
      <c r="I105" s="7">
        <f>IF(G105="","",INDEX(Leads!$AI$3:$AI$1002,MATCH(104,Leads!$BA$3:$BA$1002,0))&amp;"")</f>
        <v/>
      </c>
      <c r="J105" s="61">
        <f>IF(G105="","",INDEX(Leads!$W$3:$W$1002,MATCH(104,Leads!$BA$3:$BA$1002,0)))</f>
        <v/>
      </c>
    </row>
    <row r="106">
      <c r="A106" s="12">
        <f>IF(G106="","",INDEX(Leads!$AC$3:$AC$1002,MATCH(105,Leads!$BA$3:$BA$1002,0)))</f>
        <v/>
      </c>
      <c r="B106" s="12">
        <f>IF(G106="","","depot_paye")</f>
        <v/>
      </c>
      <c r="C106" s="12">
        <f>IF(G106="","",YEAR(J106)&amp;"-"&amp;RIGHT("0"&amp;MONTH(J106),2)&amp;"-"&amp;RIGHT("0"&amp;DAY(J106),2)&amp;" "&amp;RIGHT("0"&amp;HOUR(J106),2)&amp;":"&amp;RIGHT("0"&amp;MINUTE(J106),2)&amp;":"&amp;RIGHT("0"&amp;SECOND(J106),2)&amp;IF(AND(J106&gt;=DATE(YEAR(J106),3,8)+MOD(8-WEEKDAY(DATE(YEAR(J106),3,8)),7)+2/24,J106&lt;DATE(YEAR(J106),11,1)+MOD(8-WEEKDAY(DATE(YEAR(J106),11,1)),7)+2/24),"-04:00","-05:00"))</f>
        <v/>
      </c>
      <c r="D106" s="60">
        <f>IF(G106="","",INDEX(Leads!$V$3:$V$1002,MATCH(105,Leads!$BA$3:$BA$1002,0)))</f>
        <v/>
      </c>
      <c r="E106" s="12">
        <f>IF(G106="","","CAD")</f>
        <v/>
      </c>
      <c r="G106" s="7">
        <f>IFERROR(INDEX(Leads!$A$3:$A$1002,MATCH(105,Leads!$BA$3:$BA$1002,0)),"")</f>
        <v/>
      </c>
      <c r="H106" s="7">
        <f>IF(G106="","",INDEX(Leads!$AQ$3:$AQ$1002,MATCH(105,Leads!$BA$3:$BA$1002,0)))</f>
        <v/>
      </c>
      <c r="I106" s="7">
        <f>IF(G106="","",INDEX(Leads!$AI$3:$AI$1002,MATCH(105,Leads!$BA$3:$BA$1002,0))&amp;"")</f>
        <v/>
      </c>
      <c r="J106" s="61">
        <f>IF(G106="","",INDEX(Leads!$W$3:$W$1002,MATCH(105,Leads!$BA$3:$BA$1002,0)))</f>
        <v/>
      </c>
    </row>
    <row r="107">
      <c r="A107" s="12">
        <f>IF(G107="","",INDEX(Leads!$AC$3:$AC$1002,MATCH(106,Leads!$BA$3:$BA$1002,0)))</f>
        <v/>
      </c>
      <c r="B107" s="12">
        <f>IF(G107="","","depot_paye")</f>
        <v/>
      </c>
      <c r="C107" s="12">
        <f>IF(G107="","",YEAR(J107)&amp;"-"&amp;RIGHT("0"&amp;MONTH(J107),2)&amp;"-"&amp;RIGHT("0"&amp;DAY(J107),2)&amp;" "&amp;RIGHT("0"&amp;HOUR(J107),2)&amp;":"&amp;RIGHT("0"&amp;MINUTE(J107),2)&amp;":"&amp;RIGHT("0"&amp;SECOND(J107),2)&amp;IF(AND(J107&gt;=DATE(YEAR(J107),3,8)+MOD(8-WEEKDAY(DATE(YEAR(J107),3,8)),7)+2/24,J107&lt;DATE(YEAR(J107),11,1)+MOD(8-WEEKDAY(DATE(YEAR(J107),11,1)),7)+2/24),"-04:00","-05:00"))</f>
        <v/>
      </c>
      <c r="D107" s="60">
        <f>IF(G107="","",INDEX(Leads!$V$3:$V$1002,MATCH(106,Leads!$BA$3:$BA$1002,0)))</f>
        <v/>
      </c>
      <c r="E107" s="12">
        <f>IF(G107="","","CAD")</f>
        <v/>
      </c>
      <c r="G107" s="7">
        <f>IFERROR(INDEX(Leads!$A$3:$A$1002,MATCH(106,Leads!$BA$3:$BA$1002,0)),"")</f>
        <v/>
      </c>
      <c r="H107" s="7">
        <f>IF(G107="","",INDEX(Leads!$AQ$3:$AQ$1002,MATCH(106,Leads!$BA$3:$BA$1002,0)))</f>
        <v/>
      </c>
      <c r="I107" s="7">
        <f>IF(G107="","",INDEX(Leads!$AI$3:$AI$1002,MATCH(106,Leads!$BA$3:$BA$1002,0))&amp;"")</f>
        <v/>
      </c>
      <c r="J107" s="61">
        <f>IF(G107="","",INDEX(Leads!$W$3:$W$1002,MATCH(106,Leads!$BA$3:$BA$1002,0)))</f>
        <v/>
      </c>
    </row>
    <row r="108">
      <c r="A108" s="12">
        <f>IF(G108="","",INDEX(Leads!$AC$3:$AC$1002,MATCH(107,Leads!$BA$3:$BA$1002,0)))</f>
        <v/>
      </c>
      <c r="B108" s="12">
        <f>IF(G108="","","depot_paye")</f>
        <v/>
      </c>
      <c r="C108" s="12">
        <f>IF(G108="","",YEAR(J108)&amp;"-"&amp;RIGHT("0"&amp;MONTH(J108),2)&amp;"-"&amp;RIGHT("0"&amp;DAY(J108),2)&amp;" "&amp;RIGHT("0"&amp;HOUR(J108),2)&amp;":"&amp;RIGHT("0"&amp;MINUTE(J108),2)&amp;":"&amp;RIGHT("0"&amp;SECOND(J108),2)&amp;IF(AND(J108&gt;=DATE(YEAR(J108),3,8)+MOD(8-WEEKDAY(DATE(YEAR(J108),3,8)),7)+2/24,J108&lt;DATE(YEAR(J108),11,1)+MOD(8-WEEKDAY(DATE(YEAR(J108),11,1)),7)+2/24),"-04:00","-05:00"))</f>
        <v/>
      </c>
      <c r="D108" s="60">
        <f>IF(G108="","",INDEX(Leads!$V$3:$V$1002,MATCH(107,Leads!$BA$3:$BA$1002,0)))</f>
        <v/>
      </c>
      <c r="E108" s="12">
        <f>IF(G108="","","CAD")</f>
        <v/>
      </c>
      <c r="G108" s="7">
        <f>IFERROR(INDEX(Leads!$A$3:$A$1002,MATCH(107,Leads!$BA$3:$BA$1002,0)),"")</f>
        <v/>
      </c>
      <c r="H108" s="7">
        <f>IF(G108="","",INDEX(Leads!$AQ$3:$AQ$1002,MATCH(107,Leads!$BA$3:$BA$1002,0)))</f>
        <v/>
      </c>
      <c r="I108" s="7">
        <f>IF(G108="","",INDEX(Leads!$AI$3:$AI$1002,MATCH(107,Leads!$BA$3:$BA$1002,0))&amp;"")</f>
        <v/>
      </c>
      <c r="J108" s="61">
        <f>IF(G108="","",INDEX(Leads!$W$3:$W$1002,MATCH(107,Leads!$BA$3:$BA$1002,0)))</f>
        <v/>
      </c>
    </row>
    <row r="109">
      <c r="A109" s="12">
        <f>IF(G109="","",INDEX(Leads!$AC$3:$AC$1002,MATCH(108,Leads!$BA$3:$BA$1002,0)))</f>
        <v/>
      </c>
      <c r="B109" s="12">
        <f>IF(G109="","","depot_paye")</f>
        <v/>
      </c>
      <c r="C109" s="12">
        <f>IF(G109="","",YEAR(J109)&amp;"-"&amp;RIGHT("0"&amp;MONTH(J109),2)&amp;"-"&amp;RIGHT("0"&amp;DAY(J109),2)&amp;" "&amp;RIGHT("0"&amp;HOUR(J109),2)&amp;":"&amp;RIGHT("0"&amp;MINUTE(J109),2)&amp;":"&amp;RIGHT("0"&amp;SECOND(J109),2)&amp;IF(AND(J109&gt;=DATE(YEAR(J109),3,8)+MOD(8-WEEKDAY(DATE(YEAR(J109),3,8)),7)+2/24,J109&lt;DATE(YEAR(J109),11,1)+MOD(8-WEEKDAY(DATE(YEAR(J109),11,1)),7)+2/24),"-04:00","-05:00"))</f>
        <v/>
      </c>
      <c r="D109" s="60">
        <f>IF(G109="","",INDEX(Leads!$V$3:$V$1002,MATCH(108,Leads!$BA$3:$BA$1002,0)))</f>
        <v/>
      </c>
      <c r="E109" s="12">
        <f>IF(G109="","","CAD")</f>
        <v/>
      </c>
      <c r="G109" s="7">
        <f>IFERROR(INDEX(Leads!$A$3:$A$1002,MATCH(108,Leads!$BA$3:$BA$1002,0)),"")</f>
        <v/>
      </c>
      <c r="H109" s="7">
        <f>IF(G109="","",INDEX(Leads!$AQ$3:$AQ$1002,MATCH(108,Leads!$BA$3:$BA$1002,0)))</f>
        <v/>
      </c>
      <c r="I109" s="7">
        <f>IF(G109="","",INDEX(Leads!$AI$3:$AI$1002,MATCH(108,Leads!$BA$3:$BA$1002,0))&amp;"")</f>
        <v/>
      </c>
      <c r="J109" s="61">
        <f>IF(G109="","",INDEX(Leads!$W$3:$W$1002,MATCH(108,Leads!$BA$3:$BA$1002,0)))</f>
        <v/>
      </c>
    </row>
    <row r="110">
      <c r="A110" s="12">
        <f>IF(G110="","",INDEX(Leads!$AC$3:$AC$1002,MATCH(109,Leads!$BA$3:$BA$1002,0)))</f>
        <v/>
      </c>
      <c r="B110" s="12">
        <f>IF(G110="","","depot_paye")</f>
        <v/>
      </c>
      <c r="C110" s="12">
        <f>IF(G110="","",YEAR(J110)&amp;"-"&amp;RIGHT("0"&amp;MONTH(J110),2)&amp;"-"&amp;RIGHT("0"&amp;DAY(J110),2)&amp;" "&amp;RIGHT("0"&amp;HOUR(J110),2)&amp;":"&amp;RIGHT("0"&amp;MINUTE(J110),2)&amp;":"&amp;RIGHT("0"&amp;SECOND(J110),2)&amp;IF(AND(J110&gt;=DATE(YEAR(J110),3,8)+MOD(8-WEEKDAY(DATE(YEAR(J110),3,8)),7)+2/24,J110&lt;DATE(YEAR(J110),11,1)+MOD(8-WEEKDAY(DATE(YEAR(J110),11,1)),7)+2/24),"-04:00","-05:00"))</f>
        <v/>
      </c>
      <c r="D110" s="60">
        <f>IF(G110="","",INDEX(Leads!$V$3:$V$1002,MATCH(109,Leads!$BA$3:$BA$1002,0)))</f>
        <v/>
      </c>
      <c r="E110" s="12">
        <f>IF(G110="","","CAD")</f>
        <v/>
      </c>
      <c r="G110" s="7">
        <f>IFERROR(INDEX(Leads!$A$3:$A$1002,MATCH(109,Leads!$BA$3:$BA$1002,0)),"")</f>
        <v/>
      </c>
      <c r="H110" s="7">
        <f>IF(G110="","",INDEX(Leads!$AQ$3:$AQ$1002,MATCH(109,Leads!$BA$3:$BA$1002,0)))</f>
        <v/>
      </c>
      <c r="I110" s="7">
        <f>IF(G110="","",INDEX(Leads!$AI$3:$AI$1002,MATCH(109,Leads!$BA$3:$BA$1002,0))&amp;"")</f>
        <v/>
      </c>
      <c r="J110" s="61">
        <f>IF(G110="","",INDEX(Leads!$W$3:$W$1002,MATCH(109,Leads!$BA$3:$BA$1002,0)))</f>
        <v/>
      </c>
    </row>
    <row r="111">
      <c r="A111" s="12">
        <f>IF(G111="","",INDEX(Leads!$AC$3:$AC$1002,MATCH(110,Leads!$BA$3:$BA$1002,0)))</f>
        <v/>
      </c>
      <c r="B111" s="12">
        <f>IF(G111="","","depot_paye")</f>
        <v/>
      </c>
      <c r="C111" s="12">
        <f>IF(G111="","",YEAR(J111)&amp;"-"&amp;RIGHT("0"&amp;MONTH(J111),2)&amp;"-"&amp;RIGHT("0"&amp;DAY(J111),2)&amp;" "&amp;RIGHT("0"&amp;HOUR(J111),2)&amp;":"&amp;RIGHT("0"&amp;MINUTE(J111),2)&amp;":"&amp;RIGHT("0"&amp;SECOND(J111),2)&amp;IF(AND(J111&gt;=DATE(YEAR(J111),3,8)+MOD(8-WEEKDAY(DATE(YEAR(J111),3,8)),7)+2/24,J111&lt;DATE(YEAR(J111),11,1)+MOD(8-WEEKDAY(DATE(YEAR(J111),11,1)),7)+2/24),"-04:00","-05:00"))</f>
        <v/>
      </c>
      <c r="D111" s="60">
        <f>IF(G111="","",INDEX(Leads!$V$3:$V$1002,MATCH(110,Leads!$BA$3:$BA$1002,0)))</f>
        <v/>
      </c>
      <c r="E111" s="12">
        <f>IF(G111="","","CAD")</f>
        <v/>
      </c>
      <c r="G111" s="7">
        <f>IFERROR(INDEX(Leads!$A$3:$A$1002,MATCH(110,Leads!$BA$3:$BA$1002,0)),"")</f>
        <v/>
      </c>
      <c r="H111" s="7">
        <f>IF(G111="","",INDEX(Leads!$AQ$3:$AQ$1002,MATCH(110,Leads!$BA$3:$BA$1002,0)))</f>
        <v/>
      </c>
      <c r="I111" s="7">
        <f>IF(G111="","",INDEX(Leads!$AI$3:$AI$1002,MATCH(110,Leads!$BA$3:$BA$1002,0))&amp;"")</f>
        <v/>
      </c>
      <c r="J111" s="61">
        <f>IF(G111="","",INDEX(Leads!$W$3:$W$1002,MATCH(110,Leads!$BA$3:$BA$1002,0)))</f>
        <v/>
      </c>
    </row>
    <row r="112">
      <c r="A112" s="12">
        <f>IF(G112="","",INDEX(Leads!$AC$3:$AC$1002,MATCH(111,Leads!$BA$3:$BA$1002,0)))</f>
        <v/>
      </c>
      <c r="B112" s="12">
        <f>IF(G112="","","depot_paye")</f>
        <v/>
      </c>
      <c r="C112" s="12">
        <f>IF(G112="","",YEAR(J112)&amp;"-"&amp;RIGHT("0"&amp;MONTH(J112),2)&amp;"-"&amp;RIGHT("0"&amp;DAY(J112),2)&amp;" "&amp;RIGHT("0"&amp;HOUR(J112),2)&amp;":"&amp;RIGHT("0"&amp;MINUTE(J112),2)&amp;":"&amp;RIGHT("0"&amp;SECOND(J112),2)&amp;IF(AND(J112&gt;=DATE(YEAR(J112),3,8)+MOD(8-WEEKDAY(DATE(YEAR(J112),3,8)),7)+2/24,J112&lt;DATE(YEAR(J112),11,1)+MOD(8-WEEKDAY(DATE(YEAR(J112),11,1)),7)+2/24),"-04:00","-05:00"))</f>
        <v/>
      </c>
      <c r="D112" s="60">
        <f>IF(G112="","",INDEX(Leads!$V$3:$V$1002,MATCH(111,Leads!$BA$3:$BA$1002,0)))</f>
        <v/>
      </c>
      <c r="E112" s="12">
        <f>IF(G112="","","CAD")</f>
        <v/>
      </c>
      <c r="G112" s="7">
        <f>IFERROR(INDEX(Leads!$A$3:$A$1002,MATCH(111,Leads!$BA$3:$BA$1002,0)),"")</f>
        <v/>
      </c>
      <c r="H112" s="7">
        <f>IF(G112="","",INDEX(Leads!$AQ$3:$AQ$1002,MATCH(111,Leads!$BA$3:$BA$1002,0)))</f>
        <v/>
      </c>
      <c r="I112" s="7">
        <f>IF(G112="","",INDEX(Leads!$AI$3:$AI$1002,MATCH(111,Leads!$BA$3:$BA$1002,0))&amp;"")</f>
        <v/>
      </c>
      <c r="J112" s="61">
        <f>IF(G112="","",INDEX(Leads!$W$3:$W$1002,MATCH(111,Leads!$BA$3:$BA$1002,0)))</f>
        <v/>
      </c>
    </row>
    <row r="113">
      <c r="A113" s="12">
        <f>IF(G113="","",INDEX(Leads!$AC$3:$AC$1002,MATCH(112,Leads!$BA$3:$BA$1002,0)))</f>
        <v/>
      </c>
      <c r="B113" s="12">
        <f>IF(G113="","","depot_paye")</f>
        <v/>
      </c>
      <c r="C113" s="12">
        <f>IF(G113="","",YEAR(J113)&amp;"-"&amp;RIGHT("0"&amp;MONTH(J113),2)&amp;"-"&amp;RIGHT("0"&amp;DAY(J113),2)&amp;" "&amp;RIGHT("0"&amp;HOUR(J113),2)&amp;":"&amp;RIGHT("0"&amp;MINUTE(J113),2)&amp;":"&amp;RIGHT("0"&amp;SECOND(J113),2)&amp;IF(AND(J113&gt;=DATE(YEAR(J113),3,8)+MOD(8-WEEKDAY(DATE(YEAR(J113),3,8)),7)+2/24,J113&lt;DATE(YEAR(J113),11,1)+MOD(8-WEEKDAY(DATE(YEAR(J113),11,1)),7)+2/24),"-04:00","-05:00"))</f>
        <v/>
      </c>
      <c r="D113" s="60">
        <f>IF(G113="","",INDEX(Leads!$V$3:$V$1002,MATCH(112,Leads!$BA$3:$BA$1002,0)))</f>
        <v/>
      </c>
      <c r="E113" s="12">
        <f>IF(G113="","","CAD")</f>
        <v/>
      </c>
      <c r="G113" s="7">
        <f>IFERROR(INDEX(Leads!$A$3:$A$1002,MATCH(112,Leads!$BA$3:$BA$1002,0)),"")</f>
        <v/>
      </c>
      <c r="H113" s="7">
        <f>IF(G113="","",INDEX(Leads!$AQ$3:$AQ$1002,MATCH(112,Leads!$BA$3:$BA$1002,0)))</f>
        <v/>
      </c>
      <c r="I113" s="7">
        <f>IF(G113="","",INDEX(Leads!$AI$3:$AI$1002,MATCH(112,Leads!$BA$3:$BA$1002,0))&amp;"")</f>
        <v/>
      </c>
      <c r="J113" s="61">
        <f>IF(G113="","",INDEX(Leads!$W$3:$W$1002,MATCH(112,Leads!$BA$3:$BA$1002,0)))</f>
        <v/>
      </c>
    </row>
    <row r="114">
      <c r="A114" s="12">
        <f>IF(G114="","",INDEX(Leads!$AC$3:$AC$1002,MATCH(113,Leads!$BA$3:$BA$1002,0)))</f>
        <v/>
      </c>
      <c r="B114" s="12">
        <f>IF(G114="","","depot_paye")</f>
        <v/>
      </c>
      <c r="C114" s="12">
        <f>IF(G114="","",YEAR(J114)&amp;"-"&amp;RIGHT("0"&amp;MONTH(J114),2)&amp;"-"&amp;RIGHT("0"&amp;DAY(J114),2)&amp;" "&amp;RIGHT("0"&amp;HOUR(J114),2)&amp;":"&amp;RIGHT("0"&amp;MINUTE(J114),2)&amp;":"&amp;RIGHT("0"&amp;SECOND(J114),2)&amp;IF(AND(J114&gt;=DATE(YEAR(J114),3,8)+MOD(8-WEEKDAY(DATE(YEAR(J114),3,8)),7)+2/24,J114&lt;DATE(YEAR(J114),11,1)+MOD(8-WEEKDAY(DATE(YEAR(J114),11,1)),7)+2/24),"-04:00","-05:00"))</f>
        <v/>
      </c>
      <c r="D114" s="60">
        <f>IF(G114="","",INDEX(Leads!$V$3:$V$1002,MATCH(113,Leads!$BA$3:$BA$1002,0)))</f>
        <v/>
      </c>
      <c r="E114" s="12">
        <f>IF(G114="","","CAD")</f>
        <v/>
      </c>
      <c r="G114" s="7">
        <f>IFERROR(INDEX(Leads!$A$3:$A$1002,MATCH(113,Leads!$BA$3:$BA$1002,0)),"")</f>
        <v/>
      </c>
      <c r="H114" s="7">
        <f>IF(G114="","",INDEX(Leads!$AQ$3:$AQ$1002,MATCH(113,Leads!$BA$3:$BA$1002,0)))</f>
        <v/>
      </c>
      <c r="I114" s="7">
        <f>IF(G114="","",INDEX(Leads!$AI$3:$AI$1002,MATCH(113,Leads!$BA$3:$BA$1002,0))&amp;"")</f>
        <v/>
      </c>
      <c r="J114" s="61">
        <f>IF(G114="","",INDEX(Leads!$W$3:$W$1002,MATCH(113,Leads!$BA$3:$BA$1002,0)))</f>
        <v/>
      </c>
    </row>
    <row r="115">
      <c r="A115" s="12">
        <f>IF(G115="","",INDEX(Leads!$AC$3:$AC$1002,MATCH(114,Leads!$BA$3:$BA$1002,0)))</f>
        <v/>
      </c>
      <c r="B115" s="12">
        <f>IF(G115="","","depot_paye")</f>
        <v/>
      </c>
      <c r="C115" s="12">
        <f>IF(G115="","",YEAR(J115)&amp;"-"&amp;RIGHT("0"&amp;MONTH(J115),2)&amp;"-"&amp;RIGHT("0"&amp;DAY(J115),2)&amp;" "&amp;RIGHT("0"&amp;HOUR(J115),2)&amp;":"&amp;RIGHT("0"&amp;MINUTE(J115),2)&amp;":"&amp;RIGHT("0"&amp;SECOND(J115),2)&amp;IF(AND(J115&gt;=DATE(YEAR(J115),3,8)+MOD(8-WEEKDAY(DATE(YEAR(J115),3,8)),7)+2/24,J115&lt;DATE(YEAR(J115),11,1)+MOD(8-WEEKDAY(DATE(YEAR(J115),11,1)),7)+2/24),"-04:00","-05:00"))</f>
        <v/>
      </c>
      <c r="D115" s="60">
        <f>IF(G115="","",INDEX(Leads!$V$3:$V$1002,MATCH(114,Leads!$BA$3:$BA$1002,0)))</f>
        <v/>
      </c>
      <c r="E115" s="12">
        <f>IF(G115="","","CAD")</f>
        <v/>
      </c>
      <c r="G115" s="7">
        <f>IFERROR(INDEX(Leads!$A$3:$A$1002,MATCH(114,Leads!$BA$3:$BA$1002,0)),"")</f>
        <v/>
      </c>
      <c r="H115" s="7">
        <f>IF(G115="","",INDEX(Leads!$AQ$3:$AQ$1002,MATCH(114,Leads!$BA$3:$BA$1002,0)))</f>
        <v/>
      </c>
      <c r="I115" s="7">
        <f>IF(G115="","",INDEX(Leads!$AI$3:$AI$1002,MATCH(114,Leads!$BA$3:$BA$1002,0))&amp;"")</f>
        <v/>
      </c>
      <c r="J115" s="61">
        <f>IF(G115="","",INDEX(Leads!$W$3:$W$1002,MATCH(114,Leads!$BA$3:$BA$1002,0)))</f>
        <v/>
      </c>
    </row>
    <row r="116">
      <c r="A116" s="12">
        <f>IF(G116="","",INDEX(Leads!$AC$3:$AC$1002,MATCH(115,Leads!$BA$3:$BA$1002,0)))</f>
        <v/>
      </c>
      <c r="B116" s="12">
        <f>IF(G116="","","depot_paye")</f>
        <v/>
      </c>
      <c r="C116" s="12">
        <f>IF(G116="","",YEAR(J116)&amp;"-"&amp;RIGHT("0"&amp;MONTH(J116),2)&amp;"-"&amp;RIGHT("0"&amp;DAY(J116),2)&amp;" "&amp;RIGHT("0"&amp;HOUR(J116),2)&amp;":"&amp;RIGHT("0"&amp;MINUTE(J116),2)&amp;":"&amp;RIGHT("0"&amp;SECOND(J116),2)&amp;IF(AND(J116&gt;=DATE(YEAR(J116),3,8)+MOD(8-WEEKDAY(DATE(YEAR(J116),3,8)),7)+2/24,J116&lt;DATE(YEAR(J116),11,1)+MOD(8-WEEKDAY(DATE(YEAR(J116),11,1)),7)+2/24),"-04:00","-05:00"))</f>
        <v/>
      </c>
      <c r="D116" s="60">
        <f>IF(G116="","",INDEX(Leads!$V$3:$V$1002,MATCH(115,Leads!$BA$3:$BA$1002,0)))</f>
        <v/>
      </c>
      <c r="E116" s="12">
        <f>IF(G116="","","CAD")</f>
        <v/>
      </c>
      <c r="G116" s="7">
        <f>IFERROR(INDEX(Leads!$A$3:$A$1002,MATCH(115,Leads!$BA$3:$BA$1002,0)),"")</f>
        <v/>
      </c>
      <c r="H116" s="7">
        <f>IF(G116="","",INDEX(Leads!$AQ$3:$AQ$1002,MATCH(115,Leads!$BA$3:$BA$1002,0)))</f>
        <v/>
      </c>
      <c r="I116" s="7">
        <f>IF(G116="","",INDEX(Leads!$AI$3:$AI$1002,MATCH(115,Leads!$BA$3:$BA$1002,0))&amp;"")</f>
        <v/>
      </c>
      <c r="J116" s="61">
        <f>IF(G116="","",INDEX(Leads!$W$3:$W$1002,MATCH(115,Leads!$BA$3:$BA$1002,0)))</f>
        <v/>
      </c>
    </row>
    <row r="117">
      <c r="A117" s="12">
        <f>IF(G117="","",INDEX(Leads!$AC$3:$AC$1002,MATCH(116,Leads!$BA$3:$BA$1002,0)))</f>
        <v/>
      </c>
      <c r="B117" s="12">
        <f>IF(G117="","","depot_paye")</f>
        <v/>
      </c>
      <c r="C117" s="12">
        <f>IF(G117="","",YEAR(J117)&amp;"-"&amp;RIGHT("0"&amp;MONTH(J117),2)&amp;"-"&amp;RIGHT("0"&amp;DAY(J117),2)&amp;" "&amp;RIGHT("0"&amp;HOUR(J117),2)&amp;":"&amp;RIGHT("0"&amp;MINUTE(J117),2)&amp;":"&amp;RIGHT("0"&amp;SECOND(J117),2)&amp;IF(AND(J117&gt;=DATE(YEAR(J117),3,8)+MOD(8-WEEKDAY(DATE(YEAR(J117),3,8)),7)+2/24,J117&lt;DATE(YEAR(J117),11,1)+MOD(8-WEEKDAY(DATE(YEAR(J117),11,1)),7)+2/24),"-04:00","-05:00"))</f>
        <v/>
      </c>
      <c r="D117" s="60">
        <f>IF(G117="","",INDEX(Leads!$V$3:$V$1002,MATCH(116,Leads!$BA$3:$BA$1002,0)))</f>
        <v/>
      </c>
      <c r="E117" s="12">
        <f>IF(G117="","","CAD")</f>
        <v/>
      </c>
      <c r="G117" s="7">
        <f>IFERROR(INDEX(Leads!$A$3:$A$1002,MATCH(116,Leads!$BA$3:$BA$1002,0)),"")</f>
        <v/>
      </c>
      <c r="H117" s="7">
        <f>IF(G117="","",INDEX(Leads!$AQ$3:$AQ$1002,MATCH(116,Leads!$BA$3:$BA$1002,0)))</f>
        <v/>
      </c>
      <c r="I117" s="7">
        <f>IF(G117="","",INDEX(Leads!$AI$3:$AI$1002,MATCH(116,Leads!$BA$3:$BA$1002,0))&amp;"")</f>
        <v/>
      </c>
      <c r="J117" s="61">
        <f>IF(G117="","",INDEX(Leads!$W$3:$W$1002,MATCH(116,Leads!$BA$3:$BA$1002,0)))</f>
        <v/>
      </c>
    </row>
    <row r="118">
      <c r="A118" s="12">
        <f>IF(G118="","",INDEX(Leads!$AC$3:$AC$1002,MATCH(117,Leads!$BA$3:$BA$1002,0)))</f>
        <v/>
      </c>
      <c r="B118" s="12">
        <f>IF(G118="","","depot_paye")</f>
        <v/>
      </c>
      <c r="C118" s="12">
        <f>IF(G118="","",YEAR(J118)&amp;"-"&amp;RIGHT("0"&amp;MONTH(J118),2)&amp;"-"&amp;RIGHT("0"&amp;DAY(J118),2)&amp;" "&amp;RIGHT("0"&amp;HOUR(J118),2)&amp;":"&amp;RIGHT("0"&amp;MINUTE(J118),2)&amp;":"&amp;RIGHT("0"&amp;SECOND(J118),2)&amp;IF(AND(J118&gt;=DATE(YEAR(J118),3,8)+MOD(8-WEEKDAY(DATE(YEAR(J118),3,8)),7)+2/24,J118&lt;DATE(YEAR(J118),11,1)+MOD(8-WEEKDAY(DATE(YEAR(J118),11,1)),7)+2/24),"-04:00","-05:00"))</f>
        <v/>
      </c>
      <c r="D118" s="60">
        <f>IF(G118="","",INDEX(Leads!$V$3:$V$1002,MATCH(117,Leads!$BA$3:$BA$1002,0)))</f>
        <v/>
      </c>
      <c r="E118" s="12">
        <f>IF(G118="","","CAD")</f>
        <v/>
      </c>
      <c r="G118" s="7">
        <f>IFERROR(INDEX(Leads!$A$3:$A$1002,MATCH(117,Leads!$BA$3:$BA$1002,0)),"")</f>
        <v/>
      </c>
      <c r="H118" s="7">
        <f>IF(G118="","",INDEX(Leads!$AQ$3:$AQ$1002,MATCH(117,Leads!$BA$3:$BA$1002,0)))</f>
        <v/>
      </c>
      <c r="I118" s="7">
        <f>IF(G118="","",INDEX(Leads!$AI$3:$AI$1002,MATCH(117,Leads!$BA$3:$BA$1002,0))&amp;"")</f>
        <v/>
      </c>
      <c r="J118" s="61">
        <f>IF(G118="","",INDEX(Leads!$W$3:$W$1002,MATCH(117,Leads!$BA$3:$BA$1002,0)))</f>
        <v/>
      </c>
    </row>
    <row r="119">
      <c r="A119" s="12">
        <f>IF(G119="","",INDEX(Leads!$AC$3:$AC$1002,MATCH(118,Leads!$BA$3:$BA$1002,0)))</f>
        <v/>
      </c>
      <c r="B119" s="12">
        <f>IF(G119="","","depot_paye")</f>
        <v/>
      </c>
      <c r="C119" s="12">
        <f>IF(G119="","",YEAR(J119)&amp;"-"&amp;RIGHT("0"&amp;MONTH(J119),2)&amp;"-"&amp;RIGHT("0"&amp;DAY(J119),2)&amp;" "&amp;RIGHT("0"&amp;HOUR(J119),2)&amp;":"&amp;RIGHT("0"&amp;MINUTE(J119),2)&amp;":"&amp;RIGHT("0"&amp;SECOND(J119),2)&amp;IF(AND(J119&gt;=DATE(YEAR(J119),3,8)+MOD(8-WEEKDAY(DATE(YEAR(J119),3,8)),7)+2/24,J119&lt;DATE(YEAR(J119),11,1)+MOD(8-WEEKDAY(DATE(YEAR(J119),11,1)),7)+2/24),"-04:00","-05:00"))</f>
        <v/>
      </c>
      <c r="D119" s="60">
        <f>IF(G119="","",INDEX(Leads!$V$3:$V$1002,MATCH(118,Leads!$BA$3:$BA$1002,0)))</f>
        <v/>
      </c>
      <c r="E119" s="12">
        <f>IF(G119="","","CAD")</f>
        <v/>
      </c>
      <c r="G119" s="7">
        <f>IFERROR(INDEX(Leads!$A$3:$A$1002,MATCH(118,Leads!$BA$3:$BA$1002,0)),"")</f>
        <v/>
      </c>
      <c r="H119" s="7">
        <f>IF(G119="","",INDEX(Leads!$AQ$3:$AQ$1002,MATCH(118,Leads!$BA$3:$BA$1002,0)))</f>
        <v/>
      </c>
      <c r="I119" s="7">
        <f>IF(G119="","",INDEX(Leads!$AI$3:$AI$1002,MATCH(118,Leads!$BA$3:$BA$1002,0))&amp;"")</f>
        <v/>
      </c>
      <c r="J119" s="61">
        <f>IF(G119="","",INDEX(Leads!$W$3:$W$1002,MATCH(118,Leads!$BA$3:$BA$1002,0)))</f>
        <v/>
      </c>
    </row>
    <row r="120">
      <c r="A120" s="12">
        <f>IF(G120="","",INDEX(Leads!$AC$3:$AC$1002,MATCH(119,Leads!$BA$3:$BA$1002,0)))</f>
        <v/>
      </c>
      <c r="B120" s="12">
        <f>IF(G120="","","depot_paye")</f>
        <v/>
      </c>
      <c r="C120" s="12">
        <f>IF(G120="","",YEAR(J120)&amp;"-"&amp;RIGHT("0"&amp;MONTH(J120),2)&amp;"-"&amp;RIGHT("0"&amp;DAY(J120),2)&amp;" "&amp;RIGHT("0"&amp;HOUR(J120),2)&amp;":"&amp;RIGHT("0"&amp;MINUTE(J120),2)&amp;":"&amp;RIGHT("0"&amp;SECOND(J120),2)&amp;IF(AND(J120&gt;=DATE(YEAR(J120),3,8)+MOD(8-WEEKDAY(DATE(YEAR(J120),3,8)),7)+2/24,J120&lt;DATE(YEAR(J120),11,1)+MOD(8-WEEKDAY(DATE(YEAR(J120),11,1)),7)+2/24),"-04:00","-05:00"))</f>
        <v/>
      </c>
      <c r="D120" s="60">
        <f>IF(G120="","",INDEX(Leads!$V$3:$V$1002,MATCH(119,Leads!$BA$3:$BA$1002,0)))</f>
        <v/>
      </c>
      <c r="E120" s="12">
        <f>IF(G120="","","CAD")</f>
        <v/>
      </c>
      <c r="G120" s="7">
        <f>IFERROR(INDEX(Leads!$A$3:$A$1002,MATCH(119,Leads!$BA$3:$BA$1002,0)),"")</f>
        <v/>
      </c>
      <c r="H120" s="7">
        <f>IF(G120="","",INDEX(Leads!$AQ$3:$AQ$1002,MATCH(119,Leads!$BA$3:$BA$1002,0)))</f>
        <v/>
      </c>
      <c r="I120" s="7">
        <f>IF(G120="","",INDEX(Leads!$AI$3:$AI$1002,MATCH(119,Leads!$BA$3:$BA$1002,0))&amp;"")</f>
        <v/>
      </c>
      <c r="J120" s="61">
        <f>IF(G120="","",INDEX(Leads!$W$3:$W$1002,MATCH(119,Leads!$BA$3:$BA$1002,0)))</f>
        <v/>
      </c>
    </row>
    <row r="121">
      <c r="A121" s="12">
        <f>IF(G121="","",INDEX(Leads!$AC$3:$AC$1002,MATCH(120,Leads!$BA$3:$BA$1002,0)))</f>
        <v/>
      </c>
      <c r="B121" s="12">
        <f>IF(G121="","","depot_paye")</f>
        <v/>
      </c>
      <c r="C121" s="12">
        <f>IF(G121="","",YEAR(J121)&amp;"-"&amp;RIGHT("0"&amp;MONTH(J121),2)&amp;"-"&amp;RIGHT("0"&amp;DAY(J121),2)&amp;" "&amp;RIGHT("0"&amp;HOUR(J121),2)&amp;":"&amp;RIGHT("0"&amp;MINUTE(J121),2)&amp;":"&amp;RIGHT("0"&amp;SECOND(J121),2)&amp;IF(AND(J121&gt;=DATE(YEAR(J121),3,8)+MOD(8-WEEKDAY(DATE(YEAR(J121),3,8)),7)+2/24,J121&lt;DATE(YEAR(J121),11,1)+MOD(8-WEEKDAY(DATE(YEAR(J121),11,1)),7)+2/24),"-04:00","-05:00"))</f>
        <v/>
      </c>
      <c r="D121" s="60">
        <f>IF(G121="","",INDEX(Leads!$V$3:$V$1002,MATCH(120,Leads!$BA$3:$BA$1002,0)))</f>
        <v/>
      </c>
      <c r="E121" s="12">
        <f>IF(G121="","","CAD")</f>
        <v/>
      </c>
      <c r="G121" s="7">
        <f>IFERROR(INDEX(Leads!$A$3:$A$1002,MATCH(120,Leads!$BA$3:$BA$1002,0)),"")</f>
        <v/>
      </c>
      <c r="H121" s="7">
        <f>IF(G121="","",INDEX(Leads!$AQ$3:$AQ$1002,MATCH(120,Leads!$BA$3:$BA$1002,0)))</f>
        <v/>
      </c>
      <c r="I121" s="7">
        <f>IF(G121="","",INDEX(Leads!$AI$3:$AI$1002,MATCH(120,Leads!$BA$3:$BA$1002,0))&amp;"")</f>
        <v/>
      </c>
      <c r="J121" s="61">
        <f>IF(G121="","",INDEX(Leads!$W$3:$W$1002,MATCH(120,Leads!$BA$3:$BA$1002,0)))</f>
        <v/>
      </c>
    </row>
    <row r="122">
      <c r="A122" s="12">
        <f>IF(G122="","",INDEX(Leads!$AC$3:$AC$1002,MATCH(121,Leads!$BA$3:$BA$1002,0)))</f>
        <v/>
      </c>
      <c r="B122" s="12">
        <f>IF(G122="","","depot_paye")</f>
        <v/>
      </c>
      <c r="C122" s="12">
        <f>IF(G122="","",YEAR(J122)&amp;"-"&amp;RIGHT("0"&amp;MONTH(J122),2)&amp;"-"&amp;RIGHT("0"&amp;DAY(J122),2)&amp;" "&amp;RIGHT("0"&amp;HOUR(J122),2)&amp;":"&amp;RIGHT("0"&amp;MINUTE(J122),2)&amp;":"&amp;RIGHT("0"&amp;SECOND(J122),2)&amp;IF(AND(J122&gt;=DATE(YEAR(J122),3,8)+MOD(8-WEEKDAY(DATE(YEAR(J122),3,8)),7)+2/24,J122&lt;DATE(YEAR(J122),11,1)+MOD(8-WEEKDAY(DATE(YEAR(J122),11,1)),7)+2/24),"-04:00","-05:00"))</f>
        <v/>
      </c>
      <c r="D122" s="60">
        <f>IF(G122="","",INDEX(Leads!$V$3:$V$1002,MATCH(121,Leads!$BA$3:$BA$1002,0)))</f>
        <v/>
      </c>
      <c r="E122" s="12">
        <f>IF(G122="","","CAD")</f>
        <v/>
      </c>
      <c r="G122" s="7">
        <f>IFERROR(INDEX(Leads!$A$3:$A$1002,MATCH(121,Leads!$BA$3:$BA$1002,0)),"")</f>
        <v/>
      </c>
      <c r="H122" s="7">
        <f>IF(G122="","",INDEX(Leads!$AQ$3:$AQ$1002,MATCH(121,Leads!$BA$3:$BA$1002,0)))</f>
        <v/>
      </c>
      <c r="I122" s="7">
        <f>IF(G122="","",INDEX(Leads!$AI$3:$AI$1002,MATCH(121,Leads!$BA$3:$BA$1002,0))&amp;"")</f>
        <v/>
      </c>
      <c r="J122" s="61">
        <f>IF(G122="","",INDEX(Leads!$W$3:$W$1002,MATCH(121,Leads!$BA$3:$BA$1002,0)))</f>
        <v/>
      </c>
    </row>
    <row r="123">
      <c r="A123" s="12">
        <f>IF(G123="","",INDEX(Leads!$AC$3:$AC$1002,MATCH(122,Leads!$BA$3:$BA$1002,0)))</f>
        <v/>
      </c>
      <c r="B123" s="12">
        <f>IF(G123="","","depot_paye")</f>
        <v/>
      </c>
      <c r="C123" s="12">
        <f>IF(G123="","",YEAR(J123)&amp;"-"&amp;RIGHT("0"&amp;MONTH(J123),2)&amp;"-"&amp;RIGHT("0"&amp;DAY(J123),2)&amp;" "&amp;RIGHT("0"&amp;HOUR(J123),2)&amp;":"&amp;RIGHT("0"&amp;MINUTE(J123),2)&amp;":"&amp;RIGHT("0"&amp;SECOND(J123),2)&amp;IF(AND(J123&gt;=DATE(YEAR(J123),3,8)+MOD(8-WEEKDAY(DATE(YEAR(J123),3,8)),7)+2/24,J123&lt;DATE(YEAR(J123),11,1)+MOD(8-WEEKDAY(DATE(YEAR(J123),11,1)),7)+2/24),"-04:00","-05:00"))</f>
        <v/>
      </c>
      <c r="D123" s="60">
        <f>IF(G123="","",INDEX(Leads!$V$3:$V$1002,MATCH(122,Leads!$BA$3:$BA$1002,0)))</f>
        <v/>
      </c>
      <c r="E123" s="12">
        <f>IF(G123="","","CAD")</f>
        <v/>
      </c>
      <c r="G123" s="7">
        <f>IFERROR(INDEX(Leads!$A$3:$A$1002,MATCH(122,Leads!$BA$3:$BA$1002,0)),"")</f>
        <v/>
      </c>
      <c r="H123" s="7">
        <f>IF(G123="","",INDEX(Leads!$AQ$3:$AQ$1002,MATCH(122,Leads!$BA$3:$BA$1002,0)))</f>
        <v/>
      </c>
      <c r="I123" s="7">
        <f>IF(G123="","",INDEX(Leads!$AI$3:$AI$1002,MATCH(122,Leads!$BA$3:$BA$1002,0))&amp;"")</f>
        <v/>
      </c>
      <c r="J123" s="61">
        <f>IF(G123="","",INDEX(Leads!$W$3:$W$1002,MATCH(122,Leads!$BA$3:$BA$1002,0)))</f>
        <v/>
      </c>
    </row>
    <row r="124">
      <c r="A124" s="12">
        <f>IF(G124="","",INDEX(Leads!$AC$3:$AC$1002,MATCH(123,Leads!$BA$3:$BA$1002,0)))</f>
        <v/>
      </c>
      <c r="B124" s="12">
        <f>IF(G124="","","depot_paye")</f>
        <v/>
      </c>
      <c r="C124" s="12">
        <f>IF(G124="","",YEAR(J124)&amp;"-"&amp;RIGHT("0"&amp;MONTH(J124),2)&amp;"-"&amp;RIGHT("0"&amp;DAY(J124),2)&amp;" "&amp;RIGHT("0"&amp;HOUR(J124),2)&amp;":"&amp;RIGHT("0"&amp;MINUTE(J124),2)&amp;":"&amp;RIGHT("0"&amp;SECOND(J124),2)&amp;IF(AND(J124&gt;=DATE(YEAR(J124),3,8)+MOD(8-WEEKDAY(DATE(YEAR(J124),3,8)),7)+2/24,J124&lt;DATE(YEAR(J124),11,1)+MOD(8-WEEKDAY(DATE(YEAR(J124),11,1)),7)+2/24),"-04:00","-05:00"))</f>
        <v/>
      </c>
      <c r="D124" s="60">
        <f>IF(G124="","",INDEX(Leads!$V$3:$V$1002,MATCH(123,Leads!$BA$3:$BA$1002,0)))</f>
        <v/>
      </c>
      <c r="E124" s="12">
        <f>IF(G124="","","CAD")</f>
        <v/>
      </c>
      <c r="G124" s="7">
        <f>IFERROR(INDEX(Leads!$A$3:$A$1002,MATCH(123,Leads!$BA$3:$BA$1002,0)),"")</f>
        <v/>
      </c>
      <c r="H124" s="7">
        <f>IF(G124="","",INDEX(Leads!$AQ$3:$AQ$1002,MATCH(123,Leads!$BA$3:$BA$1002,0)))</f>
        <v/>
      </c>
      <c r="I124" s="7">
        <f>IF(G124="","",INDEX(Leads!$AI$3:$AI$1002,MATCH(123,Leads!$BA$3:$BA$1002,0))&amp;"")</f>
        <v/>
      </c>
      <c r="J124" s="61">
        <f>IF(G124="","",INDEX(Leads!$W$3:$W$1002,MATCH(123,Leads!$BA$3:$BA$1002,0)))</f>
        <v/>
      </c>
    </row>
    <row r="125">
      <c r="A125" s="12">
        <f>IF(G125="","",INDEX(Leads!$AC$3:$AC$1002,MATCH(124,Leads!$BA$3:$BA$1002,0)))</f>
        <v/>
      </c>
      <c r="B125" s="12">
        <f>IF(G125="","","depot_paye")</f>
        <v/>
      </c>
      <c r="C125" s="12">
        <f>IF(G125="","",YEAR(J125)&amp;"-"&amp;RIGHT("0"&amp;MONTH(J125),2)&amp;"-"&amp;RIGHT("0"&amp;DAY(J125),2)&amp;" "&amp;RIGHT("0"&amp;HOUR(J125),2)&amp;":"&amp;RIGHT("0"&amp;MINUTE(J125),2)&amp;":"&amp;RIGHT("0"&amp;SECOND(J125),2)&amp;IF(AND(J125&gt;=DATE(YEAR(J125),3,8)+MOD(8-WEEKDAY(DATE(YEAR(J125),3,8)),7)+2/24,J125&lt;DATE(YEAR(J125),11,1)+MOD(8-WEEKDAY(DATE(YEAR(J125),11,1)),7)+2/24),"-04:00","-05:00"))</f>
        <v/>
      </c>
      <c r="D125" s="60">
        <f>IF(G125="","",INDEX(Leads!$V$3:$V$1002,MATCH(124,Leads!$BA$3:$BA$1002,0)))</f>
        <v/>
      </c>
      <c r="E125" s="12">
        <f>IF(G125="","","CAD")</f>
        <v/>
      </c>
      <c r="G125" s="7">
        <f>IFERROR(INDEX(Leads!$A$3:$A$1002,MATCH(124,Leads!$BA$3:$BA$1002,0)),"")</f>
        <v/>
      </c>
      <c r="H125" s="7">
        <f>IF(G125="","",INDEX(Leads!$AQ$3:$AQ$1002,MATCH(124,Leads!$BA$3:$BA$1002,0)))</f>
        <v/>
      </c>
      <c r="I125" s="7">
        <f>IF(G125="","",INDEX(Leads!$AI$3:$AI$1002,MATCH(124,Leads!$BA$3:$BA$1002,0))&amp;"")</f>
        <v/>
      </c>
      <c r="J125" s="61">
        <f>IF(G125="","",INDEX(Leads!$W$3:$W$1002,MATCH(124,Leads!$BA$3:$BA$1002,0)))</f>
        <v/>
      </c>
    </row>
    <row r="126">
      <c r="A126" s="12">
        <f>IF(G126="","",INDEX(Leads!$AC$3:$AC$1002,MATCH(125,Leads!$BA$3:$BA$1002,0)))</f>
        <v/>
      </c>
      <c r="B126" s="12">
        <f>IF(G126="","","depot_paye")</f>
        <v/>
      </c>
      <c r="C126" s="12">
        <f>IF(G126="","",YEAR(J126)&amp;"-"&amp;RIGHT("0"&amp;MONTH(J126),2)&amp;"-"&amp;RIGHT("0"&amp;DAY(J126),2)&amp;" "&amp;RIGHT("0"&amp;HOUR(J126),2)&amp;":"&amp;RIGHT("0"&amp;MINUTE(J126),2)&amp;":"&amp;RIGHT("0"&amp;SECOND(J126),2)&amp;IF(AND(J126&gt;=DATE(YEAR(J126),3,8)+MOD(8-WEEKDAY(DATE(YEAR(J126),3,8)),7)+2/24,J126&lt;DATE(YEAR(J126),11,1)+MOD(8-WEEKDAY(DATE(YEAR(J126),11,1)),7)+2/24),"-04:00","-05:00"))</f>
        <v/>
      </c>
      <c r="D126" s="60">
        <f>IF(G126="","",INDEX(Leads!$V$3:$V$1002,MATCH(125,Leads!$BA$3:$BA$1002,0)))</f>
        <v/>
      </c>
      <c r="E126" s="12">
        <f>IF(G126="","","CAD")</f>
        <v/>
      </c>
      <c r="G126" s="7">
        <f>IFERROR(INDEX(Leads!$A$3:$A$1002,MATCH(125,Leads!$BA$3:$BA$1002,0)),"")</f>
        <v/>
      </c>
      <c r="H126" s="7">
        <f>IF(G126="","",INDEX(Leads!$AQ$3:$AQ$1002,MATCH(125,Leads!$BA$3:$BA$1002,0)))</f>
        <v/>
      </c>
      <c r="I126" s="7">
        <f>IF(G126="","",INDEX(Leads!$AI$3:$AI$1002,MATCH(125,Leads!$BA$3:$BA$1002,0))&amp;"")</f>
        <v/>
      </c>
      <c r="J126" s="61">
        <f>IF(G126="","",INDEX(Leads!$W$3:$W$1002,MATCH(125,Leads!$BA$3:$BA$1002,0)))</f>
        <v/>
      </c>
    </row>
    <row r="127">
      <c r="A127" s="12">
        <f>IF(G127="","",INDEX(Leads!$AC$3:$AC$1002,MATCH(126,Leads!$BA$3:$BA$1002,0)))</f>
        <v/>
      </c>
      <c r="B127" s="12">
        <f>IF(G127="","","depot_paye")</f>
        <v/>
      </c>
      <c r="C127" s="12">
        <f>IF(G127="","",YEAR(J127)&amp;"-"&amp;RIGHT("0"&amp;MONTH(J127),2)&amp;"-"&amp;RIGHT("0"&amp;DAY(J127),2)&amp;" "&amp;RIGHT("0"&amp;HOUR(J127),2)&amp;":"&amp;RIGHT("0"&amp;MINUTE(J127),2)&amp;":"&amp;RIGHT("0"&amp;SECOND(J127),2)&amp;IF(AND(J127&gt;=DATE(YEAR(J127),3,8)+MOD(8-WEEKDAY(DATE(YEAR(J127),3,8)),7)+2/24,J127&lt;DATE(YEAR(J127),11,1)+MOD(8-WEEKDAY(DATE(YEAR(J127),11,1)),7)+2/24),"-04:00","-05:00"))</f>
        <v/>
      </c>
      <c r="D127" s="60">
        <f>IF(G127="","",INDEX(Leads!$V$3:$V$1002,MATCH(126,Leads!$BA$3:$BA$1002,0)))</f>
        <v/>
      </c>
      <c r="E127" s="12">
        <f>IF(G127="","","CAD")</f>
        <v/>
      </c>
      <c r="G127" s="7">
        <f>IFERROR(INDEX(Leads!$A$3:$A$1002,MATCH(126,Leads!$BA$3:$BA$1002,0)),"")</f>
        <v/>
      </c>
      <c r="H127" s="7">
        <f>IF(G127="","",INDEX(Leads!$AQ$3:$AQ$1002,MATCH(126,Leads!$BA$3:$BA$1002,0)))</f>
        <v/>
      </c>
      <c r="I127" s="7">
        <f>IF(G127="","",INDEX(Leads!$AI$3:$AI$1002,MATCH(126,Leads!$BA$3:$BA$1002,0))&amp;"")</f>
        <v/>
      </c>
      <c r="J127" s="61">
        <f>IF(G127="","",INDEX(Leads!$W$3:$W$1002,MATCH(126,Leads!$BA$3:$BA$1002,0)))</f>
        <v/>
      </c>
    </row>
    <row r="128">
      <c r="A128" s="12">
        <f>IF(G128="","",INDEX(Leads!$AC$3:$AC$1002,MATCH(127,Leads!$BA$3:$BA$1002,0)))</f>
        <v/>
      </c>
      <c r="B128" s="12">
        <f>IF(G128="","","depot_paye")</f>
        <v/>
      </c>
      <c r="C128" s="12">
        <f>IF(G128="","",YEAR(J128)&amp;"-"&amp;RIGHT("0"&amp;MONTH(J128),2)&amp;"-"&amp;RIGHT("0"&amp;DAY(J128),2)&amp;" "&amp;RIGHT("0"&amp;HOUR(J128),2)&amp;":"&amp;RIGHT("0"&amp;MINUTE(J128),2)&amp;":"&amp;RIGHT("0"&amp;SECOND(J128),2)&amp;IF(AND(J128&gt;=DATE(YEAR(J128),3,8)+MOD(8-WEEKDAY(DATE(YEAR(J128),3,8)),7)+2/24,J128&lt;DATE(YEAR(J128),11,1)+MOD(8-WEEKDAY(DATE(YEAR(J128),11,1)),7)+2/24),"-04:00","-05:00"))</f>
        <v/>
      </c>
      <c r="D128" s="60">
        <f>IF(G128="","",INDEX(Leads!$V$3:$V$1002,MATCH(127,Leads!$BA$3:$BA$1002,0)))</f>
        <v/>
      </c>
      <c r="E128" s="12">
        <f>IF(G128="","","CAD")</f>
        <v/>
      </c>
      <c r="G128" s="7">
        <f>IFERROR(INDEX(Leads!$A$3:$A$1002,MATCH(127,Leads!$BA$3:$BA$1002,0)),"")</f>
        <v/>
      </c>
      <c r="H128" s="7">
        <f>IF(G128="","",INDEX(Leads!$AQ$3:$AQ$1002,MATCH(127,Leads!$BA$3:$BA$1002,0)))</f>
        <v/>
      </c>
      <c r="I128" s="7">
        <f>IF(G128="","",INDEX(Leads!$AI$3:$AI$1002,MATCH(127,Leads!$BA$3:$BA$1002,0))&amp;"")</f>
        <v/>
      </c>
      <c r="J128" s="61">
        <f>IF(G128="","",INDEX(Leads!$W$3:$W$1002,MATCH(127,Leads!$BA$3:$BA$1002,0)))</f>
        <v/>
      </c>
    </row>
    <row r="129">
      <c r="A129" s="12">
        <f>IF(G129="","",INDEX(Leads!$AC$3:$AC$1002,MATCH(128,Leads!$BA$3:$BA$1002,0)))</f>
        <v/>
      </c>
      <c r="B129" s="12">
        <f>IF(G129="","","depot_paye")</f>
        <v/>
      </c>
      <c r="C129" s="12">
        <f>IF(G129="","",YEAR(J129)&amp;"-"&amp;RIGHT("0"&amp;MONTH(J129),2)&amp;"-"&amp;RIGHT("0"&amp;DAY(J129),2)&amp;" "&amp;RIGHT("0"&amp;HOUR(J129),2)&amp;":"&amp;RIGHT("0"&amp;MINUTE(J129),2)&amp;":"&amp;RIGHT("0"&amp;SECOND(J129),2)&amp;IF(AND(J129&gt;=DATE(YEAR(J129),3,8)+MOD(8-WEEKDAY(DATE(YEAR(J129),3,8)),7)+2/24,J129&lt;DATE(YEAR(J129),11,1)+MOD(8-WEEKDAY(DATE(YEAR(J129),11,1)),7)+2/24),"-04:00","-05:00"))</f>
        <v/>
      </c>
      <c r="D129" s="60">
        <f>IF(G129="","",INDEX(Leads!$V$3:$V$1002,MATCH(128,Leads!$BA$3:$BA$1002,0)))</f>
        <v/>
      </c>
      <c r="E129" s="12">
        <f>IF(G129="","","CAD")</f>
        <v/>
      </c>
      <c r="G129" s="7">
        <f>IFERROR(INDEX(Leads!$A$3:$A$1002,MATCH(128,Leads!$BA$3:$BA$1002,0)),"")</f>
        <v/>
      </c>
      <c r="H129" s="7">
        <f>IF(G129="","",INDEX(Leads!$AQ$3:$AQ$1002,MATCH(128,Leads!$BA$3:$BA$1002,0)))</f>
        <v/>
      </c>
      <c r="I129" s="7">
        <f>IF(G129="","",INDEX(Leads!$AI$3:$AI$1002,MATCH(128,Leads!$BA$3:$BA$1002,0))&amp;"")</f>
        <v/>
      </c>
      <c r="J129" s="61">
        <f>IF(G129="","",INDEX(Leads!$W$3:$W$1002,MATCH(128,Leads!$BA$3:$BA$1002,0)))</f>
        <v/>
      </c>
    </row>
    <row r="130">
      <c r="A130" s="12">
        <f>IF(G130="","",INDEX(Leads!$AC$3:$AC$1002,MATCH(129,Leads!$BA$3:$BA$1002,0)))</f>
        <v/>
      </c>
      <c r="B130" s="12">
        <f>IF(G130="","","depot_paye")</f>
        <v/>
      </c>
      <c r="C130" s="12">
        <f>IF(G130="","",YEAR(J130)&amp;"-"&amp;RIGHT("0"&amp;MONTH(J130),2)&amp;"-"&amp;RIGHT("0"&amp;DAY(J130),2)&amp;" "&amp;RIGHT("0"&amp;HOUR(J130),2)&amp;":"&amp;RIGHT("0"&amp;MINUTE(J130),2)&amp;":"&amp;RIGHT("0"&amp;SECOND(J130),2)&amp;IF(AND(J130&gt;=DATE(YEAR(J130),3,8)+MOD(8-WEEKDAY(DATE(YEAR(J130),3,8)),7)+2/24,J130&lt;DATE(YEAR(J130),11,1)+MOD(8-WEEKDAY(DATE(YEAR(J130),11,1)),7)+2/24),"-04:00","-05:00"))</f>
        <v/>
      </c>
      <c r="D130" s="60">
        <f>IF(G130="","",INDEX(Leads!$V$3:$V$1002,MATCH(129,Leads!$BA$3:$BA$1002,0)))</f>
        <v/>
      </c>
      <c r="E130" s="12">
        <f>IF(G130="","","CAD")</f>
        <v/>
      </c>
      <c r="G130" s="7">
        <f>IFERROR(INDEX(Leads!$A$3:$A$1002,MATCH(129,Leads!$BA$3:$BA$1002,0)),"")</f>
        <v/>
      </c>
      <c r="H130" s="7">
        <f>IF(G130="","",INDEX(Leads!$AQ$3:$AQ$1002,MATCH(129,Leads!$BA$3:$BA$1002,0)))</f>
        <v/>
      </c>
      <c r="I130" s="7">
        <f>IF(G130="","",INDEX(Leads!$AI$3:$AI$1002,MATCH(129,Leads!$BA$3:$BA$1002,0))&amp;"")</f>
        <v/>
      </c>
      <c r="J130" s="61">
        <f>IF(G130="","",INDEX(Leads!$W$3:$W$1002,MATCH(129,Leads!$BA$3:$BA$1002,0)))</f>
        <v/>
      </c>
    </row>
    <row r="131">
      <c r="A131" s="12">
        <f>IF(G131="","",INDEX(Leads!$AC$3:$AC$1002,MATCH(130,Leads!$BA$3:$BA$1002,0)))</f>
        <v/>
      </c>
      <c r="B131" s="12">
        <f>IF(G131="","","depot_paye")</f>
        <v/>
      </c>
      <c r="C131" s="12">
        <f>IF(G131="","",YEAR(J131)&amp;"-"&amp;RIGHT("0"&amp;MONTH(J131),2)&amp;"-"&amp;RIGHT("0"&amp;DAY(J131),2)&amp;" "&amp;RIGHT("0"&amp;HOUR(J131),2)&amp;":"&amp;RIGHT("0"&amp;MINUTE(J131),2)&amp;":"&amp;RIGHT("0"&amp;SECOND(J131),2)&amp;IF(AND(J131&gt;=DATE(YEAR(J131),3,8)+MOD(8-WEEKDAY(DATE(YEAR(J131),3,8)),7)+2/24,J131&lt;DATE(YEAR(J131),11,1)+MOD(8-WEEKDAY(DATE(YEAR(J131),11,1)),7)+2/24),"-04:00","-05:00"))</f>
        <v/>
      </c>
      <c r="D131" s="60">
        <f>IF(G131="","",INDEX(Leads!$V$3:$V$1002,MATCH(130,Leads!$BA$3:$BA$1002,0)))</f>
        <v/>
      </c>
      <c r="E131" s="12">
        <f>IF(G131="","","CAD")</f>
        <v/>
      </c>
      <c r="G131" s="7">
        <f>IFERROR(INDEX(Leads!$A$3:$A$1002,MATCH(130,Leads!$BA$3:$BA$1002,0)),"")</f>
        <v/>
      </c>
      <c r="H131" s="7">
        <f>IF(G131="","",INDEX(Leads!$AQ$3:$AQ$1002,MATCH(130,Leads!$BA$3:$BA$1002,0)))</f>
        <v/>
      </c>
      <c r="I131" s="7">
        <f>IF(G131="","",INDEX(Leads!$AI$3:$AI$1002,MATCH(130,Leads!$BA$3:$BA$1002,0))&amp;"")</f>
        <v/>
      </c>
      <c r="J131" s="61">
        <f>IF(G131="","",INDEX(Leads!$W$3:$W$1002,MATCH(130,Leads!$BA$3:$BA$1002,0)))</f>
        <v/>
      </c>
    </row>
    <row r="132">
      <c r="A132" s="12">
        <f>IF(G132="","",INDEX(Leads!$AC$3:$AC$1002,MATCH(131,Leads!$BA$3:$BA$1002,0)))</f>
        <v/>
      </c>
      <c r="B132" s="12">
        <f>IF(G132="","","depot_paye")</f>
        <v/>
      </c>
      <c r="C132" s="12">
        <f>IF(G132="","",YEAR(J132)&amp;"-"&amp;RIGHT("0"&amp;MONTH(J132),2)&amp;"-"&amp;RIGHT("0"&amp;DAY(J132),2)&amp;" "&amp;RIGHT("0"&amp;HOUR(J132),2)&amp;":"&amp;RIGHT("0"&amp;MINUTE(J132),2)&amp;":"&amp;RIGHT("0"&amp;SECOND(J132),2)&amp;IF(AND(J132&gt;=DATE(YEAR(J132),3,8)+MOD(8-WEEKDAY(DATE(YEAR(J132),3,8)),7)+2/24,J132&lt;DATE(YEAR(J132),11,1)+MOD(8-WEEKDAY(DATE(YEAR(J132),11,1)),7)+2/24),"-04:00","-05:00"))</f>
        <v/>
      </c>
      <c r="D132" s="60">
        <f>IF(G132="","",INDEX(Leads!$V$3:$V$1002,MATCH(131,Leads!$BA$3:$BA$1002,0)))</f>
        <v/>
      </c>
      <c r="E132" s="12">
        <f>IF(G132="","","CAD")</f>
        <v/>
      </c>
      <c r="G132" s="7">
        <f>IFERROR(INDEX(Leads!$A$3:$A$1002,MATCH(131,Leads!$BA$3:$BA$1002,0)),"")</f>
        <v/>
      </c>
      <c r="H132" s="7">
        <f>IF(G132="","",INDEX(Leads!$AQ$3:$AQ$1002,MATCH(131,Leads!$BA$3:$BA$1002,0)))</f>
        <v/>
      </c>
      <c r="I132" s="7">
        <f>IF(G132="","",INDEX(Leads!$AI$3:$AI$1002,MATCH(131,Leads!$BA$3:$BA$1002,0))&amp;"")</f>
        <v/>
      </c>
      <c r="J132" s="61">
        <f>IF(G132="","",INDEX(Leads!$W$3:$W$1002,MATCH(131,Leads!$BA$3:$BA$1002,0)))</f>
        <v/>
      </c>
    </row>
    <row r="133">
      <c r="A133" s="12">
        <f>IF(G133="","",INDEX(Leads!$AC$3:$AC$1002,MATCH(132,Leads!$BA$3:$BA$1002,0)))</f>
        <v/>
      </c>
      <c r="B133" s="12">
        <f>IF(G133="","","depot_paye")</f>
        <v/>
      </c>
      <c r="C133" s="12">
        <f>IF(G133="","",YEAR(J133)&amp;"-"&amp;RIGHT("0"&amp;MONTH(J133),2)&amp;"-"&amp;RIGHT("0"&amp;DAY(J133),2)&amp;" "&amp;RIGHT("0"&amp;HOUR(J133),2)&amp;":"&amp;RIGHT("0"&amp;MINUTE(J133),2)&amp;":"&amp;RIGHT("0"&amp;SECOND(J133),2)&amp;IF(AND(J133&gt;=DATE(YEAR(J133),3,8)+MOD(8-WEEKDAY(DATE(YEAR(J133),3,8)),7)+2/24,J133&lt;DATE(YEAR(J133),11,1)+MOD(8-WEEKDAY(DATE(YEAR(J133),11,1)),7)+2/24),"-04:00","-05:00"))</f>
        <v/>
      </c>
      <c r="D133" s="60">
        <f>IF(G133="","",INDEX(Leads!$V$3:$V$1002,MATCH(132,Leads!$BA$3:$BA$1002,0)))</f>
        <v/>
      </c>
      <c r="E133" s="12">
        <f>IF(G133="","","CAD")</f>
        <v/>
      </c>
      <c r="G133" s="7">
        <f>IFERROR(INDEX(Leads!$A$3:$A$1002,MATCH(132,Leads!$BA$3:$BA$1002,0)),"")</f>
        <v/>
      </c>
      <c r="H133" s="7">
        <f>IF(G133="","",INDEX(Leads!$AQ$3:$AQ$1002,MATCH(132,Leads!$BA$3:$BA$1002,0)))</f>
        <v/>
      </c>
      <c r="I133" s="7">
        <f>IF(G133="","",INDEX(Leads!$AI$3:$AI$1002,MATCH(132,Leads!$BA$3:$BA$1002,0))&amp;"")</f>
        <v/>
      </c>
      <c r="J133" s="61">
        <f>IF(G133="","",INDEX(Leads!$W$3:$W$1002,MATCH(132,Leads!$BA$3:$BA$1002,0)))</f>
        <v/>
      </c>
    </row>
    <row r="134">
      <c r="A134" s="12">
        <f>IF(G134="","",INDEX(Leads!$AC$3:$AC$1002,MATCH(133,Leads!$BA$3:$BA$1002,0)))</f>
        <v/>
      </c>
      <c r="B134" s="12">
        <f>IF(G134="","","depot_paye")</f>
        <v/>
      </c>
      <c r="C134" s="12">
        <f>IF(G134="","",YEAR(J134)&amp;"-"&amp;RIGHT("0"&amp;MONTH(J134),2)&amp;"-"&amp;RIGHT("0"&amp;DAY(J134),2)&amp;" "&amp;RIGHT("0"&amp;HOUR(J134),2)&amp;":"&amp;RIGHT("0"&amp;MINUTE(J134),2)&amp;":"&amp;RIGHT("0"&amp;SECOND(J134),2)&amp;IF(AND(J134&gt;=DATE(YEAR(J134),3,8)+MOD(8-WEEKDAY(DATE(YEAR(J134),3,8)),7)+2/24,J134&lt;DATE(YEAR(J134),11,1)+MOD(8-WEEKDAY(DATE(YEAR(J134),11,1)),7)+2/24),"-04:00","-05:00"))</f>
        <v/>
      </c>
      <c r="D134" s="60">
        <f>IF(G134="","",INDEX(Leads!$V$3:$V$1002,MATCH(133,Leads!$BA$3:$BA$1002,0)))</f>
        <v/>
      </c>
      <c r="E134" s="12">
        <f>IF(G134="","","CAD")</f>
        <v/>
      </c>
      <c r="G134" s="7">
        <f>IFERROR(INDEX(Leads!$A$3:$A$1002,MATCH(133,Leads!$BA$3:$BA$1002,0)),"")</f>
        <v/>
      </c>
      <c r="H134" s="7">
        <f>IF(G134="","",INDEX(Leads!$AQ$3:$AQ$1002,MATCH(133,Leads!$BA$3:$BA$1002,0)))</f>
        <v/>
      </c>
      <c r="I134" s="7">
        <f>IF(G134="","",INDEX(Leads!$AI$3:$AI$1002,MATCH(133,Leads!$BA$3:$BA$1002,0))&amp;"")</f>
        <v/>
      </c>
      <c r="J134" s="61">
        <f>IF(G134="","",INDEX(Leads!$W$3:$W$1002,MATCH(133,Leads!$BA$3:$BA$1002,0)))</f>
        <v/>
      </c>
    </row>
    <row r="135">
      <c r="A135" s="12">
        <f>IF(G135="","",INDEX(Leads!$AC$3:$AC$1002,MATCH(134,Leads!$BA$3:$BA$1002,0)))</f>
        <v/>
      </c>
      <c r="B135" s="12">
        <f>IF(G135="","","depot_paye")</f>
        <v/>
      </c>
      <c r="C135" s="12">
        <f>IF(G135="","",YEAR(J135)&amp;"-"&amp;RIGHT("0"&amp;MONTH(J135),2)&amp;"-"&amp;RIGHT("0"&amp;DAY(J135),2)&amp;" "&amp;RIGHT("0"&amp;HOUR(J135),2)&amp;":"&amp;RIGHT("0"&amp;MINUTE(J135),2)&amp;":"&amp;RIGHT("0"&amp;SECOND(J135),2)&amp;IF(AND(J135&gt;=DATE(YEAR(J135),3,8)+MOD(8-WEEKDAY(DATE(YEAR(J135),3,8)),7)+2/24,J135&lt;DATE(YEAR(J135),11,1)+MOD(8-WEEKDAY(DATE(YEAR(J135),11,1)),7)+2/24),"-04:00","-05:00"))</f>
        <v/>
      </c>
      <c r="D135" s="60">
        <f>IF(G135="","",INDEX(Leads!$V$3:$V$1002,MATCH(134,Leads!$BA$3:$BA$1002,0)))</f>
        <v/>
      </c>
      <c r="E135" s="12">
        <f>IF(G135="","","CAD")</f>
        <v/>
      </c>
      <c r="G135" s="7">
        <f>IFERROR(INDEX(Leads!$A$3:$A$1002,MATCH(134,Leads!$BA$3:$BA$1002,0)),"")</f>
        <v/>
      </c>
      <c r="H135" s="7">
        <f>IF(G135="","",INDEX(Leads!$AQ$3:$AQ$1002,MATCH(134,Leads!$BA$3:$BA$1002,0)))</f>
        <v/>
      </c>
      <c r="I135" s="7">
        <f>IF(G135="","",INDEX(Leads!$AI$3:$AI$1002,MATCH(134,Leads!$BA$3:$BA$1002,0))&amp;"")</f>
        <v/>
      </c>
      <c r="J135" s="61">
        <f>IF(G135="","",INDEX(Leads!$W$3:$W$1002,MATCH(134,Leads!$BA$3:$BA$1002,0)))</f>
        <v/>
      </c>
    </row>
    <row r="136">
      <c r="A136" s="12">
        <f>IF(G136="","",INDEX(Leads!$AC$3:$AC$1002,MATCH(135,Leads!$BA$3:$BA$1002,0)))</f>
        <v/>
      </c>
      <c r="B136" s="12">
        <f>IF(G136="","","depot_paye")</f>
        <v/>
      </c>
      <c r="C136" s="12">
        <f>IF(G136="","",YEAR(J136)&amp;"-"&amp;RIGHT("0"&amp;MONTH(J136),2)&amp;"-"&amp;RIGHT("0"&amp;DAY(J136),2)&amp;" "&amp;RIGHT("0"&amp;HOUR(J136),2)&amp;":"&amp;RIGHT("0"&amp;MINUTE(J136),2)&amp;":"&amp;RIGHT("0"&amp;SECOND(J136),2)&amp;IF(AND(J136&gt;=DATE(YEAR(J136),3,8)+MOD(8-WEEKDAY(DATE(YEAR(J136),3,8)),7)+2/24,J136&lt;DATE(YEAR(J136),11,1)+MOD(8-WEEKDAY(DATE(YEAR(J136),11,1)),7)+2/24),"-04:00","-05:00"))</f>
        <v/>
      </c>
      <c r="D136" s="60">
        <f>IF(G136="","",INDEX(Leads!$V$3:$V$1002,MATCH(135,Leads!$BA$3:$BA$1002,0)))</f>
        <v/>
      </c>
      <c r="E136" s="12">
        <f>IF(G136="","","CAD")</f>
        <v/>
      </c>
      <c r="G136" s="7">
        <f>IFERROR(INDEX(Leads!$A$3:$A$1002,MATCH(135,Leads!$BA$3:$BA$1002,0)),"")</f>
        <v/>
      </c>
      <c r="H136" s="7">
        <f>IF(G136="","",INDEX(Leads!$AQ$3:$AQ$1002,MATCH(135,Leads!$BA$3:$BA$1002,0)))</f>
        <v/>
      </c>
      <c r="I136" s="7">
        <f>IF(G136="","",INDEX(Leads!$AI$3:$AI$1002,MATCH(135,Leads!$BA$3:$BA$1002,0))&amp;"")</f>
        <v/>
      </c>
      <c r="J136" s="61">
        <f>IF(G136="","",INDEX(Leads!$W$3:$W$1002,MATCH(135,Leads!$BA$3:$BA$1002,0)))</f>
        <v/>
      </c>
    </row>
    <row r="137">
      <c r="A137" s="12">
        <f>IF(G137="","",INDEX(Leads!$AC$3:$AC$1002,MATCH(136,Leads!$BA$3:$BA$1002,0)))</f>
        <v/>
      </c>
      <c r="B137" s="12">
        <f>IF(G137="","","depot_paye")</f>
        <v/>
      </c>
      <c r="C137" s="12">
        <f>IF(G137="","",YEAR(J137)&amp;"-"&amp;RIGHT("0"&amp;MONTH(J137),2)&amp;"-"&amp;RIGHT("0"&amp;DAY(J137),2)&amp;" "&amp;RIGHT("0"&amp;HOUR(J137),2)&amp;":"&amp;RIGHT("0"&amp;MINUTE(J137),2)&amp;":"&amp;RIGHT("0"&amp;SECOND(J137),2)&amp;IF(AND(J137&gt;=DATE(YEAR(J137),3,8)+MOD(8-WEEKDAY(DATE(YEAR(J137),3,8)),7)+2/24,J137&lt;DATE(YEAR(J137),11,1)+MOD(8-WEEKDAY(DATE(YEAR(J137),11,1)),7)+2/24),"-04:00","-05:00"))</f>
        <v/>
      </c>
      <c r="D137" s="60">
        <f>IF(G137="","",INDEX(Leads!$V$3:$V$1002,MATCH(136,Leads!$BA$3:$BA$1002,0)))</f>
        <v/>
      </c>
      <c r="E137" s="12">
        <f>IF(G137="","","CAD")</f>
        <v/>
      </c>
      <c r="G137" s="7">
        <f>IFERROR(INDEX(Leads!$A$3:$A$1002,MATCH(136,Leads!$BA$3:$BA$1002,0)),"")</f>
        <v/>
      </c>
      <c r="H137" s="7">
        <f>IF(G137="","",INDEX(Leads!$AQ$3:$AQ$1002,MATCH(136,Leads!$BA$3:$BA$1002,0)))</f>
        <v/>
      </c>
      <c r="I137" s="7">
        <f>IF(G137="","",INDEX(Leads!$AI$3:$AI$1002,MATCH(136,Leads!$BA$3:$BA$1002,0))&amp;"")</f>
        <v/>
      </c>
      <c r="J137" s="61">
        <f>IF(G137="","",INDEX(Leads!$W$3:$W$1002,MATCH(136,Leads!$BA$3:$BA$1002,0)))</f>
        <v/>
      </c>
    </row>
    <row r="138">
      <c r="A138" s="12">
        <f>IF(G138="","",INDEX(Leads!$AC$3:$AC$1002,MATCH(137,Leads!$BA$3:$BA$1002,0)))</f>
        <v/>
      </c>
      <c r="B138" s="12">
        <f>IF(G138="","","depot_paye")</f>
        <v/>
      </c>
      <c r="C138" s="12">
        <f>IF(G138="","",YEAR(J138)&amp;"-"&amp;RIGHT("0"&amp;MONTH(J138),2)&amp;"-"&amp;RIGHT("0"&amp;DAY(J138),2)&amp;" "&amp;RIGHT("0"&amp;HOUR(J138),2)&amp;":"&amp;RIGHT("0"&amp;MINUTE(J138),2)&amp;":"&amp;RIGHT("0"&amp;SECOND(J138),2)&amp;IF(AND(J138&gt;=DATE(YEAR(J138),3,8)+MOD(8-WEEKDAY(DATE(YEAR(J138),3,8)),7)+2/24,J138&lt;DATE(YEAR(J138),11,1)+MOD(8-WEEKDAY(DATE(YEAR(J138),11,1)),7)+2/24),"-04:00","-05:00"))</f>
        <v/>
      </c>
      <c r="D138" s="60">
        <f>IF(G138="","",INDEX(Leads!$V$3:$V$1002,MATCH(137,Leads!$BA$3:$BA$1002,0)))</f>
        <v/>
      </c>
      <c r="E138" s="12">
        <f>IF(G138="","","CAD")</f>
        <v/>
      </c>
      <c r="G138" s="7">
        <f>IFERROR(INDEX(Leads!$A$3:$A$1002,MATCH(137,Leads!$BA$3:$BA$1002,0)),"")</f>
        <v/>
      </c>
      <c r="H138" s="7">
        <f>IF(G138="","",INDEX(Leads!$AQ$3:$AQ$1002,MATCH(137,Leads!$BA$3:$BA$1002,0)))</f>
        <v/>
      </c>
      <c r="I138" s="7">
        <f>IF(G138="","",INDEX(Leads!$AI$3:$AI$1002,MATCH(137,Leads!$BA$3:$BA$1002,0))&amp;"")</f>
        <v/>
      </c>
      <c r="J138" s="61">
        <f>IF(G138="","",INDEX(Leads!$W$3:$W$1002,MATCH(137,Leads!$BA$3:$BA$1002,0)))</f>
        <v/>
      </c>
    </row>
    <row r="139">
      <c r="A139" s="12">
        <f>IF(G139="","",INDEX(Leads!$AC$3:$AC$1002,MATCH(138,Leads!$BA$3:$BA$1002,0)))</f>
        <v/>
      </c>
      <c r="B139" s="12">
        <f>IF(G139="","","depot_paye")</f>
        <v/>
      </c>
      <c r="C139" s="12">
        <f>IF(G139="","",YEAR(J139)&amp;"-"&amp;RIGHT("0"&amp;MONTH(J139),2)&amp;"-"&amp;RIGHT("0"&amp;DAY(J139),2)&amp;" "&amp;RIGHT("0"&amp;HOUR(J139),2)&amp;":"&amp;RIGHT("0"&amp;MINUTE(J139),2)&amp;":"&amp;RIGHT("0"&amp;SECOND(J139),2)&amp;IF(AND(J139&gt;=DATE(YEAR(J139),3,8)+MOD(8-WEEKDAY(DATE(YEAR(J139),3,8)),7)+2/24,J139&lt;DATE(YEAR(J139),11,1)+MOD(8-WEEKDAY(DATE(YEAR(J139),11,1)),7)+2/24),"-04:00","-05:00"))</f>
        <v/>
      </c>
      <c r="D139" s="60">
        <f>IF(G139="","",INDEX(Leads!$V$3:$V$1002,MATCH(138,Leads!$BA$3:$BA$1002,0)))</f>
        <v/>
      </c>
      <c r="E139" s="12">
        <f>IF(G139="","","CAD")</f>
        <v/>
      </c>
      <c r="G139" s="7">
        <f>IFERROR(INDEX(Leads!$A$3:$A$1002,MATCH(138,Leads!$BA$3:$BA$1002,0)),"")</f>
        <v/>
      </c>
      <c r="H139" s="7">
        <f>IF(G139="","",INDEX(Leads!$AQ$3:$AQ$1002,MATCH(138,Leads!$BA$3:$BA$1002,0)))</f>
        <v/>
      </c>
      <c r="I139" s="7">
        <f>IF(G139="","",INDEX(Leads!$AI$3:$AI$1002,MATCH(138,Leads!$BA$3:$BA$1002,0))&amp;"")</f>
        <v/>
      </c>
      <c r="J139" s="61">
        <f>IF(G139="","",INDEX(Leads!$W$3:$W$1002,MATCH(138,Leads!$BA$3:$BA$1002,0)))</f>
        <v/>
      </c>
    </row>
    <row r="140">
      <c r="A140" s="12">
        <f>IF(G140="","",INDEX(Leads!$AC$3:$AC$1002,MATCH(139,Leads!$BA$3:$BA$1002,0)))</f>
        <v/>
      </c>
      <c r="B140" s="12">
        <f>IF(G140="","","depot_paye")</f>
        <v/>
      </c>
      <c r="C140" s="12">
        <f>IF(G140="","",YEAR(J140)&amp;"-"&amp;RIGHT("0"&amp;MONTH(J140),2)&amp;"-"&amp;RIGHT("0"&amp;DAY(J140),2)&amp;" "&amp;RIGHT("0"&amp;HOUR(J140),2)&amp;":"&amp;RIGHT("0"&amp;MINUTE(J140),2)&amp;":"&amp;RIGHT("0"&amp;SECOND(J140),2)&amp;IF(AND(J140&gt;=DATE(YEAR(J140),3,8)+MOD(8-WEEKDAY(DATE(YEAR(J140),3,8)),7)+2/24,J140&lt;DATE(YEAR(J140),11,1)+MOD(8-WEEKDAY(DATE(YEAR(J140),11,1)),7)+2/24),"-04:00","-05:00"))</f>
        <v/>
      </c>
      <c r="D140" s="60">
        <f>IF(G140="","",INDEX(Leads!$V$3:$V$1002,MATCH(139,Leads!$BA$3:$BA$1002,0)))</f>
        <v/>
      </c>
      <c r="E140" s="12">
        <f>IF(G140="","","CAD")</f>
        <v/>
      </c>
      <c r="G140" s="7">
        <f>IFERROR(INDEX(Leads!$A$3:$A$1002,MATCH(139,Leads!$BA$3:$BA$1002,0)),"")</f>
        <v/>
      </c>
      <c r="H140" s="7">
        <f>IF(G140="","",INDEX(Leads!$AQ$3:$AQ$1002,MATCH(139,Leads!$BA$3:$BA$1002,0)))</f>
        <v/>
      </c>
      <c r="I140" s="7">
        <f>IF(G140="","",INDEX(Leads!$AI$3:$AI$1002,MATCH(139,Leads!$BA$3:$BA$1002,0))&amp;"")</f>
        <v/>
      </c>
      <c r="J140" s="61">
        <f>IF(G140="","",INDEX(Leads!$W$3:$W$1002,MATCH(139,Leads!$BA$3:$BA$1002,0)))</f>
        <v/>
      </c>
    </row>
    <row r="141">
      <c r="A141" s="12">
        <f>IF(G141="","",INDEX(Leads!$AC$3:$AC$1002,MATCH(140,Leads!$BA$3:$BA$1002,0)))</f>
        <v/>
      </c>
      <c r="B141" s="12">
        <f>IF(G141="","","depot_paye")</f>
        <v/>
      </c>
      <c r="C141" s="12">
        <f>IF(G141="","",YEAR(J141)&amp;"-"&amp;RIGHT("0"&amp;MONTH(J141),2)&amp;"-"&amp;RIGHT("0"&amp;DAY(J141),2)&amp;" "&amp;RIGHT("0"&amp;HOUR(J141),2)&amp;":"&amp;RIGHT("0"&amp;MINUTE(J141),2)&amp;":"&amp;RIGHT("0"&amp;SECOND(J141),2)&amp;IF(AND(J141&gt;=DATE(YEAR(J141),3,8)+MOD(8-WEEKDAY(DATE(YEAR(J141),3,8)),7)+2/24,J141&lt;DATE(YEAR(J141),11,1)+MOD(8-WEEKDAY(DATE(YEAR(J141),11,1)),7)+2/24),"-04:00","-05:00"))</f>
        <v/>
      </c>
      <c r="D141" s="60">
        <f>IF(G141="","",INDEX(Leads!$V$3:$V$1002,MATCH(140,Leads!$BA$3:$BA$1002,0)))</f>
        <v/>
      </c>
      <c r="E141" s="12">
        <f>IF(G141="","","CAD")</f>
        <v/>
      </c>
      <c r="G141" s="7">
        <f>IFERROR(INDEX(Leads!$A$3:$A$1002,MATCH(140,Leads!$BA$3:$BA$1002,0)),"")</f>
        <v/>
      </c>
      <c r="H141" s="7">
        <f>IF(G141="","",INDEX(Leads!$AQ$3:$AQ$1002,MATCH(140,Leads!$BA$3:$BA$1002,0)))</f>
        <v/>
      </c>
      <c r="I141" s="7">
        <f>IF(G141="","",INDEX(Leads!$AI$3:$AI$1002,MATCH(140,Leads!$BA$3:$BA$1002,0))&amp;"")</f>
        <v/>
      </c>
      <c r="J141" s="61">
        <f>IF(G141="","",INDEX(Leads!$W$3:$W$1002,MATCH(140,Leads!$BA$3:$BA$1002,0)))</f>
        <v/>
      </c>
    </row>
    <row r="142">
      <c r="A142" s="12">
        <f>IF(G142="","",INDEX(Leads!$AC$3:$AC$1002,MATCH(141,Leads!$BA$3:$BA$1002,0)))</f>
        <v/>
      </c>
      <c r="B142" s="12">
        <f>IF(G142="","","depot_paye")</f>
        <v/>
      </c>
      <c r="C142" s="12">
        <f>IF(G142="","",YEAR(J142)&amp;"-"&amp;RIGHT("0"&amp;MONTH(J142),2)&amp;"-"&amp;RIGHT("0"&amp;DAY(J142),2)&amp;" "&amp;RIGHT("0"&amp;HOUR(J142),2)&amp;":"&amp;RIGHT("0"&amp;MINUTE(J142),2)&amp;":"&amp;RIGHT("0"&amp;SECOND(J142),2)&amp;IF(AND(J142&gt;=DATE(YEAR(J142),3,8)+MOD(8-WEEKDAY(DATE(YEAR(J142),3,8)),7)+2/24,J142&lt;DATE(YEAR(J142),11,1)+MOD(8-WEEKDAY(DATE(YEAR(J142),11,1)),7)+2/24),"-04:00","-05:00"))</f>
        <v/>
      </c>
      <c r="D142" s="60">
        <f>IF(G142="","",INDEX(Leads!$V$3:$V$1002,MATCH(141,Leads!$BA$3:$BA$1002,0)))</f>
        <v/>
      </c>
      <c r="E142" s="12">
        <f>IF(G142="","","CAD")</f>
        <v/>
      </c>
      <c r="G142" s="7">
        <f>IFERROR(INDEX(Leads!$A$3:$A$1002,MATCH(141,Leads!$BA$3:$BA$1002,0)),"")</f>
        <v/>
      </c>
      <c r="H142" s="7">
        <f>IF(G142="","",INDEX(Leads!$AQ$3:$AQ$1002,MATCH(141,Leads!$BA$3:$BA$1002,0)))</f>
        <v/>
      </c>
      <c r="I142" s="7">
        <f>IF(G142="","",INDEX(Leads!$AI$3:$AI$1002,MATCH(141,Leads!$BA$3:$BA$1002,0))&amp;"")</f>
        <v/>
      </c>
      <c r="J142" s="61">
        <f>IF(G142="","",INDEX(Leads!$W$3:$W$1002,MATCH(141,Leads!$BA$3:$BA$1002,0)))</f>
        <v/>
      </c>
    </row>
    <row r="143">
      <c r="A143" s="12">
        <f>IF(G143="","",INDEX(Leads!$AC$3:$AC$1002,MATCH(142,Leads!$BA$3:$BA$1002,0)))</f>
        <v/>
      </c>
      <c r="B143" s="12">
        <f>IF(G143="","","depot_paye")</f>
        <v/>
      </c>
      <c r="C143" s="12">
        <f>IF(G143="","",YEAR(J143)&amp;"-"&amp;RIGHT("0"&amp;MONTH(J143),2)&amp;"-"&amp;RIGHT("0"&amp;DAY(J143),2)&amp;" "&amp;RIGHT("0"&amp;HOUR(J143),2)&amp;":"&amp;RIGHT("0"&amp;MINUTE(J143),2)&amp;":"&amp;RIGHT("0"&amp;SECOND(J143),2)&amp;IF(AND(J143&gt;=DATE(YEAR(J143),3,8)+MOD(8-WEEKDAY(DATE(YEAR(J143),3,8)),7)+2/24,J143&lt;DATE(YEAR(J143),11,1)+MOD(8-WEEKDAY(DATE(YEAR(J143),11,1)),7)+2/24),"-04:00","-05:00"))</f>
        <v/>
      </c>
      <c r="D143" s="60">
        <f>IF(G143="","",INDEX(Leads!$V$3:$V$1002,MATCH(142,Leads!$BA$3:$BA$1002,0)))</f>
        <v/>
      </c>
      <c r="E143" s="12">
        <f>IF(G143="","","CAD")</f>
        <v/>
      </c>
      <c r="G143" s="7">
        <f>IFERROR(INDEX(Leads!$A$3:$A$1002,MATCH(142,Leads!$BA$3:$BA$1002,0)),"")</f>
        <v/>
      </c>
      <c r="H143" s="7">
        <f>IF(G143="","",INDEX(Leads!$AQ$3:$AQ$1002,MATCH(142,Leads!$BA$3:$BA$1002,0)))</f>
        <v/>
      </c>
      <c r="I143" s="7">
        <f>IF(G143="","",INDEX(Leads!$AI$3:$AI$1002,MATCH(142,Leads!$BA$3:$BA$1002,0))&amp;"")</f>
        <v/>
      </c>
      <c r="J143" s="61">
        <f>IF(G143="","",INDEX(Leads!$W$3:$W$1002,MATCH(142,Leads!$BA$3:$BA$1002,0)))</f>
        <v/>
      </c>
    </row>
    <row r="144">
      <c r="A144" s="12">
        <f>IF(G144="","",INDEX(Leads!$AC$3:$AC$1002,MATCH(143,Leads!$BA$3:$BA$1002,0)))</f>
        <v/>
      </c>
      <c r="B144" s="12">
        <f>IF(G144="","","depot_paye")</f>
        <v/>
      </c>
      <c r="C144" s="12">
        <f>IF(G144="","",YEAR(J144)&amp;"-"&amp;RIGHT("0"&amp;MONTH(J144),2)&amp;"-"&amp;RIGHT("0"&amp;DAY(J144),2)&amp;" "&amp;RIGHT("0"&amp;HOUR(J144),2)&amp;":"&amp;RIGHT("0"&amp;MINUTE(J144),2)&amp;":"&amp;RIGHT("0"&amp;SECOND(J144),2)&amp;IF(AND(J144&gt;=DATE(YEAR(J144),3,8)+MOD(8-WEEKDAY(DATE(YEAR(J144),3,8)),7)+2/24,J144&lt;DATE(YEAR(J144),11,1)+MOD(8-WEEKDAY(DATE(YEAR(J144),11,1)),7)+2/24),"-04:00","-05:00"))</f>
        <v/>
      </c>
      <c r="D144" s="60">
        <f>IF(G144="","",INDEX(Leads!$V$3:$V$1002,MATCH(143,Leads!$BA$3:$BA$1002,0)))</f>
        <v/>
      </c>
      <c r="E144" s="12">
        <f>IF(G144="","","CAD")</f>
        <v/>
      </c>
      <c r="G144" s="7">
        <f>IFERROR(INDEX(Leads!$A$3:$A$1002,MATCH(143,Leads!$BA$3:$BA$1002,0)),"")</f>
        <v/>
      </c>
      <c r="H144" s="7">
        <f>IF(G144="","",INDEX(Leads!$AQ$3:$AQ$1002,MATCH(143,Leads!$BA$3:$BA$1002,0)))</f>
        <v/>
      </c>
      <c r="I144" s="7">
        <f>IF(G144="","",INDEX(Leads!$AI$3:$AI$1002,MATCH(143,Leads!$BA$3:$BA$1002,0))&amp;"")</f>
        <v/>
      </c>
      <c r="J144" s="61">
        <f>IF(G144="","",INDEX(Leads!$W$3:$W$1002,MATCH(143,Leads!$BA$3:$BA$1002,0)))</f>
        <v/>
      </c>
    </row>
    <row r="145">
      <c r="A145" s="12">
        <f>IF(G145="","",INDEX(Leads!$AC$3:$AC$1002,MATCH(144,Leads!$BA$3:$BA$1002,0)))</f>
        <v/>
      </c>
      <c r="B145" s="12">
        <f>IF(G145="","","depot_paye")</f>
        <v/>
      </c>
      <c r="C145" s="12">
        <f>IF(G145="","",YEAR(J145)&amp;"-"&amp;RIGHT("0"&amp;MONTH(J145),2)&amp;"-"&amp;RIGHT("0"&amp;DAY(J145),2)&amp;" "&amp;RIGHT("0"&amp;HOUR(J145),2)&amp;":"&amp;RIGHT("0"&amp;MINUTE(J145),2)&amp;":"&amp;RIGHT("0"&amp;SECOND(J145),2)&amp;IF(AND(J145&gt;=DATE(YEAR(J145),3,8)+MOD(8-WEEKDAY(DATE(YEAR(J145),3,8)),7)+2/24,J145&lt;DATE(YEAR(J145),11,1)+MOD(8-WEEKDAY(DATE(YEAR(J145),11,1)),7)+2/24),"-04:00","-05:00"))</f>
        <v/>
      </c>
      <c r="D145" s="60">
        <f>IF(G145="","",INDEX(Leads!$V$3:$V$1002,MATCH(144,Leads!$BA$3:$BA$1002,0)))</f>
        <v/>
      </c>
      <c r="E145" s="12">
        <f>IF(G145="","","CAD")</f>
        <v/>
      </c>
      <c r="G145" s="7">
        <f>IFERROR(INDEX(Leads!$A$3:$A$1002,MATCH(144,Leads!$BA$3:$BA$1002,0)),"")</f>
        <v/>
      </c>
      <c r="H145" s="7">
        <f>IF(G145="","",INDEX(Leads!$AQ$3:$AQ$1002,MATCH(144,Leads!$BA$3:$BA$1002,0)))</f>
        <v/>
      </c>
      <c r="I145" s="7">
        <f>IF(G145="","",INDEX(Leads!$AI$3:$AI$1002,MATCH(144,Leads!$BA$3:$BA$1002,0))&amp;"")</f>
        <v/>
      </c>
      <c r="J145" s="61">
        <f>IF(G145="","",INDEX(Leads!$W$3:$W$1002,MATCH(144,Leads!$BA$3:$BA$1002,0)))</f>
        <v/>
      </c>
    </row>
    <row r="146">
      <c r="A146" s="12">
        <f>IF(G146="","",INDEX(Leads!$AC$3:$AC$1002,MATCH(145,Leads!$BA$3:$BA$1002,0)))</f>
        <v/>
      </c>
      <c r="B146" s="12">
        <f>IF(G146="","","depot_paye")</f>
        <v/>
      </c>
      <c r="C146" s="12">
        <f>IF(G146="","",YEAR(J146)&amp;"-"&amp;RIGHT("0"&amp;MONTH(J146),2)&amp;"-"&amp;RIGHT("0"&amp;DAY(J146),2)&amp;" "&amp;RIGHT("0"&amp;HOUR(J146),2)&amp;":"&amp;RIGHT("0"&amp;MINUTE(J146),2)&amp;":"&amp;RIGHT("0"&amp;SECOND(J146),2)&amp;IF(AND(J146&gt;=DATE(YEAR(J146),3,8)+MOD(8-WEEKDAY(DATE(YEAR(J146),3,8)),7)+2/24,J146&lt;DATE(YEAR(J146),11,1)+MOD(8-WEEKDAY(DATE(YEAR(J146),11,1)),7)+2/24),"-04:00","-05:00"))</f>
        <v/>
      </c>
      <c r="D146" s="60">
        <f>IF(G146="","",INDEX(Leads!$V$3:$V$1002,MATCH(145,Leads!$BA$3:$BA$1002,0)))</f>
        <v/>
      </c>
      <c r="E146" s="12">
        <f>IF(G146="","","CAD")</f>
        <v/>
      </c>
      <c r="G146" s="7">
        <f>IFERROR(INDEX(Leads!$A$3:$A$1002,MATCH(145,Leads!$BA$3:$BA$1002,0)),"")</f>
        <v/>
      </c>
      <c r="H146" s="7">
        <f>IF(G146="","",INDEX(Leads!$AQ$3:$AQ$1002,MATCH(145,Leads!$BA$3:$BA$1002,0)))</f>
        <v/>
      </c>
      <c r="I146" s="7">
        <f>IF(G146="","",INDEX(Leads!$AI$3:$AI$1002,MATCH(145,Leads!$BA$3:$BA$1002,0))&amp;"")</f>
        <v/>
      </c>
      <c r="J146" s="61">
        <f>IF(G146="","",INDEX(Leads!$W$3:$W$1002,MATCH(145,Leads!$BA$3:$BA$1002,0)))</f>
        <v/>
      </c>
    </row>
    <row r="147">
      <c r="A147" s="12">
        <f>IF(G147="","",INDEX(Leads!$AC$3:$AC$1002,MATCH(146,Leads!$BA$3:$BA$1002,0)))</f>
        <v/>
      </c>
      <c r="B147" s="12">
        <f>IF(G147="","","depot_paye")</f>
        <v/>
      </c>
      <c r="C147" s="12">
        <f>IF(G147="","",YEAR(J147)&amp;"-"&amp;RIGHT("0"&amp;MONTH(J147),2)&amp;"-"&amp;RIGHT("0"&amp;DAY(J147),2)&amp;" "&amp;RIGHT("0"&amp;HOUR(J147),2)&amp;":"&amp;RIGHT("0"&amp;MINUTE(J147),2)&amp;":"&amp;RIGHT("0"&amp;SECOND(J147),2)&amp;IF(AND(J147&gt;=DATE(YEAR(J147),3,8)+MOD(8-WEEKDAY(DATE(YEAR(J147),3,8)),7)+2/24,J147&lt;DATE(YEAR(J147),11,1)+MOD(8-WEEKDAY(DATE(YEAR(J147),11,1)),7)+2/24),"-04:00","-05:00"))</f>
        <v/>
      </c>
      <c r="D147" s="60">
        <f>IF(G147="","",INDEX(Leads!$V$3:$V$1002,MATCH(146,Leads!$BA$3:$BA$1002,0)))</f>
        <v/>
      </c>
      <c r="E147" s="12">
        <f>IF(G147="","","CAD")</f>
        <v/>
      </c>
      <c r="G147" s="7">
        <f>IFERROR(INDEX(Leads!$A$3:$A$1002,MATCH(146,Leads!$BA$3:$BA$1002,0)),"")</f>
        <v/>
      </c>
      <c r="H147" s="7">
        <f>IF(G147="","",INDEX(Leads!$AQ$3:$AQ$1002,MATCH(146,Leads!$BA$3:$BA$1002,0)))</f>
        <v/>
      </c>
      <c r="I147" s="7">
        <f>IF(G147="","",INDEX(Leads!$AI$3:$AI$1002,MATCH(146,Leads!$BA$3:$BA$1002,0))&amp;"")</f>
        <v/>
      </c>
      <c r="J147" s="61">
        <f>IF(G147="","",INDEX(Leads!$W$3:$W$1002,MATCH(146,Leads!$BA$3:$BA$1002,0)))</f>
        <v/>
      </c>
    </row>
    <row r="148">
      <c r="A148" s="12">
        <f>IF(G148="","",INDEX(Leads!$AC$3:$AC$1002,MATCH(147,Leads!$BA$3:$BA$1002,0)))</f>
        <v/>
      </c>
      <c r="B148" s="12">
        <f>IF(G148="","","depot_paye")</f>
        <v/>
      </c>
      <c r="C148" s="12">
        <f>IF(G148="","",YEAR(J148)&amp;"-"&amp;RIGHT("0"&amp;MONTH(J148),2)&amp;"-"&amp;RIGHT("0"&amp;DAY(J148),2)&amp;" "&amp;RIGHT("0"&amp;HOUR(J148),2)&amp;":"&amp;RIGHT("0"&amp;MINUTE(J148),2)&amp;":"&amp;RIGHT("0"&amp;SECOND(J148),2)&amp;IF(AND(J148&gt;=DATE(YEAR(J148),3,8)+MOD(8-WEEKDAY(DATE(YEAR(J148),3,8)),7)+2/24,J148&lt;DATE(YEAR(J148),11,1)+MOD(8-WEEKDAY(DATE(YEAR(J148),11,1)),7)+2/24),"-04:00","-05:00"))</f>
        <v/>
      </c>
      <c r="D148" s="60">
        <f>IF(G148="","",INDEX(Leads!$V$3:$V$1002,MATCH(147,Leads!$BA$3:$BA$1002,0)))</f>
        <v/>
      </c>
      <c r="E148" s="12">
        <f>IF(G148="","","CAD")</f>
        <v/>
      </c>
      <c r="G148" s="7">
        <f>IFERROR(INDEX(Leads!$A$3:$A$1002,MATCH(147,Leads!$BA$3:$BA$1002,0)),"")</f>
        <v/>
      </c>
      <c r="H148" s="7">
        <f>IF(G148="","",INDEX(Leads!$AQ$3:$AQ$1002,MATCH(147,Leads!$BA$3:$BA$1002,0)))</f>
        <v/>
      </c>
      <c r="I148" s="7">
        <f>IF(G148="","",INDEX(Leads!$AI$3:$AI$1002,MATCH(147,Leads!$BA$3:$BA$1002,0))&amp;"")</f>
        <v/>
      </c>
      <c r="J148" s="61">
        <f>IF(G148="","",INDEX(Leads!$W$3:$W$1002,MATCH(147,Leads!$BA$3:$BA$1002,0)))</f>
        <v/>
      </c>
    </row>
    <row r="149">
      <c r="A149" s="12">
        <f>IF(G149="","",INDEX(Leads!$AC$3:$AC$1002,MATCH(148,Leads!$BA$3:$BA$1002,0)))</f>
        <v/>
      </c>
      <c r="B149" s="12">
        <f>IF(G149="","","depot_paye")</f>
        <v/>
      </c>
      <c r="C149" s="12">
        <f>IF(G149="","",YEAR(J149)&amp;"-"&amp;RIGHT("0"&amp;MONTH(J149),2)&amp;"-"&amp;RIGHT("0"&amp;DAY(J149),2)&amp;" "&amp;RIGHT("0"&amp;HOUR(J149),2)&amp;":"&amp;RIGHT("0"&amp;MINUTE(J149),2)&amp;":"&amp;RIGHT("0"&amp;SECOND(J149),2)&amp;IF(AND(J149&gt;=DATE(YEAR(J149),3,8)+MOD(8-WEEKDAY(DATE(YEAR(J149),3,8)),7)+2/24,J149&lt;DATE(YEAR(J149),11,1)+MOD(8-WEEKDAY(DATE(YEAR(J149),11,1)),7)+2/24),"-04:00","-05:00"))</f>
        <v/>
      </c>
      <c r="D149" s="60">
        <f>IF(G149="","",INDEX(Leads!$V$3:$V$1002,MATCH(148,Leads!$BA$3:$BA$1002,0)))</f>
        <v/>
      </c>
      <c r="E149" s="12">
        <f>IF(G149="","","CAD")</f>
        <v/>
      </c>
      <c r="G149" s="7">
        <f>IFERROR(INDEX(Leads!$A$3:$A$1002,MATCH(148,Leads!$BA$3:$BA$1002,0)),"")</f>
        <v/>
      </c>
      <c r="H149" s="7">
        <f>IF(G149="","",INDEX(Leads!$AQ$3:$AQ$1002,MATCH(148,Leads!$BA$3:$BA$1002,0)))</f>
        <v/>
      </c>
      <c r="I149" s="7">
        <f>IF(G149="","",INDEX(Leads!$AI$3:$AI$1002,MATCH(148,Leads!$BA$3:$BA$1002,0))&amp;"")</f>
        <v/>
      </c>
      <c r="J149" s="61">
        <f>IF(G149="","",INDEX(Leads!$W$3:$W$1002,MATCH(148,Leads!$BA$3:$BA$1002,0)))</f>
        <v/>
      </c>
    </row>
    <row r="150">
      <c r="A150" s="12">
        <f>IF(G150="","",INDEX(Leads!$AC$3:$AC$1002,MATCH(149,Leads!$BA$3:$BA$1002,0)))</f>
        <v/>
      </c>
      <c r="B150" s="12">
        <f>IF(G150="","","depot_paye")</f>
        <v/>
      </c>
      <c r="C150" s="12">
        <f>IF(G150="","",YEAR(J150)&amp;"-"&amp;RIGHT("0"&amp;MONTH(J150),2)&amp;"-"&amp;RIGHT("0"&amp;DAY(J150),2)&amp;" "&amp;RIGHT("0"&amp;HOUR(J150),2)&amp;":"&amp;RIGHT("0"&amp;MINUTE(J150),2)&amp;":"&amp;RIGHT("0"&amp;SECOND(J150),2)&amp;IF(AND(J150&gt;=DATE(YEAR(J150),3,8)+MOD(8-WEEKDAY(DATE(YEAR(J150),3,8)),7)+2/24,J150&lt;DATE(YEAR(J150),11,1)+MOD(8-WEEKDAY(DATE(YEAR(J150),11,1)),7)+2/24),"-04:00","-05:00"))</f>
        <v/>
      </c>
      <c r="D150" s="60">
        <f>IF(G150="","",INDEX(Leads!$V$3:$V$1002,MATCH(149,Leads!$BA$3:$BA$1002,0)))</f>
        <v/>
      </c>
      <c r="E150" s="12">
        <f>IF(G150="","","CAD")</f>
        <v/>
      </c>
      <c r="G150" s="7">
        <f>IFERROR(INDEX(Leads!$A$3:$A$1002,MATCH(149,Leads!$BA$3:$BA$1002,0)),"")</f>
        <v/>
      </c>
      <c r="H150" s="7">
        <f>IF(G150="","",INDEX(Leads!$AQ$3:$AQ$1002,MATCH(149,Leads!$BA$3:$BA$1002,0)))</f>
        <v/>
      </c>
      <c r="I150" s="7">
        <f>IF(G150="","",INDEX(Leads!$AI$3:$AI$1002,MATCH(149,Leads!$BA$3:$BA$1002,0))&amp;"")</f>
        <v/>
      </c>
      <c r="J150" s="61">
        <f>IF(G150="","",INDEX(Leads!$W$3:$W$1002,MATCH(149,Leads!$BA$3:$BA$1002,0)))</f>
        <v/>
      </c>
    </row>
    <row r="151">
      <c r="A151" s="12">
        <f>IF(G151="","",INDEX(Leads!$AC$3:$AC$1002,MATCH(150,Leads!$BA$3:$BA$1002,0)))</f>
        <v/>
      </c>
      <c r="B151" s="12">
        <f>IF(G151="","","depot_paye")</f>
        <v/>
      </c>
      <c r="C151" s="12">
        <f>IF(G151="","",YEAR(J151)&amp;"-"&amp;RIGHT("0"&amp;MONTH(J151),2)&amp;"-"&amp;RIGHT("0"&amp;DAY(J151),2)&amp;" "&amp;RIGHT("0"&amp;HOUR(J151),2)&amp;":"&amp;RIGHT("0"&amp;MINUTE(J151),2)&amp;":"&amp;RIGHT("0"&amp;SECOND(J151),2)&amp;IF(AND(J151&gt;=DATE(YEAR(J151),3,8)+MOD(8-WEEKDAY(DATE(YEAR(J151),3,8)),7)+2/24,J151&lt;DATE(YEAR(J151),11,1)+MOD(8-WEEKDAY(DATE(YEAR(J151),11,1)),7)+2/24),"-04:00","-05:00"))</f>
        <v/>
      </c>
      <c r="D151" s="60">
        <f>IF(G151="","",INDEX(Leads!$V$3:$V$1002,MATCH(150,Leads!$BA$3:$BA$1002,0)))</f>
        <v/>
      </c>
      <c r="E151" s="12">
        <f>IF(G151="","","CAD")</f>
        <v/>
      </c>
      <c r="G151" s="7">
        <f>IFERROR(INDEX(Leads!$A$3:$A$1002,MATCH(150,Leads!$BA$3:$BA$1002,0)),"")</f>
        <v/>
      </c>
      <c r="H151" s="7">
        <f>IF(G151="","",INDEX(Leads!$AQ$3:$AQ$1002,MATCH(150,Leads!$BA$3:$BA$1002,0)))</f>
        <v/>
      </c>
      <c r="I151" s="7">
        <f>IF(G151="","",INDEX(Leads!$AI$3:$AI$1002,MATCH(150,Leads!$BA$3:$BA$1002,0))&amp;"")</f>
        <v/>
      </c>
      <c r="J151" s="61">
        <f>IF(G151="","",INDEX(Leads!$W$3:$W$1002,MATCH(150,Leads!$BA$3:$BA$1002,0)))</f>
        <v/>
      </c>
    </row>
    <row r="152">
      <c r="A152" s="12">
        <f>IF(G152="","",INDEX(Leads!$AC$3:$AC$1002,MATCH(151,Leads!$BA$3:$BA$1002,0)))</f>
        <v/>
      </c>
      <c r="B152" s="12">
        <f>IF(G152="","","depot_paye")</f>
        <v/>
      </c>
      <c r="C152" s="12">
        <f>IF(G152="","",YEAR(J152)&amp;"-"&amp;RIGHT("0"&amp;MONTH(J152),2)&amp;"-"&amp;RIGHT("0"&amp;DAY(J152),2)&amp;" "&amp;RIGHT("0"&amp;HOUR(J152),2)&amp;":"&amp;RIGHT("0"&amp;MINUTE(J152),2)&amp;":"&amp;RIGHT("0"&amp;SECOND(J152),2)&amp;IF(AND(J152&gt;=DATE(YEAR(J152),3,8)+MOD(8-WEEKDAY(DATE(YEAR(J152),3,8)),7)+2/24,J152&lt;DATE(YEAR(J152),11,1)+MOD(8-WEEKDAY(DATE(YEAR(J152),11,1)),7)+2/24),"-04:00","-05:00"))</f>
        <v/>
      </c>
      <c r="D152" s="60">
        <f>IF(G152="","",INDEX(Leads!$V$3:$V$1002,MATCH(151,Leads!$BA$3:$BA$1002,0)))</f>
        <v/>
      </c>
      <c r="E152" s="12">
        <f>IF(G152="","","CAD")</f>
        <v/>
      </c>
      <c r="G152" s="7">
        <f>IFERROR(INDEX(Leads!$A$3:$A$1002,MATCH(151,Leads!$BA$3:$BA$1002,0)),"")</f>
        <v/>
      </c>
      <c r="H152" s="7">
        <f>IF(G152="","",INDEX(Leads!$AQ$3:$AQ$1002,MATCH(151,Leads!$BA$3:$BA$1002,0)))</f>
        <v/>
      </c>
      <c r="I152" s="7">
        <f>IF(G152="","",INDEX(Leads!$AI$3:$AI$1002,MATCH(151,Leads!$BA$3:$BA$1002,0))&amp;"")</f>
        <v/>
      </c>
      <c r="J152" s="61">
        <f>IF(G152="","",INDEX(Leads!$W$3:$W$1002,MATCH(151,Leads!$BA$3:$BA$1002,0)))</f>
        <v/>
      </c>
    </row>
    <row r="153">
      <c r="A153" s="12">
        <f>IF(G153="","",INDEX(Leads!$AC$3:$AC$1002,MATCH(152,Leads!$BA$3:$BA$1002,0)))</f>
        <v/>
      </c>
      <c r="B153" s="12">
        <f>IF(G153="","","depot_paye")</f>
        <v/>
      </c>
      <c r="C153" s="12">
        <f>IF(G153="","",YEAR(J153)&amp;"-"&amp;RIGHT("0"&amp;MONTH(J153),2)&amp;"-"&amp;RIGHT("0"&amp;DAY(J153),2)&amp;" "&amp;RIGHT("0"&amp;HOUR(J153),2)&amp;":"&amp;RIGHT("0"&amp;MINUTE(J153),2)&amp;":"&amp;RIGHT("0"&amp;SECOND(J153),2)&amp;IF(AND(J153&gt;=DATE(YEAR(J153),3,8)+MOD(8-WEEKDAY(DATE(YEAR(J153),3,8)),7)+2/24,J153&lt;DATE(YEAR(J153),11,1)+MOD(8-WEEKDAY(DATE(YEAR(J153),11,1)),7)+2/24),"-04:00","-05:00"))</f>
        <v/>
      </c>
      <c r="D153" s="60">
        <f>IF(G153="","",INDEX(Leads!$V$3:$V$1002,MATCH(152,Leads!$BA$3:$BA$1002,0)))</f>
        <v/>
      </c>
      <c r="E153" s="12">
        <f>IF(G153="","","CAD")</f>
        <v/>
      </c>
      <c r="G153" s="7">
        <f>IFERROR(INDEX(Leads!$A$3:$A$1002,MATCH(152,Leads!$BA$3:$BA$1002,0)),"")</f>
        <v/>
      </c>
      <c r="H153" s="7">
        <f>IF(G153="","",INDEX(Leads!$AQ$3:$AQ$1002,MATCH(152,Leads!$BA$3:$BA$1002,0)))</f>
        <v/>
      </c>
      <c r="I153" s="7">
        <f>IF(G153="","",INDEX(Leads!$AI$3:$AI$1002,MATCH(152,Leads!$BA$3:$BA$1002,0))&amp;"")</f>
        <v/>
      </c>
      <c r="J153" s="61">
        <f>IF(G153="","",INDEX(Leads!$W$3:$W$1002,MATCH(152,Leads!$BA$3:$BA$1002,0)))</f>
        <v/>
      </c>
    </row>
    <row r="154">
      <c r="A154" s="12">
        <f>IF(G154="","",INDEX(Leads!$AC$3:$AC$1002,MATCH(153,Leads!$BA$3:$BA$1002,0)))</f>
        <v/>
      </c>
      <c r="B154" s="12">
        <f>IF(G154="","","depot_paye")</f>
        <v/>
      </c>
      <c r="C154" s="12">
        <f>IF(G154="","",YEAR(J154)&amp;"-"&amp;RIGHT("0"&amp;MONTH(J154),2)&amp;"-"&amp;RIGHT("0"&amp;DAY(J154),2)&amp;" "&amp;RIGHT("0"&amp;HOUR(J154),2)&amp;":"&amp;RIGHT("0"&amp;MINUTE(J154),2)&amp;":"&amp;RIGHT("0"&amp;SECOND(J154),2)&amp;IF(AND(J154&gt;=DATE(YEAR(J154),3,8)+MOD(8-WEEKDAY(DATE(YEAR(J154),3,8)),7)+2/24,J154&lt;DATE(YEAR(J154),11,1)+MOD(8-WEEKDAY(DATE(YEAR(J154),11,1)),7)+2/24),"-04:00","-05:00"))</f>
        <v/>
      </c>
      <c r="D154" s="60">
        <f>IF(G154="","",INDEX(Leads!$V$3:$V$1002,MATCH(153,Leads!$BA$3:$BA$1002,0)))</f>
        <v/>
      </c>
      <c r="E154" s="12">
        <f>IF(G154="","","CAD")</f>
        <v/>
      </c>
      <c r="G154" s="7">
        <f>IFERROR(INDEX(Leads!$A$3:$A$1002,MATCH(153,Leads!$BA$3:$BA$1002,0)),"")</f>
        <v/>
      </c>
      <c r="H154" s="7">
        <f>IF(G154="","",INDEX(Leads!$AQ$3:$AQ$1002,MATCH(153,Leads!$BA$3:$BA$1002,0)))</f>
        <v/>
      </c>
      <c r="I154" s="7">
        <f>IF(G154="","",INDEX(Leads!$AI$3:$AI$1002,MATCH(153,Leads!$BA$3:$BA$1002,0))&amp;"")</f>
        <v/>
      </c>
      <c r="J154" s="61">
        <f>IF(G154="","",INDEX(Leads!$W$3:$W$1002,MATCH(153,Leads!$BA$3:$BA$1002,0)))</f>
        <v/>
      </c>
    </row>
    <row r="155">
      <c r="A155" s="12">
        <f>IF(G155="","",INDEX(Leads!$AC$3:$AC$1002,MATCH(154,Leads!$BA$3:$BA$1002,0)))</f>
        <v/>
      </c>
      <c r="B155" s="12">
        <f>IF(G155="","","depot_paye")</f>
        <v/>
      </c>
      <c r="C155" s="12">
        <f>IF(G155="","",YEAR(J155)&amp;"-"&amp;RIGHT("0"&amp;MONTH(J155),2)&amp;"-"&amp;RIGHT("0"&amp;DAY(J155),2)&amp;" "&amp;RIGHT("0"&amp;HOUR(J155),2)&amp;":"&amp;RIGHT("0"&amp;MINUTE(J155),2)&amp;":"&amp;RIGHT("0"&amp;SECOND(J155),2)&amp;IF(AND(J155&gt;=DATE(YEAR(J155),3,8)+MOD(8-WEEKDAY(DATE(YEAR(J155),3,8)),7)+2/24,J155&lt;DATE(YEAR(J155),11,1)+MOD(8-WEEKDAY(DATE(YEAR(J155),11,1)),7)+2/24),"-04:00","-05:00"))</f>
        <v/>
      </c>
      <c r="D155" s="60">
        <f>IF(G155="","",INDEX(Leads!$V$3:$V$1002,MATCH(154,Leads!$BA$3:$BA$1002,0)))</f>
        <v/>
      </c>
      <c r="E155" s="12">
        <f>IF(G155="","","CAD")</f>
        <v/>
      </c>
      <c r="G155" s="7">
        <f>IFERROR(INDEX(Leads!$A$3:$A$1002,MATCH(154,Leads!$BA$3:$BA$1002,0)),"")</f>
        <v/>
      </c>
      <c r="H155" s="7">
        <f>IF(G155="","",INDEX(Leads!$AQ$3:$AQ$1002,MATCH(154,Leads!$BA$3:$BA$1002,0)))</f>
        <v/>
      </c>
      <c r="I155" s="7">
        <f>IF(G155="","",INDEX(Leads!$AI$3:$AI$1002,MATCH(154,Leads!$BA$3:$BA$1002,0))&amp;"")</f>
        <v/>
      </c>
      <c r="J155" s="61">
        <f>IF(G155="","",INDEX(Leads!$W$3:$W$1002,MATCH(154,Leads!$BA$3:$BA$1002,0)))</f>
        <v/>
      </c>
    </row>
    <row r="156">
      <c r="A156" s="12">
        <f>IF(G156="","",INDEX(Leads!$AC$3:$AC$1002,MATCH(155,Leads!$BA$3:$BA$1002,0)))</f>
        <v/>
      </c>
      <c r="B156" s="12">
        <f>IF(G156="","","depot_paye")</f>
        <v/>
      </c>
      <c r="C156" s="12">
        <f>IF(G156="","",YEAR(J156)&amp;"-"&amp;RIGHT("0"&amp;MONTH(J156),2)&amp;"-"&amp;RIGHT("0"&amp;DAY(J156),2)&amp;" "&amp;RIGHT("0"&amp;HOUR(J156),2)&amp;":"&amp;RIGHT("0"&amp;MINUTE(J156),2)&amp;":"&amp;RIGHT("0"&amp;SECOND(J156),2)&amp;IF(AND(J156&gt;=DATE(YEAR(J156),3,8)+MOD(8-WEEKDAY(DATE(YEAR(J156),3,8)),7)+2/24,J156&lt;DATE(YEAR(J156),11,1)+MOD(8-WEEKDAY(DATE(YEAR(J156),11,1)),7)+2/24),"-04:00","-05:00"))</f>
        <v/>
      </c>
      <c r="D156" s="60">
        <f>IF(G156="","",INDEX(Leads!$V$3:$V$1002,MATCH(155,Leads!$BA$3:$BA$1002,0)))</f>
        <v/>
      </c>
      <c r="E156" s="12">
        <f>IF(G156="","","CAD")</f>
        <v/>
      </c>
      <c r="G156" s="7">
        <f>IFERROR(INDEX(Leads!$A$3:$A$1002,MATCH(155,Leads!$BA$3:$BA$1002,0)),"")</f>
        <v/>
      </c>
      <c r="H156" s="7">
        <f>IF(G156="","",INDEX(Leads!$AQ$3:$AQ$1002,MATCH(155,Leads!$BA$3:$BA$1002,0)))</f>
        <v/>
      </c>
      <c r="I156" s="7">
        <f>IF(G156="","",INDEX(Leads!$AI$3:$AI$1002,MATCH(155,Leads!$BA$3:$BA$1002,0))&amp;"")</f>
        <v/>
      </c>
      <c r="J156" s="61">
        <f>IF(G156="","",INDEX(Leads!$W$3:$W$1002,MATCH(155,Leads!$BA$3:$BA$1002,0)))</f>
        <v/>
      </c>
    </row>
    <row r="157">
      <c r="A157" s="12">
        <f>IF(G157="","",INDEX(Leads!$AC$3:$AC$1002,MATCH(156,Leads!$BA$3:$BA$1002,0)))</f>
        <v/>
      </c>
      <c r="B157" s="12">
        <f>IF(G157="","","depot_paye")</f>
        <v/>
      </c>
      <c r="C157" s="12">
        <f>IF(G157="","",YEAR(J157)&amp;"-"&amp;RIGHT("0"&amp;MONTH(J157),2)&amp;"-"&amp;RIGHT("0"&amp;DAY(J157),2)&amp;" "&amp;RIGHT("0"&amp;HOUR(J157),2)&amp;":"&amp;RIGHT("0"&amp;MINUTE(J157),2)&amp;":"&amp;RIGHT("0"&amp;SECOND(J157),2)&amp;IF(AND(J157&gt;=DATE(YEAR(J157),3,8)+MOD(8-WEEKDAY(DATE(YEAR(J157),3,8)),7)+2/24,J157&lt;DATE(YEAR(J157),11,1)+MOD(8-WEEKDAY(DATE(YEAR(J157),11,1)),7)+2/24),"-04:00","-05:00"))</f>
        <v/>
      </c>
      <c r="D157" s="60">
        <f>IF(G157="","",INDEX(Leads!$V$3:$V$1002,MATCH(156,Leads!$BA$3:$BA$1002,0)))</f>
        <v/>
      </c>
      <c r="E157" s="12">
        <f>IF(G157="","","CAD")</f>
        <v/>
      </c>
      <c r="G157" s="7">
        <f>IFERROR(INDEX(Leads!$A$3:$A$1002,MATCH(156,Leads!$BA$3:$BA$1002,0)),"")</f>
        <v/>
      </c>
      <c r="H157" s="7">
        <f>IF(G157="","",INDEX(Leads!$AQ$3:$AQ$1002,MATCH(156,Leads!$BA$3:$BA$1002,0)))</f>
        <v/>
      </c>
      <c r="I157" s="7">
        <f>IF(G157="","",INDEX(Leads!$AI$3:$AI$1002,MATCH(156,Leads!$BA$3:$BA$1002,0))&amp;"")</f>
        <v/>
      </c>
      <c r="J157" s="61">
        <f>IF(G157="","",INDEX(Leads!$W$3:$W$1002,MATCH(156,Leads!$BA$3:$BA$1002,0)))</f>
        <v/>
      </c>
    </row>
    <row r="158">
      <c r="A158" s="12">
        <f>IF(G158="","",INDEX(Leads!$AC$3:$AC$1002,MATCH(157,Leads!$BA$3:$BA$1002,0)))</f>
        <v/>
      </c>
      <c r="B158" s="12">
        <f>IF(G158="","","depot_paye")</f>
        <v/>
      </c>
      <c r="C158" s="12">
        <f>IF(G158="","",YEAR(J158)&amp;"-"&amp;RIGHT("0"&amp;MONTH(J158),2)&amp;"-"&amp;RIGHT("0"&amp;DAY(J158),2)&amp;" "&amp;RIGHT("0"&amp;HOUR(J158),2)&amp;":"&amp;RIGHT("0"&amp;MINUTE(J158),2)&amp;":"&amp;RIGHT("0"&amp;SECOND(J158),2)&amp;IF(AND(J158&gt;=DATE(YEAR(J158),3,8)+MOD(8-WEEKDAY(DATE(YEAR(J158),3,8)),7)+2/24,J158&lt;DATE(YEAR(J158),11,1)+MOD(8-WEEKDAY(DATE(YEAR(J158),11,1)),7)+2/24),"-04:00","-05:00"))</f>
        <v/>
      </c>
      <c r="D158" s="60">
        <f>IF(G158="","",INDEX(Leads!$V$3:$V$1002,MATCH(157,Leads!$BA$3:$BA$1002,0)))</f>
        <v/>
      </c>
      <c r="E158" s="12">
        <f>IF(G158="","","CAD")</f>
        <v/>
      </c>
      <c r="G158" s="7">
        <f>IFERROR(INDEX(Leads!$A$3:$A$1002,MATCH(157,Leads!$BA$3:$BA$1002,0)),"")</f>
        <v/>
      </c>
      <c r="H158" s="7">
        <f>IF(G158="","",INDEX(Leads!$AQ$3:$AQ$1002,MATCH(157,Leads!$BA$3:$BA$1002,0)))</f>
        <v/>
      </c>
      <c r="I158" s="7">
        <f>IF(G158="","",INDEX(Leads!$AI$3:$AI$1002,MATCH(157,Leads!$BA$3:$BA$1002,0))&amp;"")</f>
        <v/>
      </c>
      <c r="J158" s="61">
        <f>IF(G158="","",INDEX(Leads!$W$3:$W$1002,MATCH(157,Leads!$BA$3:$BA$1002,0)))</f>
        <v/>
      </c>
    </row>
    <row r="159">
      <c r="A159" s="12">
        <f>IF(G159="","",INDEX(Leads!$AC$3:$AC$1002,MATCH(158,Leads!$BA$3:$BA$1002,0)))</f>
        <v/>
      </c>
      <c r="B159" s="12">
        <f>IF(G159="","","depot_paye")</f>
        <v/>
      </c>
      <c r="C159" s="12">
        <f>IF(G159="","",YEAR(J159)&amp;"-"&amp;RIGHT("0"&amp;MONTH(J159),2)&amp;"-"&amp;RIGHT("0"&amp;DAY(J159),2)&amp;" "&amp;RIGHT("0"&amp;HOUR(J159),2)&amp;":"&amp;RIGHT("0"&amp;MINUTE(J159),2)&amp;":"&amp;RIGHT("0"&amp;SECOND(J159),2)&amp;IF(AND(J159&gt;=DATE(YEAR(J159),3,8)+MOD(8-WEEKDAY(DATE(YEAR(J159),3,8)),7)+2/24,J159&lt;DATE(YEAR(J159),11,1)+MOD(8-WEEKDAY(DATE(YEAR(J159),11,1)),7)+2/24),"-04:00","-05:00"))</f>
        <v/>
      </c>
      <c r="D159" s="60">
        <f>IF(G159="","",INDEX(Leads!$V$3:$V$1002,MATCH(158,Leads!$BA$3:$BA$1002,0)))</f>
        <v/>
      </c>
      <c r="E159" s="12">
        <f>IF(G159="","","CAD")</f>
        <v/>
      </c>
      <c r="G159" s="7">
        <f>IFERROR(INDEX(Leads!$A$3:$A$1002,MATCH(158,Leads!$BA$3:$BA$1002,0)),"")</f>
        <v/>
      </c>
      <c r="H159" s="7">
        <f>IF(G159="","",INDEX(Leads!$AQ$3:$AQ$1002,MATCH(158,Leads!$BA$3:$BA$1002,0)))</f>
        <v/>
      </c>
      <c r="I159" s="7">
        <f>IF(G159="","",INDEX(Leads!$AI$3:$AI$1002,MATCH(158,Leads!$BA$3:$BA$1002,0))&amp;"")</f>
        <v/>
      </c>
      <c r="J159" s="61">
        <f>IF(G159="","",INDEX(Leads!$W$3:$W$1002,MATCH(158,Leads!$BA$3:$BA$1002,0)))</f>
        <v/>
      </c>
    </row>
    <row r="160">
      <c r="A160" s="12">
        <f>IF(G160="","",INDEX(Leads!$AC$3:$AC$1002,MATCH(159,Leads!$BA$3:$BA$1002,0)))</f>
        <v/>
      </c>
      <c r="B160" s="12">
        <f>IF(G160="","","depot_paye")</f>
        <v/>
      </c>
      <c r="C160" s="12">
        <f>IF(G160="","",YEAR(J160)&amp;"-"&amp;RIGHT("0"&amp;MONTH(J160),2)&amp;"-"&amp;RIGHT("0"&amp;DAY(J160),2)&amp;" "&amp;RIGHT("0"&amp;HOUR(J160),2)&amp;":"&amp;RIGHT("0"&amp;MINUTE(J160),2)&amp;":"&amp;RIGHT("0"&amp;SECOND(J160),2)&amp;IF(AND(J160&gt;=DATE(YEAR(J160),3,8)+MOD(8-WEEKDAY(DATE(YEAR(J160),3,8)),7)+2/24,J160&lt;DATE(YEAR(J160),11,1)+MOD(8-WEEKDAY(DATE(YEAR(J160),11,1)),7)+2/24),"-04:00","-05:00"))</f>
        <v/>
      </c>
      <c r="D160" s="60">
        <f>IF(G160="","",INDEX(Leads!$V$3:$V$1002,MATCH(159,Leads!$BA$3:$BA$1002,0)))</f>
        <v/>
      </c>
      <c r="E160" s="12">
        <f>IF(G160="","","CAD")</f>
        <v/>
      </c>
      <c r="G160" s="7">
        <f>IFERROR(INDEX(Leads!$A$3:$A$1002,MATCH(159,Leads!$BA$3:$BA$1002,0)),"")</f>
        <v/>
      </c>
      <c r="H160" s="7">
        <f>IF(G160="","",INDEX(Leads!$AQ$3:$AQ$1002,MATCH(159,Leads!$BA$3:$BA$1002,0)))</f>
        <v/>
      </c>
      <c r="I160" s="7">
        <f>IF(G160="","",INDEX(Leads!$AI$3:$AI$1002,MATCH(159,Leads!$BA$3:$BA$1002,0))&amp;"")</f>
        <v/>
      </c>
      <c r="J160" s="61">
        <f>IF(G160="","",INDEX(Leads!$W$3:$W$1002,MATCH(159,Leads!$BA$3:$BA$1002,0)))</f>
        <v/>
      </c>
    </row>
    <row r="161">
      <c r="A161" s="12">
        <f>IF(G161="","",INDEX(Leads!$AC$3:$AC$1002,MATCH(160,Leads!$BA$3:$BA$1002,0)))</f>
        <v/>
      </c>
      <c r="B161" s="12">
        <f>IF(G161="","","depot_paye")</f>
        <v/>
      </c>
      <c r="C161" s="12">
        <f>IF(G161="","",YEAR(J161)&amp;"-"&amp;RIGHT("0"&amp;MONTH(J161),2)&amp;"-"&amp;RIGHT("0"&amp;DAY(J161),2)&amp;" "&amp;RIGHT("0"&amp;HOUR(J161),2)&amp;":"&amp;RIGHT("0"&amp;MINUTE(J161),2)&amp;":"&amp;RIGHT("0"&amp;SECOND(J161),2)&amp;IF(AND(J161&gt;=DATE(YEAR(J161),3,8)+MOD(8-WEEKDAY(DATE(YEAR(J161),3,8)),7)+2/24,J161&lt;DATE(YEAR(J161),11,1)+MOD(8-WEEKDAY(DATE(YEAR(J161),11,1)),7)+2/24),"-04:00","-05:00"))</f>
        <v/>
      </c>
      <c r="D161" s="60">
        <f>IF(G161="","",INDEX(Leads!$V$3:$V$1002,MATCH(160,Leads!$BA$3:$BA$1002,0)))</f>
        <v/>
      </c>
      <c r="E161" s="12">
        <f>IF(G161="","","CAD")</f>
        <v/>
      </c>
      <c r="G161" s="7">
        <f>IFERROR(INDEX(Leads!$A$3:$A$1002,MATCH(160,Leads!$BA$3:$BA$1002,0)),"")</f>
        <v/>
      </c>
      <c r="H161" s="7">
        <f>IF(G161="","",INDEX(Leads!$AQ$3:$AQ$1002,MATCH(160,Leads!$BA$3:$BA$1002,0)))</f>
        <v/>
      </c>
      <c r="I161" s="7">
        <f>IF(G161="","",INDEX(Leads!$AI$3:$AI$1002,MATCH(160,Leads!$BA$3:$BA$1002,0))&amp;"")</f>
        <v/>
      </c>
      <c r="J161" s="61">
        <f>IF(G161="","",INDEX(Leads!$W$3:$W$1002,MATCH(160,Leads!$BA$3:$BA$1002,0)))</f>
        <v/>
      </c>
    </row>
    <row r="162">
      <c r="A162" s="12">
        <f>IF(G162="","",INDEX(Leads!$AC$3:$AC$1002,MATCH(161,Leads!$BA$3:$BA$1002,0)))</f>
        <v/>
      </c>
      <c r="B162" s="12">
        <f>IF(G162="","","depot_paye")</f>
        <v/>
      </c>
      <c r="C162" s="12">
        <f>IF(G162="","",YEAR(J162)&amp;"-"&amp;RIGHT("0"&amp;MONTH(J162),2)&amp;"-"&amp;RIGHT("0"&amp;DAY(J162),2)&amp;" "&amp;RIGHT("0"&amp;HOUR(J162),2)&amp;":"&amp;RIGHT("0"&amp;MINUTE(J162),2)&amp;":"&amp;RIGHT("0"&amp;SECOND(J162),2)&amp;IF(AND(J162&gt;=DATE(YEAR(J162),3,8)+MOD(8-WEEKDAY(DATE(YEAR(J162),3,8)),7)+2/24,J162&lt;DATE(YEAR(J162),11,1)+MOD(8-WEEKDAY(DATE(YEAR(J162),11,1)),7)+2/24),"-04:00","-05:00"))</f>
        <v/>
      </c>
      <c r="D162" s="60">
        <f>IF(G162="","",INDEX(Leads!$V$3:$V$1002,MATCH(161,Leads!$BA$3:$BA$1002,0)))</f>
        <v/>
      </c>
      <c r="E162" s="12">
        <f>IF(G162="","","CAD")</f>
        <v/>
      </c>
      <c r="G162" s="7">
        <f>IFERROR(INDEX(Leads!$A$3:$A$1002,MATCH(161,Leads!$BA$3:$BA$1002,0)),"")</f>
        <v/>
      </c>
      <c r="H162" s="7">
        <f>IF(G162="","",INDEX(Leads!$AQ$3:$AQ$1002,MATCH(161,Leads!$BA$3:$BA$1002,0)))</f>
        <v/>
      </c>
      <c r="I162" s="7">
        <f>IF(G162="","",INDEX(Leads!$AI$3:$AI$1002,MATCH(161,Leads!$BA$3:$BA$1002,0))&amp;"")</f>
        <v/>
      </c>
      <c r="J162" s="61">
        <f>IF(G162="","",INDEX(Leads!$W$3:$W$1002,MATCH(161,Leads!$BA$3:$BA$1002,0)))</f>
        <v/>
      </c>
    </row>
    <row r="163">
      <c r="A163" s="12">
        <f>IF(G163="","",INDEX(Leads!$AC$3:$AC$1002,MATCH(162,Leads!$BA$3:$BA$1002,0)))</f>
        <v/>
      </c>
      <c r="B163" s="12">
        <f>IF(G163="","","depot_paye")</f>
        <v/>
      </c>
      <c r="C163" s="12">
        <f>IF(G163="","",YEAR(J163)&amp;"-"&amp;RIGHT("0"&amp;MONTH(J163),2)&amp;"-"&amp;RIGHT("0"&amp;DAY(J163),2)&amp;" "&amp;RIGHT("0"&amp;HOUR(J163),2)&amp;":"&amp;RIGHT("0"&amp;MINUTE(J163),2)&amp;":"&amp;RIGHT("0"&amp;SECOND(J163),2)&amp;IF(AND(J163&gt;=DATE(YEAR(J163),3,8)+MOD(8-WEEKDAY(DATE(YEAR(J163),3,8)),7)+2/24,J163&lt;DATE(YEAR(J163),11,1)+MOD(8-WEEKDAY(DATE(YEAR(J163),11,1)),7)+2/24),"-04:00","-05:00"))</f>
        <v/>
      </c>
      <c r="D163" s="60">
        <f>IF(G163="","",INDEX(Leads!$V$3:$V$1002,MATCH(162,Leads!$BA$3:$BA$1002,0)))</f>
        <v/>
      </c>
      <c r="E163" s="12">
        <f>IF(G163="","","CAD")</f>
        <v/>
      </c>
      <c r="G163" s="7">
        <f>IFERROR(INDEX(Leads!$A$3:$A$1002,MATCH(162,Leads!$BA$3:$BA$1002,0)),"")</f>
        <v/>
      </c>
      <c r="H163" s="7">
        <f>IF(G163="","",INDEX(Leads!$AQ$3:$AQ$1002,MATCH(162,Leads!$BA$3:$BA$1002,0)))</f>
        <v/>
      </c>
      <c r="I163" s="7">
        <f>IF(G163="","",INDEX(Leads!$AI$3:$AI$1002,MATCH(162,Leads!$BA$3:$BA$1002,0))&amp;"")</f>
        <v/>
      </c>
      <c r="J163" s="61">
        <f>IF(G163="","",INDEX(Leads!$W$3:$W$1002,MATCH(162,Leads!$BA$3:$BA$1002,0)))</f>
        <v/>
      </c>
    </row>
    <row r="164">
      <c r="A164" s="12">
        <f>IF(G164="","",INDEX(Leads!$AC$3:$AC$1002,MATCH(163,Leads!$BA$3:$BA$1002,0)))</f>
        <v/>
      </c>
      <c r="B164" s="12">
        <f>IF(G164="","","depot_paye")</f>
        <v/>
      </c>
      <c r="C164" s="12">
        <f>IF(G164="","",YEAR(J164)&amp;"-"&amp;RIGHT("0"&amp;MONTH(J164),2)&amp;"-"&amp;RIGHT("0"&amp;DAY(J164),2)&amp;" "&amp;RIGHT("0"&amp;HOUR(J164),2)&amp;":"&amp;RIGHT("0"&amp;MINUTE(J164),2)&amp;":"&amp;RIGHT("0"&amp;SECOND(J164),2)&amp;IF(AND(J164&gt;=DATE(YEAR(J164),3,8)+MOD(8-WEEKDAY(DATE(YEAR(J164),3,8)),7)+2/24,J164&lt;DATE(YEAR(J164),11,1)+MOD(8-WEEKDAY(DATE(YEAR(J164),11,1)),7)+2/24),"-04:00","-05:00"))</f>
        <v/>
      </c>
      <c r="D164" s="60">
        <f>IF(G164="","",INDEX(Leads!$V$3:$V$1002,MATCH(163,Leads!$BA$3:$BA$1002,0)))</f>
        <v/>
      </c>
      <c r="E164" s="12">
        <f>IF(G164="","","CAD")</f>
        <v/>
      </c>
      <c r="G164" s="7">
        <f>IFERROR(INDEX(Leads!$A$3:$A$1002,MATCH(163,Leads!$BA$3:$BA$1002,0)),"")</f>
        <v/>
      </c>
      <c r="H164" s="7">
        <f>IF(G164="","",INDEX(Leads!$AQ$3:$AQ$1002,MATCH(163,Leads!$BA$3:$BA$1002,0)))</f>
        <v/>
      </c>
      <c r="I164" s="7">
        <f>IF(G164="","",INDEX(Leads!$AI$3:$AI$1002,MATCH(163,Leads!$BA$3:$BA$1002,0))&amp;"")</f>
        <v/>
      </c>
      <c r="J164" s="61">
        <f>IF(G164="","",INDEX(Leads!$W$3:$W$1002,MATCH(163,Leads!$BA$3:$BA$1002,0)))</f>
        <v/>
      </c>
    </row>
    <row r="165">
      <c r="A165" s="12">
        <f>IF(G165="","",INDEX(Leads!$AC$3:$AC$1002,MATCH(164,Leads!$BA$3:$BA$1002,0)))</f>
        <v/>
      </c>
      <c r="B165" s="12">
        <f>IF(G165="","","depot_paye")</f>
        <v/>
      </c>
      <c r="C165" s="12">
        <f>IF(G165="","",YEAR(J165)&amp;"-"&amp;RIGHT("0"&amp;MONTH(J165),2)&amp;"-"&amp;RIGHT("0"&amp;DAY(J165),2)&amp;" "&amp;RIGHT("0"&amp;HOUR(J165),2)&amp;":"&amp;RIGHT("0"&amp;MINUTE(J165),2)&amp;":"&amp;RIGHT("0"&amp;SECOND(J165),2)&amp;IF(AND(J165&gt;=DATE(YEAR(J165),3,8)+MOD(8-WEEKDAY(DATE(YEAR(J165),3,8)),7)+2/24,J165&lt;DATE(YEAR(J165),11,1)+MOD(8-WEEKDAY(DATE(YEAR(J165),11,1)),7)+2/24),"-04:00","-05:00"))</f>
        <v/>
      </c>
      <c r="D165" s="60">
        <f>IF(G165="","",INDEX(Leads!$V$3:$V$1002,MATCH(164,Leads!$BA$3:$BA$1002,0)))</f>
        <v/>
      </c>
      <c r="E165" s="12">
        <f>IF(G165="","","CAD")</f>
        <v/>
      </c>
      <c r="G165" s="7">
        <f>IFERROR(INDEX(Leads!$A$3:$A$1002,MATCH(164,Leads!$BA$3:$BA$1002,0)),"")</f>
        <v/>
      </c>
      <c r="H165" s="7">
        <f>IF(G165="","",INDEX(Leads!$AQ$3:$AQ$1002,MATCH(164,Leads!$BA$3:$BA$1002,0)))</f>
        <v/>
      </c>
      <c r="I165" s="7">
        <f>IF(G165="","",INDEX(Leads!$AI$3:$AI$1002,MATCH(164,Leads!$BA$3:$BA$1002,0))&amp;"")</f>
        <v/>
      </c>
      <c r="J165" s="61">
        <f>IF(G165="","",INDEX(Leads!$W$3:$W$1002,MATCH(164,Leads!$BA$3:$BA$1002,0)))</f>
        <v/>
      </c>
    </row>
    <row r="166">
      <c r="A166" s="12">
        <f>IF(G166="","",INDEX(Leads!$AC$3:$AC$1002,MATCH(165,Leads!$BA$3:$BA$1002,0)))</f>
        <v/>
      </c>
      <c r="B166" s="12">
        <f>IF(G166="","","depot_paye")</f>
        <v/>
      </c>
      <c r="C166" s="12">
        <f>IF(G166="","",YEAR(J166)&amp;"-"&amp;RIGHT("0"&amp;MONTH(J166),2)&amp;"-"&amp;RIGHT("0"&amp;DAY(J166),2)&amp;" "&amp;RIGHT("0"&amp;HOUR(J166),2)&amp;":"&amp;RIGHT("0"&amp;MINUTE(J166),2)&amp;":"&amp;RIGHT("0"&amp;SECOND(J166),2)&amp;IF(AND(J166&gt;=DATE(YEAR(J166),3,8)+MOD(8-WEEKDAY(DATE(YEAR(J166),3,8)),7)+2/24,J166&lt;DATE(YEAR(J166),11,1)+MOD(8-WEEKDAY(DATE(YEAR(J166),11,1)),7)+2/24),"-04:00","-05:00"))</f>
        <v/>
      </c>
      <c r="D166" s="60">
        <f>IF(G166="","",INDEX(Leads!$V$3:$V$1002,MATCH(165,Leads!$BA$3:$BA$1002,0)))</f>
        <v/>
      </c>
      <c r="E166" s="12">
        <f>IF(G166="","","CAD")</f>
        <v/>
      </c>
      <c r="G166" s="7">
        <f>IFERROR(INDEX(Leads!$A$3:$A$1002,MATCH(165,Leads!$BA$3:$BA$1002,0)),"")</f>
        <v/>
      </c>
      <c r="H166" s="7">
        <f>IF(G166="","",INDEX(Leads!$AQ$3:$AQ$1002,MATCH(165,Leads!$BA$3:$BA$1002,0)))</f>
        <v/>
      </c>
      <c r="I166" s="7">
        <f>IF(G166="","",INDEX(Leads!$AI$3:$AI$1002,MATCH(165,Leads!$BA$3:$BA$1002,0))&amp;"")</f>
        <v/>
      </c>
      <c r="J166" s="61">
        <f>IF(G166="","",INDEX(Leads!$W$3:$W$1002,MATCH(165,Leads!$BA$3:$BA$1002,0)))</f>
        <v/>
      </c>
    </row>
    <row r="167">
      <c r="A167" s="12">
        <f>IF(G167="","",INDEX(Leads!$AC$3:$AC$1002,MATCH(166,Leads!$BA$3:$BA$1002,0)))</f>
        <v/>
      </c>
      <c r="B167" s="12">
        <f>IF(G167="","","depot_paye")</f>
        <v/>
      </c>
      <c r="C167" s="12">
        <f>IF(G167="","",YEAR(J167)&amp;"-"&amp;RIGHT("0"&amp;MONTH(J167),2)&amp;"-"&amp;RIGHT("0"&amp;DAY(J167),2)&amp;" "&amp;RIGHT("0"&amp;HOUR(J167),2)&amp;":"&amp;RIGHT("0"&amp;MINUTE(J167),2)&amp;":"&amp;RIGHT("0"&amp;SECOND(J167),2)&amp;IF(AND(J167&gt;=DATE(YEAR(J167),3,8)+MOD(8-WEEKDAY(DATE(YEAR(J167),3,8)),7)+2/24,J167&lt;DATE(YEAR(J167),11,1)+MOD(8-WEEKDAY(DATE(YEAR(J167),11,1)),7)+2/24),"-04:00","-05:00"))</f>
        <v/>
      </c>
      <c r="D167" s="60">
        <f>IF(G167="","",INDEX(Leads!$V$3:$V$1002,MATCH(166,Leads!$BA$3:$BA$1002,0)))</f>
        <v/>
      </c>
      <c r="E167" s="12">
        <f>IF(G167="","","CAD")</f>
        <v/>
      </c>
      <c r="G167" s="7">
        <f>IFERROR(INDEX(Leads!$A$3:$A$1002,MATCH(166,Leads!$BA$3:$BA$1002,0)),"")</f>
        <v/>
      </c>
      <c r="H167" s="7">
        <f>IF(G167="","",INDEX(Leads!$AQ$3:$AQ$1002,MATCH(166,Leads!$BA$3:$BA$1002,0)))</f>
        <v/>
      </c>
      <c r="I167" s="7">
        <f>IF(G167="","",INDEX(Leads!$AI$3:$AI$1002,MATCH(166,Leads!$BA$3:$BA$1002,0))&amp;"")</f>
        <v/>
      </c>
      <c r="J167" s="61">
        <f>IF(G167="","",INDEX(Leads!$W$3:$W$1002,MATCH(166,Leads!$BA$3:$BA$1002,0)))</f>
        <v/>
      </c>
    </row>
    <row r="168">
      <c r="A168" s="12">
        <f>IF(G168="","",INDEX(Leads!$AC$3:$AC$1002,MATCH(167,Leads!$BA$3:$BA$1002,0)))</f>
        <v/>
      </c>
      <c r="B168" s="12">
        <f>IF(G168="","","depot_paye")</f>
        <v/>
      </c>
      <c r="C168" s="12">
        <f>IF(G168="","",YEAR(J168)&amp;"-"&amp;RIGHT("0"&amp;MONTH(J168),2)&amp;"-"&amp;RIGHT("0"&amp;DAY(J168),2)&amp;" "&amp;RIGHT("0"&amp;HOUR(J168),2)&amp;":"&amp;RIGHT("0"&amp;MINUTE(J168),2)&amp;":"&amp;RIGHT("0"&amp;SECOND(J168),2)&amp;IF(AND(J168&gt;=DATE(YEAR(J168),3,8)+MOD(8-WEEKDAY(DATE(YEAR(J168),3,8)),7)+2/24,J168&lt;DATE(YEAR(J168),11,1)+MOD(8-WEEKDAY(DATE(YEAR(J168),11,1)),7)+2/24),"-04:00","-05:00"))</f>
        <v/>
      </c>
      <c r="D168" s="60">
        <f>IF(G168="","",INDEX(Leads!$V$3:$V$1002,MATCH(167,Leads!$BA$3:$BA$1002,0)))</f>
        <v/>
      </c>
      <c r="E168" s="12">
        <f>IF(G168="","","CAD")</f>
        <v/>
      </c>
      <c r="G168" s="7">
        <f>IFERROR(INDEX(Leads!$A$3:$A$1002,MATCH(167,Leads!$BA$3:$BA$1002,0)),"")</f>
        <v/>
      </c>
      <c r="H168" s="7">
        <f>IF(G168="","",INDEX(Leads!$AQ$3:$AQ$1002,MATCH(167,Leads!$BA$3:$BA$1002,0)))</f>
        <v/>
      </c>
      <c r="I168" s="7">
        <f>IF(G168="","",INDEX(Leads!$AI$3:$AI$1002,MATCH(167,Leads!$BA$3:$BA$1002,0))&amp;"")</f>
        <v/>
      </c>
      <c r="J168" s="61">
        <f>IF(G168="","",INDEX(Leads!$W$3:$W$1002,MATCH(167,Leads!$BA$3:$BA$1002,0)))</f>
        <v/>
      </c>
    </row>
    <row r="169">
      <c r="A169" s="12">
        <f>IF(G169="","",INDEX(Leads!$AC$3:$AC$1002,MATCH(168,Leads!$BA$3:$BA$1002,0)))</f>
        <v/>
      </c>
      <c r="B169" s="12">
        <f>IF(G169="","","depot_paye")</f>
        <v/>
      </c>
      <c r="C169" s="12">
        <f>IF(G169="","",YEAR(J169)&amp;"-"&amp;RIGHT("0"&amp;MONTH(J169),2)&amp;"-"&amp;RIGHT("0"&amp;DAY(J169),2)&amp;" "&amp;RIGHT("0"&amp;HOUR(J169),2)&amp;":"&amp;RIGHT("0"&amp;MINUTE(J169),2)&amp;":"&amp;RIGHT("0"&amp;SECOND(J169),2)&amp;IF(AND(J169&gt;=DATE(YEAR(J169),3,8)+MOD(8-WEEKDAY(DATE(YEAR(J169),3,8)),7)+2/24,J169&lt;DATE(YEAR(J169),11,1)+MOD(8-WEEKDAY(DATE(YEAR(J169),11,1)),7)+2/24),"-04:00","-05:00"))</f>
        <v/>
      </c>
      <c r="D169" s="60">
        <f>IF(G169="","",INDEX(Leads!$V$3:$V$1002,MATCH(168,Leads!$BA$3:$BA$1002,0)))</f>
        <v/>
      </c>
      <c r="E169" s="12">
        <f>IF(G169="","","CAD")</f>
        <v/>
      </c>
      <c r="G169" s="7">
        <f>IFERROR(INDEX(Leads!$A$3:$A$1002,MATCH(168,Leads!$BA$3:$BA$1002,0)),"")</f>
        <v/>
      </c>
      <c r="H169" s="7">
        <f>IF(G169="","",INDEX(Leads!$AQ$3:$AQ$1002,MATCH(168,Leads!$BA$3:$BA$1002,0)))</f>
        <v/>
      </c>
      <c r="I169" s="7">
        <f>IF(G169="","",INDEX(Leads!$AI$3:$AI$1002,MATCH(168,Leads!$BA$3:$BA$1002,0))&amp;"")</f>
        <v/>
      </c>
      <c r="J169" s="61">
        <f>IF(G169="","",INDEX(Leads!$W$3:$W$1002,MATCH(168,Leads!$BA$3:$BA$1002,0)))</f>
        <v/>
      </c>
    </row>
    <row r="170">
      <c r="A170" s="12">
        <f>IF(G170="","",INDEX(Leads!$AC$3:$AC$1002,MATCH(169,Leads!$BA$3:$BA$1002,0)))</f>
        <v/>
      </c>
      <c r="B170" s="12">
        <f>IF(G170="","","depot_paye")</f>
        <v/>
      </c>
      <c r="C170" s="12">
        <f>IF(G170="","",YEAR(J170)&amp;"-"&amp;RIGHT("0"&amp;MONTH(J170),2)&amp;"-"&amp;RIGHT("0"&amp;DAY(J170),2)&amp;" "&amp;RIGHT("0"&amp;HOUR(J170),2)&amp;":"&amp;RIGHT("0"&amp;MINUTE(J170),2)&amp;":"&amp;RIGHT("0"&amp;SECOND(J170),2)&amp;IF(AND(J170&gt;=DATE(YEAR(J170),3,8)+MOD(8-WEEKDAY(DATE(YEAR(J170),3,8)),7)+2/24,J170&lt;DATE(YEAR(J170),11,1)+MOD(8-WEEKDAY(DATE(YEAR(J170),11,1)),7)+2/24),"-04:00","-05:00"))</f>
        <v/>
      </c>
      <c r="D170" s="60">
        <f>IF(G170="","",INDEX(Leads!$V$3:$V$1002,MATCH(169,Leads!$BA$3:$BA$1002,0)))</f>
        <v/>
      </c>
      <c r="E170" s="12">
        <f>IF(G170="","","CAD")</f>
        <v/>
      </c>
      <c r="G170" s="7">
        <f>IFERROR(INDEX(Leads!$A$3:$A$1002,MATCH(169,Leads!$BA$3:$BA$1002,0)),"")</f>
        <v/>
      </c>
      <c r="H170" s="7">
        <f>IF(G170="","",INDEX(Leads!$AQ$3:$AQ$1002,MATCH(169,Leads!$BA$3:$BA$1002,0)))</f>
        <v/>
      </c>
      <c r="I170" s="7">
        <f>IF(G170="","",INDEX(Leads!$AI$3:$AI$1002,MATCH(169,Leads!$BA$3:$BA$1002,0))&amp;"")</f>
        <v/>
      </c>
      <c r="J170" s="61">
        <f>IF(G170="","",INDEX(Leads!$W$3:$W$1002,MATCH(169,Leads!$BA$3:$BA$1002,0)))</f>
        <v/>
      </c>
    </row>
    <row r="171">
      <c r="A171" s="12">
        <f>IF(G171="","",INDEX(Leads!$AC$3:$AC$1002,MATCH(170,Leads!$BA$3:$BA$1002,0)))</f>
        <v/>
      </c>
      <c r="B171" s="12">
        <f>IF(G171="","","depot_paye")</f>
        <v/>
      </c>
      <c r="C171" s="12">
        <f>IF(G171="","",YEAR(J171)&amp;"-"&amp;RIGHT("0"&amp;MONTH(J171),2)&amp;"-"&amp;RIGHT("0"&amp;DAY(J171),2)&amp;" "&amp;RIGHT("0"&amp;HOUR(J171),2)&amp;":"&amp;RIGHT("0"&amp;MINUTE(J171),2)&amp;":"&amp;RIGHT("0"&amp;SECOND(J171),2)&amp;IF(AND(J171&gt;=DATE(YEAR(J171),3,8)+MOD(8-WEEKDAY(DATE(YEAR(J171),3,8)),7)+2/24,J171&lt;DATE(YEAR(J171),11,1)+MOD(8-WEEKDAY(DATE(YEAR(J171),11,1)),7)+2/24),"-04:00","-05:00"))</f>
        <v/>
      </c>
      <c r="D171" s="60">
        <f>IF(G171="","",INDEX(Leads!$V$3:$V$1002,MATCH(170,Leads!$BA$3:$BA$1002,0)))</f>
        <v/>
      </c>
      <c r="E171" s="12">
        <f>IF(G171="","","CAD")</f>
        <v/>
      </c>
      <c r="G171" s="7">
        <f>IFERROR(INDEX(Leads!$A$3:$A$1002,MATCH(170,Leads!$BA$3:$BA$1002,0)),"")</f>
        <v/>
      </c>
      <c r="H171" s="7">
        <f>IF(G171="","",INDEX(Leads!$AQ$3:$AQ$1002,MATCH(170,Leads!$BA$3:$BA$1002,0)))</f>
        <v/>
      </c>
      <c r="I171" s="7">
        <f>IF(G171="","",INDEX(Leads!$AI$3:$AI$1002,MATCH(170,Leads!$BA$3:$BA$1002,0))&amp;"")</f>
        <v/>
      </c>
      <c r="J171" s="61">
        <f>IF(G171="","",INDEX(Leads!$W$3:$W$1002,MATCH(170,Leads!$BA$3:$BA$1002,0)))</f>
        <v/>
      </c>
    </row>
    <row r="172">
      <c r="A172" s="12">
        <f>IF(G172="","",INDEX(Leads!$AC$3:$AC$1002,MATCH(171,Leads!$BA$3:$BA$1002,0)))</f>
        <v/>
      </c>
      <c r="B172" s="12">
        <f>IF(G172="","","depot_paye")</f>
        <v/>
      </c>
      <c r="C172" s="12">
        <f>IF(G172="","",YEAR(J172)&amp;"-"&amp;RIGHT("0"&amp;MONTH(J172),2)&amp;"-"&amp;RIGHT("0"&amp;DAY(J172),2)&amp;" "&amp;RIGHT("0"&amp;HOUR(J172),2)&amp;":"&amp;RIGHT("0"&amp;MINUTE(J172),2)&amp;":"&amp;RIGHT("0"&amp;SECOND(J172),2)&amp;IF(AND(J172&gt;=DATE(YEAR(J172),3,8)+MOD(8-WEEKDAY(DATE(YEAR(J172),3,8)),7)+2/24,J172&lt;DATE(YEAR(J172),11,1)+MOD(8-WEEKDAY(DATE(YEAR(J172),11,1)),7)+2/24),"-04:00","-05:00"))</f>
        <v/>
      </c>
      <c r="D172" s="60">
        <f>IF(G172="","",INDEX(Leads!$V$3:$V$1002,MATCH(171,Leads!$BA$3:$BA$1002,0)))</f>
        <v/>
      </c>
      <c r="E172" s="12">
        <f>IF(G172="","","CAD")</f>
        <v/>
      </c>
      <c r="G172" s="7">
        <f>IFERROR(INDEX(Leads!$A$3:$A$1002,MATCH(171,Leads!$BA$3:$BA$1002,0)),"")</f>
        <v/>
      </c>
      <c r="H172" s="7">
        <f>IF(G172="","",INDEX(Leads!$AQ$3:$AQ$1002,MATCH(171,Leads!$BA$3:$BA$1002,0)))</f>
        <v/>
      </c>
      <c r="I172" s="7">
        <f>IF(G172="","",INDEX(Leads!$AI$3:$AI$1002,MATCH(171,Leads!$BA$3:$BA$1002,0))&amp;"")</f>
        <v/>
      </c>
      <c r="J172" s="61">
        <f>IF(G172="","",INDEX(Leads!$W$3:$W$1002,MATCH(171,Leads!$BA$3:$BA$1002,0)))</f>
        <v/>
      </c>
    </row>
    <row r="173">
      <c r="A173" s="12">
        <f>IF(G173="","",INDEX(Leads!$AC$3:$AC$1002,MATCH(172,Leads!$BA$3:$BA$1002,0)))</f>
        <v/>
      </c>
      <c r="B173" s="12">
        <f>IF(G173="","","depot_paye")</f>
        <v/>
      </c>
      <c r="C173" s="12">
        <f>IF(G173="","",YEAR(J173)&amp;"-"&amp;RIGHT("0"&amp;MONTH(J173),2)&amp;"-"&amp;RIGHT("0"&amp;DAY(J173),2)&amp;" "&amp;RIGHT("0"&amp;HOUR(J173),2)&amp;":"&amp;RIGHT("0"&amp;MINUTE(J173),2)&amp;":"&amp;RIGHT("0"&amp;SECOND(J173),2)&amp;IF(AND(J173&gt;=DATE(YEAR(J173),3,8)+MOD(8-WEEKDAY(DATE(YEAR(J173),3,8)),7)+2/24,J173&lt;DATE(YEAR(J173),11,1)+MOD(8-WEEKDAY(DATE(YEAR(J173),11,1)),7)+2/24),"-04:00","-05:00"))</f>
        <v/>
      </c>
      <c r="D173" s="60">
        <f>IF(G173="","",INDEX(Leads!$V$3:$V$1002,MATCH(172,Leads!$BA$3:$BA$1002,0)))</f>
        <v/>
      </c>
      <c r="E173" s="12">
        <f>IF(G173="","","CAD")</f>
        <v/>
      </c>
      <c r="G173" s="7">
        <f>IFERROR(INDEX(Leads!$A$3:$A$1002,MATCH(172,Leads!$BA$3:$BA$1002,0)),"")</f>
        <v/>
      </c>
      <c r="H173" s="7">
        <f>IF(G173="","",INDEX(Leads!$AQ$3:$AQ$1002,MATCH(172,Leads!$BA$3:$BA$1002,0)))</f>
        <v/>
      </c>
      <c r="I173" s="7">
        <f>IF(G173="","",INDEX(Leads!$AI$3:$AI$1002,MATCH(172,Leads!$BA$3:$BA$1002,0))&amp;"")</f>
        <v/>
      </c>
      <c r="J173" s="61">
        <f>IF(G173="","",INDEX(Leads!$W$3:$W$1002,MATCH(172,Leads!$BA$3:$BA$1002,0)))</f>
        <v/>
      </c>
    </row>
    <row r="174">
      <c r="A174" s="12">
        <f>IF(G174="","",INDEX(Leads!$AC$3:$AC$1002,MATCH(173,Leads!$BA$3:$BA$1002,0)))</f>
        <v/>
      </c>
      <c r="B174" s="12">
        <f>IF(G174="","","depot_paye")</f>
        <v/>
      </c>
      <c r="C174" s="12">
        <f>IF(G174="","",YEAR(J174)&amp;"-"&amp;RIGHT("0"&amp;MONTH(J174),2)&amp;"-"&amp;RIGHT("0"&amp;DAY(J174),2)&amp;" "&amp;RIGHT("0"&amp;HOUR(J174),2)&amp;":"&amp;RIGHT("0"&amp;MINUTE(J174),2)&amp;":"&amp;RIGHT("0"&amp;SECOND(J174),2)&amp;IF(AND(J174&gt;=DATE(YEAR(J174),3,8)+MOD(8-WEEKDAY(DATE(YEAR(J174),3,8)),7)+2/24,J174&lt;DATE(YEAR(J174),11,1)+MOD(8-WEEKDAY(DATE(YEAR(J174),11,1)),7)+2/24),"-04:00","-05:00"))</f>
        <v/>
      </c>
      <c r="D174" s="60">
        <f>IF(G174="","",INDEX(Leads!$V$3:$V$1002,MATCH(173,Leads!$BA$3:$BA$1002,0)))</f>
        <v/>
      </c>
      <c r="E174" s="12">
        <f>IF(G174="","","CAD")</f>
        <v/>
      </c>
      <c r="G174" s="7">
        <f>IFERROR(INDEX(Leads!$A$3:$A$1002,MATCH(173,Leads!$BA$3:$BA$1002,0)),"")</f>
        <v/>
      </c>
      <c r="H174" s="7">
        <f>IF(G174="","",INDEX(Leads!$AQ$3:$AQ$1002,MATCH(173,Leads!$BA$3:$BA$1002,0)))</f>
        <v/>
      </c>
      <c r="I174" s="7">
        <f>IF(G174="","",INDEX(Leads!$AI$3:$AI$1002,MATCH(173,Leads!$BA$3:$BA$1002,0))&amp;"")</f>
        <v/>
      </c>
      <c r="J174" s="61">
        <f>IF(G174="","",INDEX(Leads!$W$3:$W$1002,MATCH(173,Leads!$BA$3:$BA$1002,0)))</f>
        <v/>
      </c>
    </row>
    <row r="175">
      <c r="A175" s="12">
        <f>IF(G175="","",INDEX(Leads!$AC$3:$AC$1002,MATCH(174,Leads!$BA$3:$BA$1002,0)))</f>
        <v/>
      </c>
      <c r="B175" s="12">
        <f>IF(G175="","","depot_paye")</f>
        <v/>
      </c>
      <c r="C175" s="12">
        <f>IF(G175="","",YEAR(J175)&amp;"-"&amp;RIGHT("0"&amp;MONTH(J175),2)&amp;"-"&amp;RIGHT("0"&amp;DAY(J175),2)&amp;" "&amp;RIGHT("0"&amp;HOUR(J175),2)&amp;":"&amp;RIGHT("0"&amp;MINUTE(J175),2)&amp;":"&amp;RIGHT("0"&amp;SECOND(J175),2)&amp;IF(AND(J175&gt;=DATE(YEAR(J175),3,8)+MOD(8-WEEKDAY(DATE(YEAR(J175),3,8)),7)+2/24,J175&lt;DATE(YEAR(J175),11,1)+MOD(8-WEEKDAY(DATE(YEAR(J175),11,1)),7)+2/24),"-04:00","-05:00"))</f>
        <v/>
      </c>
      <c r="D175" s="60">
        <f>IF(G175="","",INDEX(Leads!$V$3:$V$1002,MATCH(174,Leads!$BA$3:$BA$1002,0)))</f>
        <v/>
      </c>
      <c r="E175" s="12">
        <f>IF(G175="","","CAD")</f>
        <v/>
      </c>
      <c r="G175" s="7">
        <f>IFERROR(INDEX(Leads!$A$3:$A$1002,MATCH(174,Leads!$BA$3:$BA$1002,0)),"")</f>
        <v/>
      </c>
      <c r="H175" s="7">
        <f>IF(G175="","",INDEX(Leads!$AQ$3:$AQ$1002,MATCH(174,Leads!$BA$3:$BA$1002,0)))</f>
        <v/>
      </c>
      <c r="I175" s="7">
        <f>IF(G175="","",INDEX(Leads!$AI$3:$AI$1002,MATCH(174,Leads!$BA$3:$BA$1002,0))&amp;"")</f>
        <v/>
      </c>
      <c r="J175" s="61">
        <f>IF(G175="","",INDEX(Leads!$W$3:$W$1002,MATCH(174,Leads!$BA$3:$BA$1002,0)))</f>
        <v/>
      </c>
    </row>
    <row r="176">
      <c r="A176" s="12">
        <f>IF(G176="","",INDEX(Leads!$AC$3:$AC$1002,MATCH(175,Leads!$BA$3:$BA$1002,0)))</f>
        <v/>
      </c>
      <c r="B176" s="12">
        <f>IF(G176="","","depot_paye")</f>
        <v/>
      </c>
      <c r="C176" s="12">
        <f>IF(G176="","",YEAR(J176)&amp;"-"&amp;RIGHT("0"&amp;MONTH(J176),2)&amp;"-"&amp;RIGHT("0"&amp;DAY(J176),2)&amp;" "&amp;RIGHT("0"&amp;HOUR(J176),2)&amp;":"&amp;RIGHT("0"&amp;MINUTE(J176),2)&amp;":"&amp;RIGHT("0"&amp;SECOND(J176),2)&amp;IF(AND(J176&gt;=DATE(YEAR(J176),3,8)+MOD(8-WEEKDAY(DATE(YEAR(J176),3,8)),7)+2/24,J176&lt;DATE(YEAR(J176),11,1)+MOD(8-WEEKDAY(DATE(YEAR(J176),11,1)),7)+2/24),"-04:00","-05:00"))</f>
        <v/>
      </c>
      <c r="D176" s="60">
        <f>IF(G176="","",INDEX(Leads!$V$3:$V$1002,MATCH(175,Leads!$BA$3:$BA$1002,0)))</f>
        <v/>
      </c>
      <c r="E176" s="12">
        <f>IF(G176="","","CAD")</f>
        <v/>
      </c>
      <c r="G176" s="7">
        <f>IFERROR(INDEX(Leads!$A$3:$A$1002,MATCH(175,Leads!$BA$3:$BA$1002,0)),"")</f>
        <v/>
      </c>
      <c r="H176" s="7">
        <f>IF(G176="","",INDEX(Leads!$AQ$3:$AQ$1002,MATCH(175,Leads!$BA$3:$BA$1002,0)))</f>
        <v/>
      </c>
      <c r="I176" s="7">
        <f>IF(G176="","",INDEX(Leads!$AI$3:$AI$1002,MATCH(175,Leads!$BA$3:$BA$1002,0))&amp;"")</f>
        <v/>
      </c>
      <c r="J176" s="61">
        <f>IF(G176="","",INDEX(Leads!$W$3:$W$1002,MATCH(175,Leads!$BA$3:$BA$1002,0)))</f>
        <v/>
      </c>
    </row>
    <row r="177">
      <c r="A177" s="12">
        <f>IF(G177="","",INDEX(Leads!$AC$3:$AC$1002,MATCH(176,Leads!$BA$3:$BA$1002,0)))</f>
        <v/>
      </c>
      <c r="B177" s="12">
        <f>IF(G177="","","depot_paye")</f>
        <v/>
      </c>
      <c r="C177" s="12">
        <f>IF(G177="","",YEAR(J177)&amp;"-"&amp;RIGHT("0"&amp;MONTH(J177),2)&amp;"-"&amp;RIGHT("0"&amp;DAY(J177),2)&amp;" "&amp;RIGHT("0"&amp;HOUR(J177),2)&amp;":"&amp;RIGHT("0"&amp;MINUTE(J177),2)&amp;":"&amp;RIGHT("0"&amp;SECOND(J177),2)&amp;IF(AND(J177&gt;=DATE(YEAR(J177),3,8)+MOD(8-WEEKDAY(DATE(YEAR(J177),3,8)),7)+2/24,J177&lt;DATE(YEAR(J177),11,1)+MOD(8-WEEKDAY(DATE(YEAR(J177),11,1)),7)+2/24),"-04:00","-05:00"))</f>
        <v/>
      </c>
      <c r="D177" s="60">
        <f>IF(G177="","",INDEX(Leads!$V$3:$V$1002,MATCH(176,Leads!$BA$3:$BA$1002,0)))</f>
        <v/>
      </c>
      <c r="E177" s="12">
        <f>IF(G177="","","CAD")</f>
        <v/>
      </c>
      <c r="G177" s="7">
        <f>IFERROR(INDEX(Leads!$A$3:$A$1002,MATCH(176,Leads!$BA$3:$BA$1002,0)),"")</f>
        <v/>
      </c>
      <c r="H177" s="7">
        <f>IF(G177="","",INDEX(Leads!$AQ$3:$AQ$1002,MATCH(176,Leads!$BA$3:$BA$1002,0)))</f>
        <v/>
      </c>
      <c r="I177" s="7">
        <f>IF(G177="","",INDEX(Leads!$AI$3:$AI$1002,MATCH(176,Leads!$BA$3:$BA$1002,0))&amp;"")</f>
        <v/>
      </c>
      <c r="J177" s="61">
        <f>IF(G177="","",INDEX(Leads!$W$3:$W$1002,MATCH(176,Leads!$BA$3:$BA$1002,0)))</f>
        <v/>
      </c>
    </row>
    <row r="178">
      <c r="A178" s="12">
        <f>IF(G178="","",INDEX(Leads!$AC$3:$AC$1002,MATCH(177,Leads!$BA$3:$BA$1002,0)))</f>
        <v/>
      </c>
      <c r="B178" s="12">
        <f>IF(G178="","","depot_paye")</f>
        <v/>
      </c>
      <c r="C178" s="12">
        <f>IF(G178="","",YEAR(J178)&amp;"-"&amp;RIGHT("0"&amp;MONTH(J178),2)&amp;"-"&amp;RIGHT("0"&amp;DAY(J178),2)&amp;" "&amp;RIGHT("0"&amp;HOUR(J178),2)&amp;":"&amp;RIGHT("0"&amp;MINUTE(J178),2)&amp;":"&amp;RIGHT("0"&amp;SECOND(J178),2)&amp;IF(AND(J178&gt;=DATE(YEAR(J178),3,8)+MOD(8-WEEKDAY(DATE(YEAR(J178),3,8)),7)+2/24,J178&lt;DATE(YEAR(J178),11,1)+MOD(8-WEEKDAY(DATE(YEAR(J178),11,1)),7)+2/24),"-04:00","-05:00"))</f>
        <v/>
      </c>
      <c r="D178" s="60">
        <f>IF(G178="","",INDEX(Leads!$V$3:$V$1002,MATCH(177,Leads!$BA$3:$BA$1002,0)))</f>
        <v/>
      </c>
      <c r="E178" s="12">
        <f>IF(G178="","","CAD")</f>
        <v/>
      </c>
      <c r="G178" s="7">
        <f>IFERROR(INDEX(Leads!$A$3:$A$1002,MATCH(177,Leads!$BA$3:$BA$1002,0)),"")</f>
        <v/>
      </c>
      <c r="H178" s="7">
        <f>IF(G178="","",INDEX(Leads!$AQ$3:$AQ$1002,MATCH(177,Leads!$BA$3:$BA$1002,0)))</f>
        <v/>
      </c>
      <c r="I178" s="7">
        <f>IF(G178="","",INDEX(Leads!$AI$3:$AI$1002,MATCH(177,Leads!$BA$3:$BA$1002,0))&amp;"")</f>
        <v/>
      </c>
      <c r="J178" s="61">
        <f>IF(G178="","",INDEX(Leads!$W$3:$W$1002,MATCH(177,Leads!$BA$3:$BA$1002,0)))</f>
        <v/>
      </c>
    </row>
    <row r="179">
      <c r="A179" s="12">
        <f>IF(G179="","",INDEX(Leads!$AC$3:$AC$1002,MATCH(178,Leads!$BA$3:$BA$1002,0)))</f>
        <v/>
      </c>
      <c r="B179" s="12">
        <f>IF(G179="","","depot_paye")</f>
        <v/>
      </c>
      <c r="C179" s="12">
        <f>IF(G179="","",YEAR(J179)&amp;"-"&amp;RIGHT("0"&amp;MONTH(J179),2)&amp;"-"&amp;RIGHT("0"&amp;DAY(J179),2)&amp;" "&amp;RIGHT("0"&amp;HOUR(J179),2)&amp;":"&amp;RIGHT("0"&amp;MINUTE(J179),2)&amp;":"&amp;RIGHT("0"&amp;SECOND(J179),2)&amp;IF(AND(J179&gt;=DATE(YEAR(J179),3,8)+MOD(8-WEEKDAY(DATE(YEAR(J179),3,8)),7)+2/24,J179&lt;DATE(YEAR(J179),11,1)+MOD(8-WEEKDAY(DATE(YEAR(J179),11,1)),7)+2/24),"-04:00","-05:00"))</f>
        <v/>
      </c>
      <c r="D179" s="60">
        <f>IF(G179="","",INDEX(Leads!$V$3:$V$1002,MATCH(178,Leads!$BA$3:$BA$1002,0)))</f>
        <v/>
      </c>
      <c r="E179" s="12">
        <f>IF(G179="","","CAD")</f>
        <v/>
      </c>
      <c r="G179" s="7">
        <f>IFERROR(INDEX(Leads!$A$3:$A$1002,MATCH(178,Leads!$BA$3:$BA$1002,0)),"")</f>
        <v/>
      </c>
      <c r="H179" s="7">
        <f>IF(G179="","",INDEX(Leads!$AQ$3:$AQ$1002,MATCH(178,Leads!$BA$3:$BA$1002,0)))</f>
        <v/>
      </c>
      <c r="I179" s="7">
        <f>IF(G179="","",INDEX(Leads!$AI$3:$AI$1002,MATCH(178,Leads!$BA$3:$BA$1002,0))&amp;"")</f>
        <v/>
      </c>
      <c r="J179" s="61">
        <f>IF(G179="","",INDEX(Leads!$W$3:$W$1002,MATCH(178,Leads!$BA$3:$BA$1002,0)))</f>
        <v/>
      </c>
    </row>
    <row r="180">
      <c r="A180" s="12">
        <f>IF(G180="","",INDEX(Leads!$AC$3:$AC$1002,MATCH(179,Leads!$BA$3:$BA$1002,0)))</f>
        <v/>
      </c>
      <c r="B180" s="12">
        <f>IF(G180="","","depot_paye")</f>
        <v/>
      </c>
      <c r="C180" s="12">
        <f>IF(G180="","",YEAR(J180)&amp;"-"&amp;RIGHT("0"&amp;MONTH(J180),2)&amp;"-"&amp;RIGHT("0"&amp;DAY(J180),2)&amp;" "&amp;RIGHT("0"&amp;HOUR(J180),2)&amp;":"&amp;RIGHT("0"&amp;MINUTE(J180),2)&amp;":"&amp;RIGHT("0"&amp;SECOND(J180),2)&amp;IF(AND(J180&gt;=DATE(YEAR(J180),3,8)+MOD(8-WEEKDAY(DATE(YEAR(J180),3,8)),7)+2/24,J180&lt;DATE(YEAR(J180),11,1)+MOD(8-WEEKDAY(DATE(YEAR(J180),11,1)),7)+2/24),"-04:00","-05:00"))</f>
        <v/>
      </c>
      <c r="D180" s="60">
        <f>IF(G180="","",INDEX(Leads!$V$3:$V$1002,MATCH(179,Leads!$BA$3:$BA$1002,0)))</f>
        <v/>
      </c>
      <c r="E180" s="12">
        <f>IF(G180="","","CAD")</f>
        <v/>
      </c>
      <c r="G180" s="7">
        <f>IFERROR(INDEX(Leads!$A$3:$A$1002,MATCH(179,Leads!$BA$3:$BA$1002,0)),"")</f>
        <v/>
      </c>
      <c r="H180" s="7">
        <f>IF(G180="","",INDEX(Leads!$AQ$3:$AQ$1002,MATCH(179,Leads!$BA$3:$BA$1002,0)))</f>
        <v/>
      </c>
      <c r="I180" s="7">
        <f>IF(G180="","",INDEX(Leads!$AI$3:$AI$1002,MATCH(179,Leads!$BA$3:$BA$1002,0))&amp;"")</f>
        <v/>
      </c>
      <c r="J180" s="61">
        <f>IF(G180="","",INDEX(Leads!$W$3:$W$1002,MATCH(179,Leads!$BA$3:$BA$1002,0)))</f>
        <v/>
      </c>
    </row>
    <row r="181">
      <c r="A181" s="12">
        <f>IF(G181="","",INDEX(Leads!$AC$3:$AC$1002,MATCH(180,Leads!$BA$3:$BA$1002,0)))</f>
        <v/>
      </c>
      <c r="B181" s="12">
        <f>IF(G181="","","depot_paye")</f>
        <v/>
      </c>
      <c r="C181" s="12">
        <f>IF(G181="","",YEAR(J181)&amp;"-"&amp;RIGHT("0"&amp;MONTH(J181),2)&amp;"-"&amp;RIGHT("0"&amp;DAY(J181),2)&amp;" "&amp;RIGHT("0"&amp;HOUR(J181),2)&amp;":"&amp;RIGHT("0"&amp;MINUTE(J181),2)&amp;":"&amp;RIGHT("0"&amp;SECOND(J181),2)&amp;IF(AND(J181&gt;=DATE(YEAR(J181),3,8)+MOD(8-WEEKDAY(DATE(YEAR(J181),3,8)),7)+2/24,J181&lt;DATE(YEAR(J181),11,1)+MOD(8-WEEKDAY(DATE(YEAR(J181),11,1)),7)+2/24),"-04:00","-05:00"))</f>
        <v/>
      </c>
      <c r="D181" s="60">
        <f>IF(G181="","",INDEX(Leads!$V$3:$V$1002,MATCH(180,Leads!$BA$3:$BA$1002,0)))</f>
        <v/>
      </c>
      <c r="E181" s="12">
        <f>IF(G181="","","CAD")</f>
        <v/>
      </c>
      <c r="G181" s="7">
        <f>IFERROR(INDEX(Leads!$A$3:$A$1002,MATCH(180,Leads!$BA$3:$BA$1002,0)),"")</f>
        <v/>
      </c>
      <c r="H181" s="7">
        <f>IF(G181="","",INDEX(Leads!$AQ$3:$AQ$1002,MATCH(180,Leads!$BA$3:$BA$1002,0)))</f>
        <v/>
      </c>
      <c r="I181" s="7">
        <f>IF(G181="","",INDEX(Leads!$AI$3:$AI$1002,MATCH(180,Leads!$BA$3:$BA$1002,0))&amp;"")</f>
        <v/>
      </c>
      <c r="J181" s="61">
        <f>IF(G181="","",INDEX(Leads!$W$3:$W$1002,MATCH(180,Leads!$BA$3:$BA$1002,0)))</f>
        <v/>
      </c>
    </row>
    <row r="182">
      <c r="A182" s="12">
        <f>IF(G182="","",INDEX(Leads!$AC$3:$AC$1002,MATCH(181,Leads!$BA$3:$BA$1002,0)))</f>
        <v/>
      </c>
      <c r="B182" s="12">
        <f>IF(G182="","","depot_paye")</f>
        <v/>
      </c>
      <c r="C182" s="12">
        <f>IF(G182="","",YEAR(J182)&amp;"-"&amp;RIGHT("0"&amp;MONTH(J182),2)&amp;"-"&amp;RIGHT("0"&amp;DAY(J182),2)&amp;" "&amp;RIGHT("0"&amp;HOUR(J182),2)&amp;":"&amp;RIGHT("0"&amp;MINUTE(J182),2)&amp;":"&amp;RIGHT("0"&amp;SECOND(J182),2)&amp;IF(AND(J182&gt;=DATE(YEAR(J182),3,8)+MOD(8-WEEKDAY(DATE(YEAR(J182),3,8)),7)+2/24,J182&lt;DATE(YEAR(J182),11,1)+MOD(8-WEEKDAY(DATE(YEAR(J182),11,1)),7)+2/24),"-04:00","-05:00"))</f>
        <v/>
      </c>
      <c r="D182" s="60">
        <f>IF(G182="","",INDEX(Leads!$V$3:$V$1002,MATCH(181,Leads!$BA$3:$BA$1002,0)))</f>
        <v/>
      </c>
      <c r="E182" s="12">
        <f>IF(G182="","","CAD")</f>
        <v/>
      </c>
      <c r="G182" s="7">
        <f>IFERROR(INDEX(Leads!$A$3:$A$1002,MATCH(181,Leads!$BA$3:$BA$1002,0)),"")</f>
        <v/>
      </c>
      <c r="H182" s="7">
        <f>IF(G182="","",INDEX(Leads!$AQ$3:$AQ$1002,MATCH(181,Leads!$BA$3:$BA$1002,0)))</f>
        <v/>
      </c>
      <c r="I182" s="7">
        <f>IF(G182="","",INDEX(Leads!$AI$3:$AI$1002,MATCH(181,Leads!$BA$3:$BA$1002,0))&amp;"")</f>
        <v/>
      </c>
      <c r="J182" s="61">
        <f>IF(G182="","",INDEX(Leads!$W$3:$W$1002,MATCH(181,Leads!$BA$3:$BA$1002,0)))</f>
        <v/>
      </c>
    </row>
    <row r="183">
      <c r="A183" s="12">
        <f>IF(G183="","",INDEX(Leads!$AC$3:$AC$1002,MATCH(182,Leads!$BA$3:$BA$1002,0)))</f>
        <v/>
      </c>
      <c r="B183" s="12">
        <f>IF(G183="","","depot_paye")</f>
        <v/>
      </c>
      <c r="C183" s="12">
        <f>IF(G183="","",YEAR(J183)&amp;"-"&amp;RIGHT("0"&amp;MONTH(J183),2)&amp;"-"&amp;RIGHT("0"&amp;DAY(J183),2)&amp;" "&amp;RIGHT("0"&amp;HOUR(J183),2)&amp;":"&amp;RIGHT("0"&amp;MINUTE(J183),2)&amp;":"&amp;RIGHT("0"&amp;SECOND(J183),2)&amp;IF(AND(J183&gt;=DATE(YEAR(J183),3,8)+MOD(8-WEEKDAY(DATE(YEAR(J183),3,8)),7)+2/24,J183&lt;DATE(YEAR(J183),11,1)+MOD(8-WEEKDAY(DATE(YEAR(J183),11,1)),7)+2/24),"-04:00","-05:00"))</f>
        <v/>
      </c>
      <c r="D183" s="60">
        <f>IF(G183="","",INDEX(Leads!$V$3:$V$1002,MATCH(182,Leads!$BA$3:$BA$1002,0)))</f>
        <v/>
      </c>
      <c r="E183" s="12">
        <f>IF(G183="","","CAD")</f>
        <v/>
      </c>
      <c r="G183" s="7">
        <f>IFERROR(INDEX(Leads!$A$3:$A$1002,MATCH(182,Leads!$BA$3:$BA$1002,0)),"")</f>
        <v/>
      </c>
      <c r="H183" s="7">
        <f>IF(G183="","",INDEX(Leads!$AQ$3:$AQ$1002,MATCH(182,Leads!$BA$3:$BA$1002,0)))</f>
        <v/>
      </c>
      <c r="I183" s="7">
        <f>IF(G183="","",INDEX(Leads!$AI$3:$AI$1002,MATCH(182,Leads!$BA$3:$BA$1002,0))&amp;"")</f>
        <v/>
      </c>
      <c r="J183" s="61">
        <f>IF(G183="","",INDEX(Leads!$W$3:$W$1002,MATCH(182,Leads!$BA$3:$BA$1002,0)))</f>
        <v/>
      </c>
    </row>
    <row r="184">
      <c r="A184" s="12">
        <f>IF(G184="","",INDEX(Leads!$AC$3:$AC$1002,MATCH(183,Leads!$BA$3:$BA$1002,0)))</f>
        <v/>
      </c>
      <c r="B184" s="12">
        <f>IF(G184="","","depot_paye")</f>
        <v/>
      </c>
      <c r="C184" s="12">
        <f>IF(G184="","",YEAR(J184)&amp;"-"&amp;RIGHT("0"&amp;MONTH(J184),2)&amp;"-"&amp;RIGHT("0"&amp;DAY(J184),2)&amp;" "&amp;RIGHT("0"&amp;HOUR(J184),2)&amp;":"&amp;RIGHT("0"&amp;MINUTE(J184),2)&amp;":"&amp;RIGHT("0"&amp;SECOND(J184),2)&amp;IF(AND(J184&gt;=DATE(YEAR(J184),3,8)+MOD(8-WEEKDAY(DATE(YEAR(J184),3,8)),7)+2/24,J184&lt;DATE(YEAR(J184),11,1)+MOD(8-WEEKDAY(DATE(YEAR(J184),11,1)),7)+2/24),"-04:00","-05:00"))</f>
        <v/>
      </c>
      <c r="D184" s="60">
        <f>IF(G184="","",INDEX(Leads!$V$3:$V$1002,MATCH(183,Leads!$BA$3:$BA$1002,0)))</f>
        <v/>
      </c>
      <c r="E184" s="12">
        <f>IF(G184="","","CAD")</f>
        <v/>
      </c>
      <c r="G184" s="7">
        <f>IFERROR(INDEX(Leads!$A$3:$A$1002,MATCH(183,Leads!$BA$3:$BA$1002,0)),"")</f>
        <v/>
      </c>
      <c r="H184" s="7">
        <f>IF(G184="","",INDEX(Leads!$AQ$3:$AQ$1002,MATCH(183,Leads!$BA$3:$BA$1002,0)))</f>
        <v/>
      </c>
      <c r="I184" s="7">
        <f>IF(G184="","",INDEX(Leads!$AI$3:$AI$1002,MATCH(183,Leads!$BA$3:$BA$1002,0))&amp;"")</f>
        <v/>
      </c>
      <c r="J184" s="61">
        <f>IF(G184="","",INDEX(Leads!$W$3:$W$1002,MATCH(183,Leads!$BA$3:$BA$1002,0)))</f>
        <v/>
      </c>
    </row>
    <row r="185">
      <c r="A185" s="12">
        <f>IF(G185="","",INDEX(Leads!$AC$3:$AC$1002,MATCH(184,Leads!$BA$3:$BA$1002,0)))</f>
        <v/>
      </c>
      <c r="B185" s="12">
        <f>IF(G185="","","depot_paye")</f>
        <v/>
      </c>
      <c r="C185" s="12">
        <f>IF(G185="","",YEAR(J185)&amp;"-"&amp;RIGHT("0"&amp;MONTH(J185),2)&amp;"-"&amp;RIGHT("0"&amp;DAY(J185),2)&amp;" "&amp;RIGHT("0"&amp;HOUR(J185),2)&amp;":"&amp;RIGHT("0"&amp;MINUTE(J185),2)&amp;":"&amp;RIGHT("0"&amp;SECOND(J185),2)&amp;IF(AND(J185&gt;=DATE(YEAR(J185),3,8)+MOD(8-WEEKDAY(DATE(YEAR(J185),3,8)),7)+2/24,J185&lt;DATE(YEAR(J185),11,1)+MOD(8-WEEKDAY(DATE(YEAR(J185),11,1)),7)+2/24),"-04:00","-05:00"))</f>
        <v/>
      </c>
      <c r="D185" s="60">
        <f>IF(G185="","",INDEX(Leads!$V$3:$V$1002,MATCH(184,Leads!$BA$3:$BA$1002,0)))</f>
        <v/>
      </c>
      <c r="E185" s="12">
        <f>IF(G185="","","CAD")</f>
        <v/>
      </c>
      <c r="G185" s="7">
        <f>IFERROR(INDEX(Leads!$A$3:$A$1002,MATCH(184,Leads!$BA$3:$BA$1002,0)),"")</f>
        <v/>
      </c>
      <c r="H185" s="7">
        <f>IF(G185="","",INDEX(Leads!$AQ$3:$AQ$1002,MATCH(184,Leads!$BA$3:$BA$1002,0)))</f>
        <v/>
      </c>
      <c r="I185" s="7">
        <f>IF(G185="","",INDEX(Leads!$AI$3:$AI$1002,MATCH(184,Leads!$BA$3:$BA$1002,0))&amp;"")</f>
        <v/>
      </c>
      <c r="J185" s="61">
        <f>IF(G185="","",INDEX(Leads!$W$3:$W$1002,MATCH(184,Leads!$BA$3:$BA$1002,0)))</f>
        <v/>
      </c>
    </row>
    <row r="186">
      <c r="A186" s="12">
        <f>IF(G186="","",INDEX(Leads!$AC$3:$AC$1002,MATCH(185,Leads!$BA$3:$BA$1002,0)))</f>
        <v/>
      </c>
      <c r="B186" s="12">
        <f>IF(G186="","","depot_paye")</f>
        <v/>
      </c>
      <c r="C186" s="12">
        <f>IF(G186="","",YEAR(J186)&amp;"-"&amp;RIGHT("0"&amp;MONTH(J186),2)&amp;"-"&amp;RIGHT("0"&amp;DAY(J186),2)&amp;" "&amp;RIGHT("0"&amp;HOUR(J186),2)&amp;":"&amp;RIGHT("0"&amp;MINUTE(J186),2)&amp;":"&amp;RIGHT("0"&amp;SECOND(J186),2)&amp;IF(AND(J186&gt;=DATE(YEAR(J186),3,8)+MOD(8-WEEKDAY(DATE(YEAR(J186),3,8)),7)+2/24,J186&lt;DATE(YEAR(J186),11,1)+MOD(8-WEEKDAY(DATE(YEAR(J186),11,1)),7)+2/24),"-04:00","-05:00"))</f>
        <v/>
      </c>
      <c r="D186" s="60">
        <f>IF(G186="","",INDEX(Leads!$V$3:$V$1002,MATCH(185,Leads!$BA$3:$BA$1002,0)))</f>
        <v/>
      </c>
      <c r="E186" s="12">
        <f>IF(G186="","","CAD")</f>
        <v/>
      </c>
      <c r="G186" s="7">
        <f>IFERROR(INDEX(Leads!$A$3:$A$1002,MATCH(185,Leads!$BA$3:$BA$1002,0)),"")</f>
        <v/>
      </c>
      <c r="H186" s="7">
        <f>IF(G186="","",INDEX(Leads!$AQ$3:$AQ$1002,MATCH(185,Leads!$BA$3:$BA$1002,0)))</f>
        <v/>
      </c>
      <c r="I186" s="7">
        <f>IF(G186="","",INDEX(Leads!$AI$3:$AI$1002,MATCH(185,Leads!$BA$3:$BA$1002,0))&amp;"")</f>
        <v/>
      </c>
      <c r="J186" s="61">
        <f>IF(G186="","",INDEX(Leads!$W$3:$W$1002,MATCH(185,Leads!$BA$3:$BA$1002,0)))</f>
        <v/>
      </c>
    </row>
    <row r="187">
      <c r="A187" s="12">
        <f>IF(G187="","",INDEX(Leads!$AC$3:$AC$1002,MATCH(186,Leads!$BA$3:$BA$1002,0)))</f>
        <v/>
      </c>
      <c r="B187" s="12">
        <f>IF(G187="","","depot_paye")</f>
        <v/>
      </c>
      <c r="C187" s="12">
        <f>IF(G187="","",YEAR(J187)&amp;"-"&amp;RIGHT("0"&amp;MONTH(J187),2)&amp;"-"&amp;RIGHT("0"&amp;DAY(J187),2)&amp;" "&amp;RIGHT("0"&amp;HOUR(J187),2)&amp;":"&amp;RIGHT("0"&amp;MINUTE(J187),2)&amp;":"&amp;RIGHT("0"&amp;SECOND(J187),2)&amp;IF(AND(J187&gt;=DATE(YEAR(J187),3,8)+MOD(8-WEEKDAY(DATE(YEAR(J187),3,8)),7)+2/24,J187&lt;DATE(YEAR(J187),11,1)+MOD(8-WEEKDAY(DATE(YEAR(J187),11,1)),7)+2/24),"-04:00","-05:00"))</f>
        <v/>
      </c>
      <c r="D187" s="60">
        <f>IF(G187="","",INDEX(Leads!$V$3:$V$1002,MATCH(186,Leads!$BA$3:$BA$1002,0)))</f>
        <v/>
      </c>
      <c r="E187" s="12">
        <f>IF(G187="","","CAD")</f>
        <v/>
      </c>
      <c r="G187" s="7">
        <f>IFERROR(INDEX(Leads!$A$3:$A$1002,MATCH(186,Leads!$BA$3:$BA$1002,0)),"")</f>
        <v/>
      </c>
      <c r="H187" s="7">
        <f>IF(G187="","",INDEX(Leads!$AQ$3:$AQ$1002,MATCH(186,Leads!$BA$3:$BA$1002,0)))</f>
        <v/>
      </c>
      <c r="I187" s="7">
        <f>IF(G187="","",INDEX(Leads!$AI$3:$AI$1002,MATCH(186,Leads!$BA$3:$BA$1002,0))&amp;"")</f>
        <v/>
      </c>
      <c r="J187" s="61">
        <f>IF(G187="","",INDEX(Leads!$W$3:$W$1002,MATCH(186,Leads!$BA$3:$BA$1002,0)))</f>
        <v/>
      </c>
    </row>
    <row r="188">
      <c r="A188" s="12">
        <f>IF(G188="","",INDEX(Leads!$AC$3:$AC$1002,MATCH(187,Leads!$BA$3:$BA$1002,0)))</f>
        <v/>
      </c>
      <c r="B188" s="12">
        <f>IF(G188="","","depot_paye")</f>
        <v/>
      </c>
      <c r="C188" s="12">
        <f>IF(G188="","",YEAR(J188)&amp;"-"&amp;RIGHT("0"&amp;MONTH(J188),2)&amp;"-"&amp;RIGHT("0"&amp;DAY(J188),2)&amp;" "&amp;RIGHT("0"&amp;HOUR(J188),2)&amp;":"&amp;RIGHT("0"&amp;MINUTE(J188),2)&amp;":"&amp;RIGHT("0"&amp;SECOND(J188),2)&amp;IF(AND(J188&gt;=DATE(YEAR(J188),3,8)+MOD(8-WEEKDAY(DATE(YEAR(J188),3,8)),7)+2/24,J188&lt;DATE(YEAR(J188),11,1)+MOD(8-WEEKDAY(DATE(YEAR(J188),11,1)),7)+2/24),"-04:00","-05:00"))</f>
        <v/>
      </c>
      <c r="D188" s="60">
        <f>IF(G188="","",INDEX(Leads!$V$3:$V$1002,MATCH(187,Leads!$BA$3:$BA$1002,0)))</f>
        <v/>
      </c>
      <c r="E188" s="12">
        <f>IF(G188="","","CAD")</f>
        <v/>
      </c>
      <c r="G188" s="7">
        <f>IFERROR(INDEX(Leads!$A$3:$A$1002,MATCH(187,Leads!$BA$3:$BA$1002,0)),"")</f>
        <v/>
      </c>
      <c r="H188" s="7">
        <f>IF(G188="","",INDEX(Leads!$AQ$3:$AQ$1002,MATCH(187,Leads!$BA$3:$BA$1002,0)))</f>
        <v/>
      </c>
      <c r="I188" s="7">
        <f>IF(G188="","",INDEX(Leads!$AI$3:$AI$1002,MATCH(187,Leads!$BA$3:$BA$1002,0))&amp;"")</f>
        <v/>
      </c>
      <c r="J188" s="61">
        <f>IF(G188="","",INDEX(Leads!$W$3:$W$1002,MATCH(187,Leads!$BA$3:$BA$1002,0)))</f>
        <v/>
      </c>
    </row>
    <row r="189">
      <c r="A189" s="12">
        <f>IF(G189="","",INDEX(Leads!$AC$3:$AC$1002,MATCH(188,Leads!$BA$3:$BA$1002,0)))</f>
        <v/>
      </c>
      <c r="B189" s="12">
        <f>IF(G189="","","depot_paye")</f>
        <v/>
      </c>
      <c r="C189" s="12">
        <f>IF(G189="","",YEAR(J189)&amp;"-"&amp;RIGHT("0"&amp;MONTH(J189),2)&amp;"-"&amp;RIGHT("0"&amp;DAY(J189),2)&amp;" "&amp;RIGHT("0"&amp;HOUR(J189),2)&amp;":"&amp;RIGHT("0"&amp;MINUTE(J189),2)&amp;":"&amp;RIGHT("0"&amp;SECOND(J189),2)&amp;IF(AND(J189&gt;=DATE(YEAR(J189),3,8)+MOD(8-WEEKDAY(DATE(YEAR(J189),3,8)),7)+2/24,J189&lt;DATE(YEAR(J189),11,1)+MOD(8-WEEKDAY(DATE(YEAR(J189),11,1)),7)+2/24),"-04:00","-05:00"))</f>
        <v/>
      </c>
      <c r="D189" s="60">
        <f>IF(G189="","",INDEX(Leads!$V$3:$V$1002,MATCH(188,Leads!$BA$3:$BA$1002,0)))</f>
        <v/>
      </c>
      <c r="E189" s="12">
        <f>IF(G189="","","CAD")</f>
        <v/>
      </c>
      <c r="G189" s="7">
        <f>IFERROR(INDEX(Leads!$A$3:$A$1002,MATCH(188,Leads!$BA$3:$BA$1002,0)),"")</f>
        <v/>
      </c>
      <c r="H189" s="7">
        <f>IF(G189="","",INDEX(Leads!$AQ$3:$AQ$1002,MATCH(188,Leads!$BA$3:$BA$1002,0)))</f>
        <v/>
      </c>
      <c r="I189" s="7">
        <f>IF(G189="","",INDEX(Leads!$AI$3:$AI$1002,MATCH(188,Leads!$BA$3:$BA$1002,0))&amp;"")</f>
        <v/>
      </c>
      <c r="J189" s="61">
        <f>IF(G189="","",INDEX(Leads!$W$3:$W$1002,MATCH(188,Leads!$BA$3:$BA$1002,0)))</f>
        <v/>
      </c>
    </row>
    <row r="190">
      <c r="A190" s="12">
        <f>IF(G190="","",INDEX(Leads!$AC$3:$AC$1002,MATCH(189,Leads!$BA$3:$BA$1002,0)))</f>
        <v/>
      </c>
      <c r="B190" s="12">
        <f>IF(G190="","","depot_paye")</f>
        <v/>
      </c>
      <c r="C190" s="12">
        <f>IF(G190="","",YEAR(J190)&amp;"-"&amp;RIGHT("0"&amp;MONTH(J190),2)&amp;"-"&amp;RIGHT("0"&amp;DAY(J190),2)&amp;" "&amp;RIGHT("0"&amp;HOUR(J190),2)&amp;":"&amp;RIGHT("0"&amp;MINUTE(J190),2)&amp;":"&amp;RIGHT("0"&amp;SECOND(J190),2)&amp;IF(AND(J190&gt;=DATE(YEAR(J190),3,8)+MOD(8-WEEKDAY(DATE(YEAR(J190),3,8)),7)+2/24,J190&lt;DATE(YEAR(J190),11,1)+MOD(8-WEEKDAY(DATE(YEAR(J190),11,1)),7)+2/24),"-04:00","-05:00"))</f>
        <v/>
      </c>
      <c r="D190" s="60">
        <f>IF(G190="","",INDEX(Leads!$V$3:$V$1002,MATCH(189,Leads!$BA$3:$BA$1002,0)))</f>
        <v/>
      </c>
      <c r="E190" s="12">
        <f>IF(G190="","","CAD")</f>
        <v/>
      </c>
      <c r="G190" s="7">
        <f>IFERROR(INDEX(Leads!$A$3:$A$1002,MATCH(189,Leads!$BA$3:$BA$1002,0)),"")</f>
        <v/>
      </c>
      <c r="H190" s="7">
        <f>IF(G190="","",INDEX(Leads!$AQ$3:$AQ$1002,MATCH(189,Leads!$BA$3:$BA$1002,0)))</f>
        <v/>
      </c>
      <c r="I190" s="7">
        <f>IF(G190="","",INDEX(Leads!$AI$3:$AI$1002,MATCH(189,Leads!$BA$3:$BA$1002,0))&amp;"")</f>
        <v/>
      </c>
      <c r="J190" s="61">
        <f>IF(G190="","",INDEX(Leads!$W$3:$W$1002,MATCH(189,Leads!$BA$3:$BA$1002,0)))</f>
        <v/>
      </c>
    </row>
    <row r="191">
      <c r="A191" s="12">
        <f>IF(G191="","",INDEX(Leads!$AC$3:$AC$1002,MATCH(190,Leads!$BA$3:$BA$1002,0)))</f>
        <v/>
      </c>
      <c r="B191" s="12">
        <f>IF(G191="","","depot_paye")</f>
        <v/>
      </c>
      <c r="C191" s="12">
        <f>IF(G191="","",YEAR(J191)&amp;"-"&amp;RIGHT("0"&amp;MONTH(J191),2)&amp;"-"&amp;RIGHT("0"&amp;DAY(J191),2)&amp;" "&amp;RIGHT("0"&amp;HOUR(J191),2)&amp;":"&amp;RIGHT("0"&amp;MINUTE(J191),2)&amp;":"&amp;RIGHT("0"&amp;SECOND(J191),2)&amp;IF(AND(J191&gt;=DATE(YEAR(J191),3,8)+MOD(8-WEEKDAY(DATE(YEAR(J191),3,8)),7)+2/24,J191&lt;DATE(YEAR(J191),11,1)+MOD(8-WEEKDAY(DATE(YEAR(J191),11,1)),7)+2/24),"-04:00","-05:00"))</f>
        <v/>
      </c>
      <c r="D191" s="60">
        <f>IF(G191="","",INDEX(Leads!$V$3:$V$1002,MATCH(190,Leads!$BA$3:$BA$1002,0)))</f>
        <v/>
      </c>
      <c r="E191" s="12">
        <f>IF(G191="","","CAD")</f>
        <v/>
      </c>
      <c r="G191" s="7">
        <f>IFERROR(INDEX(Leads!$A$3:$A$1002,MATCH(190,Leads!$BA$3:$BA$1002,0)),"")</f>
        <v/>
      </c>
      <c r="H191" s="7">
        <f>IF(G191="","",INDEX(Leads!$AQ$3:$AQ$1002,MATCH(190,Leads!$BA$3:$BA$1002,0)))</f>
        <v/>
      </c>
      <c r="I191" s="7">
        <f>IF(G191="","",INDEX(Leads!$AI$3:$AI$1002,MATCH(190,Leads!$BA$3:$BA$1002,0))&amp;"")</f>
        <v/>
      </c>
      <c r="J191" s="61">
        <f>IF(G191="","",INDEX(Leads!$W$3:$W$1002,MATCH(190,Leads!$BA$3:$BA$1002,0)))</f>
        <v/>
      </c>
    </row>
    <row r="192">
      <c r="A192" s="12">
        <f>IF(G192="","",INDEX(Leads!$AC$3:$AC$1002,MATCH(191,Leads!$BA$3:$BA$1002,0)))</f>
        <v/>
      </c>
      <c r="B192" s="12">
        <f>IF(G192="","","depot_paye")</f>
        <v/>
      </c>
      <c r="C192" s="12">
        <f>IF(G192="","",YEAR(J192)&amp;"-"&amp;RIGHT("0"&amp;MONTH(J192),2)&amp;"-"&amp;RIGHT("0"&amp;DAY(J192),2)&amp;" "&amp;RIGHT("0"&amp;HOUR(J192),2)&amp;":"&amp;RIGHT("0"&amp;MINUTE(J192),2)&amp;":"&amp;RIGHT("0"&amp;SECOND(J192),2)&amp;IF(AND(J192&gt;=DATE(YEAR(J192),3,8)+MOD(8-WEEKDAY(DATE(YEAR(J192),3,8)),7)+2/24,J192&lt;DATE(YEAR(J192),11,1)+MOD(8-WEEKDAY(DATE(YEAR(J192),11,1)),7)+2/24),"-04:00","-05:00"))</f>
        <v/>
      </c>
      <c r="D192" s="60">
        <f>IF(G192="","",INDEX(Leads!$V$3:$V$1002,MATCH(191,Leads!$BA$3:$BA$1002,0)))</f>
        <v/>
      </c>
      <c r="E192" s="12">
        <f>IF(G192="","","CAD")</f>
        <v/>
      </c>
      <c r="G192" s="7">
        <f>IFERROR(INDEX(Leads!$A$3:$A$1002,MATCH(191,Leads!$BA$3:$BA$1002,0)),"")</f>
        <v/>
      </c>
      <c r="H192" s="7">
        <f>IF(G192="","",INDEX(Leads!$AQ$3:$AQ$1002,MATCH(191,Leads!$BA$3:$BA$1002,0)))</f>
        <v/>
      </c>
      <c r="I192" s="7">
        <f>IF(G192="","",INDEX(Leads!$AI$3:$AI$1002,MATCH(191,Leads!$BA$3:$BA$1002,0))&amp;"")</f>
        <v/>
      </c>
      <c r="J192" s="61">
        <f>IF(G192="","",INDEX(Leads!$W$3:$W$1002,MATCH(191,Leads!$BA$3:$BA$1002,0)))</f>
        <v/>
      </c>
    </row>
    <row r="193">
      <c r="A193" s="12">
        <f>IF(G193="","",INDEX(Leads!$AC$3:$AC$1002,MATCH(192,Leads!$BA$3:$BA$1002,0)))</f>
        <v/>
      </c>
      <c r="B193" s="12">
        <f>IF(G193="","","depot_paye")</f>
        <v/>
      </c>
      <c r="C193" s="12">
        <f>IF(G193="","",YEAR(J193)&amp;"-"&amp;RIGHT("0"&amp;MONTH(J193),2)&amp;"-"&amp;RIGHT("0"&amp;DAY(J193),2)&amp;" "&amp;RIGHT("0"&amp;HOUR(J193),2)&amp;":"&amp;RIGHT("0"&amp;MINUTE(J193),2)&amp;":"&amp;RIGHT("0"&amp;SECOND(J193),2)&amp;IF(AND(J193&gt;=DATE(YEAR(J193),3,8)+MOD(8-WEEKDAY(DATE(YEAR(J193),3,8)),7)+2/24,J193&lt;DATE(YEAR(J193),11,1)+MOD(8-WEEKDAY(DATE(YEAR(J193),11,1)),7)+2/24),"-04:00","-05:00"))</f>
        <v/>
      </c>
      <c r="D193" s="60">
        <f>IF(G193="","",INDEX(Leads!$V$3:$V$1002,MATCH(192,Leads!$BA$3:$BA$1002,0)))</f>
        <v/>
      </c>
      <c r="E193" s="12">
        <f>IF(G193="","","CAD")</f>
        <v/>
      </c>
      <c r="G193" s="7">
        <f>IFERROR(INDEX(Leads!$A$3:$A$1002,MATCH(192,Leads!$BA$3:$BA$1002,0)),"")</f>
        <v/>
      </c>
      <c r="H193" s="7">
        <f>IF(G193="","",INDEX(Leads!$AQ$3:$AQ$1002,MATCH(192,Leads!$BA$3:$BA$1002,0)))</f>
        <v/>
      </c>
      <c r="I193" s="7">
        <f>IF(G193="","",INDEX(Leads!$AI$3:$AI$1002,MATCH(192,Leads!$BA$3:$BA$1002,0))&amp;"")</f>
        <v/>
      </c>
      <c r="J193" s="61">
        <f>IF(G193="","",INDEX(Leads!$W$3:$W$1002,MATCH(192,Leads!$BA$3:$BA$1002,0)))</f>
        <v/>
      </c>
    </row>
    <row r="194">
      <c r="A194" s="12">
        <f>IF(G194="","",INDEX(Leads!$AC$3:$AC$1002,MATCH(193,Leads!$BA$3:$BA$1002,0)))</f>
        <v/>
      </c>
      <c r="B194" s="12">
        <f>IF(G194="","","depot_paye")</f>
        <v/>
      </c>
      <c r="C194" s="12">
        <f>IF(G194="","",YEAR(J194)&amp;"-"&amp;RIGHT("0"&amp;MONTH(J194),2)&amp;"-"&amp;RIGHT("0"&amp;DAY(J194),2)&amp;" "&amp;RIGHT("0"&amp;HOUR(J194),2)&amp;":"&amp;RIGHT("0"&amp;MINUTE(J194),2)&amp;":"&amp;RIGHT("0"&amp;SECOND(J194),2)&amp;IF(AND(J194&gt;=DATE(YEAR(J194),3,8)+MOD(8-WEEKDAY(DATE(YEAR(J194),3,8)),7)+2/24,J194&lt;DATE(YEAR(J194),11,1)+MOD(8-WEEKDAY(DATE(YEAR(J194),11,1)),7)+2/24),"-04:00","-05:00"))</f>
        <v/>
      </c>
      <c r="D194" s="60">
        <f>IF(G194="","",INDEX(Leads!$V$3:$V$1002,MATCH(193,Leads!$BA$3:$BA$1002,0)))</f>
        <v/>
      </c>
      <c r="E194" s="12">
        <f>IF(G194="","","CAD")</f>
        <v/>
      </c>
      <c r="G194" s="7">
        <f>IFERROR(INDEX(Leads!$A$3:$A$1002,MATCH(193,Leads!$BA$3:$BA$1002,0)),"")</f>
        <v/>
      </c>
      <c r="H194" s="7">
        <f>IF(G194="","",INDEX(Leads!$AQ$3:$AQ$1002,MATCH(193,Leads!$BA$3:$BA$1002,0)))</f>
        <v/>
      </c>
      <c r="I194" s="7">
        <f>IF(G194="","",INDEX(Leads!$AI$3:$AI$1002,MATCH(193,Leads!$BA$3:$BA$1002,0))&amp;"")</f>
        <v/>
      </c>
      <c r="J194" s="61">
        <f>IF(G194="","",INDEX(Leads!$W$3:$W$1002,MATCH(193,Leads!$BA$3:$BA$1002,0)))</f>
        <v/>
      </c>
    </row>
    <row r="195">
      <c r="A195" s="12">
        <f>IF(G195="","",INDEX(Leads!$AC$3:$AC$1002,MATCH(194,Leads!$BA$3:$BA$1002,0)))</f>
        <v/>
      </c>
      <c r="B195" s="12">
        <f>IF(G195="","","depot_paye")</f>
        <v/>
      </c>
      <c r="C195" s="12">
        <f>IF(G195="","",YEAR(J195)&amp;"-"&amp;RIGHT("0"&amp;MONTH(J195),2)&amp;"-"&amp;RIGHT("0"&amp;DAY(J195),2)&amp;" "&amp;RIGHT("0"&amp;HOUR(J195),2)&amp;":"&amp;RIGHT("0"&amp;MINUTE(J195),2)&amp;":"&amp;RIGHT("0"&amp;SECOND(J195),2)&amp;IF(AND(J195&gt;=DATE(YEAR(J195),3,8)+MOD(8-WEEKDAY(DATE(YEAR(J195),3,8)),7)+2/24,J195&lt;DATE(YEAR(J195),11,1)+MOD(8-WEEKDAY(DATE(YEAR(J195),11,1)),7)+2/24),"-04:00","-05:00"))</f>
        <v/>
      </c>
      <c r="D195" s="60">
        <f>IF(G195="","",INDEX(Leads!$V$3:$V$1002,MATCH(194,Leads!$BA$3:$BA$1002,0)))</f>
        <v/>
      </c>
      <c r="E195" s="12">
        <f>IF(G195="","","CAD")</f>
        <v/>
      </c>
      <c r="G195" s="7">
        <f>IFERROR(INDEX(Leads!$A$3:$A$1002,MATCH(194,Leads!$BA$3:$BA$1002,0)),"")</f>
        <v/>
      </c>
      <c r="H195" s="7">
        <f>IF(G195="","",INDEX(Leads!$AQ$3:$AQ$1002,MATCH(194,Leads!$BA$3:$BA$1002,0)))</f>
        <v/>
      </c>
      <c r="I195" s="7">
        <f>IF(G195="","",INDEX(Leads!$AI$3:$AI$1002,MATCH(194,Leads!$BA$3:$BA$1002,0))&amp;"")</f>
        <v/>
      </c>
      <c r="J195" s="61">
        <f>IF(G195="","",INDEX(Leads!$W$3:$W$1002,MATCH(194,Leads!$BA$3:$BA$1002,0)))</f>
        <v/>
      </c>
    </row>
    <row r="196">
      <c r="A196" s="12">
        <f>IF(G196="","",INDEX(Leads!$AC$3:$AC$1002,MATCH(195,Leads!$BA$3:$BA$1002,0)))</f>
        <v/>
      </c>
      <c r="B196" s="12">
        <f>IF(G196="","","depot_paye")</f>
        <v/>
      </c>
      <c r="C196" s="12">
        <f>IF(G196="","",YEAR(J196)&amp;"-"&amp;RIGHT("0"&amp;MONTH(J196),2)&amp;"-"&amp;RIGHT("0"&amp;DAY(J196),2)&amp;" "&amp;RIGHT("0"&amp;HOUR(J196),2)&amp;":"&amp;RIGHT("0"&amp;MINUTE(J196),2)&amp;":"&amp;RIGHT("0"&amp;SECOND(J196),2)&amp;IF(AND(J196&gt;=DATE(YEAR(J196),3,8)+MOD(8-WEEKDAY(DATE(YEAR(J196),3,8)),7)+2/24,J196&lt;DATE(YEAR(J196),11,1)+MOD(8-WEEKDAY(DATE(YEAR(J196),11,1)),7)+2/24),"-04:00","-05:00"))</f>
        <v/>
      </c>
      <c r="D196" s="60">
        <f>IF(G196="","",INDEX(Leads!$V$3:$V$1002,MATCH(195,Leads!$BA$3:$BA$1002,0)))</f>
        <v/>
      </c>
      <c r="E196" s="12">
        <f>IF(G196="","","CAD")</f>
        <v/>
      </c>
      <c r="G196" s="7">
        <f>IFERROR(INDEX(Leads!$A$3:$A$1002,MATCH(195,Leads!$BA$3:$BA$1002,0)),"")</f>
        <v/>
      </c>
      <c r="H196" s="7">
        <f>IF(G196="","",INDEX(Leads!$AQ$3:$AQ$1002,MATCH(195,Leads!$BA$3:$BA$1002,0)))</f>
        <v/>
      </c>
      <c r="I196" s="7">
        <f>IF(G196="","",INDEX(Leads!$AI$3:$AI$1002,MATCH(195,Leads!$BA$3:$BA$1002,0))&amp;"")</f>
        <v/>
      </c>
      <c r="J196" s="61">
        <f>IF(G196="","",INDEX(Leads!$W$3:$W$1002,MATCH(195,Leads!$BA$3:$BA$1002,0)))</f>
        <v/>
      </c>
    </row>
    <row r="197">
      <c r="A197" s="12">
        <f>IF(G197="","",INDEX(Leads!$AC$3:$AC$1002,MATCH(196,Leads!$BA$3:$BA$1002,0)))</f>
        <v/>
      </c>
      <c r="B197" s="12">
        <f>IF(G197="","","depot_paye")</f>
        <v/>
      </c>
      <c r="C197" s="12">
        <f>IF(G197="","",YEAR(J197)&amp;"-"&amp;RIGHT("0"&amp;MONTH(J197),2)&amp;"-"&amp;RIGHT("0"&amp;DAY(J197),2)&amp;" "&amp;RIGHT("0"&amp;HOUR(J197),2)&amp;":"&amp;RIGHT("0"&amp;MINUTE(J197),2)&amp;":"&amp;RIGHT("0"&amp;SECOND(J197),2)&amp;IF(AND(J197&gt;=DATE(YEAR(J197),3,8)+MOD(8-WEEKDAY(DATE(YEAR(J197),3,8)),7)+2/24,J197&lt;DATE(YEAR(J197),11,1)+MOD(8-WEEKDAY(DATE(YEAR(J197),11,1)),7)+2/24),"-04:00","-05:00"))</f>
        <v/>
      </c>
      <c r="D197" s="60">
        <f>IF(G197="","",INDEX(Leads!$V$3:$V$1002,MATCH(196,Leads!$BA$3:$BA$1002,0)))</f>
        <v/>
      </c>
      <c r="E197" s="12">
        <f>IF(G197="","","CAD")</f>
        <v/>
      </c>
      <c r="G197" s="7">
        <f>IFERROR(INDEX(Leads!$A$3:$A$1002,MATCH(196,Leads!$BA$3:$BA$1002,0)),"")</f>
        <v/>
      </c>
      <c r="H197" s="7">
        <f>IF(G197="","",INDEX(Leads!$AQ$3:$AQ$1002,MATCH(196,Leads!$BA$3:$BA$1002,0)))</f>
        <v/>
      </c>
      <c r="I197" s="7">
        <f>IF(G197="","",INDEX(Leads!$AI$3:$AI$1002,MATCH(196,Leads!$BA$3:$BA$1002,0))&amp;"")</f>
        <v/>
      </c>
      <c r="J197" s="61">
        <f>IF(G197="","",INDEX(Leads!$W$3:$W$1002,MATCH(196,Leads!$BA$3:$BA$1002,0)))</f>
        <v/>
      </c>
    </row>
    <row r="198">
      <c r="A198" s="12">
        <f>IF(G198="","",INDEX(Leads!$AC$3:$AC$1002,MATCH(197,Leads!$BA$3:$BA$1002,0)))</f>
        <v/>
      </c>
      <c r="B198" s="12">
        <f>IF(G198="","","depot_paye")</f>
        <v/>
      </c>
      <c r="C198" s="12">
        <f>IF(G198="","",YEAR(J198)&amp;"-"&amp;RIGHT("0"&amp;MONTH(J198),2)&amp;"-"&amp;RIGHT("0"&amp;DAY(J198),2)&amp;" "&amp;RIGHT("0"&amp;HOUR(J198),2)&amp;":"&amp;RIGHT("0"&amp;MINUTE(J198),2)&amp;":"&amp;RIGHT("0"&amp;SECOND(J198),2)&amp;IF(AND(J198&gt;=DATE(YEAR(J198),3,8)+MOD(8-WEEKDAY(DATE(YEAR(J198),3,8)),7)+2/24,J198&lt;DATE(YEAR(J198),11,1)+MOD(8-WEEKDAY(DATE(YEAR(J198),11,1)),7)+2/24),"-04:00","-05:00"))</f>
        <v/>
      </c>
      <c r="D198" s="60">
        <f>IF(G198="","",INDEX(Leads!$V$3:$V$1002,MATCH(197,Leads!$BA$3:$BA$1002,0)))</f>
        <v/>
      </c>
      <c r="E198" s="12">
        <f>IF(G198="","","CAD")</f>
        <v/>
      </c>
      <c r="G198" s="7">
        <f>IFERROR(INDEX(Leads!$A$3:$A$1002,MATCH(197,Leads!$BA$3:$BA$1002,0)),"")</f>
        <v/>
      </c>
      <c r="H198" s="7">
        <f>IF(G198="","",INDEX(Leads!$AQ$3:$AQ$1002,MATCH(197,Leads!$BA$3:$BA$1002,0)))</f>
        <v/>
      </c>
      <c r="I198" s="7">
        <f>IF(G198="","",INDEX(Leads!$AI$3:$AI$1002,MATCH(197,Leads!$BA$3:$BA$1002,0))&amp;"")</f>
        <v/>
      </c>
      <c r="J198" s="61">
        <f>IF(G198="","",INDEX(Leads!$W$3:$W$1002,MATCH(197,Leads!$BA$3:$BA$1002,0)))</f>
        <v/>
      </c>
    </row>
    <row r="199">
      <c r="A199" s="12">
        <f>IF(G199="","",INDEX(Leads!$AC$3:$AC$1002,MATCH(198,Leads!$BA$3:$BA$1002,0)))</f>
        <v/>
      </c>
      <c r="B199" s="12">
        <f>IF(G199="","","depot_paye")</f>
        <v/>
      </c>
      <c r="C199" s="12">
        <f>IF(G199="","",YEAR(J199)&amp;"-"&amp;RIGHT("0"&amp;MONTH(J199),2)&amp;"-"&amp;RIGHT("0"&amp;DAY(J199),2)&amp;" "&amp;RIGHT("0"&amp;HOUR(J199),2)&amp;":"&amp;RIGHT("0"&amp;MINUTE(J199),2)&amp;":"&amp;RIGHT("0"&amp;SECOND(J199),2)&amp;IF(AND(J199&gt;=DATE(YEAR(J199),3,8)+MOD(8-WEEKDAY(DATE(YEAR(J199),3,8)),7)+2/24,J199&lt;DATE(YEAR(J199),11,1)+MOD(8-WEEKDAY(DATE(YEAR(J199),11,1)),7)+2/24),"-04:00","-05:00"))</f>
        <v/>
      </c>
      <c r="D199" s="60">
        <f>IF(G199="","",INDEX(Leads!$V$3:$V$1002,MATCH(198,Leads!$BA$3:$BA$1002,0)))</f>
        <v/>
      </c>
      <c r="E199" s="12">
        <f>IF(G199="","","CAD")</f>
        <v/>
      </c>
      <c r="G199" s="7">
        <f>IFERROR(INDEX(Leads!$A$3:$A$1002,MATCH(198,Leads!$BA$3:$BA$1002,0)),"")</f>
        <v/>
      </c>
      <c r="H199" s="7">
        <f>IF(G199="","",INDEX(Leads!$AQ$3:$AQ$1002,MATCH(198,Leads!$BA$3:$BA$1002,0)))</f>
        <v/>
      </c>
      <c r="I199" s="7">
        <f>IF(G199="","",INDEX(Leads!$AI$3:$AI$1002,MATCH(198,Leads!$BA$3:$BA$1002,0))&amp;"")</f>
        <v/>
      </c>
      <c r="J199" s="61">
        <f>IF(G199="","",INDEX(Leads!$W$3:$W$1002,MATCH(198,Leads!$BA$3:$BA$1002,0)))</f>
        <v/>
      </c>
    </row>
    <row r="200">
      <c r="A200" s="12">
        <f>IF(G200="","",INDEX(Leads!$AC$3:$AC$1002,MATCH(199,Leads!$BA$3:$BA$1002,0)))</f>
        <v/>
      </c>
      <c r="B200" s="12">
        <f>IF(G200="","","depot_paye")</f>
        <v/>
      </c>
      <c r="C200" s="12">
        <f>IF(G200="","",YEAR(J200)&amp;"-"&amp;RIGHT("0"&amp;MONTH(J200),2)&amp;"-"&amp;RIGHT("0"&amp;DAY(J200),2)&amp;" "&amp;RIGHT("0"&amp;HOUR(J200),2)&amp;":"&amp;RIGHT("0"&amp;MINUTE(J200),2)&amp;":"&amp;RIGHT("0"&amp;SECOND(J200),2)&amp;IF(AND(J200&gt;=DATE(YEAR(J200),3,8)+MOD(8-WEEKDAY(DATE(YEAR(J200),3,8)),7)+2/24,J200&lt;DATE(YEAR(J200),11,1)+MOD(8-WEEKDAY(DATE(YEAR(J200),11,1)),7)+2/24),"-04:00","-05:00"))</f>
        <v/>
      </c>
      <c r="D200" s="60">
        <f>IF(G200="","",INDEX(Leads!$V$3:$V$1002,MATCH(199,Leads!$BA$3:$BA$1002,0)))</f>
        <v/>
      </c>
      <c r="E200" s="12">
        <f>IF(G200="","","CAD")</f>
        <v/>
      </c>
      <c r="G200" s="7">
        <f>IFERROR(INDEX(Leads!$A$3:$A$1002,MATCH(199,Leads!$BA$3:$BA$1002,0)),"")</f>
        <v/>
      </c>
      <c r="H200" s="7">
        <f>IF(G200="","",INDEX(Leads!$AQ$3:$AQ$1002,MATCH(199,Leads!$BA$3:$BA$1002,0)))</f>
        <v/>
      </c>
      <c r="I200" s="7">
        <f>IF(G200="","",INDEX(Leads!$AI$3:$AI$1002,MATCH(199,Leads!$BA$3:$BA$1002,0))&amp;"")</f>
        <v/>
      </c>
      <c r="J200" s="61">
        <f>IF(G200="","",INDEX(Leads!$W$3:$W$1002,MATCH(199,Leads!$BA$3:$BA$1002,0)))</f>
        <v/>
      </c>
    </row>
    <row r="201">
      <c r="A201" s="12">
        <f>IF(G201="","",INDEX(Leads!$AC$3:$AC$1002,MATCH(200,Leads!$BA$3:$BA$1002,0)))</f>
        <v/>
      </c>
      <c r="B201" s="12">
        <f>IF(G201="","","depot_paye")</f>
        <v/>
      </c>
      <c r="C201" s="12">
        <f>IF(G201="","",YEAR(J201)&amp;"-"&amp;RIGHT("0"&amp;MONTH(J201),2)&amp;"-"&amp;RIGHT("0"&amp;DAY(J201),2)&amp;" "&amp;RIGHT("0"&amp;HOUR(J201),2)&amp;":"&amp;RIGHT("0"&amp;MINUTE(J201),2)&amp;":"&amp;RIGHT("0"&amp;SECOND(J201),2)&amp;IF(AND(J201&gt;=DATE(YEAR(J201),3,8)+MOD(8-WEEKDAY(DATE(YEAR(J201),3,8)),7)+2/24,J201&lt;DATE(YEAR(J201),11,1)+MOD(8-WEEKDAY(DATE(YEAR(J201),11,1)),7)+2/24),"-04:00","-05:00"))</f>
        <v/>
      </c>
      <c r="D201" s="60">
        <f>IF(G201="","",INDEX(Leads!$V$3:$V$1002,MATCH(200,Leads!$BA$3:$BA$1002,0)))</f>
        <v/>
      </c>
      <c r="E201" s="12">
        <f>IF(G201="","","CAD")</f>
        <v/>
      </c>
      <c r="G201" s="7">
        <f>IFERROR(INDEX(Leads!$A$3:$A$1002,MATCH(200,Leads!$BA$3:$BA$1002,0)),"")</f>
        <v/>
      </c>
      <c r="H201" s="7">
        <f>IF(G201="","",INDEX(Leads!$AQ$3:$AQ$1002,MATCH(200,Leads!$BA$3:$BA$1002,0)))</f>
        <v/>
      </c>
      <c r="I201" s="7">
        <f>IF(G201="","",INDEX(Leads!$AI$3:$AI$1002,MATCH(200,Leads!$BA$3:$BA$1002,0))&amp;"")</f>
        <v/>
      </c>
      <c r="J201" s="61">
        <f>IF(G201="","",INDEX(Leads!$W$3:$W$1002,MATCH(200,Leads!$BA$3:$BA$1002,0)))</f>
        <v/>
      </c>
    </row>
    <row r="202">
      <c r="A202" s="12">
        <f>IF(G202="","",INDEX(Leads!$AC$3:$AC$1002,MATCH(201,Leads!$BA$3:$BA$1002,0)))</f>
        <v/>
      </c>
      <c r="B202" s="12">
        <f>IF(G202="","","depot_paye")</f>
        <v/>
      </c>
      <c r="C202" s="12">
        <f>IF(G202="","",YEAR(J202)&amp;"-"&amp;RIGHT("0"&amp;MONTH(J202),2)&amp;"-"&amp;RIGHT("0"&amp;DAY(J202),2)&amp;" "&amp;RIGHT("0"&amp;HOUR(J202),2)&amp;":"&amp;RIGHT("0"&amp;MINUTE(J202),2)&amp;":"&amp;RIGHT("0"&amp;SECOND(J202),2)&amp;IF(AND(J202&gt;=DATE(YEAR(J202),3,8)+MOD(8-WEEKDAY(DATE(YEAR(J202),3,8)),7)+2/24,J202&lt;DATE(YEAR(J202),11,1)+MOD(8-WEEKDAY(DATE(YEAR(J202),11,1)),7)+2/24),"-04:00","-05:00"))</f>
        <v/>
      </c>
      <c r="D202" s="60">
        <f>IF(G202="","",INDEX(Leads!$V$3:$V$1002,MATCH(201,Leads!$BA$3:$BA$1002,0)))</f>
        <v/>
      </c>
      <c r="E202" s="12">
        <f>IF(G202="","","CAD")</f>
        <v/>
      </c>
      <c r="G202" s="7">
        <f>IFERROR(INDEX(Leads!$A$3:$A$1002,MATCH(201,Leads!$BA$3:$BA$1002,0)),"")</f>
        <v/>
      </c>
      <c r="H202" s="7">
        <f>IF(G202="","",INDEX(Leads!$AQ$3:$AQ$1002,MATCH(201,Leads!$BA$3:$BA$1002,0)))</f>
        <v/>
      </c>
      <c r="I202" s="7">
        <f>IF(G202="","",INDEX(Leads!$AI$3:$AI$1002,MATCH(201,Leads!$BA$3:$BA$1002,0))&amp;"")</f>
        <v/>
      </c>
      <c r="J202" s="61">
        <f>IF(G202="","",INDEX(Leads!$W$3:$W$1002,MATCH(201,Leads!$BA$3:$BA$1002,0)))</f>
        <v/>
      </c>
    </row>
    <row r="203">
      <c r="A203" s="12">
        <f>IF(G203="","",INDEX(Leads!$AC$3:$AC$1002,MATCH(202,Leads!$BA$3:$BA$1002,0)))</f>
        <v/>
      </c>
      <c r="B203" s="12">
        <f>IF(G203="","","depot_paye")</f>
        <v/>
      </c>
      <c r="C203" s="12">
        <f>IF(G203="","",YEAR(J203)&amp;"-"&amp;RIGHT("0"&amp;MONTH(J203),2)&amp;"-"&amp;RIGHT("0"&amp;DAY(J203),2)&amp;" "&amp;RIGHT("0"&amp;HOUR(J203),2)&amp;":"&amp;RIGHT("0"&amp;MINUTE(J203),2)&amp;":"&amp;RIGHT("0"&amp;SECOND(J203),2)&amp;IF(AND(J203&gt;=DATE(YEAR(J203),3,8)+MOD(8-WEEKDAY(DATE(YEAR(J203),3,8)),7)+2/24,J203&lt;DATE(YEAR(J203),11,1)+MOD(8-WEEKDAY(DATE(YEAR(J203),11,1)),7)+2/24),"-04:00","-05:00"))</f>
        <v/>
      </c>
      <c r="D203" s="60">
        <f>IF(G203="","",INDEX(Leads!$V$3:$V$1002,MATCH(202,Leads!$BA$3:$BA$1002,0)))</f>
        <v/>
      </c>
      <c r="E203" s="12">
        <f>IF(G203="","","CAD")</f>
        <v/>
      </c>
      <c r="G203" s="7">
        <f>IFERROR(INDEX(Leads!$A$3:$A$1002,MATCH(202,Leads!$BA$3:$BA$1002,0)),"")</f>
        <v/>
      </c>
      <c r="H203" s="7">
        <f>IF(G203="","",INDEX(Leads!$AQ$3:$AQ$1002,MATCH(202,Leads!$BA$3:$BA$1002,0)))</f>
        <v/>
      </c>
      <c r="I203" s="7">
        <f>IF(G203="","",INDEX(Leads!$AI$3:$AI$1002,MATCH(202,Leads!$BA$3:$BA$1002,0))&amp;"")</f>
        <v/>
      </c>
      <c r="J203" s="61">
        <f>IF(G203="","",INDEX(Leads!$W$3:$W$1002,MATCH(202,Leads!$BA$3:$BA$1002,0)))</f>
        <v/>
      </c>
    </row>
    <row r="204">
      <c r="A204" s="12">
        <f>IF(G204="","",INDEX(Leads!$AC$3:$AC$1002,MATCH(203,Leads!$BA$3:$BA$1002,0)))</f>
        <v/>
      </c>
      <c r="B204" s="12">
        <f>IF(G204="","","depot_paye")</f>
        <v/>
      </c>
      <c r="C204" s="12">
        <f>IF(G204="","",YEAR(J204)&amp;"-"&amp;RIGHT("0"&amp;MONTH(J204),2)&amp;"-"&amp;RIGHT("0"&amp;DAY(J204),2)&amp;" "&amp;RIGHT("0"&amp;HOUR(J204),2)&amp;":"&amp;RIGHT("0"&amp;MINUTE(J204),2)&amp;":"&amp;RIGHT("0"&amp;SECOND(J204),2)&amp;IF(AND(J204&gt;=DATE(YEAR(J204),3,8)+MOD(8-WEEKDAY(DATE(YEAR(J204),3,8)),7)+2/24,J204&lt;DATE(YEAR(J204),11,1)+MOD(8-WEEKDAY(DATE(YEAR(J204),11,1)),7)+2/24),"-04:00","-05:00"))</f>
        <v/>
      </c>
      <c r="D204" s="60">
        <f>IF(G204="","",INDEX(Leads!$V$3:$V$1002,MATCH(203,Leads!$BA$3:$BA$1002,0)))</f>
        <v/>
      </c>
      <c r="E204" s="12">
        <f>IF(G204="","","CAD")</f>
        <v/>
      </c>
      <c r="G204" s="7">
        <f>IFERROR(INDEX(Leads!$A$3:$A$1002,MATCH(203,Leads!$BA$3:$BA$1002,0)),"")</f>
        <v/>
      </c>
      <c r="H204" s="7">
        <f>IF(G204="","",INDEX(Leads!$AQ$3:$AQ$1002,MATCH(203,Leads!$BA$3:$BA$1002,0)))</f>
        <v/>
      </c>
      <c r="I204" s="7">
        <f>IF(G204="","",INDEX(Leads!$AI$3:$AI$1002,MATCH(203,Leads!$BA$3:$BA$1002,0))&amp;"")</f>
        <v/>
      </c>
      <c r="J204" s="61">
        <f>IF(G204="","",INDEX(Leads!$W$3:$W$1002,MATCH(203,Leads!$BA$3:$BA$1002,0)))</f>
        <v/>
      </c>
    </row>
    <row r="205">
      <c r="A205" s="12">
        <f>IF(G205="","",INDEX(Leads!$AC$3:$AC$1002,MATCH(204,Leads!$BA$3:$BA$1002,0)))</f>
        <v/>
      </c>
      <c r="B205" s="12">
        <f>IF(G205="","","depot_paye")</f>
        <v/>
      </c>
      <c r="C205" s="12">
        <f>IF(G205="","",YEAR(J205)&amp;"-"&amp;RIGHT("0"&amp;MONTH(J205),2)&amp;"-"&amp;RIGHT("0"&amp;DAY(J205),2)&amp;" "&amp;RIGHT("0"&amp;HOUR(J205),2)&amp;":"&amp;RIGHT("0"&amp;MINUTE(J205),2)&amp;":"&amp;RIGHT("0"&amp;SECOND(J205),2)&amp;IF(AND(J205&gt;=DATE(YEAR(J205),3,8)+MOD(8-WEEKDAY(DATE(YEAR(J205),3,8)),7)+2/24,J205&lt;DATE(YEAR(J205),11,1)+MOD(8-WEEKDAY(DATE(YEAR(J205),11,1)),7)+2/24),"-04:00","-05:00"))</f>
        <v/>
      </c>
      <c r="D205" s="60">
        <f>IF(G205="","",INDEX(Leads!$V$3:$V$1002,MATCH(204,Leads!$BA$3:$BA$1002,0)))</f>
        <v/>
      </c>
      <c r="E205" s="12">
        <f>IF(G205="","","CAD")</f>
        <v/>
      </c>
      <c r="G205" s="7">
        <f>IFERROR(INDEX(Leads!$A$3:$A$1002,MATCH(204,Leads!$BA$3:$BA$1002,0)),"")</f>
        <v/>
      </c>
      <c r="H205" s="7">
        <f>IF(G205="","",INDEX(Leads!$AQ$3:$AQ$1002,MATCH(204,Leads!$BA$3:$BA$1002,0)))</f>
        <v/>
      </c>
      <c r="I205" s="7">
        <f>IF(G205="","",INDEX(Leads!$AI$3:$AI$1002,MATCH(204,Leads!$BA$3:$BA$1002,0))&amp;"")</f>
        <v/>
      </c>
      <c r="J205" s="61">
        <f>IF(G205="","",INDEX(Leads!$W$3:$W$1002,MATCH(204,Leads!$BA$3:$BA$1002,0)))</f>
        <v/>
      </c>
    </row>
    <row r="206">
      <c r="A206" s="12">
        <f>IF(G206="","",INDEX(Leads!$AC$3:$AC$1002,MATCH(205,Leads!$BA$3:$BA$1002,0)))</f>
        <v/>
      </c>
      <c r="B206" s="12">
        <f>IF(G206="","","depot_paye")</f>
        <v/>
      </c>
      <c r="C206" s="12">
        <f>IF(G206="","",YEAR(J206)&amp;"-"&amp;RIGHT("0"&amp;MONTH(J206),2)&amp;"-"&amp;RIGHT("0"&amp;DAY(J206),2)&amp;" "&amp;RIGHT("0"&amp;HOUR(J206),2)&amp;":"&amp;RIGHT("0"&amp;MINUTE(J206),2)&amp;":"&amp;RIGHT("0"&amp;SECOND(J206),2)&amp;IF(AND(J206&gt;=DATE(YEAR(J206),3,8)+MOD(8-WEEKDAY(DATE(YEAR(J206),3,8)),7)+2/24,J206&lt;DATE(YEAR(J206),11,1)+MOD(8-WEEKDAY(DATE(YEAR(J206),11,1)),7)+2/24),"-04:00","-05:00"))</f>
        <v/>
      </c>
      <c r="D206" s="60">
        <f>IF(G206="","",INDEX(Leads!$V$3:$V$1002,MATCH(205,Leads!$BA$3:$BA$1002,0)))</f>
        <v/>
      </c>
      <c r="E206" s="12">
        <f>IF(G206="","","CAD")</f>
        <v/>
      </c>
      <c r="G206" s="7">
        <f>IFERROR(INDEX(Leads!$A$3:$A$1002,MATCH(205,Leads!$BA$3:$BA$1002,0)),"")</f>
        <v/>
      </c>
      <c r="H206" s="7">
        <f>IF(G206="","",INDEX(Leads!$AQ$3:$AQ$1002,MATCH(205,Leads!$BA$3:$BA$1002,0)))</f>
        <v/>
      </c>
      <c r="I206" s="7">
        <f>IF(G206="","",INDEX(Leads!$AI$3:$AI$1002,MATCH(205,Leads!$BA$3:$BA$1002,0))&amp;"")</f>
        <v/>
      </c>
      <c r="J206" s="61">
        <f>IF(G206="","",INDEX(Leads!$W$3:$W$1002,MATCH(205,Leads!$BA$3:$BA$1002,0)))</f>
        <v/>
      </c>
    </row>
    <row r="207">
      <c r="A207" s="12">
        <f>IF(G207="","",INDEX(Leads!$AC$3:$AC$1002,MATCH(206,Leads!$BA$3:$BA$1002,0)))</f>
        <v/>
      </c>
      <c r="B207" s="12">
        <f>IF(G207="","","depot_paye")</f>
        <v/>
      </c>
      <c r="C207" s="12">
        <f>IF(G207="","",YEAR(J207)&amp;"-"&amp;RIGHT("0"&amp;MONTH(J207),2)&amp;"-"&amp;RIGHT("0"&amp;DAY(J207),2)&amp;" "&amp;RIGHT("0"&amp;HOUR(J207),2)&amp;":"&amp;RIGHT("0"&amp;MINUTE(J207),2)&amp;":"&amp;RIGHT("0"&amp;SECOND(J207),2)&amp;IF(AND(J207&gt;=DATE(YEAR(J207),3,8)+MOD(8-WEEKDAY(DATE(YEAR(J207),3,8)),7)+2/24,J207&lt;DATE(YEAR(J207),11,1)+MOD(8-WEEKDAY(DATE(YEAR(J207),11,1)),7)+2/24),"-04:00","-05:00"))</f>
        <v/>
      </c>
      <c r="D207" s="60">
        <f>IF(G207="","",INDEX(Leads!$V$3:$V$1002,MATCH(206,Leads!$BA$3:$BA$1002,0)))</f>
        <v/>
      </c>
      <c r="E207" s="12">
        <f>IF(G207="","","CAD")</f>
        <v/>
      </c>
      <c r="G207" s="7">
        <f>IFERROR(INDEX(Leads!$A$3:$A$1002,MATCH(206,Leads!$BA$3:$BA$1002,0)),"")</f>
        <v/>
      </c>
      <c r="H207" s="7">
        <f>IF(G207="","",INDEX(Leads!$AQ$3:$AQ$1002,MATCH(206,Leads!$BA$3:$BA$1002,0)))</f>
        <v/>
      </c>
      <c r="I207" s="7">
        <f>IF(G207="","",INDEX(Leads!$AI$3:$AI$1002,MATCH(206,Leads!$BA$3:$BA$1002,0))&amp;"")</f>
        <v/>
      </c>
      <c r="J207" s="61">
        <f>IF(G207="","",INDEX(Leads!$W$3:$W$1002,MATCH(206,Leads!$BA$3:$BA$1002,0)))</f>
        <v/>
      </c>
    </row>
    <row r="208">
      <c r="A208" s="12">
        <f>IF(G208="","",INDEX(Leads!$AC$3:$AC$1002,MATCH(207,Leads!$BA$3:$BA$1002,0)))</f>
        <v/>
      </c>
      <c r="B208" s="12">
        <f>IF(G208="","","depot_paye")</f>
        <v/>
      </c>
      <c r="C208" s="12">
        <f>IF(G208="","",YEAR(J208)&amp;"-"&amp;RIGHT("0"&amp;MONTH(J208),2)&amp;"-"&amp;RIGHT("0"&amp;DAY(J208),2)&amp;" "&amp;RIGHT("0"&amp;HOUR(J208),2)&amp;":"&amp;RIGHT("0"&amp;MINUTE(J208),2)&amp;":"&amp;RIGHT("0"&amp;SECOND(J208),2)&amp;IF(AND(J208&gt;=DATE(YEAR(J208),3,8)+MOD(8-WEEKDAY(DATE(YEAR(J208),3,8)),7)+2/24,J208&lt;DATE(YEAR(J208),11,1)+MOD(8-WEEKDAY(DATE(YEAR(J208),11,1)),7)+2/24),"-04:00","-05:00"))</f>
        <v/>
      </c>
      <c r="D208" s="60">
        <f>IF(G208="","",INDEX(Leads!$V$3:$V$1002,MATCH(207,Leads!$BA$3:$BA$1002,0)))</f>
        <v/>
      </c>
      <c r="E208" s="12">
        <f>IF(G208="","","CAD")</f>
        <v/>
      </c>
      <c r="G208" s="7">
        <f>IFERROR(INDEX(Leads!$A$3:$A$1002,MATCH(207,Leads!$BA$3:$BA$1002,0)),"")</f>
        <v/>
      </c>
      <c r="H208" s="7">
        <f>IF(G208="","",INDEX(Leads!$AQ$3:$AQ$1002,MATCH(207,Leads!$BA$3:$BA$1002,0)))</f>
        <v/>
      </c>
      <c r="I208" s="7">
        <f>IF(G208="","",INDEX(Leads!$AI$3:$AI$1002,MATCH(207,Leads!$BA$3:$BA$1002,0))&amp;"")</f>
        <v/>
      </c>
      <c r="J208" s="61">
        <f>IF(G208="","",INDEX(Leads!$W$3:$W$1002,MATCH(207,Leads!$BA$3:$BA$1002,0)))</f>
        <v/>
      </c>
    </row>
    <row r="209">
      <c r="A209" s="12">
        <f>IF(G209="","",INDEX(Leads!$AC$3:$AC$1002,MATCH(208,Leads!$BA$3:$BA$1002,0)))</f>
        <v/>
      </c>
      <c r="B209" s="12">
        <f>IF(G209="","","depot_paye")</f>
        <v/>
      </c>
      <c r="C209" s="12">
        <f>IF(G209="","",YEAR(J209)&amp;"-"&amp;RIGHT("0"&amp;MONTH(J209),2)&amp;"-"&amp;RIGHT("0"&amp;DAY(J209),2)&amp;" "&amp;RIGHT("0"&amp;HOUR(J209),2)&amp;":"&amp;RIGHT("0"&amp;MINUTE(J209),2)&amp;":"&amp;RIGHT("0"&amp;SECOND(J209),2)&amp;IF(AND(J209&gt;=DATE(YEAR(J209),3,8)+MOD(8-WEEKDAY(DATE(YEAR(J209),3,8)),7)+2/24,J209&lt;DATE(YEAR(J209),11,1)+MOD(8-WEEKDAY(DATE(YEAR(J209),11,1)),7)+2/24),"-04:00","-05:00"))</f>
        <v/>
      </c>
      <c r="D209" s="60">
        <f>IF(G209="","",INDEX(Leads!$V$3:$V$1002,MATCH(208,Leads!$BA$3:$BA$1002,0)))</f>
        <v/>
      </c>
      <c r="E209" s="12">
        <f>IF(G209="","","CAD")</f>
        <v/>
      </c>
      <c r="G209" s="7">
        <f>IFERROR(INDEX(Leads!$A$3:$A$1002,MATCH(208,Leads!$BA$3:$BA$1002,0)),"")</f>
        <v/>
      </c>
      <c r="H209" s="7">
        <f>IF(G209="","",INDEX(Leads!$AQ$3:$AQ$1002,MATCH(208,Leads!$BA$3:$BA$1002,0)))</f>
        <v/>
      </c>
      <c r="I209" s="7">
        <f>IF(G209="","",INDEX(Leads!$AI$3:$AI$1002,MATCH(208,Leads!$BA$3:$BA$1002,0))&amp;"")</f>
        <v/>
      </c>
      <c r="J209" s="61">
        <f>IF(G209="","",INDEX(Leads!$W$3:$W$1002,MATCH(208,Leads!$BA$3:$BA$1002,0)))</f>
        <v/>
      </c>
    </row>
    <row r="210">
      <c r="A210" s="12">
        <f>IF(G210="","",INDEX(Leads!$AC$3:$AC$1002,MATCH(209,Leads!$BA$3:$BA$1002,0)))</f>
        <v/>
      </c>
      <c r="B210" s="12">
        <f>IF(G210="","","depot_paye")</f>
        <v/>
      </c>
      <c r="C210" s="12">
        <f>IF(G210="","",YEAR(J210)&amp;"-"&amp;RIGHT("0"&amp;MONTH(J210),2)&amp;"-"&amp;RIGHT("0"&amp;DAY(J210),2)&amp;" "&amp;RIGHT("0"&amp;HOUR(J210),2)&amp;":"&amp;RIGHT("0"&amp;MINUTE(J210),2)&amp;":"&amp;RIGHT("0"&amp;SECOND(J210),2)&amp;IF(AND(J210&gt;=DATE(YEAR(J210),3,8)+MOD(8-WEEKDAY(DATE(YEAR(J210),3,8)),7)+2/24,J210&lt;DATE(YEAR(J210),11,1)+MOD(8-WEEKDAY(DATE(YEAR(J210),11,1)),7)+2/24),"-04:00","-05:00"))</f>
        <v/>
      </c>
      <c r="D210" s="60">
        <f>IF(G210="","",INDEX(Leads!$V$3:$V$1002,MATCH(209,Leads!$BA$3:$BA$1002,0)))</f>
        <v/>
      </c>
      <c r="E210" s="12">
        <f>IF(G210="","","CAD")</f>
        <v/>
      </c>
      <c r="G210" s="7">
        <f>IFERROR(INDEX(Leads!$A$3:$A$1002,MATCH(209,Leads!$BA$3:$BA$1002,0)),"")</f>
        <v/>
      </c>
      <c r="H210" s="7">
        <f>IF(G210="","",INDEX(Leads!$AQ$3:$AQ$1002,MATCH(209,Leads!$BA$3:$BA$1002,0)))</f>
        <v/>
      </c>
      <c r="I210" s="7">
        <f>IF(G210="","",INDEX(Leads!$AI$3:$AI$1002,MATCH(209,Leads!$BA$3:$BA$1002,0))&amp;"")</f>
        <v/>
      </c>
      <c r="J210" s="61">
        <f>IF(G210="","",INDEX(Leads!$W$3:$W$1002,MATCH(209,Leads!$BA$3:$BA$1002,0)))</f>
        <v/>
      </c>
    </row>
    <row r="211">
      <c r="A211" s="12">
        <f>IF(G211="","",INDEX(Leads!$AC$3:$AC$1002,MATCH(210,Leads!$BA$3:$BA$1002,0)))</f>
        <v/>
      </c>
      <c r="B211" s="12">
        <f>IF(G211="","","depot_paye")</f>
        <v/>
      </c>
      <c r="C211" s="12">
        <f>IF(G211="","",YEAR(J211)&amp;"-"&amp;RIGHT("0"&amp;MONTH(J211),2)&amp;"-"&amp;RIGHT("0"&amp;DAY(J211),2)&amp;" "&amp;RIGHT("0"&amp;HOUR(J211),2)&amp;":"&amp;RIGHT("0"&amp;MINUTE(J211),2)&amp;":"&amp;RIGHT("0"&amp;SECOND(J211),2)&amp;IF(AND(J211&gt;=DATE(YEAR(J211),3,8)+MOD(8-WEEKDAY(DATE(YEAR(J211),3,8)),7)+2/24,J211&lt;DATE(YEAR(J211),11,1)+MOD(8-WEEKDAY(DATE(YEAR(J211),11,1)),7)+2/24),"-04:00","-05:00"))</f>
        <v/>
      </c>
      <c r="D211" s="60">
        <f>IF(G211="","",INDEX(Leads!$V$3:$V$1002,MATCH(210,Leads!$BA$3:$BA$1002,0)))</f>
        <v/>
      </c>
      <c r="E211" s="12">
        <f>IF(G211="","","CAD")</f>
        <v/>
      </c>
      <c r="G211" s="7">
        <f>IFERROR(INDEX(Leads!$A$3:$A$1002,MATCH(210,Leads!$BA$3:$BA$1002,0)),"")</f>
        <v/>
      </c>
      <c r="H211" s="7">
        <f>IF(G211="","",INDEX(Leads!$AQ$3:$AQ$1002,MATCH(210,Leads!$BA$3:$BA$1002,0)))</f>
        <v/>
      </c>
      <c r="I211" s="7">
        <f>IF(G211="","",INDEX(Leads!$AI$3:$AI$1002,MATCH(210,Leads!$BA$3:$BA$1002,0))&amp;"")</f>
        <v/>
      </c>
      <c r="J211" s="61">
        <f>IF(G211="","",INDEX(Leads!$W$3:$W$1002,MATCH(210,Leads!$BA$3:$BA$1002,0)))</f>
        <v/>
      </c>
    </row>
    <row r="212">
      <c r="A212" s="12">
        <f>IF(G212="","",INDEX(Leads!$AC$3:$AC$1002,MATCH(211,Leads!$BA$3:$BA$1002,0)))</f>
        <v/>
      </c>
      <c r="B212" s="12">
        <f>IF(G212="","","depot_paye")</f>
        <v/>
      </c>
      <c r="C212" s="12">
        <f>IF(G212="","",YEAR(J212)&amp;"-"&amp;RIGHT("0"&amp;MONTH(J212),2)&amp;"-"&amp;RIGHT("0"&amp;DAY(J212),2)&amp;" "&amp;RIGHT("0"&amp;HOUR(J212),2)&amp;":"&amp;RIGHT("0"&amp;MINUTE(J212),2)&amp;":"&amp;RIGHT("0"&amp;SECOND(J212),2)&amp;IF(AND(J212&gt;=DATE(YEAR(J212),3,8)+MOD(8-WEEKDAY(DATE(YEAR(J212),3,8)),7)+2/24,J212&lt;DATE(YEAR(J212),11,1)+MOD(8-WEEKDAY(DATE(YEAR(J212),11,1)),7)+2/24),"-04:00","-05:00"))</f>
        <v/>
      </c>
      <c r="D212" s="60">
        <f>IF(G212="","",INDEX(Leads!$V$3:$V$1002,MATCH(211,Leads!$BA$3:$BA$1002,0)))</f>
        <v/>
      </c>
      <c r="E212" s="12">
        <f>IF(G212="","","CAD")</f>
        <v/>
      </c>
      <c r="G212" s="7">
        <f>IFERROR(INDEX(Leads!$A$3:$A$1002,MATCH(211,Leads!$BA$3:$BA$1002,0)),"")</f>
        <v/>
      </c>
      <c r="H212" s="7">
        <f>IF(G212="","",INDEX(Leads!$AQ$3:$AQ$1002,MATCH(211,Leads!$BA$3:$BA$1002,0)))</f>
        <v/>
      </c>
      <c r="I212" s="7">
        <f>IF(G212="","",INDEX(Leads!$AI$3:$AI$1002,MATCH(211,Leads!$BA$3:$BA$1002,0))&amp;"")</f>
        <v/>
      </c>
      <c r="J212" s="61">
        <f>IF(G212="","",INDEX(Leads!$W$3:$W$1002,MATCH(211,Leads!$BA$3:$BA$1002,0)))</f>
        <v/>
      </c>
    </row>
    <row r="213">
      <c r="A213" s="12">
        <f>IF(G213="","",INDEX(Leads!$AC$3:$AC$1002,MATCH(212,Leads!$BA$3:$BA$1002,0)))</f>
        <v/>
      </c>
      <c r="B213" s="12">
        <f>IF(G213="","","depot_paye")</f>
        <v/>
      </c>
      <c r="C213" s="12">
        <f>IF(G213="","",YEAR(J213)&amp;"-"&amp;RIGHT("0"&amp;MONTH(J213),2)&amp;"-"&amp;RIGHT("0"&amp;DAY(J213),2)&amp;" "&amp;RIGHT("0"&amp;HOUR(J213),2)&amp;":"&amp;RIGHT("0"&amp;MINUTE(J213),2)&amp;":"&amp;RIGHT("0"&amp;SECOND(J213),2)&amp;IF(AND(J213&gt;=DATE(YEAR(J213),3,8)+MOD(8-WEEKDAY(DATE(YEAR(J213),3,8)),7)+2/24,J213&lt;DATE(YEAR(J213),11,1)+MOD(8-WEEKDAY(DATE(YEAR(J213),11,1)),7)+2/24),"-04:00","-05:00"))</f>
        <v/>
      </c>
      <c r="D213" s="60">
        <f>IF(G213="","",INDEX(Leads!$V$3:$V$1002,MATCH(212,Leads!$BA$3:$BA$1002,0)))</f>
        <v/>
      </c>
      <c r="E213" s="12">
        <f>IF(G213="","","CAD")</f>
        <v/>
      </c>
      <c r="G213" s="7">
        <f>IFERROR(INDEX(Leads!$A$3:$A$1002,MATCH(212,Leads!$BA$3:$BA$1002,0)),"")</f>
        <v/>
      </c>
      <c r="H213" s="7">
        <f>IF(G213="","",INDEX(Leads!$AQ$3:$AQ$1002,MATCH(212,Leads!$BA$3:$BA$1002,0)))</f>
        <v/>
      </c>
      <c r="I213" s="7">
        <f>IF(G213="","",INDEX(Leads!$AI$3:$AI$1002,MATCH(212,Leads!$BA$3:$BA$1002,0))&amp;"")</f>
        <v/>
      </c>
      <c r="J213" s="61">
        <f>IF(G213="","",INDEX(Leads!$W$3:$W$1002,MATCH(212,Leads!$BA$3:$BA$1002,0)))</f>
        <v/>
      </c>
    </row>
    <row r="214">
      <c r="A214" s="12">
        <f>IF(G214="","",INDEX(Leads!$AC$3:$AC$1002,MATCH(213,Leads!$BA$3:$BA$1002,0)))</f>
        <v/>
      </c>
      <c r="B214" s="12">
        <f>IF(G214="","","depot_paye")</f>
        <v/>
      </c>
      <c r="C214" s="12">
        <f>IF(G214="","",YEAR(J214)&amp;"-"&amp;RIGHT("0"&amp;MONTH(J214),2)&amp;"-"&amp;RIGHT("0"&amp;DAY(J214),2)&amp;" "&amp;RIGHT("0"&amp;HOUR(J214),2)&amp;":"&amp;RIGHT("0"&amp;MINUTE(J214),2)&amp;":"&amp;RIGHT("0"&amp;SECOND(J214),2)&amp;IF(AND(J214&gt;=DATE(YEAR(J214),3,8)+MOD(8-WEEKDAY(DATE(YEAR(J214),3,8)),7)+2/24,J214&lt;DATE(YEAR(J214),11,1)+MOD(8-WEEKDAY(DATE(YEAR(J214),11,1)),7)+2/24),"-04:00","-05:00"))</f>
        <v/>
      </c>
      <c r="D214" s="60">
        <f>IF(G214="","",INDEX(Leads!$V$3:$V$1002,MATCH(213,Leads!$BA$3:$BA$1002,0)))</f>
        <v/>
      </c>
      <c r="E214" s="12">
        <f>IF(G214="","","CAD")</f>
        <v/>
      </c>
      <c r="G214" s="7">
        <f>IFERROR(INDEX(Leads!$A$3:$A$1002,MATCH(213,Leads!$BA$3:$BA$1002,0)),"")</f>
        <v/>
      </c>
      <c r="H214" s="7">
        <f>IF(G214="","",INDEX(Leads!$AQ$3:$AQ$1002,MATCH(213,Leads!$BA$3:$BA$1002,0)))</f>
        <v/>
      </c>
      <c r="I214" s="7">
        <f>IF(G214="","",INDEX(Leads!$AI$3:$AI$1002,MATCH(213,Leads!$BA$3:$BA$1002,0))&amp;"")</f>
        <v/>
      </c>
      <c r="J214" s="61">
        <f>IF(G214="","",INDEX(Leads!$W$3:$W$1002,MATCH(213,Leads!$BA$3:$BA$1002,0)))</f>
        <v/>
      </c>
    </row>
    <row r="215">
      <c r="A215" s="12">
        <f>IF(G215="","",INDEX(Leads!$AC$3:$AC$1002,MATCH(214,Leads!$BA$3:$BA$1002,0)))</f>
        <v/>
      </c>
      <c r="B215" s="12">
        <f>IF(G215="","","depot_paye")</f>
        <v/>
      </c>
      <c r="C215" s="12">
        <f>IF(G215="","",YEAR(J215)&amp;"-"&amp;RIGHT("0"&amp;MONTH(J215),2)&amp;"-"&amp;RIGHT("0"&amp;DAY(J215),2)&amp;" "&amp;RIGHT("0"&amp;HOUR(J215),2)&amp;":"&amp;RIGHT("0"&amp;MINUTE(J215),2)&amp;":"&amp;RIGHT("0"&amp;SECOND(J215),2)&amp;IF(AND(J215&gt;=DATE(YEAR(J215),3,8)+MOD(8-WEEKDAY(DATE(YEAR(J215),3,8)),7)+2/24,J215&lt;DATE(YEAR(J215),11,1)+MOD(8-WEEKDAY(DATE(YEAR(J215),11,1)),7)+2/24),"-04:00","-05:00"))</f>
        <v/>
      </c>
      <c r="D215" s="60">
        <f>IF(G215="","",INDEX(Leads!$V$3:$V$1002,MATCH(214,Leads!$BA$3:$BA$1002,0)))</f>
        <v/>
      </c>
      <c r="E215" s="12">
        <f>IF(G215="","","CAD")</f>
        <v/>
      </c>
      <c r="G215" s="7">
        <f>IFERROR(INDEX(Leads!$A$3:$A$1002,MATCH(214,Leads!$BA$3:$BA$1002,0)),"")</f>
        <v/>
      </c>
      <c r="H215" s="7">
        <f>IF(G215="","",INDEX(Leads!$AQ$3:$AQ$1002,MATCH(214,Leads!$BA$3:$BA$1002,0)))</f>
        <v/>
      </c>
      <c r="I215" s="7">
        <f>IF(G215="","",INDEX(Leads!$AI$3:$AI$1002,MATCH(214,Leads!$BA$3:$BA$1002,0))&amp;"")</f>
        <v/>
      </c>
      <c r="J215" s="61">
        <f>IF(G215="","",INDEX(Leads!$W$3:$W$1002,MATCH(214,Leads!$BA$3:$BA$1002,0)))</f>
        <v/>
      </c>
    </row>
    <row r="216">
      <c r="A216" s="12">
        <f>IF(G216="","",INDEX(Leads!$AC$3:$AC$1002,MATCH(215,Leads!$BA$3:$BA$1002,0)))</f>
        <v/>
      </c>
      <c r="B216" s="12">
        <f>IF(G216="","","depot_paye")</f>
        <v/>
      </c>
      <c r="C216" s="12">
        <f>IF(G216="","",YEAR(J216)&amp;"-"&amp;RIGHT("0"&amp;MONTH(J216),2)&amp;"-"&amp;RIGHT("0"&amp;DAY(J216),2)&amp;" "&amp;RIGHT("0"&amp;HOUR(J216),2)&amp;":"&amp;RIGHT("0"&amp;MINUTE(J216),2)&amp;":"&amp;RIGHT("0"&amp;SECOND(J216),2)&amp;IF(AND(J216&gt;=DATE(YEAR(J216),3,8)+MOD(8-WEEKDAY(DATE(YEAR(J216),3,8)),7)+2/24,J216&lt;DATE(YEAR(J216),11,1)+MOD(8-WEEKDAY(DATE(YEAR(J216),11,1)),7)+2/24),"-04:00","-05:00"))</f>
        <v/>
      </c>
      <c r="D216" s="60">
        <f>IF(G216="","",INDEX(Leads!$V$3:$V$1002,MATCH(215,Leads!$BA$3:$BA$1002,0)))</f>
        <v/>
      </c>
      <c r="E216" s="12">
        <f>IF(G216="","","CAD")</f>
        <v/>
      </c>
      <c r="G216" s="7">
        <f>IFERROR(INDEX(Leads!$A$3:$A$1002,MATCH(215,Leads!$BA$3:$BA$1002,0)),"")</f>
        <v/>
      </c>
      <c r="H216" s="7">
        <f>IF(G216="","",INDEX(Leads!$AQ$3:$AQ$1002,MATCH(215,Leads!$BA$3:$BA$1002,0)))</f>
        <v/>
      </c>
      <c r="I216" s="7">
        <f>IF(G216="","",INDEX(Leads!$AI$3:$AI$1002,MATCH(215,Leads!$BA$3:$BA$1002,0))&amp;"")</f>
        <v/>
      </c>
      <c r="J216" s="61">
        <f>IF(G216="","",INDEX(Leads!$W$3:$W$1002,MATCH(215,Leads!$BA$3:$BA$1002,0)))</f>
        <v/>
      </c>
    </row>
    <row r="217">
      <c r="A217" s="12">
        <f>IF(G217="","",INDEX(Leads!$AC$3:$AC$1002,MATCH(216,Leads!$BA$3:$BA$1002,0)))</f>
        <v/>
      </c>
      <c r="B217" s="12">
        <f>IF(G217="","","depot_paye")</f>
        <v/>
      </c>
      <c r="C217" s="12">
        <f>IF(G217="","",YEAR(J217)&amp;"-"&amp;RIGHT("0"&amp;MONTH(J217),2)&amp;"-"&amp;RIGHT("0"&amp;DAY(J217),2)&amp;" "&amp;RIGHT("0"&amp;HOUR(J217),2)&amp;":"&amp;RIGHT("0"&amp;MINUTE(J217),2)&amp;":"&amp;RIGHT("0"&amp;SECOND(J217),2)&amp;IF(AND(J217&gt;=DATE(YEAR(J217),3,8)+MOD(8-WEEKDAY(DATE(YEAR(J217),3,8)),7)+2/24,J217&lt;DATE(YEAR(J217),11,1)+MOD(8-WEEKDAY(DATE(YEAR(J217),11,1)),7)+2/24),"-04:00","-05:00"))</f>
        <v/>
      </c>
      <c r="D217" s="60">
        <f>IF(G217="","",INDEX(Leads!$V$3:$V$1002,MATCH(216,Leads!$BA$3:$BA$1002,0)))</f>
        <v/>
      </c>
      <c r="E217" s="12">
        <f>IF(G217="","","CAD")</f>
        <v/>
      </c>
      <c r="G217" s="7">
        <f>IFERROR(INDEX(Leads!$A$3:$A$1002,MATCH(216,Leads!$BA$3:$BA$1002,0)),"")</f>
        <v/>
      </c>
      <c r="H217" s="7">
        <f>IF(G217="","",INDEX(Leads!$AQ$3:$AQ$1002,MATCH(216,Leads!$BA$3:$BA$1002,0)))</f>
        <v/>
      </c>
      <c r="I217" s="7">
        <f>IF(G217="","",INDEX(Leads!$AI$3:$AI$1002,MATCH(216,Leads!$BA$3:$BA$1002,0))&amp;"")</f>
        <v/>
      </c>
      <c r="J217" s="61">
        <f>IF(G217="","",INDEX(Leads!$W$3:$W$1002,MATCH(216,Leads!$BA$3:$BA$1002,0)))</f>
        <v/>
      </c>
    </row>
    <row r="218">
      <c r="A218" s="12">
        <f>IF(G218="","",INDEX(Leads!$AC$3:$AC$1002,MATCH(217,Leads!$BA$3:$BA$1002,0)))</f>
        <v/>
      </c>
      <c r="B218" s="12">
        <f>IF(G218="","","depot_paye")</f>
        <v/>
      </c>
      <c r="C218" s="12">
        <f>IF(G218="","",YEAR(J218)&amp;"-"&amp;RIGHT("0"&amp;MONTH(J218),2)&amp;"-"&amp;RIGHT("0"&amp;DAY(J218),2)&amp;" "&amp;RIGHT("0"&amp;HOUR(J218),2)&amp;":"&amp;RIGHT("0"&amp;MINUTE(J218),2)&amp;":"&amp;RIGHT("0"&amp;SECOND(J218),2)&amp;IF(AND(J218&gt;=DATE(YEAR(J218),3,8)+MOD(8-WEEKDAY(DATE(YEAR(J218),3,8)),7)+2/24,J218&lt;DATE(YEAR(J218),11,1)+MOD(8-WEEKDAY(DATE(YEAR(J218),11,1)),7)+2/24),"-04:00","-05:00"))</f>
        <v/>
      </c>
      <c r="D218" s="60">
        <f>IF(G218="","",INDEX(Leads!$V$3:$V$1002,MATCH(217,Leads!$BA$3:$BA$1002,0)))</f>
        <v/>
      </c>
      <c r="E218" s="12">
        <f>IF(G218="","","CAD")</f>
        <v/>
      </c>
      <c r="G218" s="7">
        <f>IFERROR(INDEX(Leads!$A$3:$A$1002,MATCH(217,Leads!$BA$3:$BA$1002,0)),"")</f>
        <v/>
      </c>
      <c r="H218" s="7">
        <f>IF(G218="","",INDEX(Leads!$AQ$3:$AQ$1002,MATCH(217,Leads!$BA$3:$BA$1002,0)))</f>
        <v/>
      </c>
      <c r="I218" s="7">
        <f>IF(G218="","",INDEX(Leads!$AI$3:$AI$1002,MATCH(217,Leads!$BA$3:$BA$1002,0))&amp;"")</f>
        <v/>
      </c>
      <c r="J218" s="61">
        <f>IF(G218="","",INDEX(Leads!$W$3:$W$1002,MATCH(217,Leads!$BA$3:$BA$1002,0)))</f>
        <v/>
      </c>
    </row>
    <row r="219">
      <c r="A219" s="12">
        <f>IF(G219="","",INDEX(Leads!$AC$3:$AC$1002,MATCH(218,Leads!$BA$3:$BA$1002,0)))</f>
        <v/>
      </c>
      <c r="B219" s="12">
        <f>IF(G219="","","depot_paye")</f>
        <v/>
      </c>
      <c r="C219" s="12">
        <f>IF(G219="","",YEAR(J219)&amp;"-"&amp;RIGHT("0"&amp;MONTH(J219),2)&amp;"-"&amp;RIGHT("0"&amp;DAY(J219),2)&amp;" "&amp;RIGHT("0"&amp;HOUR(J219),2)&amp;":"&amp;RIGHT("0"&amp;MINUTE(J219),2)&amp;":"&amp;RIGHT("0"&amp;SECOND(J219),2)&amp;IF(AND(J219&gt;=DATE(YEAR(J219),3,8)+MOD(8-WEEKDAY(DATE(YEAR(J219),3,8)),7)+2/24,J219&lt;DATE(YEAR(J219),11,1)+MOD(8-WEEKDAY(DATE(YEAR(J219),11,1)),7)+2/24),"-04:00","-05:00"))</f>
        <v/>
      </c>
      <c r="D219" s="60">
        <f>IF(G219="","",INDEX(Leads!$V$3:$V$1002,MATCH(218,Leads!$BA$3:$BA$1002,0)))</f>
        <v/>
      </c>
      <c r="E219" s="12">
        <f>IF(G219="","","CAD")</f>
        <v/>
      </c>
      <c r="G219" s="7">
        <f>IFERROR(INDEX(Leads!$A$3:$A$1002,MATCH(218,Leads!$BA$3:$BA$1002,0)),"")</f>
        <v/>
      </c>
      <c r="H219" s="7">
        <f>IF(G219="","",INDEX(Leads!$AQ$3:$AQ$1002,MATCH(218,Leads!$BA$3:$BA$1002,0)))</f>
        <v/>
      </c>
      <c r="I219" s="7">
        <f>IF(G219="","",INDEX(Leads!$AI$3:$AI$1002,MATCH(218,Leads!$BA$3:$BA$1002,0))&amp;"")</f>
        <v/>
      </c>
      <c r="J219" s="61">
        <f>IF(G219="","",INDEX(Leads!$W$3:$W$1002,MATCH(218,Leads!$BA$3:$BA$1002,0)))</f>
        <v/>
      </c>
    </row>
    <row r="220">
      <c r="A220" s="12">
        <f>IF(G220="","",INDEX(Leads!$AC$3:$AC$1002,MATCH(219,Leads!$BA$3:$BA$1002,0)))</f>
        <v/>
      </c>
      <c r="B220" s="12">
        <f>IF(G220="","","depot_paye")</f>
        <v/>
      </c>
      <c r="C220" s="12">
        <f>IF(G220="","",YEAR(J220)&amp;"-"&amp;RIGHT("0"&amp;MONTH(J220),2)&amp;"-"&amp;RIGHT("0"&amp;DAY(J220),2)&amp;" "&amp;RIGHT("0"&amp;HOUR(J220),2)&amp;":"&amp;RIGHT("0"&amp;MINUTE(J220),2)&amp;":"&amp;RIGHT("0"&amp;SECOND(J220),2)&amp;IF(AND(J220&gt;=DATE(YEAR(J220),3,8)+MOD(8-WEEKDAY(DATE(YEAR(J220),3,8)),7)+2/24,J220&lt;DATE(YEAR(J220),11,1)+MOD(8-WEEKDAY(DATE(YEAR(J220),11,1)),7)+2/24),"-04:00","-05:00"))</f>
        <v/>
      </c>
      <c r="D220" s="60">
        <f>IF(G220="","",INDEX(Leads!$V$3:$V$1002,MATCH(219,Leads!$BA$3:$BA$1002,0)))</f>
        <v/>
      </c>
      <c r="E220" s="12">
        <f>IF(G220="","","CAD")</f>
        <v/>
      </c>
      <c r="G220" s="7">
        <f>IFERROR(INDEX(Leads!$A$3:$A$1002,MATCH(219,Leads!$BA$3:$BA$1002,0)),"")</f>
        <v/>
      </c>
      <c r="H220" s="7">
        <f>IF(G220="","",INDEX(Leads!$AQ$3:$AQ$1002,MATCH(219,Leads!$BA$3:$BA$1002,0)))</f>
        <v/>
      </c>
      <c r="I220" s="7">
        <f>IF(G220="","",INDEX(Leads!$AI$3:$AI$1002,MATCH(219,Leads!$BA$3:$BA$1002,0))&amp;"")</f>
        <v/>
      </c>
      <c r="J220" s="61">
        <f>IF(G220="","",INDEX(Leads!$W$3:$W$1002,MATCH(219,Leads!$BA$3:$BA$1002,0)))</f>
        <v/>
      </c>
    </row>
    <row r="221">
      <c r="A221" s="12">
        <f>IF(G221="","",INDEX(Leads!$AC$3:$AC$1002,MATCH(220,Leads!$BA$3:$BA$1002,0)))</f>
        <v/>
      </c>
      <c r="B221" s="12">
        <f>IF(G221="","","depot_paye")</f>
        <v/>
      </c>
      <c r="C221" s="12">
        <f>IF(G221="","",YEAR(J221)&amp;"-"&amp;RIGHT("0"&amp;MONTH(J221),2)&amp;"-"&amp;RIGHT("0"&amp;DAY(J221),2)&amp;" "&amp;RIGHT("0"&amp;HOUR(J221),2)&amp;":"&amp;RIGHT("0"&amp;MINUTE(J221),2)&amp;":"&amp;RIGHT("0"&amp;SECOND(J221),2)&amp;IF(AND(J221&gt;=DATE(YEAR(J221),3,8)+MOD(8-WEEKDAY(DATE(YEAR(J221),3,8)),7)+2/24,J221&lt;DATE(YEAR(J221),11,1)+MOD(8-WEEKDAY(DATE(YEAR(J221),11,1)),7)+2/24),"-04:00","-05:00"))</f>
        <v/>
      </c>
      <c r="D221" s="60">
        <f>IF(G221="","",INDEX(Leads!$V$3:$V$1002,MATCH(220,Leads!$BA$3:$BA$1002,0)))</f>
        <v/>
      </c>
      <c r="E221" s="12">
        <f>IF(G221="","","CAD")</f>
        <v/>
      </c>
      <c r="G221" s="7">
        <f>IFERROR(INDEX(Leads!$A$3:$A$1002,MATCH(220,Leads!$BA$3:$BA$1002,0)),"")</f>
        <v/>
      </c>
      <c r="H221" s="7">
        <f>IF(G221="","",INDEX(Leads!$AQ$3:$AQ$1002,MATCH(220,Leads!$BA$3:$BA$1002,0)))</f>
        <v/>
      </c>
      <c r="I221" s="7">
        <f>IF(G221="","",INDEX(Leads!$AI$3:$AI$1002,MATCH(220,Leads!$BA$3:$BA$1002,0))&amp;"")</f>
        <v/>
      </c>
      <c r="J221" s="61">
        <f>IF(G221="","",INDEX(Leads!$W$3:$W$1002,MATCH(220,Leads!$BA$3:$BA$1002,0)))</f>
        <v/>
      </c>
    </row>
    <row r="222">
      <c r="A222" s="12">
        <f>IF(G222="","",INDEX(Leads!$AC$3:$AC$1002,MATCH(221,Leads!$BA$3:$BA$1002,0)))</f>
        <v/>
      </c>
      <c r="B222" s="12">
        <f>IF(G222="","","depot_paye")</f>
        <v/>
      </c>
      <c r="C222" s="12">
        <f>IF(G222="","",YEAR(J222)&amp;"-"&amp;RIGHT("0"&amp;MONTH(J222),2)&amp;"-"&amp;RIGHT("0"&amp;DAY(J222),2)&amp;" "&amp;RIGHT("0"&amp;HOUR(J222),2)&amp;":"&amp;RIGHT("0"&amp;MINUTE(J222),2)&amp;":"&amp;RIGHT("0"&amp;SECOND(J222),2)&amp;IF(AND(J222&gt;=DATE(YEAR(J222),3,8)+MOD(8-WEEKDAY(DATE(YEAR(J222),3,8)),7)+2/24,J222&lt;DATE(YEAR(J222),11,1)+MOD(8-WEEKDAY(DATE(YEAR(J222),11,1)),7)+2/24),"-04:00","-05:00"))</f>
        <v/>
      </c>
      <c r="D222" s="60">
        <f>IF(G222="","",INDEX(Leads!$V$3:$V$1002,MATCH(221,Leads!$BA$3:$BA$1002,0)))</f>
        <v/>
      </c>
      <c r="E222" s="12">
        <f>IF(G222="","","CAD")</f>
        <v/>
      </c>
      <c r="G222" s="7">
        <f>IFERROR(INDEX(Leads!$A$3:$A$1002,MATCH(221,Leads!$BA$3:$BA$1002,0)),"")</f>
        <v/>
      </c>
      <c r="H222" s="7">
        <f>IF(G222="","",INDEX(Leads!$AQ$3:$AQ$1002,MATCH(221,Leads!$BA$3:$BA$1002,0)))</f>
        <v/>
      </c>
      <c r="I222" s="7">
        <f>IF(G222="","",INDEX(Leads!$AI$3:$AI$1002,MATCH(221,Leads!$BA$3:$BA$1002,0))&amp;"")</f>
        <v/>
      </c>
      <c r="J222" s="61">
        <f>IF(G222="","",INDEX(Leads!$W$3:$W$1002,MATCH(221,Leads!$BA$3:$BA$1002,0)))</f>
        <v/>
      </c>
    </row>
    <row r="223">
      <c r="A223" s="12">
        <f>IF(G223="","",INDEX(Leads!$AC$3:$AC$1002,MATCH(222,Leads!$BA$3:$BA$1002,0)))</f>
        <v/>
      </c>
      <c r="B223" s="12">
        <f>IF(G223="","","depot_paye")</f>
        <v/>
      </c>
      <c r="C223" s="12">
        <f>IF(G223="","",YEAR(J223)&amp;"-"&amp;RIGHT("0"&amp;MONTH(J223),2)&amp;"-"&amp;RIGHT("0"&amp;DAY(J223),2)&amp;" "&amp;RIGHT("0"&amp;HOUR(J223),2)&amp;":"&amp;RIGHT("0"&amp;MINUTE(J223),2)&amp;":"&amp;RIGHT("0"&amp;SECOND(J223),2)&amp;IF(AND(J223&gt;=DATE(YEAR(J223),3,8)+MOD(8-WEEKDAY(DATE(YEAR(J223),3,8)),7)+2/24,J223&lt;DATE(YEAR(J223),11,1)+MOD(8-WEEKDAY(DATE(YEAR(J223),11,1)),7)+2/24),"-04:00","-05:00"))</f>
        <v/>
      </c>
      <c r="D223" s="60">
        <f>IF(G223="","",INDEX(Leads!$V$3:$V$1002,MATCH(222,Leads!$BA$3:$BA$1002,0)))</f>
        <v/>
      </c>
      <c r="E223" s="12">
        <f>IF(G223="","","CAD")</f>
        <v/>
      </c>
      <c r="G223" s="7">
        <f>IFERROR(INDEX(Leads!$A$3:$A$1002,MATCH(222,Leads!$BA$3:$BA$1002,0)),"")</f>
        <v/>
      </c>
      <c r="H223" s="7">
        <f>IF(G223="","",INDEX(Leads!$AQ$3:$AQ$1002,MATCH(222,Leads!$BA$3:$BA$1002,0)))</f>
        <v/>
      </c>
      <c r="I223" s="7">
        <f>IF(G223="","",INDEX(Leads!$AI$3:$AI$1002,MATCH(222,Leads!$BA$3:$BA$1002,0))&amp;"")</f>
        <v/>
      </c>
      <c r="J223" s="61">
        <f>IF(G223="","",INDEX(Leads!$W$3:$W$1002,MATCH(222,Leads!$BA$3:$BA$1002,0)))</f>
        <v/>
      </c>
    </row>
    <row r="224">
      <c r="A224" s="12">
        <f>IF(G224="","",INDEX(Leads!$AC$3:$AC$1002,MATCH(223,Leads!$BA$3:$BA$1002,0)))</f>
        <v/>
      </c>
      <c r="B224" s="12">
        <f>IF(G224="","","depot_paye")</f>
        <v/>
      </c>
      <c r="C224" s="12">
        <f>IF(G224="","",YEAR(J224)&amp;"-"&amp;RIGHT("0"&amp;MONTH(J224),2)&amp;"-"&amp;RIGHT("0"&amp;DAY(J224),2)&amp;" "&amp;RIGHT("0"&amp;HOUR(J224),2)&amp;":"&amp;RIGHT("0"&amp;MINUTE(J224),2)&amp;":"&amp;RIGHT("0"&amp;SECOND(J224),2)&amp;IF(AND(J224&gt;=DATE(YEAR(J224),3,8)+MOD(8-WEEKDAY(DATE(YEAR(J224),3,8)),7)+2/24,J224&lt;DATE(YEAR(J224),11,1)+MOD(8-WEEKDAY(DATE(YEAR(J224),11,1)),7)+2/24),"-04:00","-05:00"))</f>
        <v/>
      </c>
      <c r="D224" s="60">
        <f>IF(G224="","",INDEX(Leads!$V$3:$V$1002,MATCH(223,Leads!$BA$3:$BA$1002,0)))</f>
        <v/>
      </c>
      <c r="E224" s="12">
        <f>IF(G224="","","CAD")</f>
        <v/>
      </c>
      <c r="G224" s="7">
        <f>IFERROR(INDEX(Leads!$A$3:$A$1002,MATCH(223,Leads!$BA$3:$BA$1002,0)),"")</f>
        <v/>
      </c>
      <c r="H224" s="7">
        <f>IF(G224="","",INDEX(Leads!$AQ$3:$AQ$1002,MATCH(223,Leads!$BA$3:$BA$1002,0)))</f>
        <v/>
      </c>
      <c r="I224" s="7">
        <f>IF(G224="","",INDEX(Leads!$AI$3:$AI$1002,MATCH(223,Leads!$BA$3:$BA$1002,0))&amp;"")</f>
        <v/>
      </c>
      <c r="J224" s="61">
        <f>IF(G224="","",INDEX(Leads!$W$3:$W$1002,MATCH(223,Leads!$BA$3:$BA$1002,0)))</f>
        <v/>
      </c>
    </row>
    <row r="225">
      <c r="A225" s="12">
        <f>IF(G225="","",INDEX(Leads!$AC$3:$AC$1002,MATCH(224,Leads!$BA$3:$BA$1002,0)))</f>
        <v/>
      </c>
      <c r="B225" s="12">
        <f>IF(G225="","","depot_paye")</f>
        <v/>
      </c>
      <c r="C225" s="12">
        <f>IF(G225="","",YEAR(J225)&amp;"-"&amp;RIGHT("0"&amp;MONTH(J225),2)&amp;"-"&amp;RIGHT("0"&amp;DAY(J225),2)&amp;" "&amp;RIGHT("0"&amp;HOUR(J225),2)&amp;":"&amp;RIGHT("0"&amp;MINUTE(J225),2)&amp;":"&amp;RIGHT("0"&amp;SECOND(J225),2)&amp;IF(AND(J225&gt;=DATE(YEAR(J225),3,8)+MOD(8-WEEKDAY(DATE(YEAR(J225),3,8)),7)+2/24,J225&lt;DATE(YEAR(J225),11,1)+MOD(8-WEEKDAY(DATE(YEAR(J225),11,1)),7)+2/24),"-04:00","-05:00"))</f>
        <v/>
      </c>
      <c r="D225" s="60">
        <f>IF(G225="","",INDEX(Leads!$V$3:$V$1002,MATCH(224,Leads!$BA$3:$BA$1002,0)))</f>
        <v/>
      </c>
      <c r="E225" s="12">
        <f>IF(G225="","","CAD")</f>
        <v/>
      </c>
      <c r="G225" s="7">
        <f>IFERROR(INDEX(Leads!$A$3:$A$1002,MATCH(224,Leads!$BA$3:$BA$1002,0)),"")</f>
        <v/>
      </c>
      <c r="H225" s="7">
        <f>IF(G225="","",INDEX(Leads!$AQ$3:$AQ$1002,MATCH(224,Leads!$BA$3:$BA$1002,0)))</f>
        <v/>
      </c>
      <c r="I225" s="7">
        <f>IF(G225="","",INDEX(Leads!$AI$3:$AI$1002,MATCH(224,Leads!$BA$3:$BA$1002,0))&amp;"")</f>
        <v/>
      </c>
      <c r="J225" s="61">
        <f>IF(G225="","",INDEX(Leads!$W$3:$W$1002,MATCH(224,Leads!$BA$3:$BA$1002,0)))</f>
        <v/>
      </c>
    </row>
    <row r="226">
      <c r="A226" s="12">
        <f>IF(G226="","",INDEX(Leads!$AC$3:$AC$1002,MATCH(225,Leads!$BA$3:$BA$1002,0)))</f>
        <v/>
      </c>
      <c r="B226" s="12">
        <f>IF(G226="","","depot_paye")</f>
        <v/>
      </c>
      <c r="C226" s="12">
        <f>IF(G226="","",YEAR(J226)&amp;"-"&amp;RIGHT("0"&amp;MONTH(J226),2)&amp;"-"&amp;RIGHT("0"&amp;DAY(J226),2)&amp;" "&amp;RIGHT("0"&amp;HOUR(J226),2)&amp;":"&amp;RIGHT("0"&amp;MINUTE(J226),2)&amp;":"&amp;RIGHT("0"&amp;SECOND(J226),2)&amp;IF(AND(J226&gt;=DATE(YEAR(J226),3,8)+MOD(8-WEEKDAY(DATE(YEAR(J226),3,8)),7)+2/24,J226&lt;DATE(YEAR(J226),11,1)+MOD(8-WEEKDAY(DATE(YEAR(J226),11,1)),7)+2/24),"-04:00","-05:00"))</f>
        <v/>
      </c>
      <c r="D226" s="60">
        <f>IF(G226="","",INDEX(Leads!$V$3:$V$1002,MATCH(225,Leads!$BA$3:$BA$1002,0)))</f>
        <v/>
      </c>
      <c r="E226" s="12">
        <f>IF(G226="","","CAD")</f>
        <v/>
      </c>
      <c r="G226" s="7">
        <f>IFERROR(INDEX(Leads!$A$3:$A$1002,MATCH(225,Leads!$BA$3:$BA$1002,0)),"")</f>
        <v/>
      </c>
      <c r="H226" s="7">
        <f>IF(G226="","",INDEX(Leads!$AQ$3:$AQ$1002,MATCH(225,Leads!$BA$3:$BA$1002,0)))</f>
        <v/>
      </c>
      <c r="I226" s="7">
        <f>IF(G226="","",INDEX(Leads!$AI$3:$AI$1002,MATCH(225,Leads!$BA$3:$BA$1002,0))&amp;"")</f>
        <v/>
      </c>
      <c r="J226" s="61">
        <f>IF(G226="","",INDEX(Leads!$W$3:$W$1002,MATCH(225,Leads!$BA$3:$BA$1002,0)))</f>
        <v/>
      </c>
    </row>
    <row r="227">
      <c r="A227" s="12">
        <f>IF(G227="","",INDEX(Leads!$AC$3:$AC$1002,MATCH(226,Leads!$BA$3:$BA$1002,0)))</f>
        <v/>
      </c>
      <c r="B227" s="12">
        <f>IF(G227="","","depot_paye")</f>
        <v/>
      </c>
      <c r="C227" s="12">
        <f>IF(G227="","",YEAR(J227)&amp;"-"&amp;RIGHT("0"&amp;MONTH(J227),2)&amp;"-"&amp;RIGHT("0"&amp;DAY(J227),2)&amp;" "&amp;RIGHT("0"&amp;HOUR(J227),2)&amp;":"&amp;RIGHT("0"&amp;MINUTE(J227),2)&amp;":"&amp;RIGHT("0"&amp;SECOND(J227),2)&amp;IF(AND(J227&gt;=DATE(YEAR(J227),3,8)+MOD(8-WEEKDAY(DATE(YEAR(J227),3,8)),7)+2/24,J227&lt;DATE(YEAR(J227),11,1)+MOD(8-WEEKDAY(DATE(YEAR(J227),11,1)),7)+2/24),"-04:00","-05:00"))</f>
        <v/>
      </c>
      <c r="D227" s="60">
        <f>IF(G227="","",INDEX(Leads!$V$3:$V$1002,MATCH(226,Leads!$BA$3:$BA$1002,0)))</f>
        <v/>
      </c>
      <c r="E227" s="12">
        <f>IF(G227="","","CAD")</f>
        <v/>
      </c>
      <c r="G227" s="7">
        <f>IFERROR(INDEX(Leads!$A$3:$A$1002,MATCH(226,Leads!$BA$3:$BA$1002,0)),"")</f>
        <v/>
      </c>
      <c r="H227" s="7">
        <f>IF(G227="","",INDEX(Leads!$AQ$3:$AQ$1002,MATCH(226,Leads!$BA$3:$BA$1002,0)))</f>
        <v/>
      </c>
      <c r="I227" s="7">
        <f>IF(G227="","",INDEX(Leads!$AI$3:$AI$1002,MATCH(226,Leads!$BA$3:$BA$1002,0))&amp;"")</f>
        <v/>
      </c>
      <c r="J227" s="61">
        <f>IF(G227="","",INDEX(Leads!$W$3:$W$1002,MATCH(226,Leads!$BA$3:$BA$1002,0)))</f>
        <v/>
      </c>
    </row>
    <row r="228">
      <c r="A228" s="12">
        <f>IF(G228="","",INDEX(Leads!$AC$3:$AC$1002,MATCH(227,Leads!$BA$3:$BA$1002,0)))</f>
        <v/>
      </c>
      <c r="B228" s="12">
        <f>IF(G228="","","depot_paye")</f>
        <v/>
      </c>
      <c r="C228" s="12">
        <f>IF(G228="","",YEAR(J228)&amp;"-"&amp;RIGHT("0"&amp;MONTH(J228),2)&amp;"-"&amp;RIGHT("0"&amp;DAY(J228),2)&amp;" "&amp;RIGHT("0"&amp;HOUR(J228),2)&amp;":"&amp;RIGHT("0"&amp;MINUTE(J228),2)&amp;":"&amp;RIGHT("0"&amp;SECOND(J228),2)&amp;IF(AND(J228&gt;=DATE(YEAR(J228),3,8)+MOD(8-WEEKDAY(DATE(YEAR(J228),3,8)),7)+2/24,J228&lt;DATE(YEAR(J228),11,1)+MOD(8-WEEKDAY(DATE(YEAR(J228),11,1)),7)+2/24),"-04:00","-05:00"))</f>
        <v/>
      </c>
      <c r="D228" s="60">
        <f>IF(G228="","",INDEX(Leads!$V$3:$V$1002,MATCH(227,Leads!$BA$3:$BA$1002,0)))</f>
        <v/>
      </c>
      <c r="E228" s="12">
        <f>IF(G228="","","CAD")</f>
        <v/>
      </c>
      <c r="G228" s="7">
        <f>IFERROR(INDEX(Leads!$A$3:$A$1002,MATCH(227,Leads!$BA$3:$BA$1002,0)),"")</f>
        <v/>
      </c>
      <c r="H228" s="7">
        <f>IF(G228="","",INDEX(Leads!$AQ$3:$AQ$1002,MATCH(227,Leads!$BA$3:$BA$1002,0)))</f>
        <v/>
      </c>
      <c r="I228" s="7">
        <f>IF(G228="","",INDEX(Leads!$AI$3:$AI$1002,MATCH(227,Leads!$BA$3:$BA$1002,0))&amp;"")</f>
        <v/>
      </c>
      <c r="J228" s="61">
        <f>IF(G228="","",INDEX(Leads!$W$3:$W$1002,MATCH(227,Leads!$BA$3:$BA$1002,0)))</f>
        <v/>
      </c>
    </row>
    <row r="229">
      <c r="A229" s="12">
        <f>IF(G229="","",INDEX(Leads!$AC$3:$AC$1002,MATCH(228,Leads!$BA$3:$BA$1002,0)))</f>
        <v/>
      </c>
      <c r="B229" s="12">
        <f>IF(G229="","","depot_paye")</f>
        <v/>
      </c>
      <c r="C229" s="12">
        <f>IF(G229="","",YEAR(J229)&amp;"-"&amp;RIGHT("0"&amp;MONTH(J229),2)&amp;"-"&amp;RIGHT("0"&amp;DAY(J229),2)&amp;" "&amp;RIGHT("0"&amp;HOUR(J229),2)&amp;":"&amp;RIGHT("0"&amp;MINUTE(J229),2)&amp;":"&amp;RIGHT("0"&amp;SECOND(J229),2)&amp;IF(AND(J229&gt;=DATE(YEAR(J229),3,8)+MOD(8-WEEKDAY(DATE(YEAR(J229),3,8)),7)+2/24,J229&lt;DATE(YEAR(J229),11,1)+MOD(8-WEEKDAY(DATE(YEAR(J229),11,1)),7)+2/24),"-04:00","-05:00"))</f>
        <v/>
      </c>
      <c r="D229" s="60">
        <f>IF(G229="","",INDEX(Leads!$V$3:$V$1002,MATCH(228,Leads!$BA$3:$BA$1002,0)))</f>
        <v/>
      </c>
      <c r="E229" s="12">
        <f>IF(G229="","","CAD")</f>
        <v/>
      </c>
      <c r="G229" s="7">
        <f>IFERROR(INDEX(Leads!$A$3:$A$1002,MATCH(228,Leads!$BA$3:$BA$1002,0)),"")</f>
        <v/>
      </c>
      <c r="H229" s="7">
        <f>IF(G229="","",INDEX(Leads!$AQ$3:$AQ$1002,MATCH(228,Leads!$BA$3:$BA$1002,0)))</f>
        <v/>
      </c>
      <c r="I229" s="7">
        <f>IF(G229="","",INDEX(Leads!$AI$3:$AI$1002,MATCH(228,Leads!$BA$3:$BA$1002,0))&amp;"")</f>
        <v/>
      </c>
      <c r="J229" s="61">
        <f>IF(G229="","",INDEX(Leads!$W$3:$W$1002,MATCH(228,Leads!$BA$3:$BA$1002,0)))</f>
        <v/>
      </c>
    </row>
    <row r="230">
      <c r="A230" s="12">
        <f>IF(G230="","",INDEX(Leads!$AC$3:$AC$1002,MATCH(229,Leads!$BA$3:$BA$1002,0)))</f>
        <v/>
      </c>
      <c r="B230" s="12">
        <f>IF(G230="","","depot_paye")</f>
        <v/>
      </c>
      <c r="C230" s="12">
        <f>IF(G230="","",YEAR(J230)&amp;"-"&amp;RIGHT("0"&amp;MONTH(J230),2)&amp;"-"&amp;RIGHT("0"&amp;DAY(J230),2)&amp;" "&amp;RIGHT("0"&amp;HOUR(J230),2)&amp;":"&amp;RIGHT("0"&amp;MINUTE(J230),2)&amp;":"&amp;RIGHT("0"&amp;SECOND(J230),2)&amp;IF(AND(J230&gt;=DATE(YEAR(J230),3,8)+MOD(8-WEEKDAY(DATE(YEAR(J230),3,8)),7)+2/24,J230&lt;DATE(YEAR(J230),11,1)+MOD(8-WEEKDAY(DATE(YEAR(J230),11,1)),7)+2/24),"-04:00","-05:00"))</f>
        <v/>
      </c>
      <c r="D230" s="60">
        <f>IF(G230="","",INDEX(Leads!$V$3:$V$1002,MATCH(229,Leads!$BA$3:$BA$1002,0)))</f>
        <v/>
      </c>
      <c r="E230" s="12">
        <f>IF(G230="","","CAD")</f>
        <v/>
      </c>
      <c r="G230" s="7">
        <f>IFERROR(INDEX(Leads!$A$3:$A$1002,MATCH(229,Leads!$BA$3:$BA$1002,0)),"")</f>
        <v/>
      </c>
      <c r="H230" s="7">
        <f>IF(G230="","",INDEX(Leads!$AQ$3:$AQ$1002,MATCH(229,Leads!$BA$3:$BA$1002,0)))</f>
        <v/>
      </c>
      <c r="I230" s="7">
        <f>IF(G230="","",INDEX(Leads!$AI$3:$AI$1002,MATCH(229,Leads!$BA$3:$BA$1002,0))&amp;"")</f>
        <v/>
      </c>
      <c r="J230" s="61">
        <f>IF(G230="","",INDEX(Leads!$W$3:$W$1002,MATCH(229,Leads!$BA$3:$BA$1002,0)))</f>
        <v/>
      </c>
    </row>
    <row r="231">
      <c r="A231" s="12">
        <f>IF(G231="","",INDEX(Leads!$AC$3:$AC$1002,MATCH(230,Leads!$BA$3:$BA$1002,0)))</f>
        <v/>
      </c>
      <c r="B231" s="12">
        <f>IF(G231="","","depot_paye")</f>
        <v/>
      </c>
      <c r="C231" s="12">
        <f>IF(G231="","",YEAR(J231)&amp;"-"&amp;RIGHT("0"&amp;MONTH(J231),2)&amp;"-"&amp;RIGHT("0"&amp;DAY(J231),2)&amp;" "&amp;RIGHT("0"&amp;HOUR(J231),2)&amp;":"&amp;RIGHT("0"&amp;MINUTE(J231),2)&amp;":"&amp;RIGHT("0"&amp;SECOND(J231),2)&amp;IF(AND(J231&gt;=DATE(YEAR(J231),3,8)+MOD(8-WEEKDAY(DATE(YEAR(J231),3,8)),7)+2/24,J231&lt;DATE(YEAR(J231),11,1)+MOD(8-WEEKDAY(DATE(YEAR(J231),11,1)),7)+2/24),"-04:00","-05:00"))</f>
        <v/>
      </c>
      <c r="D231" s="60">
        <f>IF(G231="","",INDEX(Leads!$V$3:$V$1002,MATCH(230,Leads!$BA$3:$BA$1002,0)))</f>
        <v/>
      </c>
      <c r="E231" s="12">
        <f>IF(G231="","","CAD")</f>
        <v/>
      </c>
      <c r="G231" s="7">
        <f>IFERROR(INDEX(Leads!$A$3:$A$1002,MATCH(230,Leads!$BA$3:$BA$1002,0)),"")</f>
        <v/>
      </c>
      <c r="H231" s="7">
        <f>IF(G231="","",INDEX(Leads!$AQ$3:$AQ$1002,MATCH(230,Leads!$BA$3:$BA$1002,0)))</f>
        <v/>
      </c>
      <c r="I231" s="7">
        <f>IF(G231="","",INDEX(Leads!$AI$3:$AI$1002,MATCH(230,Leads!$BA$3:$BA$1002,0))&amp;"")</f>
        <v/>
      </c>
      <c r="J231" s="61">
        <f>IF(G231="","",INDEX(Leads!$W$3:$W$1002,MATCH(230,Leads!$BA$3:$BA$1002,0)))</f>
        <v/>
      </c>
    </row>
    <row r="232">
      <c r="A232" s="12">
        <f>IF(G232="","",INDEX(Leads!$AC$3:$AC$1002,MATCH(231,Leads!$BA$3:$BA$1002,0)))</f>
        <v/>
      </c>
      <c r="B232" s="12">
        <f>IF(G232="","","depot_paye")</f>
        <v/>
      </c>
      <c r="C232" s="12">
        <f>IF(G232="","",YEAR(J232)&amp;"-"&amp;RIGHT("0"&amp;MONTH(J232),2)&amp;"-"&amp;RIGHT("0"&amp;DAY(J232),2)&amp;" "&amp;RIGHT("0"&amp;HOUR(J232),2)&amp;":"&amp;RIGHT("0"&amp;MINUTE(J232),2)&amp;":"&amp;RIGHT("0"&amp;SECOND(J232),2)&amp;IF(AND(J232&gt;=DATE(YEAR(J232),3,8)+MOD(8-WEEKDAY(DATE(YEAR(J232),3,8)),7)+2/24,J232&lt;DATE(YEAR(J232),11,1)+MOD(8-WEEKDAY(DATE(YEAR(J232),11,1)),7)+2/24),"-04:00","-05:00"))</f>
        <v/>
      </c>
      <c r="D232" s="60">
        <f>IF(G232="","",INDEX(Leads!$V$3:$V$1002,MATCH(231,Leads!$BA$3:$BA$1002,0)))</f>
        <v/>
      </c>
      <c r="E232" s="12">
        <f>IF(G232="","","CAD")</f>
        <v/>
      </c>
      <c r="G232" s="7">
        <f>IFERROR(INDEX(Leads!$A$3:$A$1002,MATCH(231,Leads!$BA$3:$BA$1002,0)),"")</f>
        <v/>
      </c>
      <c r="H232" s="7">
        <f>IF(G232="","",INDEX(Leads!$AQ$3:$AQ$1002,MATCH(231,Leads!$BA$3:$BA$1002,0)))</f>
        <v/>
      </c>
      <c r="I232" s="7">
        <f>IF(G232="","",INDEX(Leads!$AI$3:$AI$1002,MATCH(231,Leads!$BA$3:$BA$1002,0))&amp;"")</f>
        <v/>
      </c>
      <c r="J232" s="61">
        <f>IF(G232="","",INDEX(Leads!$W$3:$W$1002,MATCH(231,Leads!$BA$3:$BA$1002,0)))</f>
        <v/>
      </c>
    </row>
    <row r="233">
      <c r="A233" s="12">
        <f>IF(G233="","",INDEX(Leads!$AC$3:$AC$1002,MATCH(232,Leads!$BA$3:$BA$1002,0)))</f>
        <v/>
      </c>
      <c r="B233" s="12">
        <f>IF(G233="","","depot_paye")</f>
        <v/>
      </c>
      <c r="C233" s="12">
        <f>IF(G233="","",YEAR(J233)&amp;"-"&amp;RIGHT("0"&amp;MONTH(J233),2)&amp;"-"&amp;RIGHT("0"&amp;DAY(J233),2)&amp;" "&amp;RIGHT("0"&amp;HOUR(J233),2)&amp;":"&amp;RIGHT("0"&amp;MINUTE(J233),2)&amp;":"&amp;RIGHT("0"&amp;SECOND(J233),2)&amp;IF(AND(J233&gt;=DATE(YEAR(J233),3,8)+MOD(8-WEEKDAY(DATE(YEAR(J233),3,8)),7)+2/24,J233&lt;DATE(YEAR(J233),11,1)+MOD(8-WEEKDAY(DATE(YEAR(J233),11,1)),7)+2/24),"-04:00","-05:00"))</f>
        <v/>
      </c>
      <c r="D233" s="60">
        <f>IF(G233="","",INDEX(Leads!$V$3:$V$1002,MATCH(232,Leads!$BA$3:$BA$1002,0)))</f>
        <v/>
      </c>
      <c r="E233" s="12">
        <f>IF(G233="","","CAD")</f>
        <v/>
      </c>
      <c r="G233" s="7">
        <f>IFERROR(INDEX(Leads!$A$3:$A$1002,MATCH(232,Leads!$BA$3:$BA$1002,0)),"")</f>
        <v/>
      </c>
      <c r="H233" s="7">
        <f>IF(G233="","",INDEX(Leads!$AQ$3:$AQ$1002,MATCH(232,Leads!$BA$3:$BA$1002,0)))</f>
        <v/>
      </c>
      <c r="I233" s="7">
        <f>IF(G233="","",INDEX(Leads!$AI$3:$AI$1002,MATCH(232,Leads!$BA$3:$BA$1002,0))&amp;"")</f>
        <v/>
      </c>
      <c r="J233" s="61">
        <f>IF(G233="","",INDEX(Leads!$W$3:$W$1002,MATCH(232,Leads!$BA$3:$BA$1002,0)))</f>
        <v/>
      </c>
    </row>
    <row r="234">
      <c r="A234" s="12">
        <f>IF(G234="","",INDEX(Leads!$AC$3:$AC$1002,MATCH(233,Leads!$BA$3:$BA$1002,0)))</f>
        <v/>
      </c>
      <c r="B234" s="12">
        <f>IF(G234="","","depot_paye")</f>
        <v/>
      </c>
      <c r="C234" s="12">
        <f>IF(G234="","",YEAR(J234)&amp;"-"&amp;RIGHT("0"&amp;MONTH(J234),2)&amp;"-"&amp;RIGHT("0"&amp;DAY(J234),2)&amp;" "&amp;RIGHT("0"&amp;HOUR(J234),2)&amp;":"&amp;RIGHT("0"&amp;MINUTE(J234),2)&amp;":"&amp;RIGHT("0"&amp;SECOND(J234),2)&amp;IF(AND(J234&gt;=DATE(YEAR(J234),3,8)+MOD(8-WEEKDAY(DATE(YEAR(J234),3,8)),7)+2/24,J234&lt;DATE(YEAR(J234),11,1)+MOD(8-WEEKDAY(DATE(YEAR(J234),11,1)),7)+2/24),"-04:00","-05:00"))</f>
        <v/>
      </c>
      <c r="D234" s="60">
        <f>IF(G234="","",INDEX(Leads!$V$3:$V$1002,MATCH(233,Leads!$BA$3:$BA$1002,0)))</f>
        <v/>
      </c>
      <c r="E234" s="12">
        <f>IF(G234="","","CAD")</f>
        <v/>
      </c>
      <c r="G234" s="7">
        <f>IFERROR(INDEX(Leads!$A$3:$A$1002,MATCH(233,Leads!$BA$3:$BA$1002,0)),"")</f>
        <v/>
      </c>
      <c r="H234" s="7">
        <f>IF(G234="","",INDEX(Leads!$AQ$3:$AQ$1002,MATCH(233,Leads!$BA$3:$BA$1002,0)))</f>
        <v/>
      </c>
      <c r="I234" s="7">
        <f>IF(G234="","",INDEX(Leads!$AI$3:$AI$1002,MATCH(233,Leads!$BA$3:$BA$1002,0))&amp;"")</f>
        <v/>
      </c>
      <c r="J234" s="61">
        <f>IF(G234="","",INDEX(Leads!$W$3:$W$1002,MATCH(233,Leads!$BA$3:$BA$1002,0)))</f>
        <v/>
      </c>
    </row>
    <row r="235">
      <c r="A235" s="12">
        <f>IF(G235="","",INDEX(Leads!$AC$3:$AC$1002,MATCH(234,Leads!$BA$3:$BA$1002,0)))</f>
        <v/>
      </c>
      <c r="B235" s="12">
        <f>IF(G235="","","depot_paye")</f>
        <v/>
      </c>
      <c r="C235" s="12">
        <f>IF(G235="","",YEAR(J235)&amp;"-"&amp;RIGHT("0"&amp;MONTH(J235),2)&amp;"-"&amp;RIGHT("0"&amp;DAY(J235),2)&amp;" "&amp;RIGHT("0"&amp;HOUR(J235),2)&amp;":"&amp;RIGHT("0"&amp;MINUTE(J235),2)&amp;":"&amp;RIGHT("0"&amp;SECOND(J235),2)&amp;IF(AND(J235&gt;=DATE(YEAR(J235),3,8)+MOD(8-WEEKDAY(DATE(YEAR(J235),3,8)),7)+2/24,J235&lt;DATE(YEAR(J235),11,1)+MOD(8-WEEKDAY(DATE(YEAR(J235),11,1)),7)+2/24),"-04:00","-05:00"))</f>
        <v/>
      </c>
      <c r="D235" s="60">
        <f>IF(G235="","",INDEX(Leads!$V$3:$V$1002,MATCH(234,Leads!$BA$3:$BA$1002,0)))</f>
        <v/>
      </c>
      <c r="E235" s="12">
        <f>IF(G235="","","CAD")</f>
        <v/>
      </c>
      <c r="G235" s="7">
        <f>IFERROR(INDEX(Leads!$A$3:$A$1002,MATCH(234,Leads!$BA$3:$BA$1002,0)),"")</f>
        <v/>
      </c>
      <c r="H235" s="7">
        <f>IF(G235="","",INDEX(Leads!$AQ$3:$AQ$1002,MATCH(234,Leads!$BA$3:$BA$1002,0)))</f>
        <v/>
      </c>
      <c r="I235" s="7">
        <f>IF(G235="","",INDEX(Leads!$AI$3:$AI$1002,MATCH(234,Leads!$BA$3:$BA$1002,0))&amp;"")</f>
        <v/>
      </c>
      <c r="J235" s="61">
        <f>IF(G235="","",INDEX(Leads!$W$3:$W$1002,MATCH(234,Leads!$BA$3:$BA$1002,0)))</f>
        <v/>
      </c>
    </row>
    <row r="236">
      <c r="A236" s="12">
        <f>IF(G236="","",INDEX(Leads!$AC$3:$AC$1002,MATCH(235,Leads!$BA$3:$BA$1002,0)))</f>
        <v/>
      </c>
      <c r="B236" s="12">
        <f>IF(G236="","","depot_paye")</f>
        <v/>
      </c>
      <c r="C236" s="12">
        <f>IF(G236="","",YEAR(J236)&amp;"-"&amp;RIGHT("0"&amp;MONTH(J236),2)&amp;"-"&amp;RIGHT("0"&amp;DAY(J236),2)&amp;" "&amp;RIGHT("0"&amp;HOUR(J236),2)&amp;":"&amp;RIGHT("0"&amp;MINUTE(J236),2)&amp;":"&amp;RIGHT("0"&amp;SECOND(J236),2)&amp;IF(AND(J236&gt;=DATE(YEAR(J236),3,8)+MOD(8-WEEKDAY(DATE(YEAR(J236),3,8)),7)+2/24,J236&lt;DATE(YEAR(J236),11,1)+MOD(8-WEEKDAY(DATE(YEAR(J236),11,1)),7)+2/24),"-04:00","-05:00"))</f>
        <v/>
      </c>
      <c r="D236" s="60">
        <f>IF(G236="","",INDEX(Leads!$V$3:$V$1002,MATCH(235,Leads!$BA$3:$BA$1002,0)))</f>
        <v/>
      </c>
      <c r="E236" s="12">
        <f>IF(G236="","","CAD")</f>
        <v/>
      </c>
      <c r="G236" s="7">
        <f>IFERROR(INDEX(Leads!$A$3:$A$1002,MATCH(235,Leads!$BA$3:$BA$1002,0)),"")</f>
        <v/>
      </c>
      <c r="H236" s="7">
        <f>IF(G236="","",INDEX(Leads!$AQ$3:$AQ$1002,MATCH(235,Leads!$BA$3:$BA$1002,0)))</f>
        <v/>
      </c>
      <c r="I236" s="7">
        <f>IF(G236="","",INDEX(Leads!$AI$3:$AI$1002,MATCH(235,Leads!$BA$3:$BA$1002,0))&amp;"")</f>
        <v/>
      </c>
      <c r="J236" s="61">
        <f>IF(G236="","",INDEX(Leads!$W$3:$W$1002,MATCH(235,Leads!$BA$3:$BA$1002,0)))</f>
        <v/>
      </c>
    </row>
    <row r="237">
      <c r="A237" s="12">
        <f>IF(G237="","",INDEX(Leads!$AC$3:$AC$1002,MATCH(236,Leads!$BA$3:$BA$1002,0)))</f>
        <v/>
      </c>
      <c r="B237" s="12">
        <f>IF(G237="","","depot_paye")</f>
        <v/>
      </c>
      <c r="C237" s="12">
        <f>IF(G237="","",YEAR(J237)&amp;"-"&amp;RIGHT("0"&amp;MONTH(J237),2)&amp;"-"&amp;RIGHT("0"&amp;DAY(J237),2)&amp;" "&amp;RIGHT("0"&amp;HOUR(J237),2)&amp;":"&amp;RIGHT("0"&amp;MINUTE(J237),2)&amp;":"&amp;RIGHT("0"&amp;SECOND(J237),2)&amp;IF(AND(J237&gt;=DATE(YEAR(J237),3,8)+MOD(8-WEEKDAY(DATE(YEAR(J237),3,8)),7)+2/24,J237&lt;DATE(YEAR(J237),11,1)+MOD(8-WEEKDAY(DATE(YEAR(J237),11,1)),7)+2/24),"-04:00","-05:00"))</f>
        <v/>
      </c>
      <c r="D237" s="60">
        <f>IF(G237="","",INDEX(Leads!$V$3:$V$1002,MATCH(236,Leads!$BA$3:$BA$1002,0)))</f>
        <v/>
      </c>
      <c r="E237" s="12">
        <f>IF(G237="","","CAD")</f>
        <v/>
      </c>
      <c r="G237" s="7">
        <f>IFERROR(INDEX(Leads!$A$3:$A$1002,MATCH(236,Leads!$BA$3:$BA$1002,0)),"")</f>
        <v/>
      </c>
      <c r="H237" s="7">
        <f>IF(G237="","",INDEX(Leads!$AQ$3:$AQ$1002,MATCH(236,Leads!$BA$3:$BA$1002,0)))</f>
        <v/>
      </c>
      <c r="I237" s="7">
        <f>IF(G237="","",INDEX(Leads!$AI$3:$AI$1002,MATCH(236,Leads!$BA$3:$BA$1002,0))&amp;"")</f>
        <v/>
      </c>
      <c r="J237" s="61">
        <f>IF(G237="","",INDEX(Leads!$W$3:$W$1002,MATCH(236,Leads!$BA$3:$BA$1002,0)))</f>
        <v/>
      </c>
    </row>
    <row r="238">
      <c r="A238" s="12">
        <f>IF(G238="","",INDEX(Leads!$AC$3:$AC$1002,MATCH(237,Leads!$BA$3:$BA$1002,0)))</f>
        <v/>
      </c>
      <c r="B238" s="12">
        <f>IF(G238="","","depot_paye")</f>
        <v/>
      </c>
      <c r="C238" s="12">
        <f>IF(G238="","",YEAR(J238)&amp;"-"&amp;RIGHT("0"&amp;MONTH(J238),2)&amp;"-"&amp;RIGHT("0"&amp;DAY(J238),2)&amp;" "&amp;RIGHT("0"&amp;HOUR(J238),2)&amp;":"&amp;RIGHT("0"&amp;MINUTE(J238),2)&amp;":"&amp;RIGHT("0"&amp;SECOND(J238),2)&amp;IF(AND(J238&gt;=DATE(YEAR(J238),3,8)+MOD(8-WEEKDAY(DATE(YEAR(J238),3,8)),7)+2/24,J238&lt;DATE(YEAR(J238),11,1)+MOD(8-WEEKDAY(DATE(YEAR(J238),11,1)),7)+2/24),"-04:00","-05:00"))</f>
        <v/>
      </c>
      <c r="D238" s="60">
        <f>IF(G238="","",INDEX(Leads!$V$3:$V$1002,MATCH(237,Leads!$BA$3:$BA$1002,0)))</f>
        <v/>
      </c>
      <c r="E238" s="12">
        <f>IF(G238="","","CAD")</f>
        <v/>
      </c>
      <c r="G238" s="7">
        <f>IFERROR(INDEX(Leads!$A$3:$A$1002,MATCH(237,Leads!$BA$3:$BA$1002,0)),"")</f>
        <v/>
      </c>
      <c r="H238" s="7">
        <f>IF(G238="","",INDEX(Leads!$AQ$3:$AQ$1002,MATCH(237,Leads!$BA$3:$BA$1002,0)))</f>
        <v/>
      </c>
      <c r="I238" s="7">
        <f>IF(G238="","",INDEX(Leads!$AI$3:$AI$1002,MATCH(237,Leads!$BA$3:$BA$1002,0))&amp;"")</f>
        <v/>
      </c>
      <c r="J238" s="61">
        <f>IF(G238="","",INDEX(Leads!$W$3:$W$1002,MATCH(237,Leads!$BA$3:$BA$1002,0)))</f>
        <v/>
      </c>
    </row>
    <row r="239">
      <c r="A239" s="12">
        <f>IF(G239="","",INDEX(Leads!$AC$3:$AC$1002,MATCH(238,Leads!$BA$3:$BA$1002,0)))</f>
        <v/>
      </c>
      <c r="B239" s="12">
        <f>IF(G239="","","depot_paye")</f>
        <v/>
      </c>
      <c r="C239" s="12">
        <f>IF(G239="","",YEAR(J239)&amp;"-"&amp;RIGHT("0"&amp;MONTH(J239),2)&amp;"-"&amp;RIGHT("0"&amp;DAY(J239),2)&amp;" "&amp;RIGHT("0"&amp;HOUR(J239),2)&amp;":"&amp;RIGHT("0"&amp;MINUTE(J239),2)&amp;":"&amp;RIGHT("0"&amp;SECOND(J239),2)&amp;IF(AND(J239&gt;=DATE(YEAR(J239),3,8)+MOD(8-WEEKDAY(DATE(YEAR(J239),3,8)),7)+2/24,J239&lt;DATE(YEAR(J239),11,1)+MOD(8-WEEKDAY(DATE(YEAR(J239),11,1)),7)+2/24),"-04:00","-05:00"))</f>
        <v/>
      </c>
      <c r="D239" s="60">
        <f>IF(G239="","",INDEX(Leads!$V$3:$V$1002,MATCH(238,Leads!$BA$3:$BA$1002,0)))</f>
        <v/>
      </c>
      <c r="E239" s="12">
        <f>IF(G239="","","CAD")</f>
        <v/>
      </c>
      <c r="G239" s="7">
        <f>IFERROR(INDEX(Leads!$A$3:$A$1002,MATCH(238,Leads!$BA$3:$BA$1002,0)),"")</f>
        <v/>
      </c>
      <c r="H239" s="7">
        <f>IF(G239="","",INDEX(Leads!$AQ$3:$AQ$1002,MATCH(238,Leads!$BA$3:$BA$1002,0)))</f>
        <v/>
      </c>
      <c r="I239" s="7">
        <f>IF(G239="","",INDEX(Leads!$AI$3:$AI$1002,MATCH(238,Leads!$BA$3:$BA$1002,0))&amp;"")</f>
        <v/>
      </c>
      <c r="J239" s="61">
        <f>IF(G239="","",INDEX(Leads!$W$3:$W$1002,MATCH(238,Leads!$BA$3:$BA$1002,0)))</f>
        <v/>
      </c>
    </row>
    <row r="240">
      <c r="A240" s="12">
        <f>IF(G240="","",INDEX(Leads!$AC$3:$AC$1002,MATCH(239,Leads!$BA$3:$BA$1002,0)))</f>
        <v/>
      </c>
      <c r="B240" s="12">
        <f>IF(G240="","","depot_paye")</f>
        <v/>
      </c>
      <c r="C240" s="12">
        <f>IF(G240="","",YEAR(J240)&amp;"-"&amp;RIGHT("0"&amp;MONTH(J240),2)&amp;"-"&amp;RIGHT("0"&amp;DAY(J240),2)&amp;" "&amp;RIGHT("0"&amp;HOUR(J240),2)&amp;":"&amp;RIGHT("0"&amp;MINUTE(J240),2)&amp;":"&amp;RIGHT("0"&amp;SECOND(J240),2)&amp;IF(AND(J240&gt;=DATE(YEAR(J240),3,8)+MOD(8-WEEKDAY(DATE(YEAR(J240),3,8)),7)+2/24,J240&lt;DATE(YEAR(J240),11,1)+MOD(8-WEEKDAY(DATE(YEAR(J240),11,1)),7)+2/24),"-04:00","-05:00"))</f>
        <v/>
      </c>
      <c r="D240" s="60">
        <f>IF(G240="","",INDEX(Leads!$V$3:$V$1002,MATCH(239,Leads!$BA$3:$BA$1002,0)))</f>
        <v/>
      </c>
      <c r="E240" s="12">
        <f>IF(G240="","","CAD")</f>
        <v/>
      </c>
      <c r="G240" s="7">
        <f>IFERROR(INDEX(Leads!$A$3:$A$1002,MATCH(239,Leads!$BA$3:$BA$1002,0)),"")</f>
        <v/>
      </c>
      <c r="H240" s="7">
        <f>IF(G240="","",INDEX(Leads!$AQ$3:$AQ$1002,MATCH(239,Leads!$BA$3:$BA$1002,0)))</f>
        <v/>
      </c>
      <c r="I240" s="7">
        <f>IF(G240="","",INDEX(Leads!$AI$3:$AI$1002,MATCH(239,Leads!$BA$3:$BA$1002,0))&amp;"")</f>
        <v/>
      </c>
      <c r="J240" s="61">
        <f>IF(G240="","",INDEX(Leads!$W$3:$W$1002,MATCH(239,Leads!$BA$3:$BA$1002,0)))</f>
        <v/>
      </c>
    </row>
    <row r="241">
      <c r="A241" s="12">
        <f>IF(G241="","",INDEX(Leads!$AC$3:$AC$1002,MATCH(240,Leads!$BA$3:$BA$1002,0)))</f>
        <v/>
      </c>
      <c r="B241" s="12">
        <f>IF(G241="","","depot_paye")</f>
        <v/>
      </c>
      <c r="C241" s="12">
        <f>IF(G241="","",YEAR(J241)&amp;"-"&amp;RIGHT("0"&amp;MONTH(J241),2)&amp;"-"&amp;RIGHT("0"&amp;DAY(J241),2)&amp;" "&amp;RIGHT("0"&amp;HOUR(J241),2)&amp;":"&amp;RIGHT("0"&amp;MINUTE(J241),2)&amp;":"&amp;RIGHT("0"&amp;SECOND(J241),2)&amp;IF(AND(J241&gt;=DATE(YEAR(J241),3,8)+MOD(8-WEEKDAY(DATE(YEAR(J241),3,8)),7)+2/24,J241&lt;DATE(YEAR(J241),11,1)+MOD(8-WEEKDAY(DATE(YEAR(J241),11,1)),7)+2/24),"-04:00","-05:00"))</f>
        <v/>
      </c>
      <c r="D241" s="60">
        <f>IF(G241="","",INDEX(Leads!$V$3:$V$1002,MATCH(240,Leads!$BA$3:$BA$1002,0)))</f>
        <v/>
      </c>
      <c r="E241" s="12">
        <f>IF(G241="","","CAD")</f>
        <v/>
      </c>
      <c r="G241" s="7">
        <f>IFERROR(INDEX(Leads!$A$3:$A$1002,MATCH(240,Leads!$BA$3:$BA$1002,0)),"")</f>
        <v/>
      </c>
      <c r="H241" s="7">
        <f>IF(G241="","",INDEX(Leads!$AQ$3:$AQ$1002,MATCH(240,Leads!$BA$3:$BA$1002,0)))</f>
        <v/>
      </c>
      <c r="I241" s="7">
        <f>IF(G241="","",INDEX(Leads!$AI$3:$AI$1002,MATCH(240,Leads!$BA$3:$BA$1002,0))&amp;"")</f>
        <v/>
      </c>
      <c r="J241" s="61">
        <f>IF(G241="","",INDEX(Leads!$W$3:$W$1002,MATCH(240,Leads!$BA$3:$BA$1002,0)))</f>
        <v/>
      </c>
    </row>
    <row r="242">
      <c r="A242" s="12">
        <f>IF(G242="","",INDEX(Leads!$AC$3:$AC$1002,MATCH(241,Leads!$BA$3:$BA$1002,0)))</f>
        <v/>
      </c>
      <c r="B242" s="12">
        <f>IF(G242="","","depot_paye")</f>
        <v/>
      </c>
      <c r="C242" s="12">
        <f>IF(G242="","",YEAR(J242)&amp;"-"&amp;RIGHT("0"&amp;MONTH(J242),2)&amp;"-"&amp;RIGHT("0"&amp;DAY(J242),2)&amp;" "&amp;RIGHT("0"&amp;HOUR(J242),2)&amp;":"&amp;RIGHT("0"&amp;MINUTE(J242),2)&amp;":"&amp;RIGHT("0"&amp;SECOND(J242),2)&amp;IF(AND(J242&gt;=DATE(YEAR(J242),3,8)+MOD(8-WEEKDAY(DATE(YEAR(J242),3,8)),7)+2/24,J242&lt;DATE(YEAR(J242),11,1)+MOD(8-WEEKDAY(DATE(YEAR(J242),11,1)),7)+2/24),"-04:00","-05:00"))</f>
        <v/>
      </c>
      <c r="D242" s="60">
        <f>IF(G242="","",INDEX(Leads!$V$3:$V$1002,MATCH(241,Leads!$BA$3:$BA$1002,0)))</f>
        <v/>
      </c>
      <c r="E242" s="12">
        <f>IF(G242="","","CAD")</f>
        <v/>
      </c>
      <c r="G242" s="7">
        <f>IFERROR(INDEX(Leads!$A$3:$A$1002,MATCH(241,Leads!$BA$3:$BA$1002,0)),"")</f>
        <v/>
      </c>
      <c r="H242" s="7">
        <f>IF(G242="","",INDEX(Leads!$AQ$3:$AQ$1002,MATCH(241,Leads!$BA$3:$BA$1002,0)))</f>
        <v/>
      </c>
      <c r="I242" s="7">
        <f>IF(G242="","",INDEX(Leads!$AI$3:$AI$1002,MATCH(241,Leads!$BA$3:$BA$1002,0))&amp;"")</f>
        <v/>
      </c>
      <c r="J242" s="61">
        <f>IF(G242="","",INDEX(Leads!$W$3:$W$1002,MATCH(241,Leads!$BA$3:$BA$1002,0)))</f>
        <v/>
      </c>
    </row>
    <row r="243">
      <c r="A243" s="12">
        <f>IF(G243="","",INDEX(Leads!$AC$3:$AC$1002,MATCH(242,Leads!$BA$3:$BA$1002,0)))</f>
        <v/>
      </c>
      <c r="B243" s="12">
        <f>IF(G243="","","depot_paye")</f>
        <v/>
      </c>
      <c r="C243" s="12">
        <f>IF(G243="","",YEAR(J243)&amp;"-"&amp;RIGHT("0"&amp;MONTH(J243),2)&amp;"-"&amp;RIGHT("0"&amp;DAY(J243),2)&amp;" "&amp;RIGHT("0"&amp;HOUR(J243),2)&amp;":"&amp;RIGHT("0"&amp;MINUTE(J243),2)&amp;":"&amp;RIGHT("0"&amp;SECOND(J243),2)&amp;IF(AND(J243&gt;=DATE(YEAR(J243),3,8)+MOD(8-WEEKDAY(DATE(YEAR(J243),3,8)),7)+2/24,J243&lt;DATE(YEAR(J243),11,1)+MOD(8-WEEKDAY(DATE(YEAR(J243),11,1)),7)+2/24),"-04:00","-05:00"))</f>
        <v/>
      </c>
      <c r="D243" s="60">
        <f>IF(G243="","",INDEX(Leads!$V$3:$V$1002,MATCH(242,Leads!$BA$3:$BA$1002,0)))</f>
        <v/>
      </c>
      <c r="E243" s="12">
        <f>IF(G243="","","CAD")</f>
        <v/>
      </c>
      <c r="G243" s="7">
        <f>IFERROR(INDEX(Leads!$A$3:$A$1002,MATCH(242,Leads!$BA$3:$BA$1002,0)),"")</f>
        <v/>
      </c>
      <c r="H243" s="7">
        <f>IF(G243="","",INDEX(Leads!$AQ$3:$AQ$1002,MATCH(242,Leads!$BA$3:$BA$1002,0)))</f>
        <v/>
      </c>
      <c r="I243" s="7">
        <f>IF(G243="","",INDEX(Leads!$AI$3:$AI$1002,MATCH(242,Leads!$BA$3:$BA$1002,0))&amp;"")</f>
        <v/>
      </c>
      <c r="J243" s="61">
        <f>IF(G243="","",INDEX(Leads!$W$3:$W$1002,MATCH(242,Leads!$BA$3:$BA$1002,0)))</f>
        <v/>
      </c>
    </row>
    <row r="244">
      <c r="A244" s="12">
        <f>IF(G244="","",INDEX(Leads!$AC$3:$AC$1002,MATCH(243,Leads!$BA$3:$BA$1002,0)))</f>
        <v/>
      </c>
      <c r="B244" s="12">
        <f>IF(G244="","","depot_paye")</f>
        <v/>
      </c>
      <c r="C244" s="12">
        <f>IF(G244="","",YEAR(J244)&amp;"-"&amp;RIGHT("0"&amp;MONTH(J244),2)&amp;"-"&amp;RIGHT("0"&amp;DAY(J244),2)&amp;" "&amp;RIGHT("0"&amp;HOUR(J244),2)&amp;":"&amp;RIGHT("0"&amp;MINUTE(J244),2)&amp;":"&amp;RIGHT("0"&amp;SECOND(J244),2)&amp;IF(AND(J244&gt;=DATE(YEAR(J244),3,8)+MOD(8-WEEKDAY(DATE(YEAR(J244),3,8)),7)+2/24,J244&lt;DATE(YEAR(J244),11,1)+MOD(8-WEEKDAY(DATE(YEAR(J244),11,1)),7)+2/24),"-04:00","-05:00"))</f>
        <v/>
      </c>
      <c r="D244" s="60">
        <f>IF(G244="","",INDEX(Leads!$V$3:$V$1002,MATCH(243,Leads!$BA$3:$BA$1002,0)))</f>
        <v/>
      </c>
      <c r="E244" s="12">
        <f>IF(G244="","","CAD")</f>
        <v/>
      </c>
      <c r="G244" s="7">
        <f>IFERROR(INDEX(Leads!$A$3:$A$1002,MATCH(243,Leads!$BA$3:$BA$1002,0)),"")</f>
        <v/>
      </c>
      <c r="H244" s="7">
        <f>IF(G244="","",INDEX(Leads!$AQ$3:$AQ$1002,MATCH(243,Leads!$BA$3:$BA$1002,0)))</f>
        <v/>
      </c>
      <c r="I244" s="7">
        <f>IF(G244="","",INDEX(Leads!$AI$3:$AI$1002,MATCH(243,Leads!$BA$3:$BA$1002,0))&amp;"")</f>
        <v/>
      </c>
      <c r="J244" s="61">
        <f>IF(G244="","",INDEX(Leads!$W$3:$W$1002,MATCH(243,Leads!$BA$3:$BA$1002,0)))</f>
        <v/>
      </c>
    </row>
    <row r="245">
      <c r="A245" s="12">
        <f>IF(G245="","",INDEX(Leads!$AC$3:$AC$1002,MATCH(244,Leads!$BA$3:$BA$1002,0)))</f>
        <v/>
      </c>
      <c r="B245" s="12">
        <f>IF(G245="","","depot_paye")</f>
        <v/>
      </c>
      <c r="C245" s="12">
        <f>IF(G245="","",YEAR(J245)&amp;"-"&amp;RIGHT("0"&amp;MONTH(J245),2)&amp;"-"&amp;RIGHT("0"&amp;DAY(J245),2)&amp;" "&amp;RIGHT("0"&amp;HOUR(J245),2)&amp;":"&amp;RIGHT("0"&amp;MINUTE(J245),2)&amp;":"&amp;RIGHT("0"&amp;SECOND(J245),2)&amp;IF(AND(J245&gt;=DATE(YEAR(J245),3,8)+MOD(8-WEEKDAY(DATE(YEAR(J245),3,8)),7)+2/24,J245&lt;DATE(YEAR(J245),11,1)+MOD(8-WEEKDAY(DATE(YEAR(J245),11,1)),7)+2/24),"-04:00","-05:00"))</f>
        <v/>
      </c>
      <c r="D245" s="60">
        <f>IF(G245="","",INDEX(Leads!$V$3:$V$1002,MATCH(244,Leads!$BA$3:$BA$1002,0)))</f>
        <v/>
      </c>
      <c r="E245" s="12">
        <f>IF(G245="","","CAD")</f>
        <v/>
      </c>
      <c r="G245" s="7">
        <f>IFERROR(INDEX(Leads!$A$3:$A$1002,MATCH(244,Leads!$BA$3:$BA$1002,0)),"")</f>
        <v/>
      </c>
      <c r="H245" s="7">
        <f>IF(G245="","",INDEX(Leads!$AQ$3:$AQ$1002,MATCH(244,Leads!$BA$3:$BA$1002,0)))</f>
        <v/>
      </c>
      <c r="I245" s="7">
        <f>IF(G245="","",INDEX(Leads!$AI$3:$AI$1002,MATCH(244,Leads!$BA$3:$BA$1002,0))&amp;"")</f>
        <v/>
      </c>
      <c r="J245" s="61">
        <f>IF(G245="","",INDEX(Leads!$W$3:$W$1002,MATCH(244,Leads!$BA$3:$BA$1002,0)))</f>
        <v/>
      </c>
    </row>
    <row r="246">
      <c r="A246" s="12">
        <f>IF(G246="","",INDEX(Leads!$AC$3:$AC$1002,MATCH(245,Leads!$BA$3:$BA$1002,0)))</f>
        <v/>
      </c>
      <c r="B246" s="12">
        <f>IF(G246="","","depot_paye")</f>
        <v/>
      </c>
      <c r="C246" s="12">
        <f>IF(G246="","",YEAR(J246)&amp;"-"&amp;RIGHT("0"&amp;MONTH(J246),2)&amp;"-"&amp;RIGHT("0"&amp;DAY(J246),2)&amp;" "&amp;RIGHT("0"&amp;HOUR(J246),2)&amp;":"&amp;RIGHT("0"&amp;MINUTE(J246),2)&amp;":"&amp;RIGHT("0"&amp;SECOND(J246),2)&amp;IF(AND(J246&gt;=DATE(YEAR(J246),3,8)+MOD(8-WEEKDAY(DATE(YEAR(J246),3,8)),7)+2/24,J246&lt;DATE(YEAR(J246),11,1)+MOD(8-WEEKDAY(DATE(YEAR(J246),11,1)),7)+2/24),"-04:00","-05:00"))</f>
        <v/>
      </c>
      <c r="D246" s="60">
        <f>IF(G246="","",INDEX(Leads!$V$3:$V$1002,MATCH(245,Leads!$BA$3:$BA$1002,0)))</f>
        <v/>
      </c>
      <c r="E246" s="12">
        <f>IF(G246="","","CAD")</f>
        <v/>
      </c>
      <c r="G246" s="7">
        <f>IFERROR(INDEX(Leads!$A$3:$A$1002,MATCH(245,Leads!$BA$3:$BA$1002,0)),"")</f>
        <v/>
      </c>
      <c r="H246" s="7">
        <f>IF(G246="","",INDEX(Leads!$AQ$3:$AQ$1002,MATCH(245,Leads!$BA$3:$BA$1002,0)))</f>
        <v/>
      </c>
      <c r="I246" s="7">
        <f>IF(G246="","",INDEX(Leads!$AI$3:$AI$1002,MATCH(245,Leads!$BA$3:$BA$1002,0))&amp;"")</f>
        <v/>
      </c>
      <c r="J246" s="61">
        <f>IF(G246="","",INDEX(Leads!$W$3:$W$1002,MATCH(245,Leads!$BA$3:$BA$1002,0)))</f>
        <v/>
      </c>
    </row>
    <row r="247">
      <c r="A247" s="12">
        <f>IF(G247="","",INDEX(Leads!$AC$3:$AC$1002,MATCH(246,Leads!$BA$3:$BA$1002,0)))</f>
        <v/>
      </c>
      <c r="B247" s="12">
        <f>IF(G247="","","depot_paye")</f>
        <v/>
      </c>
      <c r="C247" s="12">
        <f>IF(G247="","",YEAR(J247)&amp;"-"&amp;RIGHT("0"&amp;MONTH(J247),2)&amp;"-"&amp;RIGHT("0"&amp;DAY(J247),2)&amp;" "&amp;RIGHT("0"&amp;HOUR(J247),2)&amp;":"&amp;RIGHT("0"&amp;MINUTE(J247),2)&amp;":"&amp;RIGHT("0"&amp;SECOND(J247),2)&amp;IF(AND(J247&gt;=DATE(YEAR(J247),3,8)+MOD(8-WEEKDAY(DATE(YEAR(J247),3,8)),7)+2/24,J247&lt;DATE(YEAR(J247),11,1)+MOD(8-WEEKDAY(DATE(YEAR(J247),11,1)),7)+2/24),"-04:00","-05:00"))</f>
        <v/>
      </c>
      <c r="D247" s="60">
        <f>IF(G247="","",INDEX(Leads!$V$3:$V$1002,MATCH(246,Leads!$BA$3:$BA$1002,0)))</f>
        <v/>
      </c>
      <c r="E247" s="12">
        <f>IF(G247="","","CAD")</f>
        <v/>
      </c>
      <c r="G247" s="7">
        <f>IFERROR(INDEX(Leads!$A$3:$A$1002,MATCH(246,Leads!$BA$3:$BA$1002,0)),"")</f>
        <v/>
      </c>
      <c r="H247" s="7">
        <f>IF(G247="","",INDEX(Leads!$AQ$3:$AQ$1002,MATCH(246,Leads!$BA$3:$BA$1002,0)))</f>
        <v/>
      </c>
      <c r="I247" s="7">
        <f>IF(G247="","",INDEX(Leads!$AI$3:$AI$1002,MATCH(246,Leads!$BA$3:$BA$1002,0))&amp;"")</f>
        <v/>
      </c>
      <c r="J247" s="61">
        <f>IF(G247="","",INDEX(Leads!$W$3:$W$1002,MATCH(246,Leads!$BA$3:$BA$1002,0)))</f>
        <v/>
      </c>
    </row>
    <row r="248">
      <c r="A248" s="12">
        <f>IF(G248="","",INDEX(Leads!$AC$3:$AC$1002,MATCH(247,Leads!$BA$3:$BA$1002,0)))</f>
        <v/>
      </c>
      <c r="B248" s="12">
        <f>IF(G248="","","depot_paye")</f>
        <v/>
      </c>
      <c r="C248" s="12">
        <f>IF(G248="","",YEAR(J248)&amp;"-"&amp;RIGHT("0"&amp;MONTH(J248),2)&amp;"-"&amp;RIGHT("0"&amp;DAY(J248),2)&amp;" "&amp;RIGHT("0"&amp;HOUR(J248),2)&amp;":"&amp;RIGHT("0"&amp;MINUTE(J248),2)&amp;":"&amp;RIGHT("0"&amp;SECOND(J248),2)&amp;IF(AND(J248&gt;=DATE(YEAR(J248),3,8)+MOD(8-WEEKDAY(DATE(YEAR(J248),3,8)),7)+2/24,J248&lt;DATE(YEAR(J248),11,1)+MOD(8-WEEKDAY(DATE(YEAR(J248),11,1)),7)+2/24),"-04:00","-05:00"))</f>
        <v/>
      </c>
      <c r="D248" s="60">
        <f>IF(G248="","",INDEX(Leads!$V$3:$V$1002,MATCH(247,Leads!$BA$3:$BA$1002,0)))</f>
        <v/>
      </c>
      <c r="E248" s="12">
        <f>IF(G248="","","CAD")</f>
        <v/>
      </c>
      <c r="G248" s="7">
        <f>IFERROR(INDEX(Leads!$A$3:$A$1002,MATCH(247,Leads!$BA$3:$BA$1002,0)),"")</f>
        <v/>
      </c>
      <c r="H248" s="7">
        <f>IF(G248="","",INDEX(Leads!$AQ$3:$AQ$1002,MATCH(247,Leads!$BA$3:$BA$1002,0)))</f>
        <v/>
      </c>
      <c r="I248" s="7">
        <f>IF(G248="","",INDEX(Leads!$AI$3:$AI$1002,MATCH(247,Leads!$BA$3:$BA$1002,0))&amp;"")</f>
        <v/>
      </c>
      <c r="J248" s="61">
        <f>IF(G248="","",INDEX(Leads!$W$3:$W$1002,MATCH(247,Leads!$BA$3:$BA$1002,0)))</f>
        <v/>
      </c>
    </row>
    <row r="249">
      <c r="A249" s="12">
        <f>IF(G249="","",INDEX(Leads!$AC$3:$AC$1002,MATCH(248,Leads!$BA$3:$BA$1002,0)))</f>
        <v/>
      </c>
      <c r="B249" s="12">
        <f>IF(G249="","","depot_paye")</f>
        <v/>
      </c>
      <c r="C249" s="12">
        <f>IF(G249="","",YEAR(J249)&amp;"-"&amp;RIGHT("0"&amp;MONTH(J249),2)&amp;"-"&amp;RIGHT("0"&amp;DAY(J249),2)&amp;" "&amp;RIGHT("0"&amp;HOUR(J249),2)&amp;":"&amp;RIGHT("0"&amp;MINUTE(J249),2)&amp;":"&amp;RIGHT("0"&amp;SECOND(J249),2)&amp;IF(AND(J249&gt;=DATE(YEAR(J249),3,8)+MOD(8-WEEKDAY(DATE(YEAR(J249),3,8)),7)+2/24,J249&lt;DATE(YEAR(J249),11,1)+MOD(8-WEEKDAY(DATE(YEAR(J249),11,1)),7)+2/24),"-04:00","-05:00"))</f>
        <v/>
      </c>
      <c r="D249" s="60">
        <f>IF(G249="","",INDEX(Leads!$V$3:$V$1002,MATCH(248,Leads!$BA$3:$BA$1002,0)))</f>
        <v/>
      </c>
      <c r="E249" s="12">
        <f>IF(G249="","","CAD")</f>
        <v/>
      </c>
      <c r="G249" s="7">
        <f>IFERROR(INDEX(Leads!$A$3:$A$1002,MATCH(248,Leads!$BA$3:$BA$1002,0)),"")</f>
        <v/>
      </c>
      <c r="H249" s="7">
        <f>IF(G249="","",INDEX(Leads!$AQ$3:$AQ$1002,MATCH(248,Leads!$BA$3:$BA$1002,0)))</f>
        <v/>
      </c>
      <c r="I249" s="7">
        <f>IF(G249="","",INDEX(Leads!$AI$3:$AI$1002,MATCH(248,Leads!$BA$3:$BA$1002,0))&amp;"")</f>
        <v/>
      </c>
      <c r="J249" s="61">
        <f>IF(G249="","",INDEX(Leads!$W$3:$W$1002,MATCH(248,Leads!$BA$3:$BA$1002,0)))</f>
        <v/>
      </c>
    </row>
    <row r="250">
      <c r="A250" s="12">
        <f>IF(G250="","",INDEX(Leads!$AC$3:$AC$1002,MATCH(249,Leads!$BA$3:$BA$1002,0)))</f>
        <v/>
      </c>
      <c r="B250" s="12">
        <f>IF(G250="","","depot_paye")</f>
        <v/>
      </c>
      <c r="C250" s="12">
        <f>IF(G250="","",YEAR(J250)&amp;"-"&amp;RIGHT("0"&amp;MONTH(J250),2)&amp;"-"&amp;RIGHT("0"&amp;DAY(J250),2)&amp;" "&amp;RIGHT("0"&amp;HOUR(J250),2)&amp;":"&amp;RIGHT("0"&amp;MINUTE(J250),2)&amp;":"&amp;RIGHT("0"&amp;SECOND(J250),2)&amp;IF(AND(J250&gt;=DATE(YEAR(J250),3,8)+MOD(8-WEEKDAY(DATE(YEAR(J250),3,8)),7)+2/24,J250&lt;DATE(YEAR(J250),11,1)+MOD(8-WEEKDAY(DATE(YEAR(J250),11,1)),7)+2/24),"-04:00","-05:00"))</f>
        <v/>
      </c>
      <c r="D250" s="60">
        <f>IF(G250="","",INDEX(Leads!$V$3:$V$1002,MATCH(249,Leads!$BA$3:$BA$1002,0)))</f>
        <v/>
      </c>
      <c r="E250" s="12">
        <f>IF(G250="","","CAD")</f>
        <v/>
      </c>
      <c r="G250" s="7">
        <f>IFERROR(INDEX(Leads!$A$3:$A$1002,MATCH(249,Leads!$BA$3:$BA$1002,0)),"")</f>
        <v/>
      </c>
      <c r="H250" s="7">
        <f>IF(G250="","",INDEX(Leads!$AQ$3:$AQ$1002,MATCH(249,Leads!$BA$3:$BA$1002,0)))</f>
        <v/>
      </c>
      <c r="I250" s="7">
        <f>IF(G250="","",INDEX(Leads!$AI$3:$AI$1002,MATCH(249,Leads!$BA$3:$BA$1002,0))&amp;"")</f>
        <v/>
      </c>
      <c r="J250" s="61">
        <f>IF(G250="","",INDEX(Leads!$W$3:$W$1002,MATCH(249,Leads!$BA$3:$BA$1002,0)))</f>
        <v/>
      </c>
    </row>
    <row r="251">
      <c r="A251" s="12">
        <f>IF(G251="","",INDEX(Leads!$AC$3:$AC$1002,MATCH(250,Leads!$BA$3:$BA$1002,0)))</f>
        <v/>
      </c>
      <c r="B251" s="12">
        <f>IF(G251="","","depot_paye")</f>
        <v/>
      </c>
      <c r="C251" s="12">
        <f>IF(G251="","",YEAR(J251)&amp;"-"&amp;RIGHT("0"&amp;MONTH(J251),2)&amp;"-"&amp;RIGHT("0"&amp;DAY(J251),2)&amp;" "&amp;RIGHT("0"&amp;HOUR(J251),2)&amp;":"&amp;RIGHT("0"&amp;MINUTE(J251),2)&amp;":"&amp;RIGHT("0"&amp;SECOND(J251),2)&amp;IF(AND(J251&gt;=DATE(YEAR(J251),3,8)+MOD(8-WEEKDAY(DATE(YEAR(J251),3,8)),7)+2/24,J251&lt;DATE(YEAR(J251),11,1)+MOD(8-WEEKDAY(DATE(YEAR(J251),11,1)),7)+2/24),"-04:00","-05:00"))</f>
        <v/>
      </c>
      <c r="D251" s="60">
        <f>IF(G251="","",INDEX(Leads!$V$3:$V$1002,MATCH(250,Leads!$BA$3:$BA$1002,0)))</f>
        <v/>
      </c>
      <c r="E251" s="12">
        <f>IF(G251="","","CAD")</f>
        <v/>
      </c>
      <c r="G251" s="7">
        <f>IFERROR(INDEX(Leads!$A$3:$A$1002,MATCH(250,Leads!$BA$3:$BA$1002,0)),"")</f>
        <v/>
      </c>
      <c r="H251" s="7">
        <f>IF(G251="","",INDEX(Leads!$AQ$3:$AQ$1002,MATCH(250,Leads!$BA$3:$BA$1002,0)))</f>
        <v/>
      </c>
      <c r="I251" s="7">
        <f>IF(G251="","",INDEX(Leads!$AI$3:$AI$1002,MATCH(250,Leads!$BA$3:$BA$1002,0))&amp;"")</f>
        <v/>
      </c>
      <c r="J251" s="61">
        <f>IF(G251="","",INDEX(Leads!$W$3:$W$1002,MATCH(250,Leads!$BA$3:$BA$1002,0)))</f>
        <v/>
      </c>
    </row>
    <row r="252">
      <c r="A252" s="12">
        <f>IF(G252="","",INDEX(Leads!$AC$3:$AC$1002,MATCH(251,Leads!$BA$3:$BA$1002,0)))</f>
        <v/>
      </c>
      <c r="B252" s="12">
        <f>IF(G252="","","depot_paye")</f>
        <v/>
      </c>
      <c r="C252" s="12">
        <f>IF(G252="","",YEAR(J252)&amp;"-"&amp;RIGHT("0"&amp;MONTH(J252),2)&amp;"-"&amp;RIGHT("0"&amp;DAY(J252),2)&amp;" "&amp;RIGHT("0"&amp;HOUR(J252),2)&amp;":"&amp;RIGHT("0"&amp;MINUTE(J252),2)&amp;":"&amp;RIGHT("0"&amp;SECOND(J252),2)&amp;IF(AND(J252&gt;=DATE(YEAR(J252),3,8)+MOD(8-WEEKDAY(DATE(YEAR(J252),3,8)),7)+2/24,J252&lt;DATE(YEAR(J252),11,1)+MOD(8-WEEKDAY(DATE(YEAR(J252),11,1)),7)+2/24),"-04:00","-05:00"))</f>
        <v/>
      </c>
      <c r="D252" s="60">
        <f>IF(G252="","",INDEX(Leads!$V$3:$V$1002,MATCH(251,Leads!$BA$3:$BA$1002,0)))</f>
        <v/>
      </c>
      <c r="E252" s="12">
        <f>IF(G252="","","CAD")</f>
        <v/>
      </c>
      <c r="G252" s="7">
        <f>IFERROR(INDEX(Leads!$A$3:$A$1002,MATCH(251,Leads!$BA$3:$BA$1002,0)),"")</f>
        <v/>
      </c>
      <c r="H252" s="7">
        <f>IF(G252="","",INDEX(Leads!$AQ$3:$AQ$1002,MATCH(251,Leads!$BA$3:$BA$1002,0)))</f>
        <v/>
      </c>
      <c r="I252" s="7">
        <f>IF(G252="","",INDEX(Leads!$AI$3:$AI$1002,MATCH(251,Leads!$BA$3:$BA$1002,0))&amp;"")</f>
        <v/>
      </c>
      <c r="J252" s="61">
        <f>IF(G252="","",INDEX(Leads!$W$3:$W$1002,MATCH(251,Leads!$BA$3:$BA$1002,0)))</f>
        <v/>
      </c>
    </row>
    <row r="253">
      <c r="A253" s="12">
        <f>IF(G253="","",INDEX(Leads!$AC$3:$AC$1002,MATCH(252,Leads!$BA$3:$BA$1002,0)))</f>
        <v/>
      </c>
      <c r="B253" s="12">
        <f>IF(G253="","","depot_paye")</f>
        <v/>
      </c>
      <c r="C253" s="12">
        <f>IF(G253="","",YEAR(J253)&amp;"-"&amp;RIGHT("0"&amp;MONTH(J253),2)&amp;"-"&amp;RIGHT("0"&amp;DAY(J253),2)&amp;" "&amp;RIGHT("0"&amp;HOUR(J253),2)&amp;":"&amp;RIGHT("0"&amp;MINUTE(J253),2)&amp;":"&amp;RIGHT("0"&amp;SECOND(J253),2)&amp;IF(AND(J253&gt;=DATE(YEAR(J253),3,8)+MOD(8-WEEKDAY(DATE(YEAR(J253),3,8)),7)+2/24,J253&lt;DATE(YEAR(J253),11,1)+MOD(8-WEEKDAY(DATE(YEAR(J253),11,1)),7)+2/24),"-04:00","-05:00"))</f>
        <v/>
      </c>
      <c r="D253" s="60">
        <f>IF(G253="","",INDEX(Leads!$V$3:$V$1002,MATCH(252,Leads!$BA$3:$BA$1002,0)))</f>
        <v/>
      </c>
      <c r="E253" s="12">
        <f>IF(G253="","","CAD")</f>
        <v/>
      </c>
      <c r="G253" s="7">
        <f>IFERROR(INDEX(Leads!$A$3:$A$1002,MATCH(252,Leads!$BA$3:$BA$1002,0)),"")</f>
        <v/>
      </c>
      <c r="H253" s="7">
        <f>IF(G253="","",INDEX(Leads!$AQ$3:$AQ$1002,MATCH(252,Leads!$BA$3:$BA$1002,0)))</f>
        <v/>
      </c>
      <c r="I253" s="7">
        <f>IF(G253="","",INDEX(Leads!$AI$3:$AI$1002,MATCH(252,Leads!$BA$3:$BA$1002,0))&amp;"")</f>
        <v/>
      </c>
      <c r="J253" s="61">
        <f>IF(G253="","",INDEX(Leads!$W$3:$W$1002,MATCH(252,Leads!$BA$3:$BA$1002,0)))</f>
        <v/>
      </c>
    </row>
    <row r="254">
      <c r="A254" s="12">
        <f>IF(G254="","",INDEX(Leads!$AC$3:$AC$1002,MATCH(253,Leads!$BA$3:$BA$1002,0)))</f>
        <v/>
      </c>
      <c r="B254" s="12">
        <f>IF(G254="","","depot_paye")</f>
        <v/>
      </c>
      <c r="C254" s="12">
        <f>IF(G254="","",YEAR(J254)&amp;"-"&amp;RIGHT("0"&amp;MONTH(J254),2)&amp;"-"&amp;RIGHT("0"&amp;DAY(J254),2)&amp;" "&amp;RIGHT("0"&amp;HOUR(J254),2)&amp;":"&amp;RIGHT("0"&amp;MINUTE(J254),2)&amp;":"&amp;RIGHT("0"&amp;SECOND(J254),2)&amp;IF(AND(J254&gt;=DATE(YEAR(J254),3,8)+MOD(8-WEEKDAY(DATE(YEAR(J254),3,8)),7)+2/24,J254&lt;DATE(YEAR(J254),11,1)+MOD(8-WEEKDAY(DATE(YEAR(J254),11,1)),7)+2/24),"-04:00","-05:00"))</f>
        <v/>
      </c>
      <c r="D254" s="60">
        <f>IF(G254="","",INDEX(Leads!$V$3:$V$1002,MATCH(253,Leads!$BA$3:$BA$1002,0)))</f>
        <v/>
      </c>
      <c r="E254" s="12">
        <f>IF(G254="","","CAD")</f>
        <v/>
      </c>
      <c r="G254" s="7">
        <f>IFERROR(INDEX(Leads!$A$3:$A$1002,MATCH(253,Leads!$BA$3:$BA$1002,0)),"")</f>
        <v/>
      </c>
      <c r="H254" s="7">
        <f>IF(G254="","",INDEX(Leads!$AQ$3:$AQ$1002,MATCH(253,Leads!$BA$3:$BA$1002,0)))</f>
        <v/>
      </c>
      <c r="I254" s="7">
        <f>IF(G254="","",INDEX(Leads!$AI$3:$AI$1002,MATCH(253,Leads!$BA$3:$BA$1002,0))&amp;"")</f>
        <v/>
      </c>
      <c r="J254" s="61">
        <f>IF(G254="","",INDEX(Leads!$W$3:$W$1002,MATCH(253,Leads!$BA$3:$BA$1002,0)))</f>
        <v/>
      </c>
    </row>
    <row r="255">
      <c r="A255" s="12">
        <f>IF(G255="","",INDEX(Leads!$AC$3:$AC$1002,MATCH(254,Leads!$BA$3:$BA$1002,0)))</f>
        <v/>
      </c>
      <c r="B255" s="12">
        <f>IF(G255="","","depot_paye")</f>
        <v/>
      </c>
      <c r="C255" s="12">
        <f>IF(G255="","",YEAR(J255)&amp;"-"&amp;RIGHT("0"&amp;MONTH(J255),2)&amp;"-"&amp;RIGHT("0"&amp;DAY(J255),2)&amp;" "&amp;RIGHT("0"&amp;HOUR(J255),2)&amp;":"&amp;RIGHT("0"&amp;MINUTE(J255),2)&amp;":"&amp;RIGHT("0"&amp;SECOND(J255),2)&amp;IF(AND(J255&gt;=DATE(YEAR(J255),3,8)+MOD(8-WEEKDAY(DATE(YEAR(J255),3,8)),7)+2/24,J255&lt;DATE(YEAR(J255),11,1)+MOD(8-WEEKDAY(DATE(YEAR(J255),11,1)),7)+2/24),"-04:00","-05:00"))</f>
        <v/>
      </c>
      <c r="D255" s="60">
        <f>IF(G255="","",INDEX(Leads!$V$3:$V$1002,MATCH(254,Leads!$BA$3:$BA$1002,0)))</f>
        <v/>
      </c>
      <c r="E255" s="12">
        <f>IF(G255="","","CAD")</f>
        <v/>
      </c>
      <c r="G255" s="7">
        <f>IFERROR(INDEX(Leads!$A$3:$A$1002,MATCH(254,Leads!$BA$3:$BA$1002,0)),"")</f>
        <v/>
      </c>
      <c r="H255" s="7">
        <f>IF(G255="","",INDEX(Leads!$AQ$3:$AQ$1002,MATCH(254,Leads!$BA$3:$BA$1002,0)))</f>
        <v/>
      </c>
      <c r="I255" s="7">
        <f>IF(G255="","",INDEX(Leads!$AI$3:$AI$1002,MATCH(254,Leads!$BA$3:$BA$1002,0))&amp;"")</f>
        <v/>
      </c>
      <c r="J255" s="61">
        <f>IF(G255="","",INDEX(Leads!$W$3:$W$1002,MATCH(254,Leads!$BA$3:$BA$1002,0)))</f>
        <v/>
      </c>
    </row>
    <row r="256">
      <c r="A256" s="12">
        <f>IF(G256="","",INDEX(Leads!$AC$3:$AC$1002,MATCH(255,Leads!$BA$3:$BA$1002,0)))</f>
        <v/>
      </c>
      <c r="B256" s="12">
        <f>IF(G256="","","depot_paye")</f>
        <v/>
      </c>
      <c r="C256" s="12">
        <f>IF(G256="","",YEAR(J256)&amp;"-"&amp;RIGHT("0"&amp;MONTH(J256),2)&amp;"-"&amp;RIGHT("0"&amp;DAY(J256),2)&amp;" "&amp;RIGHT("0"&amp;HOUR(J256),2)&amp;":"&amp;RIGHT("0"&amp;MINUTE(J256),2)&amp;":"&amp;RIGHT("0"&amp;SECOND(J256),2)&amp;IF(AND(J256&gt;=DATE(YEAR(J256),3,8)+MOD(8-WEEKDAY(DATE(YEAR(J256),3,8)),7)+2/24,J256&lt;DATE(YEAR(J256),11,1)+MOD(8-WEEKDAY(DATE(YEAR(J256),11,1)),7)+2/24),"-04:00","-05:00"))</f>
        <v/>
      </c>
      <c r="D256" s="60">
        <f>IF(G256="","",INDEX(Leads!$V$3:$V$1002,MATCH(255,Leads!$BA$3:$BA$1002,0)))</f>
        <v/>
      </c>
      <c r="E256" s="12">
        <f>IF(G256="","","CAD")</f>
        <v/>
      </c>
      <c r="G256" s="7">
        <f>IFERROR(INDEX(Leads!$A$3:$A$1002,MATCH(255,Leads!$BA$3:$BA$1002,0)),"")</f>
        <v/>
      </c>
      <c r="H256" s="7">
        <f>IF(G256="","",INDEX(Leads!$AQ$3:$AQ$1002,MATCH(255,Leads!$BA$3:$BA$1002,0)))</f>
        <v/>
      </c>
      <c r="I256" s="7">
        <f>IF(G256="","",INDEX(Leads!$AI$3:$AI$1002,MATCH(255,Leads!$BA$3:$BA$1002,0))&amp;"")</f>
        <v/>
      </c>
      <c r="J256" s="61">
        <f>IF(G256="","",INDEX(Leads!$W$3:$W$1002,MATCH(255,Leads!$BA$3:$BA$1002,0)))</f>
        <v/>
      </c>
    </row>
    <row r="257">
      <c r="A257" s="12">
        <f>IF(G257="","",INDEX(Leads!$AC$3:$AC$1002,MATCH(256,Leads!$BA$3:$BA$1002,0)))</f>
        <v/>
      </c>
      <c r="B257" s="12">
        <f>IF(G257="","","depot_paye")</f>
        <v/>
      </c>
      <c r="C257" s="12">
        <f>IF(G257="","",YEAR(J257)&amp;"-"&amp;RIGHT("0"&amp;MONTH(J257),2)&amp;"-"&amp;RIGHT("0"&amp;DAY(J257),2)&amp;" "&amp;RIGHT("0"&amp;HOUR(J257),2)&amp;":"&amp;RIGHT("0"&amp;MINUTE(J257),2)&amp;":"&amp;RIGHT("0"&amp;SECOND(J257),2)&amp;IF(AND(J257&gt;=DATE(YEAR(J257),3,8)+MOD(8-WEEKDAY(DATE(YEAR(J257),3,8)),7)+2/24,J257&lt;DATE(YEAR(J257),11,1)+MOD(8-WEEKDAY(DATE(YEAR(J257),11,1)),7)+2/24),"-04:00","-05:00"))</f>
        <v/>
      </c>
      <c r="D257" s="60">
        <f>IF(G257="","",INDEX(Leads!$V$3:$V$1002,MATCH(256,Leads!$BA$3:$BA$1002,0)))</f>
        <v/>
      </c>
      <c r="E257" s="12">
        <f>IF(G257="","","CAD")</f>
        <v/>
      </c>
      <c r="G257" s="7">
        <f>IFERROR(INDEX(Leads!$A$3:$A$1002,MATCH(256,Leads!$BA$3:$BA$1002,0)),"")</f>
        <v/>
      </c>
      <c r="H257" s="7">
        <f>IF(G257="","",INDEX(Leads!$AQ$3:$AQ$1002,MATCH(256,Leads!$BA$3:$BA$1002,0)))</f>
        <v/>
      </c>
      <c r="I257" s="7">
        <f>IF(G257="","",INDEX(Leads!$AI$3:$AI$1002,MATCH(256,Leads!$BA$3:$BA$1002,0))&amp;"")</f>
        <v/>
      </c>
      <c r="J257" s="61">
        <f>IF(G257="","",INDEX(Leads!$W$3:$W$1002,MATCH(256,Leads!$BA$3:$BA$1002,0)))</f>
        <v/>
      </c>
    </row>
    <row r="258">
      <c r="A258" s="12">
        <f>IF(G258="","",INDEX(Leads!$AC$3:$AC$1002,MATCH(257,Leads!$BA$3:$BA$1002,0)))</f>
        <v/>
      </c>
      <c r="B258" s="12">
        <f>IF(G258="","","depot_paye")</f>
        <v/>
      </c>
      <c r="C258" s="12">
        <f>IF(G258="","",YEAR(J258)&amp;"-"&amp;RIGHT("0"&amp;MONTH(J258),2)&amp;"-"&amp;RIGHT("0"&amp;DAY(J258),2)&amp;" "&amp;RIGHT("0"&amp;HOUR(J258),2)&amp;":"&amp;RIGHT("0"&amp;MINUTE(J258),2)&amp;":"&amp;RIGHT("0"&amp;SECOND(J258),2)&amp;IF(AND(J258&gt;=DATE(YEAR(J258),3,8)+MOD(8-WEEKDAY(DATE(YEAR(J258),3,8)),7)+2/24,J258&lt;DATE(YEAR(J258),11,1)+MOD(8-WEEKDAY(DATE(YEAR(J258),11,1)),7)+2/24),"-04:00","-05:00"))</f>
        <v/>
      </c>
      <c r="D258" s="60">
        <f>IF(G258="","",INDEX(Leads!$V$3:$V$1002,MATCH(257,Leads!$BA$3:$BA$1002,0)))</f>
        <v/>
      </c>
      <c r="E258" s="12">
        <f>IF(G258="","","CAD")</f>
        <v/>
      </c>
      <c r="G258" s="7">
        <f>IFERROR(INDEX(Leads!$A$3:$A$1002,MATCH(257,Leads!$BA$3:$BA$1002,0)),"")</f>
        <v/>
      </c>
      <c r="H258" s="7">
        <f>IF(G258="","",INDEX(Leads!$AQ$3:$AQ$1002,MATCH(257,Leads!$BA$3:$BA$1002,0)))</f>
        <v/>
      </c>
      <c r="I258" s="7">
        <f>IF(G258="","",INDEX(Leads!$AI$3:$AI$1002,MATCH(257,Leads!$BA$3:$BA$1002,0))&amp;"")</f>
        <v/>
      </c>
      <c r="J258" s="61">
        <f>IF(G258="","",INDEX(Leads!$W$3:$W$1002,MATCH(257,Leads!$BA$3:$BA$1002,0)))</f>
        <v/>
      </c>
    </row>
    <row r="259">
      <c r="A259" s="12">
        <f>IF(G259="","",INDEX(Leads!$AC$3:$AC$1002,MATCH(258,Leads!$BA$3:$BA$1002,0)))</f>
        <v/>
      </c>
      <c r="B259" s="12">
        <f>IF(G259="","","depot_paye")</f>
        <v/>
      </c>
      <c r="C259" s="12">
        <f>IF(G259="","",YEAR(J259)&amp;"-"&amp;RIGHT("0"&amp;MONTH(J259),2)&amp;"-"&amp;RIGHT("0"&amp;DAY(J259),2)&amp;" "&amp;RIGHT("0"&amp;HOUR(J259),2)&amp;":"&amp;RIGHT("0"&amp;MINUTE(J259),2)&amp;":"&amp;RIGHT("0"&amp;SECOND(J259),2)&amp;IF(AND(J259&gt;=DATE(YEAR(J259),3,8)+MOD(8-WEEKDAY(DATE(YEAR(J259),3,8)),7)+2/24,J259&lt;DATE(YEAR(J259),11,1)+MOD(8-WEEKDAY(DATE(YEAR(J259),11,1)),7)+2/24),"-04:00","-05:00"))</f>
        <v/>
      </c>
      <c r="D259" s="60">
        <f>IF(G259="","",INDEX(Leads!$V$3:$V$1002,MATCH(258,Leads!$BA$3:$BA$1002,0)))</f>
        <v/>
      </c>
      <c r="E259" s="12">
        <f>IF(G259="","","CAD")</f>
        <v/>
      </c>
      <c r="G259" s="7">
        <f>IFERROR(INDEX(Leads!$A$3:$A$1002,MATCH(258,Leads!$BA$3:$BA$1002,0)),"")</f>
        <v/>
      </c>
      <c r="H259" s="7">
        <f>IF(G259="","",INDEX(Leads!$AQ$3:$AQ$1002,MATCH(258,Leads!$BA$3:$BA$1002,0)))</f>
        <v/>
      </c>
      <c r="I259" s="7">
        <f>IF(G259="","",INDEX(Leads!$AI$3:$AI$1002,MATCH(258,Leads!$BA$3:$BA$1002,0))&amp;"")</f>
        <v/>
      </c>
      <c r="J259" s="61">
        <f>IF(G259="","",INDEX(Leads!$W$3:$W$1002,MATCH(258,Leads!$BA$3:$BA$1002,0)))</f>
        <v/>
      </c>
    </row>
    <row r="260">
      <c r="A260" s="12">
        <f>IF(G260="","",INDEX(Leads!$AC$3:$AC$1002,MATCH(259,Leads!$BA$3:$BA$1002,0)))</f>
        <v/>
      </c>
      <c r="B260" s="12">
        <f>IF(G260="","","depot_paye")</f>
        <v/>
      </c>
      <c r="C260" s="12">
        <f>IF(G260="","",YEAR(J260)&amp;"-"&amp;RIGHT("0"&amp;MONTH(J260),2)&amp;"-"&amp;RIGHT("0"&amp;DAY(J260),2)&amp;" "&amp;RIGHT("0"&amp;HOUR(J260),2)&amp;":"&amp;RIGHT("0"&amp;MINUTE(J260),2)&amp;":"&amp;RIGHT("0"&amp;SECOND(J260),2)&amp;IF(AND(J260&gt;=DATE(YEAR(J260),3,8)+MOD(8-WEEKDAY(DATE(YEAR(J260),3,8)),7)+2/24,J260&lt;DATE(YEAR(J260),11,1)+MOD(8-WEEKDAY(DATE(YEAR(J260),11,1)),7)+2/24),"-04:00","-05:00"))</f>
        <v/>
      </c>
      <c r="D260" s="60">
        <f>IF(G260="","",INDEX(Leads!$V$3:$V$1002,MATCH(259,Leads!$BA$3:$BA$1002,0)))</f>
        <v/>
      </c>
      <c r="E260" s="12">
        <f>IF(G260="","","CAD")</f>
        <v/>
      </c>
      <c r="G260" s="7">
        <f>IFERROR(INDEX(Leads!$A$3:$A$1002,MATCH(259,Leads!$BA$3:$BA$1002,0)),"")</f>
        <v/>
      </c>
      <c r="H260" s="7">
        <f>IF(G260="","",INDEX(Leads!$AQ$3:$AQ$1002,MATCH(259,Leads!$BA$3:$BA$1002,0)))</f>
        <v/>
      </c>
      <c r="I260" s="7">
        <f>IF(G260="","",INDEX(Leads!$AI$3:$AI$1002,MATCH(259,Leads!$BA$3:$BA$1002,0))&amp;"")</f>
        <v/>
      </c>
      <c r="J260" s="61">
        <f>IF(G260="","",INDEX(Leads!$W$3:$W$1002,MATCH(259,Leads!$BA$3:$BA$1002,0)))</f>
        <v/>
      </c>
    </row>
    <row r="261">
      <c r="A261" s="12">
        <f>IF(G261="","",INDEX(Leads!$AC$3:$AC$1002,MATCH(260,Leads!$BA$3:$BA$1002,0)))</f>
        <v/>
      </c>
      <c r="B261" s="12">
        <f>IF(G261="","","depot_paye")</f>
        <v/>
      </c>
      <c r="C261" s="12">
        <f>IF(G261="","",YEAR(J261)&amp;"-"&amp;RIGHT("0"&amp;MONTH(J261),2)&amp;"-"&amp;RIGHT("0"&amp;DAY(J261),2)&amp;" "&amp;RIGHT("0"&amp;HOUR(J261),2)&amp;":"&amp;RIGHT("0"&amp;MINUTE(J261),2)&amp;":"&amp;RIGHT("0"&amp;SECOND(J261),2)&amp;IF(AND(J261&gt;=DATE(YEAR(J261),3,8)+MOD(8-WEEKDAY(DATE(YEAR(J261),3,8)),7)+2/24,J261&lt;DATE(YEAR(J261),11,1)+MOD(8-WEEKDAY(DATE(YEAR(J261),11,1)),7)+2/24),"-04:00","-05:00"))</f>
        <v/>
      </c>
      <c r="D261" s="60">
        <f>IF(G261="","",INDEX(Leads!$V$3:$V$1002,MATCH(260,Leads!$BA$3:$BA$1002,0)))</f>
        <v/>
      </c>
      <c r="E261" s="12">
        <f>IF(G261="","","CAD")</f>
        <v/>
      </c>
      <c r="G261" s="7">
        <f>IFERROR(INDEX(Leads!$A$3:$A$1002,MATCH(260,Leads!$BA$3:$BA$1002,0)),"")</f>
        <v/>
      </c>
      <c r="H261" s="7">
        <f>IF(G261="","",INDEX(Leads!$AQ$3:$AQ$1002,MATCH(260,Leads!$BA$3:$BA$1002,0)))</f>
        <v/>
      </c>
      <c r="I261" s="7">
        <f>IF(G261="","",INDEX(Leads!$AI$3:$AI$1002,MATCH(260,Leads!$BA$3:$BA$1002,0))&amp;"")</f>
        <v/>
      </c>
      <c r="J261" s="61">
        <f>IF(G261="","",INDEX(Leads!$W$3:$W$1002,MATCH(260,Leads!$BA$3:$BA$1002,0)))</f>
        <v/>
      </c>
    </row>
    <row r="262">
      <c r="A262" s="12">
        <f>IF(G262="","",INDEX(Leads!$AC$3:$AC$1002,MATCH(261,Leads!$BA$3:$BA$1002,0)))</f>
        <v/>
      </c>
      <c r="B262" s="12">
        <f>IF(G262="","","depot_paye")</f>
        <v/>
      </c>
      <c r="C262" s="12">
        <f>IF(G262="","",YEAR(J262)&amp;"-"&amp;RIGHT("0"&amp;MONTH(J262),2)&amp;"-"&amp;RIGHT("0"&amp;DAY(J262),2)&amp;" "&amp;RIGHT("0"&amp;HOUR(J262),2)&amp;":"&amp;RIGHT("0"&amp;MINUTE(J262),2)&amp;":"&amp;RIGHT("0"&amp;SECOND(J262),2)&amp;IF(AND(J262&gt;=DATE(YEAR(J262),3,8)+MOD(8-WEEKDAY(DATE(YEAR(J262),3,8)),7)+2/24,J262&lt;DATE(YEAR(J262),11,1)+MOD(8-WEEKDAY(DATE(YEAR(J262),11,1)),7)+2/24),"-04:00","-05:00"))</f>
        <v/>
      </c>
      <c r="D262" s="60">
        <f>IF(G262="","",INDEX(Leads!$V$3:$V$1002,MATCH(261,Leads!$BA$3:$BA$1002,0)))</f>
        <v/>
      </c>
      <c r="E262" s="12">
        <f>IF(G262="","","CAD")</f>
        <v/>
      </c>
      <c r="G262" s="7">
        <f>IFERROR(INDEX(Leads!$A$3:$A$1002,MATCH(261,Leads!$BA$3:$BA$1002,0)),"")</f>
        <v/>
      </c>
      <c r="H262" s="7">
        <f>IF(G262="","",INDEX(Leads!$AQ$3:$AQ$1002,MATCH(261,Leads!$BA$3:$BA$1002,0)))</f>
        <v/>
      </c>
      <c r="I262" s="7">
        <f>IF(G262="","",INDEX(Leads!$AI$3:$AI$1002,MATCH(261,Leads!$BA$3:$BA$1002,0))&amp;"")</f>
        <v/>
      </c>
      <c r="J262" s="61">
        <f>IF(G262="","",INDEX(Leads!$W$3:$W$1002,MATCH(261,Leads!$BA$3:$BA$1002,0)))</f>
        <v/>
      </c>
    </row>
    <row r="263">
      <c r="A263" s="12">
        <f>IF(G263="","",INDEX(Leads!$AC$3:$AC$1002,MATCH(262,Leads!$BA$3:$BA$1002,0)))</f>
        <v/>
      </c>
      <c r="B263" s="12">
        <f>IF(G263="","","depot_paye")</f>
        <v/>
      </c>
      <c r="C263" s="12">
        <f>IF(G263="","",YEAR(J263)&amp;"-"&amp;RIGHT("0"&amp;MONTH(J263),2)&amp;"-"&amp;RIGHT("0"&amp;DAY(J263),2)&amp;" "&amp;RIGHT("0"&amp;HOUR(J263),2)&amp;":"&amp;RIGHT("0"&amp;MINUTE(J263),2)&amp;":"&amp;RIGHT("0"&amp;SECOND(J263),2)&amp;IF(AND(J263&gt;=DATE(YEAR(J263),3,8)+MOD(8-WEEKDAY(DATE(YEAR(J263),3,8)),7)+2/24,J263&lt;DATE(YEAR(J263),11,1)+MOD(8-WEEKDAY(DATE(YEAR(J263),11,1)),7)+2/24),"-04:00","-05:00"))</f>
        <v/>
      </c>
      <c r="D263" s="60">
        <f>IF(G263="","",INDEX(Leads!$V$3:$V$1002,MATCH(262,Leads!$BA$3:$BA$1002,0)))</f>
        <v/>
      </c>
      <c r="E263" s="12">
        <f>IF(G263="","","CAD")</f>
        <v/>
      </c>
      <c r="G263" s="7">
        <f>IFERROR(INDEX(Leads!$A$3:$A$1002,MATCH(262,Leads!$BA$3:$BA$1002,0)),"")</f>
        <v/>
      </c>
      <c r="H263" s="7">
        <f>IF(G263="","",INDEX(Leads!$AQ$3:$AQ$1002,MATCH(262,Leads!$BA$3:$BA$1002,0)))</f>
        <v/>
      </c>
      <c r="I263" s="7">
        <f>IF(G263="","",INDEX(Leads!$AI$3:$AI$1002,MATCH(262,Leads!$BA$3:$BA$1002,0))&amp;"")</f>
        <v/>
      </c>
      <c r="J263" s="61">
        <f>IF(G263="","",INDEX(Leads!$W$3:$W$1002,MATCH(262,Leads!$BA$3:$BA$1002,0)))</f>
        <v/>
      </c>
    </row>
    <row r="264">
      <c r="A264" s="12">
        <f>IF(G264="","",INDEX(Leads!$AC$3:$AC$1002,MATCH(263,Leads!$BA$3:$BA$1002,0)))</f>
        <v/>
      </c>
      <c r="B264" s="12">
        <f>IF(G264="","","depot_paye")</f>
        <v/>
      </c>
      <c r="C264" s="12">
        <f>IF(G264="","",YEAR(J264)&amp;"-"&amp;RIGHT("0"&amp;MONTH(J264),2)&amp;"-"&amp;RIGHT("0"&amp;DAY(J264),2)&amp;" "&amp;RIGHT("0"&amp;HOUR(J264),2)&amp;":"&amp;RIGHT("0"&amp;MINUTE(J264),2)&amp;":"&amp;RIGHT("0"&amp;SECOND(J264),2)&amp;IF(AND(J264&gt;=DATE(YEAR(J264),3,8)+MOD(8-WEEKDAY(DATE(YEAR(J264),3,8)),7)+2/24,J264&lt;DATE(YEAR(J264),11,1)+MOD(8-WEEKDAY(DATE(YEAR(J264),11,1)),7)+2/24),"-04:00","-05:00"))</f>
        <v/>
      </c>
      <c r="D264" s="60">
        <f>IF(G264="","",INDEX(Leads!$V$3:$V$1002,MATCH(263,Leads!$BA$3:$BA$1002,0)))</f>
        <v/>
      </c>
      <c r="E264" s="12">
        <f>IF(G264="","","CAD")</f>
        <v/>
      </c>
      <c r="G264" s="7">
        <f>IFERROR(INDEX(Leads!$A$3:$A$1002,MATCH(263,Leads!$BA$3:$BA$1002,0)),"")</f>
        <v/>
      </c>
      <c r="H264" s="7">
        <f>IF(G264="","",INDEX(Leads!$AQ$3:$AQ$1002,MATCH(263,Leads!$BA$3:$BA$1002,0)))</f>
        <v/>
      </c>
      <c r="I264" s="7">
        <f>IF(G264="","",INDEX(Leads!$AI$3:$AI$1002,MATCH(263,Leads!$BA$3:$BA$1002,0))&amp;"")</f>
        <v/>
      </c>
      <c r="J264" s="61">
        <f>IF(G264="","",INDEX(Leads!$W$3:$W$1002,MATCH(263,Leads!$BA$3:$BA$1002,0)))</f>
        <v/>
      </c>
    </row>
    <row r="265">
      <c r="A265" s="12">
        <f>IF(G265="","",INDEX(Leads!$AC$3:$AC$1002,MATCH(264,Leads!$BA$3:$BA$1002,0)))</f>
        <v/>
      </c>
      <c r="B265" s="12">
        <f>IF(G265="","","depot_paye")</f>
        <v/>
      </c>
      <c r="C265" s="12">
        <f>IF(G265="","",YEAR(J265)&amp;"-"&amp;RIGHT("0"&amp;MONTH(J265),2)&amp;"-"&amp;RIGHT("0"&amp;DAY(J265),2)&amp;" "&amp;RIGHT("0"&amp;HOUR(J265),2)&amp;":"&amp;RIGHT("0"&amp;MINUTE(J265),2)&amp;":"&amp;RIGHT("0"&amp;SECOND(J265),2)&amp;IF(AND(J265&gt;=DATE(YEAR(J265),3,8)+MOD(8-WEEKDAY(DATE(YEAR(J265),3,8)),7)+2/24,J265&lt;DATE(YEAR(J265),11,1)+MOD(8-WEEKDAY(DATE(YEAR(J265),11,1)),7)+2/24),"-04:00","-05:00"))</f>
        <v/>
      </c>
      <c r="D265" s="60">
        <f>IF(G265="","",INDEX(Leads!$V$3:$V$1002,MATCH(264,Leads!$BA$3:$BA$1002,0)))</f>
        <v/>
      </c>
      <c r="E265" s="12">
        <f>IF(G265="","","CAD")</f>
        <v/>
      </c>
      <c r="G265" s="7">
        <f>IFERROR(INDEX(Leads!$A$3:$A$1002,MATCH(264,Leads!$BA$3:$BA$1002,0)),"")</f>
        <v/>
      </c>
      <c r="H265" s="7">
        <f>IF(G265="","",INDEX(Leads!$AQ$3:$AQ$1002,MATCH(264,Leads!$BA$3:$BA$1002,0)))</f>
        <v/>
      </c>
      <c r="I265" s="7">
        <f>IF(G265="","",INDEX(Leads!$AI$3:$AI$1002,MATCH(264,Leads!$BA$3:$BA$1002,0))&amp;"")</f>
        <v/>
      </c>
      <c r="J265" s="61">
        <f>IF(G265="","",INDEX(Leads!$W$3:$W$1002,MATCH(264,Leads!$BA$3:$BA$1002,0)))</f>
        <v/>
      </c>
    </row>
    <row r="266">
      <c r="A266" s="12">
        <f>IF(G266="","",INDEX(Leads!$AC$3:$AC$1002,MATCH(265,Leads!$BA$3:$BA$1002,0)))</f>
        <v/>
      </c>
      <c r="B266" s="12">
        <f>IF(G266="","","depot_paye")</f>
        <v/>
      </c>
      <c r="C266" s="12">
        <f>IF(G266="","",YEAR(J266)&amp;"-"&amp;RIGHT("0"&amp;MONTH(J266),2)&amp;"-"&amp;RIGHT("0"&amp;DAY(J266),2)&amp;" "&amp;RIGHT("0"&amp;HOUR(J266),2)&amp;":"&amp;RIGHT("0"&amp;MINUTE(J266),2)&amp;":"&amp;RIGHT("0"&amp;SECOND(J266),2)&amp;IF(AND(J266&gt;=DATE(YEAR(J266),3,8)+MOD(8-WEEKDAY(DATE(YEAR(J266),3,8)),7)+2/24,J266&lt;DATE(YEAR(J266),11,1)+MOD(8-WEEKDAY(DATE(YEAR(J266),11,1)),7)+2/24),"-04:00","-05:00"))</f>
        <v/>
      </c>
      <c r="D266" s="60">
        <f>IF(G266="","",INDEX(Leads!$V$3:$V$1002,MATCH(265,Leads!$BA$3:$BA$1002,0)))</f>
        <v/>
      </c>
      <c r="E266" s="12">
        <f>IF(G266="","","CAD")</f>
        <v/>
      </c>
      <c r="G266" s="7">
        <f>IFERROR(INDEX(Leads!$A$3:$A$1002,MATCH(265,Leads!$BA$3:$BA$1002,0)),"")</f>
        <v/>
      </c>
      <c r="H266" s="7">
        <f>IF(G266="","",INDEX(Leads!$AQ$3:$AQ$1002,MATCH(265,Leads!$BA$3:$BA$1002,0)))</f>
        <v/>
      </c>
      <c r="I266" s="7">
        <f>IF(G266="","",INDEX(Leads!$AI$3:$AI$1002,MATCH(265,Leads!$BA$3:$BA$1002,0))&amp;"")</f>
        <v/>
      </c>
      <c r="J266" s="61">
        <f>IF(G266="","",INDEX(Leads!$W$3:$W$1002,MATCH(265,Leads!$BA$3:$BA$1002,0)))</f>
        <v/>
      </c>
    </row>
    <row r="267">
      <c r="A267" s="12">
        <f>IF(G267="","",INDEX(Leads!$AC$3:$AC$1002,MATCH(266,Leads!$BA$3:$BA$1002,0)))</f>
        <v/>
      </c>
      <c r="B267" s="12">
        <f>IF(G267="","","depot_paye")</f>
        <v/>
      </c>
      <c r="C267" s="12">
        <f>IF(G267="","",YEAR(J267)&amp;"-"&amp;RIGHT("0"&amp;MONTH(J267),2)&amp;"-"&amp;RIGHT("0"&amp;DAY(J267),2)&amp;" "&amp;RIGHT("0"&amp;HOUR(J267),2)&amp;":"&amp;RIGHT("0"&amp;MINUTE(J267),2)&amp;":"&amp;RIGHT("0"&amp;SECOND(J267),2)&amp;IF(AND(J267&gt;=DATE(YEAR(J267),3,8)+MOD(8-WEEKDAY(DATE(YEAR(J267),3,8)),7)+2/24,J267&lt;DATE(YEAR(J267),11,1)+MOD(8-WEEKDAY(DATE(YEAR(J267),11,1)),7)+2/24),"-04:00","-05:00"))</f>
        <v/>
      </c>
      <c r="D267" s="60">
        <f>IF(G267="","",INDEX(Leads!$V$3:$V$1002,MATCH(266,Leads!$BA$3:$BA$1002,0)))</f>
        <v/>
      </c>
      <c r="E267" s="12">
        <f>IF(G267="","","CAD")</f>
        <v/>
      </c>
      <c r="G267" s="7">
        <f>IFERROR(INDEX(Leads!$A$3:$A$1002,MATCH(266,Leads!$BA$3:$BA$1002,0)),"")</f>
        <v/>
      </c>
      <c r="H267" s="7">
        <f>IF(G267="","",INDEX(Leads!$AQ$3:$AQ$1002,MATCH(266,Leads!$BA$3:$BA$1002,0)))</f>
        <v/>
      </c>
      <c r="I267" s="7">
        <f>IF(G267="","",INDEX(Leads!$AI$3:$AI$1002,MATCH(266,Leads!$BA$3:$BA$1002,0))&amp;"")</f>
        <v/>
      </c>
      <c r="J267" s="61">
        <f>IF(G267="","",INDEX(Leads!$W$3:$W$1002,MATCH(266,Leads!$BA$3:$BA$1002,0)))</f>
        <v/>
      </c>
    </row>
    <row r="268">
      <c r="A268" s="12">
        <f>IF(G268="","",INDEX(Leads!$AC$3:$AC$1002,MATCH(267,Leads!$BA$3:$BA$1002,0)))</f>
        <v/>
      </c>
      <c r="B268" s="12">
        <f>IF(G268="","","depot_paye")</f>
        <v/>
      </c>
      <c r="C268" s="12">
        <f>IF(G268="","",YEAR(J268)&amp;"-"&amp;RIGHT("0"&amp;MONTH(J268),2)&amp;"-"&amp;RIGHT("0"&amp;DAY(J268),2)&amp;" "&amp;RIGHT("0"&amp;HOUR(J268),2)&amp;":"&amp;RIGHT("0"&amp;MINUTE(J268),2)&amp;":"&amp;RIGHT("0"&amp;SECOND(J268),2)&amp;IF(AND(J268&gt;=DATE(YEAR(J268),3,8)+MOD(8-WEEKDAY(DATE(YEAR(J268),3,8)),7)+2/24,J268&lt;DATE(YEAR(J268),11,1)+MOD(8-WEEKDAY(DATE(YEAR(J268),11,1)),7)+2/24),"-04:00","-05:00"))</f>
        <v/>
      </c>
      <c r="D268" s="60">
        <f>IF(G268="","",INDEX(Leads!$V$3:$V$1002,MATCH(267,Leads!$BA$3:$BA$1002,0)))</f>
        <v/>
      </c>
      <c r="E268" s="12">
        <f>IF(G268="","","CAD")</f>
        <v/>
      </c>
      <c r="G268" s="7">
        <f>IFERROR(INDEX(Leads!$A$3:$A$1002,MATCH(267,Leads!$BA$3:$BA$1002,0)),"")</f>
        <v/>
      </c>
      <c r="H268" s="7">
        <f>IF(G268="","",INDEX(Leads!$AQ$3:$AQ$1002,MATCH(267,Leads!$BA$3:$BA$1002,0)))</f>
        <v/>
      </c>
      <c r="I268" s="7">
        <f>IF(G268="","",INDEX(Leads!$AI$3:$AI$1002,MATCH(267,Leads!$BA$3:$BA$1002,0))&amp;"")</f>
        <v/>
      </c>
      <c r="J268" s="61">
        <f>IF(G268="","",INDEX(Leads!$W$3:$W$1002,MATCH(267,Leads!$BA$3:$BA$1002,0)))</f>
        <v/>
      </c>
    </row>
    <row r="269">
      <c r="A269" s="12">
        <f>IF(G269="","",INDEX(Leads!$AC$3:$AC$1002,MATCH(268,Leads!$BA$3:$BA$1002,0)))</f>
        <v/>
      </c>
      <c r="B269" s="12">
        <f>IF(G269="","","depot_paye")</f>
        <v/>
      </c>
      <c r="C269" s="12">
        <f>IF(G269="","",YEAR(J269)&amp;"-"&amp;RIGHT("0"&amp;MONTH(J269),2)&amp;"-"&amp;RIGHT("0"&amp;DAY(J269),2)&amp;" "&amp;RIGHT("0"&amp;HOUR(J269),2)&amp;":"&amp;RIGHT("0"&amp;MINUTE(J269),2)&amp;":"&amp;RIGHT("0"&amp;SECOND(J269),2)&amp;IF(AND(J269&gt;=DATE(YEAR(J269),3,8)+MOD(8-WEEKDAY(DATE(YEAR(J269),3,8)),7)+2/24,J269&lt;DATE(YEAR(J269),11,1)+MOD(8-WEEKDAY(DATE(YEAR(J269),11,1)),7)+2/24),"-04:00","-05:00"))</f>
        <v/>
      </c>
      <c r="D269" s="60">
        <f>IF(G269="","",INDEX(Leads!$V$3:$V$1002,MATCH(268,Leads!$BA$3:$BA$1002,0)))</f>
        <v/>
      </c>
      <c r="E269" s="12">
        <f>IF(G269="","","CAD")</f>
        <v/>
      </c>
      <c r="G269" s="7">
        <f>IFERROR(INDEX(Leads!$A$3:$A$1002,MATCH(268,Leads!$BA$3:$BA$1002,0)),"")</f>
        <v/>
      </c>
      <c r="H269" s="7">
        <f>IF(G269="","",INDEX(Leads!$AQ$3:$AQ$1002,MATCH(268,Leads!$BA$3:$BA$1002,0)))</f>
        <v/>
      </c>
      <c r="I269" s="7">
        <f>IF(G269="","",INDEX(Leads!$AI$3:$AI$1002,MATCH(268,Leads!$BA$3:$BA$1002,0))&amp;"")</f>
        <v/>
      </c>
      <c r="J269" s="61">
        <f>IF(G269="","",INDEX(Leads!$W$3:$W$1002,MATCH(268,Leads!$BA$3:$BA$1002,0)))</f>
        <v/>
      </c>
    </row>
    <row r="270">
      <c r="A270" s="12">
        <f>IF(G270="","",INDEX(Leads!$AC$3:$AC$1002,MATCH(269,Leads!$BA$3:$BA$1002,0)))</f>
        <v/>
      </c>
      <c r="B270" s="12">
        <f>IF(G270="","","depot_paye")</f>
        <v/>
      </c>
      <c r="C270" s="12">
        <f>IF(G270="","",YEAR(J270)&amp;"-"&amp;RIGHT("0"&amp;MONTH(J270),2)&amp;"-"&amp;RIGHT("0"&amp;DAY(J270),2)&amp;" "&amp;RIGHT("0"&amp;HOUR(J270),2)&amp;":"&amp;RIGHT("0"&amp;MINUTE(J270),2)&amp;":"&amp;RIGHT("0"&amp;SECOND(J270),2)&amp;IF(AND(J270&gt;=DATE(YEAR(J270),3,8)+MOD(8-WEEKDAY(DATE(YEAR(J270),3,8)),7)+2/24,J270&lt;DATE(YEAR(J270),11,1)+MOD(8-WEEKDAY(DATE(YEAR(J270),11,1)),7)+2/24),"-04:00","-05:00"))</f>
        <v/>
      </c>
      <c r="D270" s="60">
        <f>IF(G270="","",INDEX(Leads!$V$3:$V$1002,MATCH(269,Leads!$BA$3:$BA$1002,0)))</f>
        <v/>
      </c>
      <c r="E270" s="12">
        <f>IF(G270="","","CAD")</f>
        <v/>
      </c>
      <c r="G270" s="7">
        <f>IFERROR(INDEX(Leads!$A$3:$A$1002,MATCH(269,Leads!$BA$3:$BA$1002,0)),"")</f>
        <v/>
      </c>
      <c r="H270" s="7">
        <f>IF(G270="","",INDEX(Leads!$AQ$3:$AQ$1002,MATCH(269,Leads!$BA$3:$BA$1002,0)))</f>
        <v/>
      </c>
      <c r="I270" s="7">
        <f>IF(G270="","",INDEX(Leads!$AI$3:$AI$1002,MATCH(269,Leads!$BA$3:$BA$1002,0))&amp;"")</f>
        <v/>
      </c>
      <c r="J270" s="61">
        <f>IF(G270="","",INDEX(Leads!$W$3:$W$1002,MATCH(269,Leads!$BA$3:$BA$1002,0)))</f>
        <v/>
      </c>
    </row>
    <row r="271">
      <c r="A271" s="12">
        <f>IF(G271="","",INDEX(Leads!$AC$3:$AC$1002,MATCH(270,Leads!$BA$3:$BA$1002,0)))</f>
        <v/>
      </c>
      <c r="B271" s="12">
        <f>IF(G271="","","depot_paye")</f>
        <v/>
      </c>
      <c r="C271" s="12">
        <f>IF(G271="","",YEAR(J271)&amp;"-"&amp;RIGHT("0"&amp;MONTH(J271),2)&amp;"-"&amp;RIGHT("0"&amp;DAY(J271),2)&amp;" "&amp;RIGHT("0"&amp;HOUR(J271),2)&amp;":"&amp;RIGHT("0"&amp;MINUTE(J271),2)&amp;":"&amp;RIGHT("0"&amp;SECOND(J271),2)&amp;IF(AND(J271&gt;=DATE(YEAR(J271),3,8)+MOD(8-WEEKDAY(DATE(YEAR(J271),3,8)),7)+2/24,J271&lt;DATE(YEAR(J271),11,1)+MOD(8-WEEKDAY(DATE(YEAR(J271),11,1)),7)+2/24),"-04:00","-05:00"))</f>
        <v/>
      </c>
      <c r="D271" s="60">
        <f>IF(G271="","",INDEX(Leads!$V$3:$V$1002,MATCH(270,Leads!$BA$3:$BA$1002,0)))</f>
        <v/>
      </c>
      <c r="E271" s="12">
        <f>IF(G271="","","CAD")</f>
        <v/>
      </c>
      <c r="G271" s="7">
        <f>IFERROR(INDEX(Leads!$A$3:$A$1002,MATCH(270,Leads!$BA$3:$BA$1002,0)),"")</f>
        <v/>
      </c>
      <c r="H271" s="7">
        <f>IF(G271="","",INDEX(Leads!$AQ$3:$AQ$1002,MATCH(270,Leads!$BA$3:$BA$1002,0)))</f>
        <v/>
      </c>
      <c r="I271" s="7">
        <f>IF(G271="","",INDEX(Leads!$AI$3:$AI$1002,MATCH(270,Leads!$BA$3:$BA$1002,0))&amp;"")</f>
        <v/>
      </c>
      <c r="J271" s="61">
        <f>IF(G271="","",INDEX(Leads!$W$3:$W$1002,MATCH(270,Leads!$BA$3:$BA$1002,0)))</f>
        <v/>
      </c>
    </row>
    <row r="272">
      <c r="A272" s="12">
        <f>IF(G272="","",INDEX(Leads!$AC$3:$AC$1002,MATCH(271,Leads!$BA$3:$BA$1002,0)))</f>
        <v/>
      </c>
      <c r="B272" s="12">
        <f>IF(G272="","","depot_paye")</f>
        <v/>
      </c>
      <c r="C272" s="12">
        <f>IF(G272="","",YEAR(J272)&amp;"-"&amp;RIGHT("0"&amp;MONTH(J272),2)&amp;"-"&amp;RIGHT("0"&amp;DAY(J272),2)&amp;" "&amp;RIGHT("0"&amp;HOUR(J272),2)&amp;":"&amp;RIGHT("0"&amp;MINUTE(J272),2)&amp;":"&amp;RIGHT("0"&amp;SECOND(J272),2)&amp;IF(AND(J272&gt;=DATE(YEAR(J272),3,8)+MOD(8-WEEKDAY(DATE(YEAR(J272),3,8)),7)+2/24,J272&lt;DATE(YEAR(J272),11,1)+MOD(8-WEEKDAY(DATE(YEAR(J272),11,1)),7)+2/24),"-04:00","-05:00"))</f>
        <v/>
      </c>
      <c r="D272" s="60">
        <f>IF(G272="","",INDEX(Leads!$V$3:$V$1002,MATCH(271,Leads!$BA$3:$BA$1002,0)))</f>
        <v/>
      </c>
      <c r="E272" s="12">
        <f>IF(G272="","","CAD")</f>
        <v/>
      </c>
      <c r="G272" s="7">
        <f>IFERROR(INDEX(Leads!$A$3:$A$1002,MATCH(271,Leads!$BA$3:$BA$1002,0)),"")</f>
        <v/>
      </c>
      <c r="H272" s="7">
        <f>IF(G272="","",INDEX(Leads!$AQ$3:$AQ$1002,MATCH(271,Leads!$BA$3:$BA$1002,0)))</f>
        <v/>
      </c>
      <c r="I272" s="7">
        <f>IF(G272="","",INDEX(Leads!$AI$3:$AI$1002,MATCH(271,Leads!$BA$3:$BA$1002,0))&amp;"")</f>
        <v/>
      </c>
      <c r="J272" s="61">
        <f>IF(G272="","",INDEX(Leads!$W$3:$W$1002,MATCH(271,Leads!$BA$3:$BA$1002,0)))</f>
        <v/>
      </c>
    </row>
    <row r="273">
      <c r="A273" s="12">
        <f>IF(G273="","",INDEX(Leads!$AC$3:$AC$1002,MATCH(272,Leads!$BA$3:$BA$1002,0)))</f>
        <v/>
      </c>
      <c r="B273" s="12">
        <f>IF(G273="","","depot_paye")</f>
        <v/>
      </c>
      <c r="C273" s="12">
        <f>IF(G273="","",YEAR(J273)&amp;"-"&amp;RIGHT("0"&amp;MONTH(J273),2)&amp;"-"&amp;RIGHT("0"&amp;DAY(J273),2)&amp;" "&amp;RIGHT("0"&amp;HOUR(J273),2)&amp;":"&amp;RIGHT("0"&amp;MINUTE(J273),2)&amp;":"&amp;RIGHT("0"&amp;SECOND(J273),2)&amp;IF(AND(J273&gt;=DATE(YEAR(J273),3,8)+MOD(8-WEEKDAY(DATE(YEAR(J273),3,8)),7)+2/24,J273&lt;DATE(YEAR(J273),11,1)+MOD(8-WEEKDAY(DATE(YEAR(J273),11,1)),7)+2/24),"-04:00","-05:00"))</f>
        <v/>
      </c>
      <c r="D273" s="60">
        <f>IF(G273="","",INDEX(Leads!$V$3:$V$1002,MATCH(272,Leads!$BA$3:$BA$1002,0)))</f>
        <v/>
      </c>
      <c r="E273" s="12">
        <f>IF(G273="","","CAD")</f>
        <v/>
      </c>
      <c r="G273" s="7">
        <f>IFERROR(INDEX(Leads!$A$3:$A$1002,MATCH(272,Leads!$BA$3:$BA$1002,0)),"")</f>
        <v/>
      </c>
      <c r="H273" s="7">
        <f>IF(G273="","",INDEX(Leads!$AQ$3:$AQ$1002,MATCH(272,Leads!$BA$3:$BA$1002,0)))</f>
        <v/>
      </c>
      <c r="I273" s="7">
        <f>IF(G273="","",INDEX(Leads!$AI$3:$AI$1002,MATCH(272,Leads!$BA$3:$BA$1002,0))&amp;"")</f>
        <v/>
      </c>
      <c r="J273" s="61">
        <f>IF(G273="","",INDEX(Leads!$W$3:$W$1002,MATCH(272,Leads!$BA$3:$BA$1002,0)))</f>
        <v/>
      </c>
    </row>
    <row r="274">
      <c r="A274" s="12">
        <f>IF(G274="","",INDEX(Leads!$AC$3:$AC$1002,MATCH(273,Leads!$BA$3:$BA$1002,0)))</f>
        <v/>
      </c>
      <c r="B274" s="12">
        <f>IF(G274="","","depot_paye")</f>
        <v/>
      </c>
      <c r="C274" s="12">
        <f>IF(G274="","",YEAR(J274)&amp;"-"&amp;RIGHT("0"&amp;MONTH(J274),2)&amp;"-"&amp;RIGHT("0"&amp;DAY(J274),2)&amp;" "&amp;RIGHT("0"&amp;HOUR(J274),2)&amp;":"&amp;RIGHT("0"&amp;MINUTE(J274),2)&amp;":"&amp;RIGHT("0"&amp;SECOND(J274),2)&amp;IF(AND(J274&gt;=DATE(YEAR(J274),3,8)+MOD(8-WEEKDAY(DATE(YEAR(J274),3,8)),7)+2/24,J274&lt;DATE(YEAR(J274),11,1)+MOD(8-WEEKDAY(DATE(YEAR(J274),11,1)),7)+2/24),"-04:00","-05:00"))</f>
        <v/>
      </c>
      <c r="D274" s="60">
        <f>IF(G274="","",INDEX(Leads!$V$3:$V$1002,MATCH(273,Leads!$BA$3:$BA$1002,0)))</f>
        <v/>
      </c>
      <c r="E274" s="12">
        <f>IF(G274="","","CAD")</f>
        <v/>
      </c>
      <c r="G274" s="7">
        <f>IFERROR(INDEX(Leads!$A$3:$A$1002,MATCH(273,Leads!$BA$3:$BA$1002,0)),"")</f>
        <v/>
      </c>
      <c r="H274" s="7">
        <f>IF(G274="","",INDEX(Leads!$AQ$3:$AQ$1002,MATCH(273,Leads!$BA$3:$BA$1002,0)))</f>
        <v/>
      </c>
      <c r="I274" s="7">
        <f>IF(G274="","",INDEX(Leads!$AI$3:$AI$1002,MATCH(273,Leads!$BA$3:$BA$1002,0))&amp;"")</f>
        <v/>
      </c>
      <c r="J274" s="61">
        <f>IF(G274="","",INDEX(Leads!$W$3:$W$1002,MATCH(273,Leads!$BA$3:$BA$1002,0)))</f>
        <v/>
      </c>
    </row>
    <row r="275">
      <c r="A275" s="12">
        <f>IF(G275="","",INDEX(Leads!$AC$3:$AC$1002,MATCH(274,Leads!$BA$3:$BA$1002,0)))</f>
        <v/>
      </c>
      <c r="B275" s="12">
        <f>IF(G275="","","depot_paye")</f>
        <v/>
      </c>
      <c r="C275" s="12">
        <f>IF(G275="","",YEAR(J275)&amp;"-"&amp;RIGHT("0"&amp;MONTH(J275),2)&amp;"-"&amp;RIGHT("0"&amp;DAY(J275),2)&amp;" "&amp;RIGHT("0"&amp;HOUR(J275),2)&amp;":"&amp;RIGHT("0"&amp;MINUTE(J275),2)&amp;":"&amp;RIGHT("0"&amp;SECOND(J275),2)&amp;IF(AND(J275&gt;=DATE(YEAR(J275),3,8)+MOD(8-WEEKDAY(DATE(YEAR(J275),3,8)),7)+2/24,J275&lt;DATE(YEAR(J275),11,1)+MOD(8-WEEKDAY(DATE(YEAR(J275),11,1)),7)+2/24),"-04:00","-05:00"))</f>
        <v/>
      </c>
      <c r="D275" s="60">
        <f>IF(G275="","",INDEX(Leads!$V$3:$V$1002,MATCH(274,Leads!$BA$3:$BA$1002,0)))</f>
        <v/>
      </c>
      <c r="E275" s="12">
        <f>IF(G275="","","CAD")</f>
        <v/>
      </c>
      <c r="G275" s="7">
        <f>IFERROR(INDEX(Leads!$A$3:$A$1002,MATCH(274,Leads!$BA$3:$BA$1002,0)),"")</f>
        <v/>
      </c>
      <c r="H275" s="7">
        <f>IF(G275="","",INDEX(Leads!$AQ$3:$AQ$1002,MATCH(274,Leads!$BA$3:$BA$1002,0)))</f>
        <v/>
      </c>
      <c r="I275" s="7">
        <f>IF(G275="","",INDEX(Leads!$AI$3:$AI$1002,MATCH(274,Leads!$BA$3:$BA$1002,0))&amp;"")</f>
        <v/>
      </c>
      <c r="J275" s="61">
        <f>IF(G275="","",INDEX(Leads!$W$3:$W$1002,MATCH(274,Leads!$BA$3:$BA$1002,0)))</f>
        <v/>
      </c>
    </row>
    <row r="276">
      <c r="A276" s="12">
        <f>IF(G276="","",INDEX(Leads!$AC$3:$AC$1002,MATCH(275,Leads!$BA$3:$BA$1002,0)))</f>
        <v/>
      </c>
      <c r="B276" s="12">
        <f>IF(G276="","","depot_paye")</f>
        <v/>
      </c>
      <c r="C276" s="12">
        <f>IF(G276="","",YEAR(J276)&amp;"-"&amp;RIGHT("0"&amp;MONTH(J276),2)&amp;"-"&amp;RIGHT("0"&amp;DAY(J276),2)&amp;" "&amp;RIGHT("0"&amp;HOUR(J276),2)&amp;":"&amp;RIGHT("0"&amp;MINUTE(J276),2)&amp;":"&amp;RIGHT("0"&amp;SECOND(J276),2)&amp;IF(AND(J276&gt;=DATE(YEAR(J276),3,8)+MOD(8-WEEKDAY(DATE(YEAR(J276),3,8)),7)+2/24,J276&lt;DATE(YEAR(J276),11,1)+MOD(8-WEEKDAY(DATE(YEAR(J276),11,1)),7)+2/24),"-04:00","-05:00"))</f>
        <v/>
      </c>
      <c r="D276" s="60">
        <f>IF(G276="","",INDEX(Leads!$V$3:$V$1002,MATCH(275,Leads!$BA$3:$BA$1002,0)))</f>
        <v/>
      </c>
      <c r="E276" s="12">
        <f>IF(G276="","","CAD")</f>
        <v/>
      </c>
      <c r="G276" s="7">
        <f>IFERROR(INDEX(Leads!$A$3:$A$1002,MATCH(275,Leads!$BA$3:$BA$1002,0)),"")</f>
        <v/>
      </c>
      <c r="H276" s="7">
        <f>IF(G276="","",INDEX(Leads!$AQ$3:$AQ$1002,MATCH(275,Leads!$BA$3:$BA$1002,0)))</f>
        <v/>
      </c>
      <c r="I276" s="7">
        <f>IF(G276="","",INDEX(Leads!$AI$3:$AI$1002,MATCH(275,Leads!$BA$3:$BA$1002,0))&amp;"")</f>
        <v/>
      </c>
      <c r="J276" s="61">
        <f>IF(G276="","",INDEX(Leads!$W$3:$W$1002,MATCH(275,Leads!$BA$3:$BA$1002,0)))</f>
        <v/>
      </c>
    </row>
    <row r="277">
      <c r="A277" s="12">
        <f>IF(G277="","",INDEX(Leads!$AC$3:$AC$1002,MATCH(276,Leads!$BA$3:$BA$1002,0)))</f>
        <v/>
      </c>
      <c r="B277" s="12">
        <f>IF(G277="","","depot_paye")</f>
        <v/>
      </c>
      <c r="C277" s="12">
        <f>IF(G277="","",YEAR(J277)&amp;"-"&amp;RIGHT("0"&amp;MONTH(J277),2)&amp;"-"&amp;RIGHT("0"&amp;DAY(J277),2)&amp;" "&amp;RIGHT("0"&amp;HOUR(J277),2)&amp;":"&amp;RIGHT("0"&amp;MINUTE(J277),2)&amp;":"&amp;RIGHT("0"&amp;SECOND(J277),2)&amp;IF(AND(J277&gt;=DATE(YEAR(J277),3,8)+MOD(8-WEEKDAY(DATE(YEAR(J277),3,8)),7)+2/24,J277&lt;DATE(YEAR(J277),11,1)+MOD(8-WEEKDAY(DATE(YEAR(J277),11,1)),7)+2/24),"-04:00","-05:00"))</f>
        <v/>
      </c>
      <c r="D277" s="60">
        <f>IF(G277="","",INDEX(Leads!$V$3:$V$1002,MATCH(276,Leads!$BA$3:$BA$1002,0)))</f>
        <v/>
      </c>
      <c r="E277" s="12">
        <f>IF(G277="","","CAD")</f>
        <v/>
      </c>
      <c r="G277" s="7">
        <f>IFERROR(INDEX(Leads!$A$3:$A$1002,MATCH(276,Leads!$BA$3:$BA$1002,0)),"")</f>
        <v/>
      </c>
      <c r="H277" s="7">
        <f>IF(G277="","",INDEX(Leads!$AQ$3:$AQ$1002,MATCH(276,Leads!$BA$3:$BA$1002,0)))</f>
        <v/>
      </c>
      <c r="I277" s="7">
        <f>IF(G277="","",INDEX(Leads!$AI$3:$AI$1002,MATCH(276,Leads!$BA$3:$BA$1002,0))&amp;"")</f>
        <v/>
      </c>
      <c r="J277" s="61">
        <f>IF(G277="","",INDEX(Leads!$W$3:$W$1002,MATCH(276,Leads!$BA$3:$BA$1002,0)))</f>
        <v/>
      </c>
    </row>
    <row r="278">
      <c r="A278" s="12">
        <f>IF(G278="","",INDEX(Leads!$AC$3:$AC$1002,MATCH(277,Leads!$BA$3:$BA$1002,0)))</f>
        <v/>
      </c>
      <c r="B278" s="12">
        <f>IF(G278="","","depot_paye")</f>
        <v/>
      </c>
      <c r="C278" s="12">
        <f>IF(G278="","",YEAR(J278)&amp;"-"&amp;RIGHT("0"&amp;MONTH(J278),2)&amp;"-"&amp;RIGHT("0"&amp;DAY(J278),2)&amp;" "&amp;RIGHT("0"&amp;HOUR(J278),2)&amp;":"&amp;RIGHT("0"&amp;MINUTE(J278),2)&amp;":"&amp;RIGHT("0"&amp;SECOND(J278),2)&amp;IF(AND(J278&gt;=DATE(YEAR(J278),3,8)+MOD(8-WEEKDAY(DATE(YEAR(J278),3,8)),7)+2/24,J278&lt;DATE(YEAR(J278),11,1)+MOD(8-WEEKDAY(DATE(YEAR(J278),11,1)),7)+2/24),"-04:00","-05:00"))</f>
        <v/>
      </c>
      <c r="D278" s="60">
        <f>IF(G278="","",INDEX(Leads!$V$3:$V$1002,MATCH(277,Leads!$BA$3:$BA$1002,0)))</f>
        <v/>
      </c>
      <c r="E278" s="12">
        <f>IF(G278="","","CAD")</f>
        <v/>
      </c>
      <c r="G278" s="7">
        <f>IFERROR(INDEX(Leads!$A$3:$A$1002,MATCH(277,Leads!$BA$3:$BA$1002,0)),"")</f>
        <v/>
      </c>
      <c r="H278" s="7">
        <f>IF(G278="","",INDEX(Leads!$AQ$3:$AQ$1002,MATCH(277,Leads!$BA$3:$BA$1002,0)))</f>
        <v/>
      </c>
      <c r="I278" s="7">
        <f>IF(G278="","",INDEX(Leads!$AI$3:$AI$1002,MATCH(277,Leads!$BA$3:$BA$1002,0))&amp;"")</f>
        <v/>
      </c>
      <c r="J278" s="61">
        <f>IF(G278="","",INDEX(Leads!$W$3:$W$1002,MATCH(277,Leads!$BA$3:$BA$1002,0)))</f>
        <v/>
      </c>
    </row>
    <row r="279">
      <c r="A279" s="12">
        <f>IF(G279="","",INDEX(Leads!$AC$3:$AC$1002,MATCH(278,Leads!$BA$3:$BA$1002,0)))</f>
        <v/>
      </c>
      <c r="B279" s="12">
        <f>IF(G279="","","depot_paye")</f>
        <v/>
      </c>
      <c r="C279" s="12">
        <f>IF(G279="","",YEAR(J279)&amp;"-"&amp;RIGHT("0"&amp;MONTH(J279),2)&amp;"-"&amp;RIGHT("0"&amp;DAY(J279),2)&amp;" "&amp;RIGHT("0"&amp;HOUR(J279),2)&amp;":"&amp;RIGHT("0"&amp;MINUTE(J279),2)&amp;":"&amp;RIGHT("0"&amp;SECOND(J279),2)&amp;IF(AND(J279&gt;=DATE(YEAR(J279),3,8)+MOD(8-WEEKDAY(DATE(YEAR(J279),3,8)),7)+2/24,J279&lt;DATE(YEAR(J279),11,1)+MOD(8-WEEKDAY(DATE(YEAR(J279),11,1)),7)+2/24),"-04:00","-05:00"))</f>
        <v/>
      </c>
      <c r="D279" s="60">
        <f>IF(G279="","",INDEX(Leads!$V$3:$V$1002,MATCH(278,Leads!$BA$3:$BA$1002,0)))</f>
        <v/>
      </c>
      <c r="E279" s="12">
        <f>IF(G279="","","CAD")</f>
        <v/>
      </c>
      <c r="G279" s="7">
        <f>IFERROR(INDEX(Leads!$A$3:$A$1002,MATCH(278,Leads!$BA$3:$BA$1002,0)),"")</f>
        <v/>
      </c>
      <c r="H279" s="7">
        <f>IF(G279="","",INDEX(Leads!$AQ$3:$AQ$1002,MATCH(278,Leads!$BA$3:$BA$1002,0)))</f>
        <v/>
      </c>
      <c r="I279" s="7">
        <f>IF(G279="","",INDEX(Leads!$AI$3:$AI$1002,MATCH(278,Leads!$BA$3:$BA$1002,0))&amp;"")</f>
        <v/>
      </c>
      <c r="J279" s="61">
        <f>IF(G279="","",INDEX(Leads!$W$3:$W$1002,MATCH(278,Leads!$BA$3:$BA$1002,0)))</f>
        <v/>
      </c>
    </row>
    <row r="280">
      <c r="A280" s="12">
        <f>IF(G280="","",INDEX(Leads!$AC$3:$AC$1002,MATCH(279,Leads!$BA$3:$BA$1002,0)))</f>
        <v/>
      </c>
      <c r="B280" s="12">
        <f>IF(G280="","","depot_paye")</f>
        <v/>
      </c>
      <c r="C280" s="12">
        <f>IF(G280="","",YEAR(J280)&amp;"-"&amp;RIGHT("0"&amp;MONTH(J280),2)&amp;"-"&amp;RIGHT("0"&amp;DAY(J280),2)&amp;" "&amp;RIGHT("0"&amp;HOUR(J280),2)&amp;":"&amp;RIGHT("0"&amp;MINUTE(J280),2)&amp;":"&amp;RIGHT("0"&amp;SECOND(J280),2)&amp;IF(AND(J280&gt;=DATE(YEAR(J280),3,8)+MOD(8-WEEKDAY(DATE(YEAR(J280),3,8)),7)+2/24,J280&lt;DATE(YEAR(J280),11,1)+MOD(8-WEEKDAY(DATE(YEAR(J280),11,1)),7)+2/24),"-04:00","-05:00"))</f>
        <v/>
      </c>
      <c r="D280" s="60">
        <f>IF(G280="","",INDEX(Leads!$V$3:$V$1002,MATCH(279,Leads!$BA$3:$BA$1002,0)))</f>
        <v/>
      </c>
      <c r="E280" s="12">
        <f>IF(G280="","","CAD")</f>
        <v/>
      </c>
      <c r="G280" s="7">
        <f>IFERROR(INDEX(Leads!$A$3:$A$1002,MATCH(279,Leads!$BA$3:$BA$1002,0)),"")</f>
        <v/>
      </c>
      <c r="H280" s="7">
        <f>IF(G280="","",INDEX(Leads!$AQ$3:$AQ$1002,MATCH(279,Leads!$BA$3:$BA$1002,0)))</f>
        <v/>
      </c>
      <c r="I280" s="7">
        <f>IF(G280="","",INDEX(Leads!$AI$3:$AI$1002,MATCH(279,Leads!$BA$3:$BA$1002,0))&amp;"")</f>
        <v/>
      </c>
      <c r="J280" s="61">
        <f>IF(G280="","",INDEX(Leads!$W$3:$W$1002,MATCH(279,Leads!$BA$3:$BA$1002,0)))</f>
        <v/>
      </c>
    </row>
    <row r="281">
      <c r="A281" s="12">
        <f>IF(G281="","",INDEX(Leads!$AC$3:$AC$1002,MATCH(280,Leads!$BA$3:$BA$1002,0)))</f>
        <v/>
      </c>
      <c r="B281" s="12">
        <f>IF(G281="","","depot_paye")</f>
        <v/>
      </c>
      <c r="C281" s="12">
        <f>IF(G281="","",YEAR(J281)&amp;"-"&amp;RIGHT("0"&amp;MONTH(J281),2)&amp;"-"&amp;RIGHT("0"&amp;DAY(J281),2)&amp;" "&amp;RIGHT("0"&amp;HOUR(J281),2)&amp;":"&amp;RIGHT("0"&amp;MINUTE(J281),2)&amp;":"&amp;RIGHT("0"&amp;SECOND(J281),2)&amp;IF(AND(J281&gt;=DATE(YEAR(J281),3,8)+MOD(8-WEEKDAY(DATE(YEAR(J281),3,8)),7)+2/24,J281&lt;DATE(YEAR(J281),11,1)+MOD(8-WEEKDAY(DATE(YEAR(J281),11,1)),7)+2/24),"-04:00","-05:00"))</f>
        <v/>
      </c>
      <c r="D281" s="60">
        <f>IF(G281="","",INDEX(Leads!$V$3:$V$1002,MATCH(280,Leads!$BA$3:$BA$1002,0)))</f>
        <v/>
      </c>
      <c r="E281" s="12">
        <f>IF(G281="","","CAD")</f>
        <v/>
      </c>
      <c r="G281" s="7">
        <f>IFERROR(INDEX(Leads!$A$3:$A$1002,MATCH(280,Leads!$BA$3:$BA$1002,0)),"")</f>
        <v/>
      </c>
      <c r="H281" s="7">
        <f>IF(G281="","",INDEX(Leads!$AQ$3:$AQ$1002,MATCH(280,Leads!$BA$3:$BA$1002,0)))</f>
        <v/>
      </c>
      <c r="I281" s="7">
        <f>IF(G281="","",INDEX(Leads!$AI$3:$AI$1002,MATCH(280,Leads!$BA$3:$BA$1002,0))&amp;"")</f>
        <v/>
      </c>
      <c r="J281" s="61">
        <f>IF(G281="","",INDEX(Leads!$W$3:$W$1002,MATCH(280,Leads!$BA$3:$BA$1002,0)))</f>
        <v/>
      </c>
    </row>
    <row r="282">
      <c r="A282" s="12">
        <f>IF(G282="","",INDEX(Leads!$AC$3:$AC$1002,MATCH(281,Leads!$BA$3:$BA$1002,0)))</f>
        <v/>
      </c>
      <c r="B282" s="12">
        <f>IF(G282="","","depot_paye")</f>
        <v/>
      </c>
      <c r="C282" s="12">
        <f>IF(G282="","",YEAR(J282)&amp;"-"&amp;RIGHT("0"&amp;MONTH(J282),2)&amp;"-"&amp;RIGHT("0"&amp;DAY(J282),2)&amp;" "&amp;RIGHT("0"&amp;HOUR(J282),2)&amp;":"&amp;RIGHT("0"&amp;MINUTE(J282),2)&amp;":"&amp;RIGHT("0"&amp;SECOND(J282),2)&amp;IF(AND(J282&gt;=DATE(YEAR(J282),3,8)+MOD(8-WEEKDAY(DATE(YEAR(J282),3,8)),7)+2/24,J282&lt;DATE(YEAR(J282),11,1)+MOD(8-WEEKDAY(DATE(YEAR(J282),11,1)),7)+2/24),"-04:00","-05:00"))</f>
        <v/>
      </c>
      <c r="D282" s="60">
        <f>IF(G282="","",INDEX(Leads!$V$3:$V$1002,MATCH(281,Leads!$BA$3:$BA$1002,0)))</f>
        <v/>
      </c>
      <c r="E282" s="12">
        <f>IF(G282="","","CAD")</f>
        <v/>
      </c>
      <c r="G282" s="7">
        <f>IFERROR(INDEX(Leads!$A$3:$A$1002,MATCH(281,Leads!$BA$3:$BA$1002,0)),"")</f>
        <v/>
      </c>
      <c r="H282" s="7">
        <f>IF(G282="","",INDEX(Leads!$AQ$3:$AQ$1002,MATCH(281,Leads!$BA$3:$BA$1002,0)))</f>
        <v/>
      </c>
      <c r="I282" s="7">
        <f>IF(G282="","",INDEX(Leads!$AI$3:$AI$1002,MATCH(281,Leads!$BA$3:$BA$1002,0))&amp;"")</f>
        <v/>
      </c>
      <c r="J282" s="61">
        <f>IF(G282="","",INDEX(Leads!$W$3:$W$1002,MATCH(281,Leads!$BA$3:$BA$1002,0)))</f>
        <v/>
      </c>
    </row>
    <row r="283">
      <c r="A283" s="12">
        <f>IF(G283="","",INDEX(Leads!$AC$3:$AC$1002,MATCH(282,Leads!$BA$3:$BA$1002,0)))</f>
        <v/>
      </c>
      <c r="B283" s="12">
        <f>IF(G283="","","depot_paye")</f>
        <v/>
      </c>
      <c r="C283" s="12">
        <f>IF(G283="","",YEAR(J283)&amp;"-"&amp;RIGHT("0"&amp;MONTH(J283),2)&amp;"-"&amp;RIGHT("0"&amp;DAY(J283),2)&amp;" "&amp;RIGHT("0"&amp;HOUR(J283),2)&amp;":"&amp;RIGHT("0"&amp;MINUTE(J283),2)&amp;":"&amp;RIGHT("0"&amp;SECOND(J283),2)&amp;IF(AND(J283&gt;=DATE(YEAR(J283),3,8)+MOD(8-WEEKDAY(DATE(YEAR(J283),3,8)),7)+2/24,J283&lt;DATE(YEAR(J283),11,1)+MOD(8-WEEKDAY(DATE(YEAR(J283),11,1)),7)+2/24),"-04:00","-05:00"))</f>
        <v/>
      </c>
      <c r="D283" s="60">
        <f>IF(G283="","",INDEX(Leads!$V$3:$V$1002,MATCH(282,Leads!$BA$3:$BA$1002,0)))</f>
        <v/>
      </c>
      <c r="E283" s="12">
        <f>IF(G283="","","CAD")</f>
        <v/>
      </c>
      <c r="G283" s="7">
        <f>IFERROR(INDEX(Leads!$A$3:$A$1002,MATCH(282,Leads!$BA$3:$BA$1002,0)),"")</f>
        <v/>
      </c>
      <c r="H283" s="7">
        <f>IF(G283="","",INDEX(Leads!$AQ$3:$AQ$1002,MATCH(282,Leads!$BA$3:$BA$1002,0)))</f>
        <v/>
      </c>
      <c r="I283" s="7">
        <f>IF(G283="","",INDEX(Leads!$AI$3:$AI$1002,MATCH(282,Leads!$BA$3:$BA$1002,0))&amp;"")</f>
        <v/>
      </c>
      <c r="J283" s="61">
        <f>IF(G283="","",INDEX(Leads!$W$3:$W$1002,MATCH(282,Leads!$BA$3:$BA$1002,0)))</f>
        <v/>
      </c>
    </row>
    <row r="284">
      <c r="A284" s="12">
        <f>IF(G284="","",INDEX(Leads!$AC$3:$AC$1002,MATCH(283,Leads!$BA$3:$BA$1002,0)))</f>
        <v/>
      </c>
      <c r="B284" s="12">
        <f>IF(G284="","","depot_paye")</f>
        <v/>
      </c>
      <c r="C284" s="12">
        <f>IF(G284="","",YEAR(J284)&amp;"-"&amp;RIGHT("0"&amp;MONTH(J284),2)&amp;"-"&amp;RIGHT("0"&amp;DAY(J284),2)&amp;" "&amp;RIGHT("0"&amp;HOUR(J284),2)&amp;":"&amp;RIGHT("0"&amp;MINUTE(J284),2)&amp;":"&amp;RIGHT("0"&amp;SECOND(J284),2)&amp;IF(AND(J284&gt;=DATE(YEAR(J284),3,8)+MOD(8-WEEKDAY(DATE(YEAR(J284),3,8)),7)+2/24,J284&lt;DATE(YEAR(J284),11,1)+MOD(8-WEEKDAY(DATE(YEAR(J284),11,1)),7)+2/24),"-04:00","-05:00"))</f>
        <v/>
      </c>
      <c r="D284" s="60">
        <f>IF(G284="","",INDEX(Leads!$V$3:$V$1002,MATCH(283,Leads!$BA$3:$BA$1002,0)))</f>
        <v/>
      </c>
      <c r="E284" s="12">
        <f>IF(G284="","","CAD")</f>
        <v/>
      </c>
      <c r="G284" s="7">
        <f>IFERROR(INDEX(Leads!$A$3:$A$1002,MATCH(283,Leads!$BA$3:$BA$1002,0)),"")</f>
        <v/>
      </c>
      <c r="H284" s="7">
        <f>IF(G284="","",INDEX(Leads!$AQ$3:$AQ$1002,MATCH(283,Leads!$BA$3:$BA$1002,0)))</f>
        <v/>
      </c>
      <c r="I284" s="7">
        <f>IF(G284="","",INDEX(Leads!$AI$3:$AI$1002,MATCH(283,Leads!$BA$3:$BA$1002,0))&amp;"")</f>
        <v/>
      </c>
      <c r="J284" s="61">
        <f>IF(G284="","",INDEX(Leads!$W$3:$W$1002,MATCH(283,Leads!$BA$3:$BA$1002,0)))</f>
        <v/>
      </c>
    </row>
    <row r="285">
      <c r="A285" s="12">
        <f>IF(G285="","",INDEX(Leads!$AC$3:$AC$1002,MATCH(284,Leads!$BA$3:$BA$1002,0)))</f>
        <v/>
      </c>
      <c r="B285" s="12">
        <f>IF(G285="","","depot_paye")</f>
        <v/>
      </c>
      <c r="C285" s="12">
        <f>IF(G285="","",YEAR(J285)&amp;"-"&amp;RIGHT("0"&amp;MONTH(J285),2)&amp;"-"&amp;RIGHT("0"&amp;DAY(J285),2)&amp;" "&amp;RIGHT("0"&amp;HOUR(J285),2)&amp;":"&amp;RIGHT("0"&amp;MINUTE(J285),2)&amp;":"&amp;RIGHT("0"&amp;SECOND(J285),2)&amp;IF(AND(J285&gt;=DATE(YEAR(J285),3,8)+MOD(8-WEEKDAY(DATE(YEAR(J285),3,8)),7)+2/24,J285&lt;DATE(YEAR(J285),11,1)+MOD(8-WEEKDAY(DATE(YEAR(J285),11,1)),7)+2/24),"-04:00","-05:00"))</f>
        <v/>
      </c>
      <c r="D285" s="60">
        <f>IF(G285="","",INDEX(Leads!$V$3:$V$1002,MATCH(284,Leads!$BA$3:$BA$1002,0)))</f>
        <v/>
      </c>
      <c r="E285" s="12">
        <f>IF(G285="","","CAD")</f>
        <v/>
      </c>
      <c r="G285" s="7">
        <f>IFERROR(INDEX(Leads!$A$3:$A$1002,MATCH(284,Leads!$BA$3:$BA$1002,0)),"")</f>
        <v/>
      </c>
      <c r="H285" s="7">
        <f>IF(G285="","",INDEX(Leads!$AQ$3:$AQ$1002,MATCH(284,Leads!$BA$3:$BA$1002,0)))</f>
        <v/>
      </c>
      <c r="I285" s="7">
        <f>IF(G285="","",INDEX(Leads!$AI$3:$AI$1002,MATCH(284,Leads!$BA$3:$BA$1002,0))&amp;"")</f>
        <v/>
      </c>
      <c r="J285" s="61">
        <f>IF(G285="","",INDEX(Leads!$W$3:$W$1002,MATCH(284,Leads!$BA$3:$BA$1002,0)))</f>
        <v/>
      </c>
    </row>
    <row r="286">
      <c r="A286" s="12">
        <f>IF(G286="","",INDEX(Leads!$AC$3:$AC$1002,MATCH(285,Leads!$BA$3:$BA$1002,0)))</f>
        <v/>
      </c>
      <c r="B286" s="12">
        <f>IF(G286="","","depot_paye")</f>
        <v/>
      </c>
      <c r="C286" s="12">
        <f>IF(G286="","",YEAR(J286)&amp;"-"&amp;RIGHT("0"&amp;MONTH(J286),2)&amp;"-"&amp;RIGHT("0"&amp;DAY(J286),2)&amp;" "&amp;RIGHT("0"&amp;HOUR(J286),2)&amp;":"&amp;RIGHT("0"&amp;MINUTE(J286),2)&amp;":"&amp;RIGHT("0"&amp;SECOND(J286),2)&amp;IF(AND(J286&gt;=DATE(YEAR(J286),3,8)+MOD(8-WEEKDAY(DATE(YEAR(J286),3,8)),7)+2/24,J286&lt;DATE(YEAR(J286),11,1)+MOD(8-WEEKDAY(DATE(YEAR(J286),11,1)),7)+2/24),"-04:00","-05:00"))</f>
        <v/>
      </c>
      <c r="D286" s="60">
        <f>IF(G286="","",INDEX(Leads!$V$3:$V$1002,MATCH(285,Leads!$BA$3:$BA$1002,0)))</f>
        <v/>
      </c>
      <c r="E286" s="12">
        <f>IF(G286="","","CAD")</f>
        <v/>
      </c>
      <c r="G286" s="7">
        <f>IFERROR(INDEX(Leads!$A$3:$A$1002,MATCH(285,Leads!$BA$3:$BA$1002,0)),"")</f>
        <v/>
      </c>
      <c r="H286" s="7">
        <f>IF(G286="","",INDEX(Leads!$AQ$3:$AQ$1002,MATCH(285,Leads!$BA$3:$BA$1002,0)))</f>
        <v/>
      </c>
      <c r="I286" s="7">
        <f>IF(G286="","",INDEX(Leads!$AI$3:$AI$1002,MATCH(285,Leads!$BA$3:$BA$1002,0))&amp;"")</f>
        <v/>
      </c>
      <c r="J286" s="61">
        <f>IF(G286="","",INDEX(Leads!$W$3:$W$1002,MATCH(285,Leads!$BA$3:$BA$1002,0)))</f>
        <v/>
      </c>
    </row>
    <row r="287">
      <c r="A287" s="12">
        <f>IF(G287="","",INDEX(Leads!$AC$3:$AC$1002,MATCH(286,Leads!$BA$3:$BA$1002,0)))</f>
        <v/>
      </c>
      <c r="B287" s="12">
        <f>IF(G287="","","depot_paye")</f>
        <v/>
      </c>
      <c r="C287" s="12">
        <f>IF(G287="","",YEAR(J287)&amp;"-"&amp;RIGHT("0"&amp;MONTH(J287),2)&amp;"-"&amp;RIGHT("0"&amp;DAY(J287),2)&amp;" "&amp;RIGHT("0"&amp;HOUR(J287),2)&amp;":"&amp;RIGHT("0"&amp;MINUTE(J287),2)&amp;":"&amp;RIGHT("0"&amp;SECOND(J287),2)&amp;IF(AND(J287&gt;=DATE(YEAR(J287),3,8)+MOD(8-WEEKDAY(DATE(YEAR(J287),3,8)),7)+2/24,J287&lt;DATE(YEAR(J287),11,1)+MOD(8-WEEKDAY(DATE(YEAR(J287),11,1)),7)+2/24),"-04:00","-05:00"))</f>
        <v/>
      </c>
      <c r="D287" s="60">
        <f>IF(G287="","",INDEX(Leads!$V$3:$V$1002,MATCH(286,Leads!$BA$3:$BA$1002,0)))</f>
        <v/>
      </c>
      <c r="E287" s="12">
        <f>IF(G287="","","CAD")</f>
        <v/>
      </c>
      <c r="G287" s="7">
        <f>IFERROR(INDEX(Leads!$A$3:$A$1002,MATCH(286,Leads!$BA$3:$BA$1002,0)),"")</f>
        <v/>
      </c>
      <c r="H287" s="7">
        <f>IF(G287="","",INDEX(Leads!$AQ$3:$AQ$1002,MATCH(286,Leads!$BA$3:$BA$1002,0)))</f>
        <v/>
      </c>
      <c r="I287" s="7">
        <f>IF(G287="","",INDEX(Leads!$AI$3:$AI$1002,MATCH(286,Leads!$BA$3:$BA$1002,0))&amp;"")</f>
        <v/>
      </c>
      <c r="J287" s="61">
        <f>IF(G287="","",INDEX(Leads!$W$3:$W$1002,MATCH(286,Leads!$BA$3:$BA$1002,0)))</f>
        <v/>
      </c>
    </row>
    <row r="288">
      <c r="A288" s="12">
        <f>IF(G288="","",INDEX(Leads!$AC$3:$AC$1002,MATCH(287,Leads!$BA$3:$BA$1002,0)))</f>
        <v/>
      </c>
      <c r="B288" s="12">
        <f>IF(G288="","","depot_paye")</f>
        <v/>
      </c>
      <c r="C288" s="12">
        <f>IF(G288="","",YEAR(J288)&amp;"-"&amp;RIGHT("0"&amp;MONTH(J288),2)&amp;"-"&amp;RIGHT("0"&amp;DAY(J288),2)&amp;" "&amp;RIGHT("0"&amp;HOUR(J288),2)&amp;":"&amp;RIGHT("0"&amp;MINUTE(J288),2)&amp;":"&amp;RIGHT("0"&amp;SECOND(J288),2)&amp;IF(AND(J288&gt;=DATE(YEAR(J288),3,8)+MOD(8-WEEKDAY(DATE(YEAR(J288),3,8)),7)+2/24,J288&lt;DATE(YEAR(J288),11,1)+MOD(8-WEEKDAY(DATE(YEAR(J288),11,1)),7)+2/24),"-04:00","-05:00"))</f>
        <v/>
      </c>
      <c r="D288" s="60">
        <f>IF(G288="","",INDEX(Leads!$V$3:$V$1002,MATCH(287,Leads!$BA$3:$BA$1002,0)))</f>
        <v/>
      </c>
      <c r="E288" s="12">
        <f>IF(G288="","","CAD")</f>
        <v/>
      </c>
      <c r="G288" s="7">
        <f>IFERROR(INDEX(Leads!$A$3:$A$1002,MATCH(287,Leads!$BA$3:$BA$1002,0)),"")</f>
        <v/>
      </c>
      <c r="H288" s="7">
        <f>IF(G288="","",INDEX(Leads!$AQ$3:$AQ$1002,MATCH(287,Leads!$BA$3:$BA$1002,0)))</f>
        <v/>
      </c>
      <c r="I288" s="7">
        <f>IF(G288="","",INDEX(Leads!$AI$3:$AI$1002,MATCH(287,Leads!$BA$3:$BA$1002,0))&amp;"")</f>
        <v/>
      </c>
      <c r="J288" s="61">
        <f>IF(G288="","",INDEX(Leads!$W$3:$W$1002,MATCH(287,Leads!$BA$3:$BA$1002,0)))</f>
        <v/>
      </c>
    </row>
    <row r="289">
      <c r="A289" s="12">
        <f>IF(G289="","",INDEX(Leads!$AC$3:$AC$1002,MATCH(288,Leads!$BA$3:$BA$1002,0)))</f>
        <v/>
      </c>
      <c r="B289" s="12">
        <f>IF(G289="","","depot_paye")</f>
        <v/>
      </c>
      <c r="C289" s="12">
        <f>IF(G289="","",YEAR(J289)&amp;"-"&amp;RIGHT("0"&amp;MONTH(J289),2)&amp;"-"&amp;RIGHT("0"&amp;DAY(J289),2)&amp;" "&amp;RIGHT("0"&amp;HOUR(J289),2)&amp;":"&amp;RIGHT("0"&amp;MINUTE(J289),2)&amp;":"&amp;RIGHT("0"&amp;SECOND(J289),2)&amp;IF(AND(J289&gt;=DATE(YEAR(J289),3,8)+MOD(8-WEEKDAY(DATE(YEAR(J289),3,8)),7)+2/24,J289&lt;DATE(YEAR(J289),11,1)+MOD(8-WEEKDAY(DATE(YEAR(J289),11,1)),7)+2/24),"-04:00","-05:00"))</f>
        <v/>
      </c>
      <c r="D289" s="60">
        <f>IF(G289="","",INDEX(Leads!$V$3:$V$1002,MATCH(288,Leads!$BA$3:$BA$1002,0)))</f>
        <v/>
      </c>
      <c r="E289" s="12">
        <f>IF(G289="","","CAD")</f>
        <v/>
      </c>
      <c r="G289" s="7">
        <f>IFERROR(INDEX(Leads!$A$3:$A$1002,MATCH(288,Leads!$BA$3:$BA$1002,0)),"")</f>
        <v/>
      </c>
      <c r="H289" s="7">
        <f>IF(G289="","",INDEX(Leads!$AQ$3:$AQ$1002,MATCH(288,Leads!$BA$3:$BA$1002,0)))</f>
        <v/>
      </c>
      <c r="I289" s="7">
        <f>IF(G289="","",INDEX(Leads!$AI$3:$AI$1002,MATCH(288,Leads!$BA$3:$BA$1002,0))&amp;"")</f>
        <v/>
      </c>
      <c r="J289" s="61">
        <f>IF(G289="","",INDEX(Leads!$W$3:$W$1002,MATCH(288,Leads!$BA$3:$BA$1002,0)))</f>
        <v/>
      </c>
    </row>
    <row r="290">
      <c r="A290" s="12">
        <f>IF(G290="","",INDEX(Leads!$AC$3:$AC$1002,MATCH(289,Leads!$BA$3:$BA$1002,0)))</f>
        <v/>
      </c>
      <c r="B290" s="12">
        <f>IF(G290="","","depot_paye")</f>
        <v/>
      </c>
      <c r="C290" s="12">
        <f>IF(G290="","",YEAR(J290)&amp;"-"&amp;RIGHT("0"&amp;MONTH(J290),2)&amp;"-"&amp;RIGHT("0"&amp;DAY(J290),2)&amp;" "&amp;RIGHT("0"&amp;HOUR(J290),2)&amp;":"&amp;RIGHT("0"&amp;MINUTE(J290),2)&amp;":"&amp;RIGHT("0"&amp;SECOND(J290),2)&amp;IF(AND(J290&gt;=DATE(YEAR(J290),3,8)+MOD(8-WEEKDAY(DATE(YEAR(J290),3,8)),7)+2/24,J290&lt;DATE(YEAR(J290),11,1)+MOD(8-WEEKDAY(DATE(YEAR(J290),11,1)),7)+2/24),"-04:00","-05:00"))</f>
        <v/>
      </c>
      <c r="D290" s="60">
        <f>IF(G290="","",INDEX(Leads!$V$3:$V$1002,MATCH(289,Leads!$BA$3:$BA$1002,0)))</f>
        <v/>
      </c>
      <c r="E290" s="12">
        <f>IF(G290="","","CAD")</f>
        <v/>
      </c>
      <c r="G290" s="7">
        <f>IFERROR(INDEX(Leads!$A$3:$A$1002,MATCH(289,Leads!$BA$3:$BA$1002,0)),"")</f>
        <v/>
      </c>
      <c r="H290" s="7">
        <f>IF(G290="","",INDEX(Leads!$AQ$3:$AQ$1002,MATCH(289,Leads!$BA$3:$BA$1002,0)))</f>
        <v/>
      </c>
      <c r="I290" s="7">
        <f>IF(G290="","",INDEX(Leads!$AI$3:$AI$1002,MATCH(289,Leads!$BA$3:$BA$1002,0))&amp;"")</f>
        <v/>
      </c>
      <c r="J290" s="61">
        <f>IF(G290="","",INDEX(Leads!$W$3:$W$1002,MATCH(289,Leads!$BA$3:$BA$1002,0)))</f>
        <v/>
      </c>
    </row>
    <row r="291">
      <c r="A291" s="12">
        <f>IF(G291="","",INDEX(Leads!$AC$3:$AC$1002,MATCH(290,Leads!$BA$3:$BA$1002,0)))</f>
        <v/>
      </c>
      <c r="B291" s="12">
        <f>IF(G291="","","depot_paye")</f>
        <v/>
      </c>
      <c r="C291" s="12">
        <f>IF(G291="","",YEAR(J291)&amp;"-"&amp;RIGHT("0"&amp;MONTH(J291),2)&amp;"-"&amp;RIGHT("0"&amp;DAY(J291),2)&amp;" "&amp;RIGHT("0"&amp;HOUR(J291),2)&amp;":"&amp;RIGHT("0"&amp;MINUTE(J291),2)&amp;":"&amp;RIGHT("0"&amp;SECOND(J291),2)&amp;IF(AND(J291&gt;=DATE(YEAR(J291),3,8)+MOD(8-WEEKDAY(DATE(YEAR(J291),3,8)),7)+2/24,J291&lt;DATE(YEAR(J291),11,1)+MOD(8-WEEKDAY(DATE(YEAR(J291),11,1)),7)+2/24),"-04:00","-05:00"))</f>
        <v/>
      </c>
      <c r="D291" s="60">
        <f>IF(G291="","",INDEX(Leads!$V$3:$V$1002,MATCH(290,Leads!$BA$3:$BA$1002,0)))</f>
        <v/>
      </c>
      <c r="E291" s="12">
        <f>IF(G291="","","CAD")</f>
        <v/>
      </c>
      <c r="G291" s="7">
        <f>IFERROR(INDEX(Leads!$A$3:$A$1002,MATCH(290,Leads!$BA$3:$BA$1002,0)),"")</f>
        <v/>
      </c>
      <c r="H291" s="7">
        <f>IF(G291="","",INDEX(Leads!$AQ$3:$AQ$1002,MATCH(290,Leads!$BA$3:$BA$1002,0)))</f>
        <v/>
      </c>
      <c r="I291" s="7">
        <f>IF(G291="","",INDEX(Leads!$AI$3:$AI$1002,MATCH(290,Leads!$BA$3:$BA$1002,0))&amp;"")</f>
        <v/>
      </c>
      <c r="J291" s="61">
        <f>IF(G291="","",INDEX(Leads!$W$3:$W$1002,MATCH(290,Leads!$BA$3:$BA$1002,0)))</f>
        <v/>
      </c>
    </row>
    <row r="292">
      <c r="A292" s="12">
        <f>IF(G292="","",INDEX(Leads!$AC$3:$AC$1002,MATCH(291,Leads!$BA$3:$BA$1002,0)))</f>
        <v/>
      </c>
      <c r="B292" s="12">
        <f>IF(G292="","","depot_paye")</f>
        <v/>
      </c>
      <c r="C292" s="12">
        <f>IF(G292="","",YEAR(J292)&amp;"-"&amp;RIGHT("0"&amp;MONTH(J292),2)&amp;"-"&amp;RIGHT("0"&amp;DAY(J292),2)&amp;" "&amp;RIGHT("0"&amp;HOUR(J292),2)&amp;":"&amp;RIGHT("0"&amp;MINUTE(J292),2)&amp;":"&amp;RIGHT("0"&amp;SECOND(J292),2)&amp;IF(AND(J292&gt;=DATE(YEAR(J292),3,8)+MOD(8-WEEKDAY(DATE(YEAR(J292),3,8)),7)+2/24,J292&lt;DATE(YEAR(J292),11,1)+MOD(8-WEEKDAY(DATE(YEAR(J292),11,1)),7)+2/24),"-04:00","-05:00"))</f>
        <v/>
      </c>
      <c r="D292" s="60">
        <f>IF(G292="","",INDEX(Leads!$V$3:$V$1002,MATCH(291,Leads!$BA$3:$BA$1002,0)))</f>
        <v/>
      </c>
      <c r="E292" s="12">
        <f>IF(G292="","","CAD")</f>
        <v/>
      </c>
      <c r="G292" s="7">
        <f>IFERROR(INDEX(Leads!$A$3:$A$1002,MATCH(291,Leads!$BA$3:$BA$1002,0)),"")</f>
        <v/>
      </c>
      <c r="H292" s="7">
        <f>IF(G292="","",INDEX(Leads!$AQ$3:$AQ$1002,MATCH(291,Leads!$BA$3:$BA$1002,0)))</f>
        <v/>
      </c>
      <c r="I292" s="7">
        <f>IF(G292="","",INDEX(Leads!$AI$3:$AI$1002,MATCH(291,Leads!$BA$3:$BA$1002,0))&amp;"")</f>
        <v/>
      </c>
      <c r="J292" s="61">
        <f>IF(G292="","",INDEX(Leads!$W$3:$W$1002,MATCH(291,Leads!$BA$3:$BA$1002,0)))</f>
        <v/>
      </c>
    </row>
    <row r="293">
      <c r="A293" s="12">
        <f>IF(G293="","",INDEX(Leads!$AC$3:$AC$1002,MATCH(292,Leads!$BA$3:$BA$1002,0)))</f>
        <v/>
      </c>
      <c r="B293" s="12">
        <f>IF(G293="","","depot_paye")</f>
        <v/>
      </c>
      <c r="C293" s="12">
        <f>IF(G293="","",YEAR(J293)&amp;"-"&amp;RIGHT("0"&amp;MONTH(J293),2)&amp;"-"&amp;RIGHT("0"&amp;DAY(J293),2)&amp;" "&amp;RIGHT("0"&amp;HOUR(J293),2)&amp;":"&amp;RIGHT("0"&amp;MINUTE(J293),2)&amp;":"&amp;RIGHT("0"&amp;SECOND(J293),2)&amp;IF(AND(J293&gt;=DATE(YEAR(J293),3,8)+MOD(8-WEEKDAY(DATE(YEAR(J293),3,8)),7)+2/24,J293&lt;DATE(YEAR(J293),11,1)+MOD(8-WEEKDAY(DATE(YEAR(J293),11,1)),7)+2/24),"-04:00","-05:00"))</f>
        <v/>
      </c>
      <c r="D293" s="60">
        <f>IF(G293="","",INDEX(Leads!$V$3:$V$1002,MATCH(292,Leads!$BA$3:$BA$1002,0)))</f>
        <v/>
      </c>
      <c r="E293" s="12">
        <f>IF(G293="","","CAD")</f>
        <v/>
      </c>
      <c r="G293" s="7">
        <f>IFERROR(INDEX(Leads!$A$3:$A$1002,MATCH(292,Leads!$BA$3:$BA$1002,0)),"")</f>
        <v/>
      </c>
      <c r="H293" s="7">
        <f>IF(G293="","",INDEX(Leads!$AQ$3:$AQ$1002,MATCH(292,Leads!$BA$3:$BA$1002,0)))</f>
        <v/>
      </c>
      <c r="I293" s="7">
        <f>IF(G293="","",INDEX(Leads!$AI$3:$AI$1002,MATCH(292,Leads!$BA$3:$BA$1002,0))&amp;"")</f>
        <v/>
      </c>
      <c r="J293" s="61">
        <f>IF(G293="","",INDEX(Leads!$W$3:$W$1002,MATCH(292,Leads!$BA$3:$BA$1002,0)))</f>
        <v/>
      </c>
    </row>
    <row r="294">
      <c r="A294" s="12">
        <f>IF(G294="","",INDEX(Leads!$AC$3:$AC$1002,MATCH(293,Leads!$BA$3:$BA$1002,0)))</f>
        <v/>
      </c>
      <c r="B294" s="12">
        <f>IF(G294="","","depot_paye")</f>
        <v/>
      </c>
      <c r="C294" s="12">
        <f>IF(G294="","",YEAR(J294)&amp;"-"&amp;RIGHT("0"&amp;MONTH(J294),2)&amp;"-"&amp;RIGHT("0"&amp;DAY(J294),2)&amp;" "&amp;RIGHT("0"&amp;HOUR(J294),2)&amp;":"&amp;RIGHT("0"&amp;MINUTE(J294),2)&amp;":"&amp;RIGHT("0"&amp;SECOND(J294),2)&amp;IF(AND(J294&gt;=DATE(YEAR(J294),3,8)+MOD(8-WEEKDAY(DATE(YEAR(J294),3,8)),7)+2/24,J294&lt;DATE(YEAR(J294),11,1)+MOD(8-WEEKDAY(DATE(YEAR(J294),11,1)),7)+2/24),"-04:00","-05:00"))</f>
        <v/>
      </c>
      <c r="D294" s="60">
        <f>IF(G294="","",INDEX(Leads!$V$3:$V$1002,MATCH(293,Leads!$BA$3:$BA$1002,0)))</f>
        <v/>
      </c>
      <c r="E294" s="12">
        <f>IF(G294="","","CAD")</f>
        <v/>
      </c>
      <c r="G294" s="7">
        <f>IFERROR(INDEX(Leads!$A$3:$A$1002,MATCH(293,Leads!$BA$3:$BA$1002,0)),"")</f>
        <v/>
      </c>
      <c r="H294" s="7">
        <f>IF(G294="","",INDEX(Leads!$AQ$3:$AQ$1002,MATCH(293,Leads!$BA$3:$BA$1002,0)))</f>
        <v/>
      </c>
      <c r="I294" s="7">
        <f>IF(G294="","",INDEX(Leads!$AI$3:$AI$1002,MATCH(293,Leads!$BA$3:$BA$1002,0))&amp;"")</f>
        <v/>
      </c>
      <c r="J294" s="61">
        <f>IF(G294="","",INDEX(Leads!$W$3:$W$1002,MATCH(293,Leads!$BA$3:$BA$1002,0)))</f>
        <v/>
      </c>
    </row>
    <row r="295">
      <c r="A295" s="12">
        <f>IF(G295="","",INDEX(Leads!$AC$3:$AC$1002,MATCH(294,Leads!$BA$3:$BA$1002,0)))</f>
        <v/>
      </c>
      <c r="B295" s="12">
        <f>IF(G295="","","depot_paye")</f>
        <v/>
      </c>
      <c r="C295" s="12">
        <f>IF(G295="","",YEAR(J295)&amp;"-"&amp;RIGHT("0"&amp;MONTH(J295),2)&amp;"-"&amp;RIGHT("0"&amp;DAY(J295),2)&amp;" "&amp;RIGHT("0"&amp;HOUR(J295),2)&amp;":"&amp;RIGHT("0"&amp;MINUTE(J295),2)&amp;":"&amp;RIGHT("0"&amp;SECOND(J295),2)&amp;IF(AND(J295&gt;=DATE(YEAR(J295),3,8)+MOD(8-WEEKDAY(DATE(YEAR(J295),3,8)),7)+2/24,J295&lt;DATE(YEAR(J295),11,1)+MOD(8-WEEKDAY(DATE(YEAR(J295),11,1)),7)+2/24),"-04:00","-05:00"))</f>
        <v/>
      </c>
      <c r="D295" s="60">
        <f>IF(G295="","",INDEX(Leads!$V$3:$V$1002,MATCH(294,Leads!$BA$3:$BA$1002,0)))</f>
        <v/>
      </c>
      <c r="E295" s="12">
        <f>IF(G295="","","CAD")</f>
        <v/>
      </c>
      <c r="G295" s="7">
        <f>IFERROR(INDEX(Leads!$A$3:$A$1002,MATCH(294,Leads!$BA$3:$BA$1002,0)),"")</f>
        <v/>
      </c>
      <c r="H295" s="7">
        <f>IF(G295="","",INDEX(Leads!$AQ$3:$AQ$1002,MATCH(294,Leads!$BA$3:$BA$1002,0)))</f>
        <v/>
      </c>
      <c r="I295" s="7">
        <f>IF(G295="","",INDEX(Leads!$AI$3:$AI$1002,MATCH(294,Leads!$BA$3:$BA$1002,0))&amp;"")</f>
        <v/>
      </c>
      <c r="J295" s="61">
        <f>IF(G295="","",INDEX(Leads!$W$3:$W$1002,MATCH(294,Leads!$BA$3:$BA$1002,0)))</f>
        <v/>
      </c>
    </row>
    <row r="296">
      <c r="A296" s="12">
        <f>IF(G296="","",INDEX(Leads!$AC$3:$AC$1002,MATCH(295,Leads!$BA$3:$BA$1002,0)))</f>
        <v/>
      </c>
      <c r="B296" s="12">
        <f>IF(G296="","","depot_paye")</f>
        <v/>
      </c>
      <c r="C296" s="12">
        <f>IF(G296="","",YEAR(J296)&amp;"-"&amp;RIGHT("0"&amp;MONTH(J296),2)&amp;"-"&amp;RIGHT("0"&amp;DAY(J296),2)&amp;" "&amp;RIGHT("0"&amp;HOUR(J296),2)&amp;":"&amp;RIGHT("0"&amp;MINUTE(J296),2)&amp;":"&amp;RIGHT("0"&amp;SECOND(J296),2)&amp;IF(AND(J296&gt;=DATE(YEAR(J296),3,8)+MOD(8-WEEKDAY(DATE(YEAR(J296),3,8)),7)+2/24,J296&lt;DATE(YEAR(J296),11,1)+MOD(8-WEEKDAY(DATE(YEAR(J296),11,1)),7)+2/24),"-04:00","-05:00"))</f>
        <v/>
      </c>
      <c r="D296" s="60">
        <f>IF(G296="","",INDEX(Leads!$V$3:$V$1002,MATCH(295,Leads!$BA$3:$BA$1002,0)))</f>
        <v/>
      </c>
      <c r="E296" s="12">
        <f>IF(G296="","","CAD")</f>
        <v/>
      </c>
      <c r="G296" s="7">
        <f>IFERROR(INDEX(Leads!$A$3:$A$1002,MATCH(295,Leads!$BA$3:$BA$1002,0)),"")</f>
        <v/>
      </c>
      <c r="H296" s="7">
        <f>IF(G296="","",INDEX(Leads!$AQ$3:$AQ$1002,MATCH(295,Leads!$BA$3:$BA$1002,0)))</f>
        <v/>
      </c>
      <c r="I296" s="7">
        <f>IF(G296="","",INDEX(Leads!$AI$3:$AI$1002,MATCH(295,Leads!$BA$3:$BA$1002,0))&amp;"")</f>
        <v/>
      </c>
      <c r="J296" s="61">
        <f>IF(G296="","",INDEX(Leads!$W$3:$W$1002,MATCH(295,Leads!$BA$3:$BA$1002,0)))</f>
        <v/>
      </c>
    </row>
    <row r="297">
      <c r="A297" s="12">
        <f>IF(G297="","",INDEX(Leads!$AC$3:$AC$1002,MATCH(296,Leads!$BA$3:$BA$1002,0)))</f>
        <v/>
      </c>
      <c r="B297" s="12">
        <f>IF(G297="","","depot_paye")</f>
        <v/>
      </c>
      <c r="C297" s="12">
        <f>IF(G297="","",YEAR(J297)&amp;"-"&amp;RIGHT("0"&amp;MONTH(J297),2)&amp;"-"&amp;RIGHT("0"&amp;DAY(J297),2)&amp;" "&amp;RIGHT("0"&amp;HOUR(J297),2)&amp;":"&amp;RIGHT("0"&amp;MINUTE(J297),2)&amp;":"&amp;RIGHT("0"&amp;SECOND(J297),2)&amp;IF(AND(J297&gt;=DATE(YEAR(J297),3,8)+MOD(8-WEEKDAY(DATE(YEAR(J297),3,8)),7)+2/24,J297&lt;DATE(YEAR(J297),11,1)+MOD(8-WEEKDAY(DATE(YEAR(J297),11,1)),7)+2/24),"-04:00","-05:00"))</f>
        <v/>
      </c>
      <c r="D297" s="60">
        <f>IF(G297="","",INDEX(Leads!$V$3:$V$1002,MATCH(296,Leads!$BA$3:$BA$1002,0)))</f>
        <v/>
      </c>
      <c r="E297" s="12">
        <f>IF(G297="","","CAD")</f>
        <v/>
      </c>
      <c r="G297" s="7">
        <f>IFERROR(INDEX(Leads!$A$3:$A$1002,MATCH(296,Leads!$BA$3:$BA$1002,0)),"")</f>
        <v/>
      </c>
      <c r="H297" s="7">
        <f>IF(G297="","",INDEX(Leads!$AQ$3:$AQ$1002,MATCH(296,Leads!$BA$3:$BA$1002,0)))</f>
        <v/>
      </c>
      <c r="I297" s="7">
        <f>IF(G297="","",INDEX(Leads!$AI$3:$AI$1002,MATCH(296,Leads!$BA$3:$BA$1002,0))&amp;"")</f>
        <v/>
      </c>
      <c r="J297" s="61">
        <f>IF(G297="","",INDEX(Leads!$W$3:$W$1002,MATCH(296,Leads!$BA$3:$BA$1002,0)))</f>
        <v/>
      </c>
    </row>
    <row r="298">
      <c r="A298" s="12">
        <f>IF(G298="","",INDEX(Leads!$AC$3:$AC$1002,MATCH(297,Leads!$BA$3:$BA$1002,0)))</f>
        <v/>
      </c>
      <c r="B298" s="12">
        <f>IF(G298="","","depot_paye")</f>
        <v/>
      </c>
      <c r="C298" s="12">
        <f>IF(G298="","",YEAR(J298)&amp;"-"&amp;RIGHT("0"&amp;MONTH(J298),2)&amp;"-"&amp;RIGHT("0"&amp;DAY(J298),2)&amp;" "&amp;RIGHT("0"&amp;HOUR(J298),2)&amp;":"&amp;RIGHT("0"&amp;MINUTE(J298),2)&amp;":"&amp;RIGHT("0"&amp;SECOND(J298),2)&amp;IF(AND(J298&gt;=DATE(YEAR(J298),3,8)+MOD(8-WEEKDAY(DATE(YEAR(J298),3,8)),7)+2/24,J298&lt;DATE(YEAR(J298),11,1)+MOD(8-WEEKDAY(DATE(YEAR(J298),11,1)),7)+2/24),"-04:00","-05:00"))</f>
        <v/>
      </c>
      <c r="D298" s="60">
        <f>IF(G298="","",INDEX(Leads!$V$3:$V$1002,MATCH(297,Leads!$BA$3:$BA$1002,0)))</f>
        <v/>
      </c>
      <c r="E298" s="12">
        <f>IF(G298="","","CAD")</f>
        <v/>
      </c>
      <c r="G298" s="7">
        <f>IFERROR(INDEX(Leads!$A$3:$A$1002,MATCH(297,Leads!$BA$3:$BA$1002,0)),"")</f>
        <v/>
      </c>
      <c r="H298" s="7">
        <f>IF(G298="","",INDEX(Leads!$AQ$3:$AQ$1002,MATCH(297,Leads!$BA$3:$BA$1002,0)))</f>
        <v/>
      </c>
      <c r="I298" s="7">
        <f>IF(G298="","",INDEX(Leads!$AI$3:$AI$1002,MATCH(297,Leads!$BA$3:$BA$1002,0))&amp;"")</f>
        <v/>
      </c>
      <c r="J298" s="61">
        <f>IF(G298="","",INDEX(Leads!$W$3:$W$1002,MATCH(297,Leads!$BA$3:$BA$1002,0)))</f>
        <v/>
      </c>
    </row>
    <row r="299">
      <c r="A299" s="12">
        <f>IF(G299="","",INDEX(Leads!$AC$3:$AC$1002,MATCH(298,Leads!$BA$3:$BA$1002,0)))</f>
        <v/>
      </c>
      <c r="B299" s="12">
        <f>IF(G299="","","depot_paye")</f>
        <v/>
      </c>
      <c r="C299" s="12">
        <f>IF(G299="","",YEAR(J299)&amp;"-"&amp;RIGHT("0"&amp;MONTH(J299),2)&amp;"-"&amp;RIGHT("0"&amp;DAY(J299),2)&amp;" "&amp;RIGHT("0"&amp;HOUR(J299),2)&amp;":"&amp;RIGHT("0"&amp;MINUTE(J299),2)&amp;":"&amp;RIGHT("0"&amp;SECOND(J299),2)&amp;IF(AND(J299&gt;=DATE(YEAR(J299),3,8)+MOD(8-WEEKDAY(DATE(YEAR(J299),3,8)),7)+2/24,J299&lt;DATE(YEAR(J299),11,1)+MOD(8-WEEKDAY(DATE(YEAR(J299),11,1)),7)+2/24),"-04:00","-05:00"))</f>
        <v/>
      </c>
      <c r="D299" s="60">
        <f>IF(G299="","",INDEX(Leads!$V$3:$V$1002,MATCH(298,Leads!$BA$3:$BA$1002,0)))</f>
        <v/>
      </c>
      <c r="E299" s="12">
        <f>IF(G299="","","CAD")</f>
        <v/>
      </c>
      <c r="G299" s="7">
        <f>IFERROR(INDEX(Leads!$A$3:$A$1002,MATCH(298,Leads!$BA$3:$BA$1002,0)),"")</f>
        <v/>
      </c>
      <c r="H299" s="7">
        <f>IF(G299="","",INDEX(Leads!$AQ$3:$AQ$1002,MATCH(298,Leads!$BA$3:$BA$1002,0)))</f>
        <v/>
      </c>
      <c r="I299" s="7">
        <f>IF(G299="","",INDEX(Leads!$AI$3:$AI$1002,MATCH(298,Leads!$BA$3:$BA$1002,0))&amp;"")</f>
        <v/>
      </c>
      <c r="J299" s="61">
        <f>IF(G299="","",INDEX(Leads!$W$3:$W$1002,MATCH(298,Leads!$BA$3:$BA$1002,0)))</f>
        <v/>
      </c>
    </row>
    <row r="300">
      <c r="A300" s="12">
        <f>IF(G300="","",INDEX(Leads!$AC$3:$AC$1002,MATCH(299,Leads!$BA$3:$BA$1002,0)))</f>
        <v/>
      </c>
      <c r="B300" s="12">
        <f>IF(G300="","","depot_paye")</f>
        <v/>
      </c>
      <c r="C300" s="12">
        <f>IF(G300="","",YEAR(J300)&amp;"-"&amp;RIGHT("0"&amp;MONTH(J300),2)&amp;"-"&amp;RIGHT("0"&amp;DAY(J300),2)&amp;" "&amp;RIGHT("0"&amp;HOUR(J300),2)&amp;":"&amp;RIGHT("0"&amp;MINUTE(J300),2)&amp;":"&amp;RIGHT("0"&amp;SECOND(J300),2)&amp;IF(AND(J300&gt;=DATE(YEAR(J300),3,8)+MOD(8-WEEKDAY(DATE(YEAR(J300),3,8)),7)+2/24,J300&lt;DATE(YEAR(J300),11,1)+MOD(8-WEEKDAY(DATE(YEAR(J300),11,1)),7)+2/24),"-04:00","-05:00"))</f>
        <v/>
      </c>
      <c r="D300" s="60">
        <f>IF(G300="","",INDEX(Leads!$V$3:$V$1002,MATCH(299,Leads!$BA$3:$BA$1002,0)))</f>
        <v/>
      </c>
      <c r="E300" s="12">
        <f>IF(G300="","","CAD")</f>
        <v/>
      </c>
      <c r="G300" s="7">
        <f>IFERROR(INDEX(Leads!$A$3:$A$1002,MATCH(299,Leads!$BA$3:$BA$1002,0)),"")</f>
        <v/>
      </c>
      <c r="H300" s="7">
        <f>IF(G300="","",INDEX(Leads!$AQ$3:$AQ$1002,MATCH(299,Leads!$BA$3:$BA$1002,0)))</f>
        <v/>
      </c>
      <c r="I300" s="7">
        <f>IF(G300="","",INDEX(Leads!$AI$3:$AI$1002,MATCH(299,Leads!$BA$3:$BA$1002,0))&amp;"")</f>
        <v/>
      </c>
      <c r="J300" s="61">
        <f>IF(G300="","",INDEX(Leads!$W$3:$W$1002,MATCH(299,Leads!$BA$3:$BA$1002,0)))</f>
        <v/>
      </c>
    </row>
    <row r="301">
      <c r="A301" s="12">
        <f>IF(G301="","",INDEX(Leads!$AC$3:$AC$1002,MATCH(300,Leads!$BA$3:$BA$1002,0)))</f>
        <v/>
      </c>
      <c r="B301" s="12">
        <f>IF(G301="","","depot_paye")</f>
        <v/>
      </c>
      <c r="C301" s="12">
        <f>IF(G301="","",YEAR(J301)&amp;"-"&amp;RIGHT("0"&amp;MONTH(J301),2)&amp;"-"&amp;RIGHT("0"&amp;DAY(J301),2)&amp;" "&amp;RIGHT("0"&amp;HOUR(J301),2)&amp;":"&amp;RIGHT("0"&amp;MINUTE(J301),2)&amp;":"&amp;RIGHT("0"&amp;SECOND(J301),2)&amp;IF(AND(J301&gt;=DATE(YEAR(J301),3,8)+MOD(8-WEEKDAY(DATE(YEAR(J301),3,8)),7)+2/24,J301&lt;DATE(YEAR(J301),11,1)+MOD(8-WEEKDAY(DATE(YEAR(J301),11,1)),7)+2/24),"-04:00","-05:00"))</f>
        <v/>
      </c>
      <c r="D301" s="60">
        <f>IF(G301="","",INDEX(Leads!$V$3:$V$1002,MATCH(300,Leads!$BA$3:$BA$1002,0)))</f>
        <v/>
      </c>
      <c r="E301" s="12">
        <f>IF(G301="","","CAD")</f>
        <v/>
      </c>
      <c r="G301" s="7">
        <f>IFERROR(INDEX(Leads!$A$3:$A$1002,MATCH(300,Leads!$BA$3:$BA$1002,0)),"")</f>
        <v/>
      </c>
      <c r="H301" s="7">
        <f>IF(G301="","",INDEX(Leads!$AQ$3:$AQ$1002,MATCH(300,Leads!$BA$3:$BA$1002,0)))</f>
        <v/>
      </c>
      <c r="I301" s="7">
        <f>IF(G301="","",INDEX(Leads!$AI$3:$AI$1002,MATCH(300,Leads!$BA$3:$BA$1002,0))&amp;"")</f>
        <v/>
      </c>
      <c r="J301" s="61">
        <f>IF(G301="","",INDEX(Leads!$W$3:$W$1002,MATCH(300,Leads!$BA$3:$BA$1002,0)))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1:B33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63" t="inlineStr">
        <is>
          <t>CRM et indicateurs Évenox — mode d'emploi</t>
        </is>
      </c>
    </row>
    <row r="2">
      <c r="B2" s="52" t="inlineStr">
        <is>
          <t>Sources : operations/tracking-setup.md (pipeline, colonnes, indicateurs), formulaire-qualification.md (routes, pointage), suivi-leads.md (procédure), COMPTE-RENDU.md (budget 300 $/jour, règles couper / augmenter).</t>
        </is>
      </c>
    </row>
    <row r="3">
      <c r="B3" s="64" t="inlineStr"/>
    </row>
    <row r="4">
      <c r="B4" s="59" t="inlineStr">
        <is>
          <t>Avant de commencer</t>
        </is>
      </c>
    </row>
    <row r="5">
      <c r="B5" s="64" t="inlineStr">
        <is>
          <t>• Supprimer les 5 lignes EXEMPLE (surlignées en jaune) de la feuille Leads. Pour les voir dans le tableau de bord, mettre « Oui » en C6 de « Tableau de bord ». Les lignes EXEMPLE ne vont jamais dans l'import Google.</t>
        </is>
      </c>
    </row>
    <row r="6">
      <c r="B6" s="64" t="inlineStr">
        <is>
          <t>• Ne pas saisir dans les colonnes grises : ce sont des formules (délai, pointage, campagne, route calculée, valeur, etc.). Pour supprimer un lead, effacer le contenu des cellules de saisie seulement, ou supprimer la ligne entière.</t>
        </is>
      </c>
    </row>
    <row r="7">
      <c r="B7" s="64" t="inlineStr"/>
    </row>
    <row r="8">
      <c r="B8" s="59" t="inlineStr">
        <is>
          <t>Feuille « Leads » (1 ligne par demande)</t>
        </is>
      </c>
    </row>
    <row r="9">
      <c r="B9" s="64" t="inlineStr">
        <is>
          <t>• Colonnes A à AM = colonnes de la feuille « Pipeline » de tracking-setup.md §9, dans le même ordre ; ligne 2 = nom technique (mêmes noms que les propriétés HubSpot et les champs du formulaire).</t>
        </is>
      </c>
    </row>
    <row r="10">
      <c r="B10" s="64" t="inlineStr">
        <is>
          <t>• Dates : AAAA-MM-JJ HH:MM. Le délai de 1er contact est calculé en minutes ; la ligne devient rouge si le délai dépasse 15 min sur une route A ou B.</t>
        </is>
      </c>
    </row>
    <row r="11">
      <c r="B11" s="64" t="inlineStr">
        <is>
          <t>• type_evenement, type_client, nb_invites et budget_declare utilisent les codes du formulaire (corpo_party, 2500_4999…) : libellés dans la feuille Listes.</t>
        </is>
      </c>
    </row>
    <row r="12">
      <c r="B12" s="64" t="inlineStr">
        <is>
          <t>• Route : celle envoyée par le formulaire (A, B, C, D). Si elle est vide, la route calculée selon les règles est utilisée. Orange = la route saisie diffère des règles du formulaire.</t>
        </is>
      </c>
    </row>
    <row r="13">
      <c r="B13" s="64" t="inlineStr">
        <is>
          <t>• Pointage (0 à 100) = section 7 du formulaire (budget, type de client, invités, date, rôle, échéance). Plus de 70 : rappel immédiat par le propriétaire ; 40 à 70 : 15 min par la personne de garde.</t>
        </is>
      </c>
    </row>
    <row r="14">
      <c r="B14" s="64" t="inlineStr">
        <is>
          <t>• Étape : mettre à jour immédiatement après chaque contact. Perdu ou Disqualifié exige une raison (cellule rouge sinon).</t>
        </is>
      </c>
    </row>
    <row r="15">
      <c r="B15" s="64" t="inlineStr">
        <is>
          <t>• Gagné = « Dépôt payé (gagné) », « Événement livré » ou « Avis obtenu ». Inscrire alors montant_gagne et date_depot.</t>
        </is>
      </c>
    </row>
    <row r="16">
      <c r="B16" s="64" t="inlineStr">
        <is>
          <t>• Campagne : déduite de utm_campaign (gads_corpo_*, gads_mariage_*, gads_marque, meta_*, msft_*, chatgpt_*). Pour un appel ou une référence sans UTM, choisir la source dans « Source / campagne (forcer) ».</t>
        </is>
      </c>
    </row>
    <row r="17">
      <c r="B17" s="64" t="inlineStr">
        <is>
          <t>• Valeur : montant gagné si gagné, sinon montant proposé × probabilité de l'étape (10/20/40/50/70/100 %). Valeur de conversion provisoire : A = 400 $, B = 150 $, C et D = 0 $.</t>
        </is>
      </c>
    </row>
    <row r="18">
      <c r="B18" s="64" t="inlineStr"/>
    </row>
    <row r="19">
      <c r="B19" s="59" t="inlineStr">
        <is>
          <t>Feuille « Dépenses »</t>
        </is>
      </c>
    </row>
    <row r="20">
      <c r="B20" s="64" t="inlineStr">
        <is>
          <t>• Chaque matin, saisir la dépense de la veille par campagne (cellules jaunes). Budget cible par campagne en ligne 3 (100 / 80 / 60 / 30 / 20 / 10 = 300 $/jour) : l'ajuster lors de la bascule saisonnière ou d'une décision Réduire / Augmenter.</t>
        </is>
      </c>
    </row>
    <row r="21">
      <c r="B21" s="64" t="inlineStr">
        <is>
          <t>• Écart quotidien &gt; +10 % en rouge, &lt; -10 % en orange. Lignes 4 à 6 : cumul, budget des jours saisis et écart.</t>
        </is>
      </c>
    </row>
    <row r="22">
      <c r="B22" s="64" t="inlineStr"/>
    </row>
    <row r="23">
      <c r="B23" s="59" t="inlineStr">
        <is>
          <t>Feuille « Tableau de bord » (revue chaque lundi, 9 h)</t>
        </is>
      </c>
    </row>
    <row r="24">
      <c r="B24" s="64" t="inlineStr">
        <is>
          <t>• C4 = lundi de la semaine analysée ; C5 = 1er jour du mois analysé (par défaut : semaine et mois en cours).</t>
        </is>
      </c>
    </row>
    <row r="25">
      <c r="B25" s="64" t="inlineStr">
        <is>
          <t>• Vert / rouge selon les cibles : coût par LQ ≤ 150 $, % qualifiés ≥ 40 %, signature ≥ 25 %, panier ≥ 1 500 $, ROAS ≥ 2,5. Les cibles (colonne I) se modifient après 60 jours.</t>
        </is>
      </c>
    </row>
    <row r="26">
      <c r="B26" s="64" t="inlineStr">
        <is>
          <t>• Décision : Couper / Réduire 30 % / Garder / Augmenter +20 %. Hebdo = règle de tracking-setup.md §10 ; mensuelle = règle du jour 30 de COMPTE-RENDU.md. Le total reste à 300 $/jour : une hausse est financée par la campagne au pire coût par LQ.</t>
        </is>
      </c>
    </row>
    <row r="27">
      <c r="B27" s="64" t="inlineStr">
        <is>
          <t>• Les contrats d'un mois se jugent à 60 à 90 jours (surtout en mariage) : relire les mois précédents avant de couper.</t>
        </is>
      </c>
    </row>
    <row r="28">
      <c r="B28" s="64" t="inlineStr"/>
    </row>
    <row r="29">
      <c r="B29" s="59" t="inlineStr">
        <is>
          <t>Feuille « Import conversions Google »</t>
        </is>
      </c>
    </row>
    <row r="30">
      <c r="B30" s="64" t="inlineStr">
        <is>
          <t>• Remplie automatiquement pour chaque dépôt payé avec gclid. Exporter A:E en CSV ou coller dans la feuille Google Sheets du téléversement planifié, chaque jour. Ne jamais téléverser les lignes EXEMPLE ni les colonnes de contrôle.</t>
        </is>
      </c>
    </row>
    <row r="31">
      <c r="B31" s="64" t="inlineStr"/>
    </row>
    <row r="32">
      <c r="B32" s="59" t="inlineStr">
        <is>
          <t>Confidentialité (Loi 25, LCAP)</t>
        </is>
      </c>
    </row>
    <row r="33">
      <c r="B33" s="64" t="inlineStr">
        <is>
          <t>• Ce fichier contient des renseignements personnels : le garder dans un espace à accès restreint. Respecter desabonne = oui partout. Supprimer ou anonymiser les leads perdus sans relation d'affaires après 24 mois.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/>
  </sheetPr>
  <dimension ref="A1:AU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4" max="4"/>
    <col width="26" customWidth="1" min="6" max="6"/>
    <col width="18" customWidth="1" min="7" max="7"/>
    <col width="18" customWidth="1" min="8" max="8"/>
    <col width="26" customWidth="1" min="10" max="10"/>
    <col width="18" customWidth="1" min="11" max="11"/>
    <col width="18" customWidth="1" min="12" max="12"/>
    <col width="26" customWidth="1" min="14" max="14"/>
    <col width="18" customWidth="1" min="15" max="15"/>
    <col width="18" customWidth="1" min="16" max="16"/>
    <col width="26" customWidth="1" min="18" max="18"/>
    <col width="18" customWidth="1" min="19" max="19"/>
    <col width="18" customWidth="1" min="20" max="20"/>
    <col width="26" customWidth="1" min="22" max="22"/>
    <col width="18" customWidth="1" min="23" max="23"/>
    <col width="26" customWidth="1" min="25" max="25"/>
    <col width="18" customWidth="1" min="26" max="26"/>
    <col width="26" customWidth="1" min="28" max="28"/>
    <col width="18" customWidth="1" min="29" max="29"/>
    <col width="26" customWidth="1" min="31" max="31"/>
    <col width="18" customWidth="1" min="32" max="32"/>
    <col width="18" customWidth="1" min="33" max="33"/>
    <col width="26" customWidth="1" min="35" max="35"/>
    <col width="26" customWidth="1" min="37" max="37"/>
    <col width="26" customWidth="1" min="39" max="39"/>
    <col width="26" customWidth="1" min="41" max="41"/>
    <col width="26" customWidth="1" min="43" max="43"/>
    <col width="26" customWidth="1" min="45" max="45"/>
    <col width="26" customWidth="1" min="47" max="47"/>
  </cols>
  <sheetData>
    <row r="1">
      <c r="A1" s="27" t="inlineStr">
        <is>
          <t>Campagnes payées</t>
        </is>
      </c>
      <c r="D1" s="27" t="inlineStr">
        <is>
          <t>Source / campagne (saisie manuelle)</t>
        </is>
      </c>
      <c r="F1" s="27" t="inlineStr">
        <is>
          <t>type_evenement</t>
        </is>
      </c>
      <c r="J1" s="27" t="inlineStr">
        <is>
          <t>type_client</t>
        </is>
      </c>
      <c r="N1" s="27" t="inlineStr">
        <is>
          <t>nb_invites</t>
        </is>
      </c>
      <c r="R1" s="27" t="inlineStr">
        <is>
          <t>budget_declare</t>
        </is>
      </c>
      <c r="V1" s="27" t="inlineStr">
        <is>
          <t>role_decision</t>
        </is>
      </c>
      <c r="Y1" s="27" t="inlineStr">
        <is>
          <t>echeance_decision</t>
        </is>
      </c>
      <c r="AB1" s="27" t="inlineStr">
        <is>
          <t>route</t>
        </is>
      </c>
      <c r="AE1" s="27" t="inlineStr">
        <is>
          <t>etape</t>
        </is>
      </c>
      <c r="AI1" s="27" t="inlineStr">
        <is>
          <t>raison_perte</t>
        </is>
      </c>
      <c r="AK1" s="27" t="inlineStr">
        <is>
          <t>ville</t>
        </is>
      </c>
      <c r="AM1" s="27" t="inlineStr">
        <is>
          <t>utm_source</t>
        </is>
      </c>
      <c r="AO1" s="27" t="inlineStr">
        <is>
          <t>utm_medium</t>
        </is>
      </c>
      <c r="AQ1" s="27" t="inlineStr">
        <is>
          <t>utm_campaign</t>
        </is>
      </c>
      <c r="AS1" s="27" t="inlineStr">
        <is>
          <t>forfait_propose</t>
        </is>
      </c>
      <c r="AU1" s="27" t="inlineStr">
        <is>
          <t>oui / non</t>
        </is>
      </c>
    </row>
    <row r="2">
      <c r="A2" s="1" t="inlineStr">
        <is>
          <t>campagne</t>
        </is>
      </c>
      <c r="B2" s="1" t="inlineStr">
        <is>
          <t>$/jour</t>
        </is>
      </c>
      <c r="D2" s="1" t="inlineStr">
        <is>
          <t>campagne_manuelle</t>
        </is>
      </c>
      <c r="F2" s="1" t="inlineStr">
        <is>
          <t>code</t>
        </is>
      </c>
      <c r="G2" s="1" t="inlineStr">
        <is>
          <t>libellé</t>
        </is>
      </c>
      <c r="H2" s="1" t="inlineStr">
        <is>
          <t>segment</t>
        </is>
      </c>
      <c r="J2" s="1" t="inlineStr">
        <is>
          <t>code</t>
        </is>
      </c>
      <c r="K2" s="1" t="inlineStr">
        <is>
          <t>points</t>
        </is>
      </c>
      <c r="L2" s="1" t="inlineStr">
        <is>
          <t>libellé</t>
        </is>
      </c>
      <c r="N2" s="1" t="inlineStr">
        <is>
          <t>code</t>
        </is>
      </c>
      <c r="O2" s="1" t="inlineStr">
        <is>
          <t>points</t>
        </is>
      </c>
      <c r="P2" s="1" t="inlineStr">
        <is>
          <t>libellé</t>
        </is>
      </c>
      <c r="R2" s="1" t="inlineStr">
        <is>
          <t>code</t>
        </is>
      </c>
      <c r="S2" s="1" t="inlineStr">
        <is>
          <t>points</t>
        </is>
      </c>
      <c r="T2" s="1" t="inlineStr">
        <is>
          <t>libellé</t>
        </is>
      </c>
      <c r="V2" s="1" t="inlineStr">
        <is>
          <t>libellé</t>
        </is>
      </c>
      <c r="W2" s="1" t="inlineStr">
        <is>
          <t>points</t>
        </is>
      </c>
      <c r="Y2" s="1" t="inlineStr">
        <is>
          <t>libellé</t>
        </is>
      </c>
      <c r="Z2" s="1" t="inlineStr">
        <is>
          <t>points</t>
        </is>
      </c>
      <c r="AB2" s="1" t="inlineStr">
        <is>
          <t>route</t>
        </is>
      </c>
      <c r="AC2" s="1" t="inlineStr">
        <is>
          <t>libellé</t>
        </is>
      </c>
      <c r="AE2" s="1" t="inlineStr">
        <is>
          <t>étape</t>
        </is>
      </c>
      <c r="AF2" s="1" t="inlineStr">
        <is>
          <t>probabilité</t>
        </is>
      </c>
      <c r="AG2" s="1" t="inlineStr">
        <is>
          <t>n°</t>
        </is>
      </c>
      <c r="AI2" s="1" t="inlineStr">
        <is>
          <t>raison</t>
        </is>
      </c>
      <c r="AK2" s="1" t="inlineStr">
        <is>
          <t>ville</t>
        </is>
      </c>
      <c r="AM2" s="1" t="inlineStr">
        <is>
          <t>valeur</t>
        </is>
      </c>
      <c r="AO2" s="1" t="inlineStr">
        <is>
          <t>valeur</t>
        </is>
      </c>
      <c r="AQ2" s="1" t="inlineStr">
        <is>
          <t>valeur</t>
        </is>
      </c>
      <c r="AS2" s="1" t="inlineStr">
        <is>
          <t>forfait</t>
        </is>
      </c>
      <c r="AU2" s="1" t="inlineStr">
        <is>
          <t>valeur</t>
        </is>
      </c>
    </row>
    <row r="3">
      <c r="A3" s="12" t="inlineStr">
        <is>
          <t>Google Search – Corporatif</t>
        </is>
      </c>
      <c r="B3" s="12" t="n">
        <v>100</v>
      </c>
      <c r="D3" s="12" t="inlineStr">
        <is>
          <t>Google Search – Corporatif</t>
        </is>
      </c>
      <c r="F3" s="12" t="inlineStr">
        <is>
          <t>corpo_party</t>
        </is>
      </c>
      <c r="G3" s="12" t="inlineStr">
        <is>
          <t>Party de bureau / des Fêtes</t>
        </is>
      </c>
      <c r="H3" s="12" t="inlineStr">
        <is>
          <t>Corporatif</t>
        </is>
      </c>
      <c r="J3" s="12" t="inlineStr">
        <is>
          <t>entreprise</t>
        </is>
      </c>
      <c r="K3" s="12" t="n">
        <v>20</v>
      </c>
      <c r="L3" s="12" t="inlineStr">
        <is>
          <t>Entreprise</t>
        </is>
      </c>
      <c r="N3" s="12" t="inlineStr">
        <is>
          <t>lt30</t>
        </is>
      </c>
      <c r="O3" s="12" t="n">
        <v>0</v>
      </c>
      <c r="P3" s="12" t="inlineStr">
        <is>
          <t>Moins de 30</t>
        </is>
      </c>
      <c r="R3" s="12" t="inlineStr">
        <is>
          <t>lt600</t>
        </is>
      </c>
      <c r="S3" s="12" t="n">
        <v>0</v>
      </c>
      <c r="T3" s="12" t="inlineStr">
        <is>
          <t>Moins de 600 $</t>
        </is>
      </c>
      <c r="V3" s="12" t="inlineStr">
        <is>
          <t>Je décide</t>
        </is>
      </c>
      <c r="W3" s="12" t="n">
        <v>10</v>
      </c>
      <c r="Y3" s="12" t="inlineStr">
        <is>
          <t>Cette semaine</t>
        </is>
      </c>
      <c r="Z3" s="12" t="n">
        <v>5</v>
      </c>
      <c r="AB3" s="12" t="inlineStr">
        <is>
          <t>A</t>
        </is>
      </c>
      <c r="AC3" s="12" t="inlineStr">
        <is>
          <t>Appel prioritaire</t>
        </is>
      </c>
      <c r="AE3" s="12" t="inlineStr">
        <is>
          <t>Nouveau</t>
        </is>
      </c>
      <c r="AF3" s="53" t="n">
        <v>0.1</v>
      </c>
      <c r="AG3" s="12" t="inlineStr">
        <is>
          <t>1</t>
        </is>
      </c>
      <c r="AI3" s="12" t="inlineStr">
        <is>
          <t>Perdu – prix</t>
        </is>
      </c>
      <c r="AK3" s="12" t="inlineStr">
        <is>
          <t>Sainte-Thérèse</t>
        </is>
      </c>
      <c r="AM3" s="12" t="inlineStr">
        <is>
          <t>google</t>
        </is>
      </c>
      <c r="AO3" s="12" t="inlineStr">
        <is>
          <t>cpc</t>
        </is>
      </c>
      <c r="AQ3" s="12" t="inlineStr">
        <is>
          <t>gads_corpo_fetes</t>
        </is>
      </c>
      <c r="AS3" s="12" t="inlineStr">
        <is>
          <t>5 à 7 (1 195 $)</t>
        </is>
      </c>
      <c r="AU3" s="12" t="inlineStr">
        <is>
          <t>oui</t>
        </is>
      </c>
    </row>
    <row r="4">
      <c r="A4" s="12" t="inlineStr">
        <is>
          <t>Meta – Leads</t>
        </is>
      </c>
      <c r="B4" s="12" t="n">
        <v>80</v>
      </c>
      <c r="D4" s="12" t="inlineStr">
        <is>
          <t>Meta – Leads</t>
        </is>
      </c>
      <c r="F4" s="12" t="inlineStr">
        <is>
          <t>corpo_5a7</t>
        </is>
      </c>
      <c r="G4" s="12" t="inlineStr">
        <is>
          <t>5 à 7 ou team building</t>
        </is>
      </c>
      <c r="H4" s="12" t="inlineStr">
        <is>
          <t>Corporatif</t>
        </is>
      </c>
      <c r="J4" s="12" t="inlineStr">
        <is>
          <t>organisme</t>
        </is>
      </c>
      <c r="K4" s="12" t="n">
        <v>15</v>
      </c>
      <c r="L4" s="12" t="inlineStr">
        <is>
          <t>Municipalité, école ou OBNL</t>
        </is>
      </c>
      <c r="N4" s="12" t="inlineStr">
        <is>
          <t>30_74</t>
        </is>
      </c>
      <c r="O4" s="12" t="n">
        <v>6</v>
      </c>
      <c r="P4" s="12" t="inlineStr">
        <is>
          <t>30 à 74</t>
        </is>
      </c>
      <c r="R4" s="12" t="inlineStr">
        <is>
          <t>600_999</t>
        </is>
      </c>
      <c r="S4" s="12" t="n">
        <v>10</v>
      </c>
      <c r="T4" s="12" t="inlineStr">
        <is>
          <t>600 à 999 $</t>
        </is>
      </c>
      <c r="V4" s="12" t="inlineStr">
        <is>
          <t>Je recommande, quelqu'un d'autre approuve</t>
        </is>
      </c>
      <c r="W4" s="12" t="n">
        <v>6</v>
      </c>
      <c r="Y4" s="12" t="inlineStr">
        <is>
          <t>D'ici 30 jours</t>
        </is>
      </c>
      <c r="Z4" s="12" t="n">
        <v>3</v>
      </c>
      <c r="AB4" s="12" t="inlineStr">
        <is>
          <t>B</t>
        </is>
      </c>
      <c r="AC4" s="12" t="inlineStr">
        <is>
          <t>Soumission</t>
        </is>
      </c>
      <c r="AE4" s="12" t="inlineStr">
        <is>
          <t>Contacté</t>
        </is>
      </c>
      <c r="AF4" s="53" t="n">
        <v>0.2</v>
      </c>
      <c r="AG4" s="12" t="inlineStr">
        <is>
          <t>2</t>
        </is>
      </c>
      <c r="AI4" s="12" t="inlineStr">
        <is>
          <t>Perdu – concurrent</t>
        </is>
      </c>
      <c r="AK4" s="12" t="inlineStr">
        <is>
          <t>Blainville</t>
        </is>
      </c>
      <c r="AM4" s="12" t="inlineStr">
        <is>
          <t>bing</t>
        </is>
      </c>
      <c r="AO4" s="12" t="inlineStr">
        <is>
          <t>paid_social</t>
        </is>
      </c>
      <c r="AQ4" s="12" t="inlineStr">
        <is>
          <t>gads_corpo_5a7</t>
        </is>
      </c>
      <c r="AS4" s="12" t="inlineStr">
        <is>
          <t>Party de bureau (1 995 $)</t>
        </is>
      </c>
      <c r="AU4" s="12" t="inlineStr">
        <is>
          <t>non</t>
        </is>
      </c>
    </row>
    <row r="5">
      <c r="A5" s="12" t="inlineStr">
        <is>
          <t>Google Search – Mariage et privé</t>
        </is>
      </c>
      <c r="B5" s="12" t="n">
        <v>60</v>
      </c>
      <c r="D5" s="12" t="inlineStr">
        <is>
          <t>Google Search – Mariage et privé</t>
        </is>
      </c>
      <c r="F5" s="12" t="inlineStr">
        <is>
          <t>corpo_gala</t>
        </is>
      </c>
      <c r="G5" s="12" t="inlineStr">
        <is>
          <t>Gala, remise de prix ou lancement</t>
        </is>
      </c>
      <c r="H5" s="12" t="inlineStr">
        <is>
          <t>Corporatif</t>
        </is>
      </c>
      <c r="J5" s="12" t="inlineStr">
        <is>
          <t>particulier</t>
        </is>
      </c>
      <c r="K5" s="12" t="n">
        <v>5</v>
      </c>
      <c r="L5" s="12" t="inlineStr">
        <is>
          <t>Particulier ou couple</t>
        </is>
      </c>
      <c r="N5" s="12" t="inlineStr">
        <is>
          <t>75_149</t>
        </is>
      </c>
      <c r="O5" s="12" t="n">
        <v>12</v>
      </c>
      <c r="P5" s="12" t="inlineStr">
        <is>
          <t>75 à 149</t>
        </is>
      </c>
      <c r="R5" s="12" t="inlineStr">
        <is>
          <t>1000_2499</t>
        </is>
      </c>
      <c r="S5" s="12" t="n">
        <v>15</v>
      </c>
      <c r="T5" s="12" t="inlineStr">
        <is>
          <t>1 000 à 2 499 $</t>
        </is>
      </c>
      <c r="V5" s="12" t="inlineStr">
        <is>
          <t>Je compare des options pour un comité</t>
        </is>
      </c>
      <c r="W5" s="12" t="n">
        <v>4</v>
      </c>
      <c r="Y5" s="12" t="inlineStr">
        <is>
          <t>Plus tard / je m'informe</t>
        </is>
      </c>
      <c r="Z5" s="12" t="n">
        <v>0</v>
      </c>
      <c r="AB5" s="12" t="inlineStr">
        <is>
          <t>C</t>
        </is>
      </c>
      <c r="AC5" s="12" t="inlineStr">
        <is>
          <t>Boutique</t>
        </is>
      </c>
      <c r="AE5" s="12" t="inlineStr">
        <is>
          <t>Qualifié</t>
        </is>
      </c>
      <c r="AF5" s="53" t="n">
        <v>0.4</v>
      </c>
      <c r="AG5" s="12" t="inlineStr">
        <is>
          <t>3</t>
        </is>
      </c>
      <c r="AI5" s="12" t="inlineStr">
        <is>
          <t>Perdu – date</t>
        </is>
      </c>
      <c r="AK5" s="12" t="inlineStr">
        <is>
          <t>Boisbriand</t>
        </is>
      </c>
      <c r="AM5" s="12" t="inlineStr">
        <is>
          <t>meta</t>
        </is>
      </c>
      <c r="AO5" s="12" t="inlineStr">
        <is>
          <t>email</t>
        </is>
      </c>
      <c r="AQ5" s="12" t="inlineStr">
        <is>
          <t>gads_mariage_deco</t>
        </is>
      </c>
      <c r="AS5" s="12" t="inlineStr">
        <is>
          <t>Gala Signature (2 495 $)</t>
        </is>
      </c>
    </row>
    <row r="6">
      <c r="A6" s="12" t="inlineStr">
        <is>
          <t>ChatGPT Ads – Test</t>
        </is>
      </c>
      <c r="B6" s="12" t="n">
        <v>30</v>
      </c>
      <c r="D6" s="12" t="inlineStr">
        <is>
          <t>ChatGPT Ads – Test</t>
        </is>
      </c>
      <c r="F6" s="12" t="inlineStr">
        <is>
          <t>muni_ecole</t>
        </is>
      </c>
      <c r="G6" s="12" t="inlineStr">
        <is>
          <t>Événement municipal ou scolaire</t>
        </is>
      </c>
      <c r="H6" s="12" t="inlineStr">
        <is>
          <t>Municipal / scolaire</t>
        </is>
      </c>
      <c r="J6" s="12" t="inlineStr">
        <is>
          <t>agence</t>
        </is>
      </c>
      <c r="K6" s="12" t="n">
        <v>20</v>
      </c>
      <c r="L6" s="12" t="inlineStr">
        <is>
          <t>Planificateur ou agence</t>
        </is>
      </c>
      <c r="N6" s="12" t="inlineStr">
        <is>
          <t>150p</t>
        </is>
      </c>
      <c r="O6" s="12" t="n">
        <v>15</v>
      </c>
      <c r="P6" s="12" t="inlineStr">
        <is>
          <t>150 et plus</t>
        </is>
      </c>
      <c r="R6" s="12" t="inlineStr">
        <is>
          <t>2500_4999</t>
        </is>
      </c>
      <c r="S6" s="12" t="n">
        <v>30</v>
      </c>
      <c r="T6" s="12" t="inlineStr">
        <is>
          <t>2 500 à 4 999 $</t>
        </is>
      </c>
      <c r="AB6" s="12" t="inlineStr">
        <is>
          <t>D</t>
        </is>
      </c>
      <c r="AC6" s="12" t="inlineStr">
        <is>
          <t>Hors zone</t>
        </is>
      </c>
      <c r="AE6" s="12" t="inlineStr">
        <is>
          <t>Proposition envoyée</t>
        </is>
      </c>
      <c r="AF6" s="53" t="n">
        <v>0.5</v>
      </c>
      <c r="AG6" s="12" t="inlineStr">
        <is>
          <t>4</t>
        </is>
      </c>
      <c r="AI6" s="12" t="inlineStr">
        <is>
          <t>Perdu – sans réponse</t>
        </is>
      </c>
      <c r="AK6" s="12" t="inlineStr">
        <is>
          <t>Rosemère</t>
        </is>
      </c>
      <c r="AM6" s="12" t="inlineStr">
        <is>
          <t>chatgpt</t>
        </is>
      </c>
      <c r="AO6" s="12" t="inlineStr">
        <is>
          <t>sms</t>
        </is>
      </c>
      <c r="AQ6" s="12" t="inlineStr">
        <is>
          <t>gads_marque</t>
        </is>
      </c>
      <c r="AS6" s="12" t="inlineStr">
        <is>
          <t>Décor WOW (899 $)</t>
        </is>
      </c>
    </row>
    <row r="7">
      <c r="A7" s="12" t="inlineStr">
        <is>
          <t>Microsoft Ads</t>
        </is>
      </c>
      <c r="B7" s="12" t="n">
        <v>20</v>
      </c>
      <c r="D7" s="12" t="inlineStr">
        <is>
          <t>Microsoft Ads</t>
        </is>
      </c>
      <c r="F7" s="12" t="inlineStr">
        <is>
          <t>mariage</t>
        </is>
      </c>
      <c r="G7" s="12" t="inlineStr">
        <is>
          <t>Mariage</t>
        </is>
      </c>
      <c r="H7" s="12" t="inlineStr">
        <is>
          <t>Mariage</t>
        </is>
      </c>
      <c r="R7" s="12" t="inlineStr">
        <is>
          <t>5000p</t>
        </is>
      </c>
      <c r="S7" s="12" t="n">
        <v>40</v>
      </c>
      <c r="T7" s="12" t="inlineStr">
        <is>
          <t>5 000 $ et plus</t>
        </is>
      </c>
      <c r="AE7" s="12" t="inlineStr">
        <is>
          <t>Négociation</t>
        </is>
      </c>
      <c r="AF7" s="53" t="n">
        <v>0.7</v>
      </c>
      <c r="AG7" s="12" t="inlineStr">
        <is>
          <t>5</t>
        </is>
      </c>
      <c r="AI7" s="12" t="inlineStr">
        <is>
          <t>Perdu – projet annulé</t>
        </is>
      </c>
      <c r="AK7" s="12" t="inlineStr">
        <is>
          <t>Lorraine</t>
        </is>
      </c>
      <c r="AM7" s="12" t="inlineStr">
        <is>
          <t>courriel</t>
        </is>
      </c>
      <c r="AO7" s="12" t="inlineStr">
        <is>
          <t>referral</t>
        </is>
      </c>
      <c r="AQ7" s="12" t="inlineStr">
        <is>
          <t>meta_corpo_fetes</t>
        </is>
      </c>
      <c r="AS7" s="12" t="inlineStr">
        <is>
          <t>Soirée Signature (1 449 $)</t>
        </is>
      </c>
    </row>
    <row r="8">
      <c r="A8" s="12" t="inlineStr">
        <is>
          <t>Google Search – Marque</t>
        </is>
      </c>
      <c r="B8" s="12" t="n">
        <v>10</v>
      </c>
      <c r="D8" s="12" t="inlineStr">
        <is>
          <t>Google Search – Marque</t>
        </is>
      </c>
      <c r="F8" s="12" t="inlineStr">
        <is>
          <t>prive</t>
        </is>
      </c>
      <c r="G8" s="12" t="inlineStr">
        <is>
          <t>Autre événement privé : anniversaire, shower…</t>
        </is>
      </c>
      <c r="H8" s="12" t="inlineStr">
        <is>
          <t>Privé</t>
        </is>
      </c>
      <c r="R8" s="12" t="inlineStr">
        <is>
          <t>inconnu</t>
        </is>
      </c>
      <c r="S8" s="12" t="n">
        <v>10</v>
      </c>
      <c r="T8" s="12" t="inlineStr">
        <is>
          <t>Je ne sais pas encore</t>
        </is>
      </c>
      <c r="AE8" s="12" t="inlineStr">
        <is>
          <t>Dépôt payé (gagné)</t>
        </is>
      </c>
      <c r="AF8" s="53" t="n">
        <v>1</v>
      </c>
      <c r="AG8" s="12" t="inlineStr">
        <is>
          <t>6</t>
        </is>
      </c>
      <c r="AI8" s="12" t="inlineStr">
        <is>
          <t>Disqualifié – budget &lt; seuil</t>
        </is>
      </c>
      <c r="AK8" s="12" t="inlineStr">
        <is>
          <t>Bois-des-Filion</t>
        </is>
      </c>
      <c r="AM8" s="12" t="inlineStr">
        <is>
          <t>sms</t>
        </is>
      </c>
      <c r="AO8" s="12" t="inlineStr">
        <is>
          <t>organic_local</t>
        </is>
      </c>
      <c r="AQ8" s="12" t="inlineStr">
        <is>
          <t>meta_mariage_deco</t>
        </is>
      </c>
      <c r="AS8" s="12" t="inlineStr">
        <is>
          <t>Mariage Signature (1 899 $)</t>
        </is>
      </c>
    </row>
    <row r="9">
      <c r="D9" s="12" t="inlineStr">
        <is>
          <t>Fiche Google (organique)</t>
        </is>
      </c>
      <c r="AE9" s="12" t="inlineStr">
        <is>
          <t>Événement livré</t>
        </is>
      </c>
      <c r="AF9" s="53" t="n">
        <v>1</v>
      </c>
      <c r="AG9" s="12" t="inlineStr">
        <is>
          <t>7</t>
        </is>
      </c>
      <c r="AI9" s="12" t="inlineStr">
        <is>
          <t>Disqualifié – hors zone</t>
        </is>
      </c>
      <c r="AK9" s="12" t="inlineStr">
        <is>
          <t>Mirabel</t>
        </is>
      </c>
      <c r="AM9" s="12" t="inlineStr">
        <is>
          <t>gbp</t>
        </is>
      </c>
      <c r="AQ9" s="12" t="inlineStr">
        <is>
          <t>msft_corpo</t>
        </is>
      </c>
      <c r="AS9" s="12" t="inlineStr">
        <is>
          <t>Photobooth seul (dès 599 $)</t>
        </is>
      </c>
    </row>
    <row r="10">
      <c r="D10" s="12" t="inlineStr">
        <is>
          <t>Référence / bouche-à-oreille</t>
        </is>
      </c>
      <c r="AE10" s="12" t="inlineStr">
        <is>
          <t>Avis obtenu</t>
        </is>
      </c>
      <c r="AF10" s="53" t="n">
        <v>1</v>
      </c>
      <c r="AG10" s="12" t="inlineStr">
        <is>
          <t>8</t>
        </is>
      </c>
      <c r="AI10" s="12" t="inlineStr">
        <is>
          <t>Disqualifié – hors catalogue</t>
        </is>
      </c>
      <c r="AK10" s="12" t="inlineStr">
        <is>
          <t>Saint-Eustache</t>
        </is>
      </c>
      <c r="AM10" s="12" t="inlineStr">
        <is>
          <t>weddingwire</t>
        </is>
      </c>
      <c r="AQ10" s="12" t="inlineStr">
        <is>
          <t>chatgpt_corpo_fetes</t>
        </is>
      </c>
      <c r="AS10" s="12" t="inlineStr">
        <is>
          <t>Sur mesure</t>
        </is>
      </c>
    </row>
    <row r="11">
      <c r="D11" s="12" t="inlineStr">
        <is>
          <t>Appel direct (non attribué)</t>
        </is>
      </c>
      <c r="AE11" s="12" t="inlineStr">
        <is>
          <t>Perdu</t>
        </is>
      </c>
      <c r="AF11" s="53" t="n">
        <v>0</v>
      </c>
      <c r="AG11" s="12" t="inlineStr">
        <is>
          <t>—</t>
        </is>
      </c>
      <c r="AI11" s="12" t="inlineStr">
        <is>
          <t>Disqualifié – pourriel</t>
        </is>
      </c>
      <c r="AK11" s="12" t="inlineStr">
        <is>
          <t>Deux-Montagnes</t>
        </is>
      </c>
      <c r="AM11" s="12" t="inlineStr">
        <is>
          <t>yelp</t>
        </is>
      </c>
      <c r="AQ11" s="12" t="inlineStr">
        <is>
          <t>chatgpt_mariage</t>
        </is>
      </c>
    </row>
    <row r="12">
      <c r="D12" s="12" t="inlineStr">
        <is>
          <t>Autre / non payé</t>
        </is>
      </c>
      <c r="AE12" s="12" t="inlineStr">
        <is>
          <t>Disqualifié</t>
        </is>
      </c>
      <c r="AF12" s="53" t="n">
        <v>0</v>
      </c>
      <c r="AG12" s="12" t="inlineStr">
        <is>
          <t>—</t>
        </is>
      </c>
      <c r="AK12" s="12" t="inlineStr">
        <is>
          <t>Terrebonne</t>
        </is>
      </c>
    </row>
    <row r="13">
      <c r="AK13" s="12" t="inlineStr">
        <is>
          <t>Saint-Jérôme</t>
        </is>
      </c>
    </row>
    <row r="14">
      <c r="AK14" s="12" t="inlineStr">
        <is>
          <t>Laval</t>
        </is>
      </c>
    </row>
    <row r="15">
      <c r="AK15" s="12" t="inlineStr">
        <is>
          <t>Montréal – centre-ville</t>
        </is>
      </c>
    </row>
    <row r="16">
      <c r="AK16" s="12" t="inlineStr">
        <is>
          <t>Montréal – autres arrondissements</t>
        </is>
      </c>
    </row>
    <row r="17">
      <c r="AK17" s="12" t="inlineStr">
        <is>
          <t>Longueuil / Rive-Sud</t>
        </is>
      </c>
    </row>
    <row r="18">
      <c r="AK18" s="12" t="inlineStr">
        <is>
          <t>Autre (plus de 40 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2026-10-07T03:08:33Z</dcterms:created>
  <dcterms:modified xmlns:dcterms="http://purl.org/dc/terms/" xmlns:xsi="http://www.w3.org/2001/XMLSchema-instance" xsi:type="dcterms:W3CDTF">2026-10-07T03:08:35Z</dcterms:modified>
</cp:coreProperties>
</file>